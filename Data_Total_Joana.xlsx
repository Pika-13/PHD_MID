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3"/>
  <workbookPr codeName="ThisWorkbook"/>
  <mc:AlternateContent xmlns:mc="http://schemas.openxmlformats.org/markup-compatibility/2006">
    <mc:Choice Requires="x15">
      <x15ac:absPath xmlns:x15ac="http://schemas.microsoft.com/office/spreadsheetml/2010/11/ac" url="/Users/joanarodriguesribeiro/Dropbox/MID in Papers/Data Extraction/"/>
    </mc:Choice>
  </mc:AlternateContent>
  <xr:revisionPtr revIDLastSave="0" documentId="13_ncr:1_{383A5417-86E7-264F-9E96-374DFAD2194A}" xr6:coauthVersionLast="47" xr6:coauthVersionMax="47" xr10:uidLastSave="{00000000-0000-0000-0000-000000000000}"/>
  <bookViews>
    <workbookView xWindow="2520" yWindow="760" windowWidth="27600" windowHeight="17800" xr2:uid="{00000000-000D-0000-FFFF-FFFF00000000}"/>
  </bookViews>
  <sheets>
    <sheet name="All fulltexts original" sheetId="10" r:id="rId1"/>
    <sheet name="CCI 1st EP" sheetId="1" r:id="rId2"/>
    <sheet name="Only RCT new" sheetId="7" r:id="rId3"/>
    <sheet name="All included bearbeitet (3)" sheetId="8" r:id="rId4"/>
    <sheet name="3 (2)" sheetId="4" r:id="rId5"/>
    <sheet name="Tabelle1" sheetId="3" r:id="rId6"/>
    <sheet name="3 (3)" sheetId="9" r:id="rId7"/>
    <sheet name="3" sheetId="2" r:id="rId8"/>
  </sheets>
  <definedNames>
    <definedName name="_xlnm._FilterDatabase" localSheetId="0" hidden="1">'All fulltexts original'!$A$1:$AK$264</definedName>
    <definedName name="_xlnm._FilterDatabase" localSheetId="3" hidden="1">'All included bearbeitet (3)'!$A$1:$AN$1329</definedName>
    <definedName name="_xlnm._FilterDatabase" localSheetId="1" hidden="1">'CCI 1st EP'!$A$1:$AK$25</definedName>
    <definedName name="_xlnm._FilterDatabase" localSheetId="2" hidden="1">'Only RCT new'!$A$1:$AQ$1118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9" l="1"/>
  <c r="B23" i="9"/>
  <c r="AP1110" i="7"/>
  <c r="AT1108" i="7"/>
  <c r="AS1108" i="7"/>
  <c r="AR1108" i="7"/>
  <c r="AP1109" i="7"/>
  <c r="AP1108" i="7"/>
  <c r="AP1107" i="7"/>
  <c r="AP1106" i="7"/>
  <c r="AP1105" i="7"/>
  <c r="AO1108" i="7"/>
  <c r="AO1109" i="7"/>
  <c r="AO1107" i="7"/>
  <c r="AO1105" i="7"/>
  <c r="AO1106" i="7"/>
  <c r="AH1107" i="7"/>
  <c r="AH1106" i="7"/>
  <c r="AH1105" i="7"/>
  <c r="AG1106" i="7"/>
  <c r="S1116" i="7"/>
  <c r="S1115" i="7"/>
  <c r="S1114" i="7"/>
  <c r="S1113" i="7"/>
  <c r="S1112" i="7"/>
  <c r="S1111" i="7"/>
  <c r="T1110" i="7"/>
  <c r="S1110" i="7"/>
  <c r="T1109" i="7"/>
  <c r="S1109" i="7"/>
  <c r="AG1108" i="7"/>
  <c r="AE1108" i="7"/>
  <c r="AD1108" i="7"/>
  <c r="T1108" i="7"/>
  <c r="S1108" i="7"/>
  <c r="AE1107" i="7"/>
  <c r="AD1107" i="7"/>
  <c r="T1107" i="7"/>
  <c r="S1107" i="7"/>
  <c r="AL1106" i="7"/>
  <c r="AE1106" i="7"/>
  <c r="AD1106" i="7"/>
  <c r="AC1106" i="7"/>
  <c r="AB1106" i="7"/>
  <c r="AA1106" i="7"/>
  <c r="Z1106" i="7"/>
  <c r="Y1106" i="7"/>
  <c r="X1106" i="7"/>
  <c r="W1106" i="7"/>
  <c r="V1106" i="7"/>
  <c r="T1106" i="7"/>
  <c r="S1106" i="7"/>
  <c r="R1106" i="7"/>
  <c r="Q1106" i="7"/>
  <c r="P1106" i="7"/>
  <c r="O1106" i="7"/>
  <c r="N1106" i="7"/>
  <c r="M1106" i="7"/>
  <c r="AL1105" i="7"/>
  <c r="AK1105" i="7"/>
  <c r="AG1105" i="7"/>
  <c r="AE1105" i="7"/>
  <c r="AD1105" i="7"/>
  <c r="AC1105" i="7"/>
  <c r="AB1105" i="7"/>
  <c r="AA1105" i="7"/>
  <c r="Z1105" i="7"/>
  <c r="Y1105" i="7"/>
  <c r="X1105" i="7"/>
  <c r="W1105" i="7"/>
  <c r="V1105" i="7"/>
  <c r="T1105" i="7"/>
  <c r="S1105" i="7"/>
  <c r="R1105" i="7"/>
  <c r="Q1105" i="7"/>
  <c r="P1105" i="7"/>
  <c r="O1105" i="7"/>
  <c r="N1105" i="7"/>
  <c r="M1105" i="7"/>
  <c r="B94" i="3"/>
  <c r="A94" i="3"/>
  <c r="B92" i="3"/>
  <c r="B93" i="3"/>
  <c r="A93" i="3"/>
  <c r="A92" i="3"/>
  <c r="B25" i="2"/>
  <c r="B23" i="2"/>
  <c r="AO1110" i="7" l="1"/>
  <c r="AH1109" i="7"/>
  <c r="O1107" i="7"/>
  <c r="X1107" i="7"/>
  <c r="P1107" i="7"/>
  <c r="Y1107" i="7"/>
  <c r="AL1107" i="7"/>
  <c r="Q1107" i="7"/>
  <c r="AE1109" i="7"/>
  <c r="S1118" i="7"/>
  <c r="AB1107" i="7"/>
  <c r="AC1107" i="7"/>
  <c r="Z1107" i="7"/>
  <c r="AA1107" i="7"/>
  <c r="T1111" i="7"/>
  <c r="AG1109" i="7"/>
  <c r="AG1112" i="7"/>
  <c r="M1107" i="7"/>
  <c r="V1107" i="7"/>
  <c r="N1107" i="7"/>
  <c r="W1107" i="7"/>
  <c r="R1107" i="7"/>
  <c r="AD1109"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tc={84F665BA-1249-BF4D-95D7-9E560868BA51}</author>
    <author>tc={DC364AE1-1B7C-8E4F-8439-9567D5C632E6}</author>
  </authors>
  <commentList>
    <comment ref="AK106" authorId="0" shapeId="0" xr:uid="{84F665BA-1249-BF4D-95D7-9E560868BA51}">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r>
      </text>
    </comment>
    <comment ref="AK127" authorId="1" shapeId="0" xr:uid="{DC364AE1-1B7C-8E4F-8439-9567D5C632E6}">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gibt es ein studienprotokoll das wir anstelle des abstracts analysieren können?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tc={86D2FECD-80ED-BA47-8ACD-798990C89525}</author>
    <author>tc={251C4B54-0C9F-744B-A9DB-DCA109EECE95}</author>
    <author>tc={F88578B7-DDEE-B34C-A6C8-399A7240469E}</author>
    <author>tc={B3415536-6B6C-B84B-9983-2814B57E34CC}</author>
    <author>tc={5E02544E-89AC-3749-84DA-10F40C607CBD}</author>
    <author>tc={F8D23A47-155C-E941-A891-82A8B72D8623}</author>
    <author>tc={BFE7B091-804F-4642-9831-9EFF40C7B558}</author>
    <author>tc={C4B4605C-6E56-5F4C-8C5B-80409DB76F4E}</author>
    <author>tc={5C1ED649-4180-6548-8A99-0B787E602E22}</author>
    <author>tc={EA1971E1-A3B5-D346-BB5B-AA2C393BC81A}</author>
    <author>tc={5E9A15F1-0A10-0247-B509-661508E2F17E}</author>
    <author>tc={FFF8A227-299C-024B-A5E5-AE69593FBCC2}</author>
    <author>tc={6491AF7B-1DFE-284D-A4B7-D286E97A509E}</author>
    <author>tc={03C4D185-F640-D444-B060-23DFBB6BCC05}</author>
  </authors>
  <commentList>
    <comment ref="AN241" authorId="0" shapeId="0" xr:uid="{86D2FECD-80ED-BA47-8ACD-798990C89525}">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r>
      </text>
    </comment>
    <comment ref="AN770" authorId="1" shapeId="0" xr:uid="{251C4B54-0C9F-744B-A9DB-DCA109EECE95}">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NA passt bestens</t>
        </r>
      </text>
    </comment>
    <comment ref="AN789" authorId="2" shapeId="0" xr:uid="{F88578B7-DDEE-B34C-A6C8-399A7240469E}">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ja, wenns irgendwie geht, dann shcon.</t>
        </r>
      </text>
    </comment>
    <comment ref="AK816" authorId="3" shapeId="0" xr:uid="{B3415536-6B6C-B84B-9983-2814B57E34CC}">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used ist korrekt</t>
        </r>
      </text>
    </comment>
    <comment ref="AN953" authorId="4" shapeId="0" xr:uid="{5E02544E-89AC-3749-84DA-10F40C607CBD}">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 hier zusätzlich noch CCI einbezogen wurde, würde ich die posthoc analyse zählen.</t>
        </r>
      </text>
    </comment>
    <comment ref="AE1105" authorId="5" shapeId="0" xr:uid="{F8D23A47-155C-E941-A891-82A8B72D8623}">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minus 6 —&gt; 22</t>
        </r>
      </text>
    </comment>
    <comment ref="AG1105" authorId="6" shapeId="0" xr:uid="{BFE7B091-804F-4642-9831-9EFF40C7B558}">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eine studie verwendet sowohl für 1st als auch 2nd EP CD korrekt --&gt; muss abgezogen werden —&gt; insgesamt 335 studien mit korrekter anwendung</t>
        </r>
      </text>
    </comment>
    <comment ref="AH1105" authorId="7" shapeId="0" xr:uid="{C4B4605C-6E56-5F4C-8C5B-80409DB76F4E}">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minus 4 —&gt; 101</t>
        </r>
      </text>
    </comment>
    <comment ref="AK1105" authorId="8" shapeId="0" xr:uid="{5C1ED649-4180-6548-8A99-0B787E602E22}">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alle welche keine subgrades verwenden</t>
        </r>
      </text>
    </comment>
    <comment ref="AE1106" authorId="9" shapeId="0" xr:uid="{EA1971E1-A3B5-D346-BB5B-AA2C393BC81A}">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minus 2 —&gt; 15</t>
        </r>
      </text>
    </comment>
    <comment ref="AH1106" authorId="10" shapeId="0" xr:uid="{5E9A15F1-0A10-0247-B509-661508E2F17E}">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111 zählen</t>
        </r>
      </text>
    </comment>
    <comment ref="AH1107" authorId="11" shapeId="0" xr:uid="{FFF8A227-299C-024B-A5E5-AE69593FBCC2}">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minus 7 —&gt; 321</t>
        </r>
      </text>
    </comment>
    <comment ref="AQ1108" authorId="12" shapeId="0" xr:uid="{6491AF7B-1DFE-284D-A4B7-D286E97A509E}">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 subgrades</t>
        </r>
      </text>
    </comment>
    <comment ref="AS1108" authorId="13" shapeId="0" xr:uid="{03C4D185-F640-D444-B060-23DFBB6BCC05}">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inkomplettes reporting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tc={C3728238-DA72-5C46-B80F-1577AAD4E474}</author>
    <author>tc={25E54F30-CA9A-B74D-A39A-B7C09A3035AA}</author>
    <author>tc={C90D8685-928F-B647-89D2-48DA1C9B7FCE}</author>
    <author>tc={32E8963B-CE9E-7A45-9166-29BAFC944CEC}</author>
  </authors>
  <commentList>
    <comment ref="AN297" authorId="0" shapeId="0" xr:uid="{966DE9C2-C9CB-1C4C-8AFC-683F97D474C0}">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r>
      </text>
    </comment>
    <comment ref="AN956" authorId="1" shapeId="0" xr:uid="{C3728238-DA72-5C46-B80F-1577AAD4E474}">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NA passt bestens</t>
        </r>
      </text>
    </comment>
    <comment ref="AN975" authorId="2" shapeId="0" xr:uid="{25E54F30-CA9A-B74D-A39A-B7C09A3035AA}">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ja, wenns irgendwie geht, dann shcon.</t>
        </r>
      </text>
    </comment>
    <comment ref="AK1005" authorId="3" shapeId="0" xr:uid="{C90D8685-928F-B647-89D2-48DA1C9B7FCE}">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used ist korrekt</t>
        </r>
      </text>
    </comment>
    <comment ref="AN1162" authorId="4" shapeId="0" xr:uid="{32E8963B-CE9E-7A45-9166-29BAFC944CEC}">
      <text>
        <r>
          <rPr>
            <sz val="11"/>
            <color rgb="FF000000"/>
            <rFont val="Calibri"/>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 hier zusätzlich noch CCI einbezogen wurde, würde ich die posthoc analyse zählen.</t>
        </r>
      </text>
    </comment>
  </commentList>
</comments>
</file>

<file path=xl/sharedStrings.xml><?xml version="1.0" encoding="utf-8"?>
<sst xmlns="http://schemas.openxmlformats.org/spreadsheetml/2006/main" count="48645" uniqueCount="8136">
  <si>
    <t>Article ID</t>
  </si>
  <si>
    <t>Title</t>
  </si>
  <si>
    <t>Author</t>
  </si>
  <si>
    <t>publication year</t>
  </si>
  <si>
    <t>Misc. 2</t>
  </si>
  <si>
    <t>Web/URL</t>
  </si>
  <si>
    <t>DOI</t>
  </si>
  <si>
    <t>Overall comments</t>
  </si>
  <si>
    <t>Zullo, M. A.; Plotti, F.; Calcagno, M.; Marullo, E.; Palaia, I.; Bellati, F.; Basile, S.; Muzii, L.; Angioli, R.; Panici, P. B.</t>
  </si>
  <si>
    <t xml:space="preserve">2007
</t>
  </si>
  <si>
    <t xml:space="preserve">51
</t>
  </si>
  <si>
    <t xml:space="preserve">5
</t>
  </si>
  <si>
    <t xml:space="preserve">European Urology
</t>
  </si>
  <si>
    <t xml:space="preserve">Article
</t>
  </si>
  <si>
    <t>10.1016/j.eururo.2006.10.066</t>
  </si>
  <si>
    <t>Zou, X.; Yang, Y. C.; Wang, Y.; Pei, W.; Han, J. G.; Lu, Y.; Zhang, M. S.; Tu, J. F.; Lin, L. L.; Wang, L. Q.; Shi, G.; Yan, S. Y.; Yang, J. W.; Liu, C. Z.</t>
  </si>
  <si>
    <t xml:space="preserve">2022
</t>
  </si>
  <si>
    <t xml:space="preserve">12
</t>
  </si>
  <si>
    <t xml:space="preserve">4
</t>
  </si>
  <si>
    <t xml:space="preserve">BMJ Open
</t>
  </si>
  <si>
    <t>10.1136/bmjopen-2021-050000</t>
  </si>
  <si>
    <t>Zhu, Y.; Xiang, J.; Liu, W.; Cao, Q.; Zhou, W.</t>
  </si>
  <si>
    <t xml:space="preserve">2018
</t>
  </si>
  <si>
    <t>10.1155/2018/9648674</t>
  </si>
  <si>
    <t>Zhu, X.; Wu, Y.; Qiu, Y.; Jiang, C.; Ding, Y.</t>
  </si>
  <si>
    <t xml:space="preserve">2014
</t>
  </si>
  <si>
    <t xml:space="preserve">38
</t>
  </si>
  <si>
    <t xml:space="preserve">8
</t>
  </si>
  <si>
    <t xml:space="preserve">Journal of Parenteral and Enteral Nutrition
</t>
  </si>
  <si>
    <t>10.1177/0148607113500694</t>
  </si>
  <si>
    <t xml:space="preserve">2013
</t>
  </si>
  <si>
    <t xml:space="preserve">37
</t>
  </si>
  <si>
    <t xml:space="preserve">2
</t>
  </si>
  <si>
    <t>10.1177/0148607112450915</t>
  </si>
  <si>
    <t>Zhu, P.; Lau, W. Y.; Chen, Y. F.; Zhang, B. X.; Huang, Z. Y.; Zhang, Z. W.; Zhang, W.; Dou, L.; Chen, X. P.</t>
  </si>
  <si>
    <t xml:space="preserve">2012
</t>
  </si>
  <si>
    <t xml:space="preserve">99
</t>
  </si>
  <si>
    <t xml:space="preserve">6
</t>
  </si>
  <si>
    <t xml:space="preserve">British Journal of Surgery
</t>
  </si>
  <si>
    <t>10.1002/bjs.8714</t>
  </si>
  <si>
    <t>Zhu, D.; Xia, J.; Gu, Y.; Lin, J.; Ding, K.; Zhou, B.; Liang, F.; Liu, T.; Qin, C.; Wei, Y.; Ren, L.; Zhong, Y.; Wang, J.; Yan, Z.; Cheng, J.; Chen, J.; Chang, W.; Zhan, S.; Ding, Y.; Huo, H.; Liu, F.; Sun, J.; Qin, X.; Xu, J.</t>
  </si>
  <si>
    <t xml:space="preserve">2021
</t>
  </si>
  <si>
    <t xml:space="preserve">273
</t>
  </si>
  <si>
    <t xml:space="preserve">Annals of Surgery
</t>
  </si>
  <si>
    <t>10.1097/SLA.0000000000004558</t>
  </si>
  <si>
    <t>Zhou, Z. F.; Fang, J. B.; Wang, H. F.; He, Y.; Yu, Y. J.; Xu, Q.; Ge, Y. F.; Zhang, M. Z.; Hu, S. F.</t>
  </si>
  <si>
    <t xml:space="preserve">2019
</t>
  </si>
  <si>
    <t xml:space="preserve">9
</t>
  </si>
  <si>
    <t xml:space="preserve">10
</t>
  </si>
  <si>
    <t>10.1136/bmjopen-2018-028464</t>
  </si>
  <si>
    <t>Zhou, Z. F.; Fang, J. B.; Chen, L.; Wang, H. F.; Yu, Y. J.; Wang, W. Y.; Chen, J. B.; Zhang, M. Z.; Hu, S. F.</t>
  </si>
  <si>
    <t xml:space="preserve">20
</t>
  </si>
  <si>
    <t xml:space="preserve">1
</t>
  </si>
  <si>
    <t xml:space="preserve">Trials
</t>
  </si>
  <si>
    <t>10.1186/s13063-019-3363-y</t>
  </si>
  <si>
    <t>Zhou, Y. M.; Sui, C. J.; Zhang, X. F.; Li, B.; Yang, J. M.</t>
  </si>
  <si>
    <t xml:space="preserve">2016
</t>
  </si>
  <si>
    <t xml:space="preserve">95
</t>
  </si>
  <si>
    <t xml:space="preserve">27
</t>
  </si>
  <si>
    <t xml:space="preserve">Medicine (United States)
</t>
  </si>
  <si>
    <t>10.1097/MD.0000000000004159</t>
  </si>
  <si>
    <t>Zhou, D.; Zhu, X.; Wang, L.; Yang, X.; Liu, Y.; Zhang, X.</t>
  </si>
  <si>
    <t xml:space="preserve">131
</t>
  </si>
  <si>
    <t>10.1002/lary.28724</t>
  </si>
  <si>
    <t>Zheng, Z.; Lu, J.; Cao, F.; Ding, Y.; Guo, Y.; Mei, W.; Qu, Y.; Liu, S.; Sun, H.; Cui, Y.; Li, A.; Li, F.</t>
  </si>
  <si>
    <t xml:space="preserve">22
</t>
  </si>
  <si>
    <t xml:space="preserve">BMC Gastroenterology
</t>
  </si>
  <si>
    <t>10.1186/s12876-022-02116-0</t>
  </si>
  <si>
    <t>Zheng, L.; Ding, D.; Edil, B. H.; Judkins, C.; Durham, J. N.; Thomas, D. L., II; Bever, K. M.; Mo, G.; Solt, S. E.; Hoare, J. A.; Bhattacharya, R.; Zhu, Q.; Osipov, A.; Onner, B.; Purtell, K. A.; Cai, H.; Parkinson, R.; Hacker-Prietz, A.; Herman, J. M.; Le, D. T.; Azad, N. S.; de Jesus-Acosta, A. M. C.; Blair, A. B.; Kim, V.; Soares, K. C.; Manos, L.; Cameron, J. L.; Makary, M. A.; Weiss, M. J.; Schulick, R. D.; He, J.; Wolfgang, C. L.; Thompson, E. D.; Anders, R. A.; Sugar, E.; Jaffee, E. M.; Laheru, D. A.</t>
  </si>
  <si>
    <t>10.1158/1078-0432.CCR-20-2974</t>
  </si>
  <si>
    <t>Zheng, C. H.; Lu, J.; Zheng, H. L.; Li, P.; Xie, J. W.; Wang, J. B.; Lin, J. X.; Chen, Q. Y.; Cao, L. L.; Lin, M.; Tu, R. H.; Huang, C. M.</t>
  </si>
  <si>
    <t xml:space="preserve">Surgery (United States)
</t>
  </si>
  <si>
    <t>10.1016/j.surg.2017.09.053</t>
  </si>
  <si>
    <t>Zhao, L. Y.; Zhang, W. H.; Liu, K.; Chen, X. L.; Yang, K.; Chen, X. Z.; Hu, J. K.</t>
  </si>
  <si>
    <t xml:space="preserve">2023
</t>
  </si>
  <si>
    <t xml:space="preserve">Journal of Hospital Infection
</t>
  </si>
  <si>
    <t>10.1016/j.jhin.2022.10.005</t>
  </si>
  <si>
    <t>Zhao, J.; Wang, G.; Jiang, Z. W.; Jiang, C. W.; Liu, J.; Xia, C. C.; Li, J. S.</t>
  </si>
  <si>
    <t>10.4103/0366-6999.225047</t>
  </si>
  <si>
    <t>Zhang, Z. F.; Su, X.; Zhao, Y.; Zhong, C. L.; Mo, X. Q.; Zhang, R.; Wang, K.; Zhu, S. N.; Shen, Y. E.; Zhang, C.; Wang, D. X.</t>
  </si>
  <si>
    <t xml:space="preserve">102
</t>
  </si>
  <si>
    <t>10.1016/j.sleep.2022.12.006</t>
  </si>
  <si>
    <t>Zhang, Z.; Zhu, R. L.; Yue, L.; Li, X.; Ma, J. H.; Kong, H.; Li, C. D.; Zhang, H.; Wang, D. X.</t>
  </si>
  <si>
    <t xml:space="preserve">32
</t>
  </si>
  <si>
    <t>10.1007/s00586-022-07453-y</t>
  </si>
  <si>
    <t>Zhang, Z.; Zhu, L.; Xu, T.; Lang, J.</t>
  </si>
  <si>
    <t xml:space="preserve">International Urogynecology Journal
</t>
  </si>
  <si>
    <t>10.1007/s00192-015-2798-2</t>
  </si>
  <si>
    <t>Zhang, Y.; Cui, F.; Ma, J. H.; Wang, D. X.</t>
  </si>
  <si>
    <t xml:space="preserve">British Journal of Anaesthesia
</t>
  </si>
  <si>
    <t>10.1016/j.bja.2023.05.001</t>
  </si>
  <si>
    <t>Zhang, T.; Xu, Y.; Yao, Y.; Jin, L.; Liu, H.; Zhou, Y.; Gu, L.; Ji, Q.; Zhu, W.; Gong, J.</t>
  </si>
  <si>
    <t xml:space="preserve">11
</t>
  </si>
  <si>
    <t>10.1093/ibd/izab065</t>
  </si>
  <si>
    <t>Zhang, R. X.; Lin, J. Z.; Lei, J.; Chen, G.; Li, L. R.; Lu, Z. H.; Ding, P. R.; Huang, J. Q.; Kong, L. H.; Wang, F. L.; Li, C.; Jiang, W.; Ke, C. F.; Zhou, W. H.; Fan, W. H.; Liu, Q.; Wan, D. S.; Wu, X. J.; Pan, Z. Z.</t>
  </si>
  <si>
    <t xml:space="preserve">2017
</t>
  </si>
  <si>
    <t>10.1007/s00432-017-2489-0</t>
  </si>
  <si>
    <t>Zhang, Q.; Wu, Y.; Ren, F.; Zhang, X.; Feng, Y.</t>
  </si>
  <si>
    <t xml:space="preserve">68
</t>
  </si>
  <si>
    <t>10.1016/j.jclinane.2020.110090</t>
  </si>
  <si>
    <t>Zhang, J.; Ou, Z.; Zhang, X.; He, W.; Wang, R.; Mo, M.; Chen, L.; Xu, R.; Jiang, S.; Peng, X.; Qi, L.; Wang, L.</t>
  </si>
  <si>
    <t xml:space="preserve">2020
</t>
  </si>
  <si>
    <t xml:space="preserve">World Journal of Urology
</t>
  </si>
  <si>
    <t>10.1007/s00345-019-02945-x</t>
  </si>
  <si>
    <t>Zhang, H.; Feng, Y.; Zhao, J.; Chen, R.; Chen, X.; Yin, X.; Cheng, W.; Li, D.; Li, J.; Huang, X.; Li, J.; Liu, J.; Liu, J.; Liu, Y.; Tan, Z.; Zhao, W.; Huang, H.; Li, D.; Yu, Y.; Wang, M.; Qin, R.</t>
  </si>
  <si>
    <t>10.1136/bmjopen-2019-033490</t>
  </si>
  <si>
    <t>Zhang, G.; Kang, Y.; Zhang, H.; Wang, F.; Liu, R.</t>
  </si>
  <si>
    <t xml:space="preserve">21
</t>
  </si>
  <si>
    <t>10.1186/s13063-020-04250-0</t>
  </si>
  <si>
    <t>Zhang, C.; Fu, D.; Wang, F.; Zhong, X.; Yang, L.; Wu, G.; Li, B.; Zhang, J.</t>
  </si>
  <si>
    <t xml:space="preserve">100
</t>
  </si>
  <si>
    <t xml:space="preserve">Annals of Surgical Treatment and Research
</t>
  </si>
  <si>
    <t>10.4174/astr.2021.100.4.193</t>
  </si>
  <si>
    <t>Zhang, B.; Wei, G.; Li, R.; Wang, Y.; Yu, J.; Wang, R.; Xiao, H.; Wu, C.; Leng, C.; Zhang, B.; Chen, X. P.</t>
  </si>
  <si>
    <t xml:space="preserve">36
</t>
  </si>
  <si>
    <t xml:space="preserve">Clinical Nutrition
</t>
  </si>
  <si>
    <t>10.1016/j.clnu.2016.08.002</t>
  </si>
  <si>
    <t>Zeelst, L. J.; ten Wolde, B.; Plate, J. D. J.; Volders, J. H.; van Eekeren, R. R. J. P.; Doeksen, A.; Hoven-Gondrie, M. L.; Olieman, A. F. T.; van Riet, Y. E. A.; van der Velden, A. P. S.; Vijfhuize, S.; Witjes, H. H. G.; de Wilt, J. H. W.; Strobbe, L. J. A.</t>
  </si>
  <si>
    <t xml:space="preserve">23
</t>
  </si>
  <si>
    <t xml:space="preserve">BMC Cancer
</t>
  </si>
  <si>
    <t>10.1186/s12885-023-11154-0</t>
  </si>
  <si>
    <t>Zaghiyan, K. N.; Mendelson, B. J.; Eng, M. R.; Ovsepyan, G.; Mirocha, J. M.; Fleshner, P.</t>
  </si>
  <si>
    <t xml:space="preserve">62
</t>
  </si>
  <si>
    <t xml:space="preserve">Diseases of the Colon and Rectum
</t>
  </si>
  <si>
    <t>10.1097/DCR.0000000000001292</t>
  </si>
  <si>
    <t>Zaazaa, A.; Bayerle-Eder, M.; Elnabarawy, R.; Elbitar, M.; Mostafa, T.</t>
  </si>
  <si>
    <t xml:space="preserve">Advances in Urology
</t>
  </si>
  <si>
    <t>10.1155/2021/5548494</t>
  </si>
  <si>
    <t>Yue, C.; Mo, Z.; Wu, X.; Wang, Y.; Yang, Q.; Wang, W.; Zhou, H.; Gao, R.; Ji, P.; Dong, D.; Zhang, Y.; Ji, G.; Li, X.</t>
  </si>
  <si>
    <t xml:space="preserve">13
</t>
  </si>
  <si>
    <t xml:space="preserve">Frontiers in Oncology
</t>
  </si>
  <si>
    <t>10.3389/fonc.2023.1091615</t>
  </si>
  <si>
    <t>Yu, T. C.; Hamill, J. K.; Liley, A.; Hill, A. G.</t>
  </si>
  <si>
    <t xml:space="preserve">257
</t>
  </si>
  <si>
    <t>10.1097/SLA.0b013e31825f0721</t>
  </si>
  <si>
    <t>Yu, P.; Du, Y.; Xu, Z.; Huang, L.; Cheng, X.</t>
  </si>
  <si>
    <t xml:space="preserve">17
</t>
  </si>
  <si>
    <t xml:space="preserve">World Journal of Surgical Oncology
</t>
  </si>
  <si>
    <t>10.1186/s12957-019-1572-1</t>
  </si>
  <si>
    <t>Yu, J.; Gao, Y.; Chen, L.; Wu, D.; Shen, Q.; Zhao, Z.; Liu, W.; Yang, H.; Zhang, Q.; Wang, X.; Hu, P.; Zheng, Z.; Wang, X.; Liu, H.; Xu, Z.; Yan, Z.; Wu, Y.; Jin, M.; Zhang, Q.; Liu, X.; Zhu, K.; Shou, C.</t>
  </si>
  <si>
    <t xml:space="preserve">JAMA Network Open
</t>
  </si>
  <si>
    <t>10.1001/jamanetworkopen.2022.0426</t>
  </si>
  <si>
    <t>Youssef, T.; Abdalla, E.; El-Alfy, K.; Dawoud, I.; Morshed, M.; Farid, M.</t>
  </si>
  <si>
    <t xml:space="preserve">26
</t>
  </si>
  <si>
    <t xml:space="preserve">3
</t>
  </si>
  <si>
    <t xml:space="preserve">Obesity Surgery
</t>
  </si>
  <si>
    <t>10.1007/s11695-015-1794-4</t>
  </si>
  <si>
    <t xml:space="preserve">18
</t>
  </si>
  <si>
    <t>You, X. M.; Mo, X. S.; Ma, L.; Zhong, J. H.; Qin, H. G.; Lu, Z.; Xiang, B. D.; Wu, F. X.; Zhao, X. H.; Tang, J.; Pang, Y. H.; Chen, J.; Li, L. Q.</t>
  </si>
  <si>
    <t xml:space="preserve">2015
</t>
  </si>
  <si>
    <t xml:space="preserve">94
</t>
  </si>
  <si>
    <t xml:space="preserve">45
</t>
  </si>
  <si>
    <t>10.1097/MD.0000000000001968</t>
  </si>
  <si>
    <t>You, K.; Bendl, R.; Taut, C.; Sullivan, R.; Gachabayov, M.; Bergamaschi, R.; Connolly, T. M.; Yang, K.; Giuratrabocchetta, S.; Denoya, P. I.; Zawin, M.; Ferretti, J.; Baer, A.; Wertheim, W.; the Study Group on, Diverticulitis</t>
  </si>
  <si>
    <t xml:space="preserve">105
</t>
  </si>
  <si>
    <t>10.1002/bjs.10868</t>
  </si>
  <si>
    <t>Yoshikawa, T.; Tanabe, K.; Nishikawa, K.; Ito, Y.; Matsui, T.; Kimura, Y.; Hirabayashi, N.; Mikata, S.; Iwahashi, M.; Fukushima, R.; Takiguchi, N.; Miyashiro, I.; Morita, S.; Miyashita, Y.; Tsuburaya, A.; Sakamoto, J.</t>
  </si>
  <si>
    <t xml:space="preserve">Annals of Surgical Oncology
</t>
  </si>
  <si>
    <t>10.1245/s10434-013-3055-x</t>
  </si>
  <si>
    <t>Yoon, S.; Song, G. Y.; Lee, J.; Lee, H. J.; Kong, S. H.; Kim, W. H.; Park, D. J.; Lee, H. J.; Yang, H. K.</t>
  </si>
  <si>
    <t xml:space="preserve">Surgical Endoscopy
</t>
  </si>
  <si>
    <t>10.1007/s00464-021-08370-9</t>
  </si>
  <si>
    <t>Yoon, S.; Lee, H. B.; Na, K. J.; Park, S.; Bahk, J.; Lee, H. J.</t>
  </si>
  <si>
    <t xml:space="preserve">25
</t>
  </si>
  <si>
    <t xml:space="preserve">Pain Physician
</t>
  </si>
  <si>
    <t>Yoo, R. N.; Kim, H. J.; Lee, J. I.; Kang, W. K.; Kye, B. H.; Kim, C. W.; Bae, S. U.; Nam, S.; Kang, B. M.</t>
  </si>
  <si>
    <t>10.1136/bmjopen-2019-034687</t>
  </si>
  <si>
    <t>Yokoyama, Y.; Miyake, T.; Kokuryo, T.; Asahara, T.; Nomoto, K.; Nagino, M.</t>
  </si>
  <si>
    <t xml:space="preserve">33
</t>
  </si>
  <si>
    <t xml:space="preserve">Digestive Surgery
</t>
  </si>
  <si>
    <t>10.1159/000444459</t>
  </si>
  <si>
    <t>Yi, H. C.; Ibrahim, Z.; Zaid, Z. A.; ‘Azuan Mat Daud, Z.; Md. Yusop, N. B.; Omar, J.; Abas, M. N. M.; Rahman, Z. A.; Jamhuri, N.</t>
  </si>
  <si>
    <t xml:space="preserve">Nutrients
</t>
  </si>
  <si>
    <t>10.3390/nu12010264</t>
  </si>
  <si>
    <t>Yeh, D. D.; Hatton, G. E.; Pedroza, C.; Pust, G.; Mantero, A.; Namias, N.; Kao, L. S.</t>
  </si>
  <si>
    <t xml:space="preserve">7
</t>
  </si>
  <si>
    <t>10.1136/tsaco-2022-000931</t>
  </si>
  <si>
    <t>Ye, B.; Zhao, H.; Hou, H.; Wang, G.; Liu, F.; Zhao, Y.; Zhang, Z.; Xie, K.; Zhu, L.; Geng, X.</t>
  </si>
  <si>
    <t>10.1016/j.clinre.2014.03.013</t>
  </si>
  <si>
    <t>Yaxley, J. W.; Coughlin, G. D.; Chambers, S. K.; Occhipinti, S.; Samaratunga, H.; Zajdlewicz, L.; Dunglison, N.; Carter, R.; Williams, S.; Payton, D. J.; Perry-Keene, J.; Lavin, M. F.; Gardiner, R. A.</t>
  </si>
  <si>
    <t xml:space="preserve">The Lancet
</t>
  </si>
  <si>
    <t>10.1016/S0140-6736(16)30592-X</t>
  </si>
  <si>
    <t>Yang, Y.; Zuo, H. Q.; Li, Z.; Qin, Y. Z.; Mo, X. W.; Huang, M. W.; Lai, H.; Wu, L. C.; Chen, J. S.</t>
  </si>
  <si>
    <t xml:space="preserve">Scientific Reports
</t>
  </si>
  <si>
    <t>10.1038/srep37826</t>
  </si>
  <si>
    <t>Yang, Y.; Li, B.; Yi, J.; Hua, R.; Chen, H.; Tan, L.; Li, H.; He, Y.; Guo, X.; Sun, Y.; Yu, B.; Li, Z.</t>
  </si>
  <si>
    <t xml:space="preserve">275
</t>
  </si>
  <si>
    <t>10.1097/SLA.0000000000005023</t>
  </si>
  <si>
    <t>Yang, K.; Zhang, W. H.; Liu, K.; Chen, X. Z.; Zhou, Z. G.; Hu, J. K.</t>
  </si>
  <si>
    <t>10.1038/s41598-017-09676-2</t>
  </si>
  <si>
    <t>Yang, J. W.; Shao, J. K.; Wang, Y.; Liu, Q.; Liang, J. W.; Yan, S. Y.; Zhou, S. C.; Yang, N. N.; Wang, L. Q.; Shi, G. X.; Pei, W.; Liu, C. Z.</t>
  </si>
  <si>
    <t xml:space="preserve">49
</t>
  </si>
  <si>
    <t>10.1016/j.eclinm.2022.101472</t>
  </si>
  <si>
    <t>Yang, J.; Zhang, X.; Li, K.; Zhou, Y.; Hu, Y.; Chen, X.; Liang, S.; Jiang, L.</t>
  </si>
  <si>
    <t xml:space="preserve">41
</t>
  </si>
  <si>
    <t>10.1016/j.clnu.2022.03.018</t>
  </si>
  <si>
    <t>Yang, D.; He, L.; Tong, W. H.; Jia, Z. F.; Su, T. R.; Wang, Q.</t>
  </si>
  <si>
    <t xml:space="preserve">34
</t>
  </si>
  <si>
    <t xml:space="preserve">World Journal of Gastroenterology
</t>
  </si>
  <si>
    <t>10.3748/wjg.v23.i34.6350</t>
  </si>
  <si>
    <t>Yanase, F.; Tosif, S. H.; Churilov, L.; Yee, K.; Bellomo, R.; Gunn, K.; Kim, C.; Krizhanovskii, C.; Hahn, R. G.; Riedel, B.; Weinberg, L.</t>
  </si>
  <si>
    <t xml:space="preserve">133
</t>
  </si>
  <si>
    <t xml:space="preserve">Anesthesia and Analgesia
</t>
  </si>
  <si>
    <t>10.1213/ANE.0000000000005667</t>
  </si>
  <si>
    <t>Yan, T.; Liang, X. Q.; Wang, T.; Li, W. O.; Li, H. J.; Zhu, S. N.; Wang, D. X.</t>
  </si>
  <si>
    <t>10.1186/s13063-017-2315-7</t>
  </si>
  <si>
    <t>Yamauchi, S.; Kanda, S.; Yoshimoto, Y.; Kubota, A.; Tsuda, K.; Yube, Y.; Kaji, S.; Oka, S.; Orita, H.; Brock, M. V.; Mine, S.; Fukunaga, T.</t>
  </si>
  <si>
    <t>10.1007/s00464-023-10068-z</t>
  </si>
  <si>
    <t>Yamana, I.; Takeno, S.; Hashimoto, T.; Maki, K.; Shibata, R.; Shiwaku, H.; Shimaoka, H.; Shiota, E.; Yamashita, Y.</t>
  </si>
  <si>
    <t>10.1159/000434758</t>
  </si>
  <si>
    <t>Yamamoto, T.; Satoi, S.; Fujii, T.; Yamada, S.; Yanagimoto, H.; Yamaki, S.; Takami, H.; Hirooka, S.; Kosaka, H.; Kotsuka, M.; Miyara, T.; Kodera, Y.</t>
  </si>
  <si>
    <t xml:space="preserve">Annals of Gastroenterological Surgery
</t>
  </si>
  <si>
    <t>10.1002/ags3.12209</t>
  </si>
  <si>
    <t>Yamaguchi, H.; Kimura, Y.; Imamura, M.; Nagayama, M.; Ito, T.; Kyuno, D.; Kono, T.; Kimura, A.; Akizuki, E.; Nishidate, T.; Okita, K.; Nobuoka, T.; Mizuguchi, T.; Hirata, K.; Takemasa, I.</t>
  </si>
  <si>
    <t>10.2147/CEG.S252913</t>
  </si>
  <si>
    <t>Yamada, S.; Fujii, T.; Sonohara, F.; Kawai, M.; Shibuya, K.; Matsumoto, I.; Fukuzawa, K.; Baba, H.; Aoki, T.; Unno, M.; Satoi, S.; Kishi, Y.; Hatano, E.; Uemura, K.; Horiguchi, A.; Sho, M.; Takeda, Y.; Shimokawa, T.; Kodera, Y.; Yamaue, H.</t>
  </si>
  <si>
    <t xml:space="preserve">156
</t>
  </si>
  <si>
    <t xml:space="preserve">JAMA Surgery
</t>
  </si>
  <si>
    <t>10.1001/jamasurg.2021.0108</t>
  </si>
  <si>
    <t>Yamada, S.; Fujii, T.; Kawai, M.; Shimokawa, T.; Nakamura, M.; Murakami, Y.; Satoi, S.; Eguchi, H.; Nagakawa, Y.; Kodera, Y.; Yamaue, H.</t>
  </si>
  <si>
    <t xml:space="preserve">19
</t>
  </si>
  <si>
    <t>10.1186/s13063-018-2756-7</t>
  </si>
  <si>
    <t>Xu, Z. Z.; Li, H. J.; Li, M. H.; Huang, S. M.; Li, X.; Liu, Q. H.; Li, J.; Li, X. Y.; Wang, D. X.; Sessler, D. I.</t>
  </si>
  <si>
    <t xml:space="preserve">135
</t>
  </si>
  <si>
    <t xml:space="preserve">Anesthesiology
</t>
  </si>
  <si>
    <t>10.1097/ALN.0000000000003873</t>
  </si>
  <si>
    <t>Xu, Y.; Chen, J.; Wang, H.; Zheng, H.; Feng, D.; Zhang, A.; Leng, J.; Duan, W.; Yang, Z.; Chen, M.; Shi, X.; Cai, S.; Ji, W.; Jiang, K.; Zhang, W.; Chen, Y.; Gu, W.; Dong, J.; Lu, S.</t>
  </si>
  <si>
    <t>10.1186/s13063-016-1621-9</t>
  </si>
  <si>
    <t>Xu, S. Z.; Ding, Z. J.; Zhang, S. F.; Yuan, S. B.; Yan, F.; Wang, Z. F.; Liu, G. Y.; Cai, J. C.</t>
  </si>
  <si>
    <t>10.1007/s00464-022-09435-z</t>
  </si>
  <si>
    <t>Xu, L.; Su, X.; He, Z.; Zhang, C.; Lu, J.; Zhang, G.; Sun, Y.; Du, X.; Chi, P.; Wang, Z.; Zhong, M.; Wu, A.; Zhu, A.; Li, F.; Xu, J.; Kang, L.; Suo, J.; Deng, H.; Ye, Y.; Ding, K.; Xu, T.; Zhang, Z.; Zheng, M.; Xiao, Y.; Chen, L.; Feng, B.; Zang, L.; Ma, J.; Feng, Y.; Ji, D.; He, C.; Fu, Z.; Huang, Y.; Jiang, W.; Wu, Q.; Yu, M.; Chen, P.; Guan, W.; Wu, B.; Li, A.; He, G.; He, X.; Wang, D.; Wang, Y.; Shen, K.; Lin, G.; Yao, H.; Qiu, H.; Liang, Z.; Zhou, W.; Xue, H.; Li, B.; Group, Relarc Study</t>
  </si>
  <si>
    <t xml:space="preserve">The Lancet Oncology
</t>
  </si>
  <si>
    <t>10.1016/S1470-2045(20)30685-9</t>
  </si>
  <si>
    <t>Xing, M. W.; Li, C. J.; Guo, C.; Wang, B. J.; Mu, D. L.; Wang, D. X.</t>
  </si>
  <si>
    <t xml:space="preserve">86
</t>
  </si>
  <si>
    <t>10.1016/j.jclinane.2023.111068</t>
  </si>
  <si>
    <t>Xie, J. B.; Tan, Y. A.; Wang, F. L.; Xuan, Q.; Sun, Y. W.; Xiao, J.; Zhu, Y. P.; Zhou, L. Y.</t>
  </si>
  <si>
    <t xml:space="preserve">28
</t>
  </si>
  <si>
    <t xml:space="preserve">Journal of Endourology
</t>
  </si>
  <si>
    <t>10.1089/end.2013.0374</t>
  </si>
  <si>
    <t>Xia, Y.; Li, J.; Liu, G.; Wang, K.; Qian, G.; Lu, Z.; Yang, T.; Yan, Z.; Lei, Z.; Si, A.; Wan, X.; Zhang, H.; Gao, C.; Cheng, Z.; Pawlik, T. M.; Wang, H.; Lau, W. Y.; Wu, M.; Shen, F.</t>
  </si>
  <si>
    <t xml:space="preserve">JAMA Oncology
</t>
  </si>
  <si>
    <t>10.1001/jamaoncol.2019.4477</t>
  </si>
  <si>
    <t>Wuethrich, P. Y.; Burkhard, F. C.; Thalmann, G. N.; Stueber, F.; Studer, U. E.</t>
  </si>
  <si>
    <t>10.1097/ALN.0b013e3182a44440</t>
  </si>
  <si>
    <t>Wu, X.; Li, B.; Qiu, J.; Shen, J.; Zheng, Y.; Li, Q.; Liao, Y.; He, W.; Zou, R.; Yuan, Y.</t>
  </si>
  <si>
    <t>10.1097/MCG.0000000000000277</t>
  </si>
  <si>
    <t>Wu, X.; Chen, T.; Wang, K.; Wei, X.; Feng, J.; Zhou, J.</t>
  </si>
  <si>
    <t>10.1136/bmjopen-2022-067082</t>
  </si>
  <si>
    <t>Wright, G. P.; Wolf, A. M.; Waldherr, T. L.; Ritz-Holland, D.; Laney, E. D.; Chapman, H. A.; Lane, B. R.; Assifi, M. M.; Chung, M. H.</t>
  </si>
  <si>
    <t xml:space="preserve">122
</t>
  </si>
  <si>
    <t xml:space="preserve">Journal of Surgical Oncology
</t>
  </si>
  <si>
    <t>10.1002/jso.26142</t>
  </si>
  <si>
    <t>Worthington, J.; Lane, J. A.; Taylor, H.; Young, G.; Noble, S. M.; Abrams, P.; Ahern, A.; Brookes, S. T.; Cotterill, N.; Johnson, L.; Khan, R.; Fernandez, A. M.; Page, T.; Swami, S.; Hashim, H.; Group, Unblocs Trial</t>
  </si>
  <si>
    <t xml:space="preserve">24
</t>
  </si>
  <si>
    <t xml:space="preserve">Health Technology Assessment
</t>
  </si>
  <si>
    <t>10.3310/hta24410</t>
  </si>
  <si>
    <t>Woo, J.; Lee, J. H.; Shim, K. N.; Jung, H. K.; Lee, H. M.; Lee, H. K.</t>
  </si>
  <si>
    <t>10.1245/s10434-014-4229-x</t>
  </si>
  <si>
    <t>Wong-Lun-Hing, E. M.; van Dam, R. M.; van Breukelen, G. J. P.; Tanis, P. J.; Ratti, F.; van Hillegersberg, R.; Slooter, G. D.; de Wilt, J. H. W.; Liem, M. S. L.; de Boer, M. T.; Klaase, J. M.; Neumann, U. P.; Aldrighetti, L. A.; Dejong, C. H. C.; the, Orange I. I. Collaborative Group; Terkivatan, T.; Verhoef, C.; Porte, R. J.; Haverman, J. W.; Busch, O. R.; Boermeester, M. A.; Besselink, M. G.; Molenaar, I. Q.; Borel Rinkes, I. H. M.; Bosscha, K.; van der Vorst, J. R.; de Waard, J. W. D.; Gerhards, M. F.; Patijn, G. A.; Schmeding, M.; Primrose, J. N.; Abu Hilal, M.; Dagher, I.; Laurent, A.; Topal, B.; Edwin, B.; Lassen, K.; van Duyn, E. B.; Ambergen, A. W.; Olde Damink, S. W.; Bemelmans, M. H.</t>
  </si>
  <si>
    <t xml:space="preserve">104
</t>
  </si>
  <si>
    <t>10.1002/bjs.10438</t>
  </si>
  <si>
    <t>Wong, T. X.; Chen, S. T.; Ong, S. H.; Shyam, S.; Kandasami, P.; Chee, W. S. S.</t>
  </si>
  <si>
    <t>Wong, S. G.; Maida, E.; Harvey, D.; Wagner, N.; Sonnadara, R.; Amin, N.</t>
  </si>
  <si>
    <t>10.1136/bmjopen-2016-015565</t>
  </si>
  <si>
    <t>Wong, D. J.; Curran, T.; Poylin, V. Y.; Cataldo, T. E.</t>
  </si>
  <si>
    <t>10.1007/s00464-019-07097-y</t>
  </si>
  <si>
    <t>Wolthuis, A. M.; Fieuws, S.; Van Den Bosch, A.; De Buck Van Overstraeten, A.; D'Hoore, A.</t>
  </si>
  <si>
    <t>10.1002/bjs.9757</t>
  </si>
  <si>
    <t>Wolk, S.; Linke, S.; Bogner, A.; Sturm, D.; Meißner, T.; Müssle, B.; Rahbari, N. N.; Distler, M.; Weitz, J.; Welsch, T.</t>
  </si>
  <si>
    <t xml:space="preserve">Journal of Gastrointestinal Surgery
</t>
  </si>
  <si>
    <t>10.1007/s11605-018-3998-0</t>
  </si>
  <si>
    <t>Wolf, S.; Zanker, J.; Sommer, F.; Vlasenko, D.; Pinto, D. R. M.; Hoffmann, M.; Anthuber, M.; Schrempf, M. C.</t>
  </si>
  <si>
    <t xml:space="preserve">Pilot and Feasibility Studies
</t>
  </si>
  <si>
    <t>10.1186/s40814-022-01213-x</t>
  </si>
  <si>
    <t>Wolf, S.; De Gracia, L. A.; Sommer, F.; Schrempf, M. C.; Anthuber, M.; Vlasenko, D.</t>
  </si>
  <si>
    <t>10.1136/bmjopen-2021-059709</t>
  </si>
  <si>
    <t>Wit, E. M. K.; van Beurden, F.; Kleinjan, G. H.; Grivas, N.; de Korne, C. M.; Buckle, T.; Donswijk, M. L.; Bekers, E. M.; van Leeuwen, F. W. B.; van der Poel, H. G.</t>
  </si>
  <si>
    <t>10.1007/s00259-021-05580-0</t>
  </si>
  <si>
    <t>Wit, E. M. K.; KleinJan, G. H.; Berrens, A. C.; van Vliet, R.; van Leeuwen, P. J.; Buckle, T.; Donswijk, M. L.; Bekers, E. M.; van Leeuwen, F. W. B.; van der Poel, H. G.</t>
  </si>
  <si>
    <t xml:space="preserve">50
</t>
  </si>
  <si>
    <t>10.1007/s00259-023-06191-7</t>
  </si>
  <si>
    <t>Winter, H.; Rassam, J.; Virdee, P. S.; Goldin, R.; Pitcheshwar, P.; Weaver, K.; Primrose, J.; Berry, D. P.; Wasan, H. S.; Sharma, R. A.</t>
  </si>
  <si>
    <t xml:space="preserve">Cancers
</t>
  </si>
  <si>
    <t>10.3390/cancers11081155</t>
  </si>
  <si>
    <t>Winbladh, A.; Björnsson, B.; Trulsson, L.; Offenbartl, K.; Gullstrand, P.; Sandström, P.</t>
  </si>
  <si>
    <t xml:space="preserve">Journal of Hepato-Biliary-Pancreatic Sciences
</t>
  </si>
  <si>
    <t>10.1007/s00534-011-0402-9</t>
  </si>
  <si>
    <t>Willemin, M.; Schaffer, C.; Kefleyesus, A.; Dayer, A.; Demartines, N.; Schäfer, M.; Allemann, P.</t>
  </si>
  <si>
    <t xml:space="preserve">47
</t>
  </si>
  <si>
    <t xml:space="preserve">World Journal of Surgery
</t>
  </si>
  <si>
    <t>10.1007/s00268-022-06725-4</t>
  </si>
  <si>
    <t>Wilkinson, K. M.; Krige, A.; Brearley, S. G.; Lane, S.; Scott, M.; Gordon, A. C.; Carlson, G. L.</t>
  </si>
  <si>
    <t xml:space="preserve">15
</t>
  </si>
  <si>
    <t>10.1186/1745-6215-15-400</t>
  </si>
  <si>
    <t>Wilkin, R.; Clouston, H.; Coe, P.; Duarte, R.; Stott, M.; Pockney, P. G.; Egoroff, N.; Mehta, S.; Brown, J.; Magill, L.; Ives, N.; Fish, R.; Glasbey, J. C.; Duff, S.; Pinkney, T.; Johnstone, E.; Afzali, H.; Arthur, T.; Brown, J.; Dawson, A.; Dudi-Venkata, N. N.; Egoroff, N.; Gramlick, M.; Lam, Y. H.; Magill, L.; Muralidharan, V.; Park, S. S. W.; Richards, T.; Sammour, T.; Stephensen, B.; Stevens, S.; Vo, U. G.; Watson, D.; Coffey, T.; Cook, N.; Duff, S.; Fish, R.; Ghaneh, P.; Haycox, A.; Ives, N.; Kaur, M.; Magill, L.; Mehta, S.; Platt, K.; Sehkar, H.; Sinha, Y.; Stott, M.; Waite, K.; The, Sunrrise Study Group on behalf of the Northwest Research Collaborative; the West Midlands Research, Collaborative</t>
  </si>
  <si>
    <t xml:space="preserve">Colorectal Disease
</t>
  </si>
  <si>
    <t>10.1111/codi.15474</t>
  </si>
  <si>
    <t>Wijffels, M. M. E.; Prins, J. T. H.; Polinder, S.; Blokhuis, T. J.; De Loos, E. R.; Den Boer, R. H.; Flikweert, E. R.; Pull Ter Gunne, A. F.; Ringburg, A. N.; Spanjersberg, W. R.; Van Huijstee, P. J.; Van Montfort, G.; Vermeulen, J.; Vos, D. I.; Verhofstad, M. H. J.; Van Lieshout, E. M. M.</t>
  </si>
  <si>
    <t xml:space="preserve">14
</t>
  </si>
  <si>
    <t xml:space="preserve">World Journal of Emergency Surgery
</t>
  </si>
  <si>
    <t>10.1186/s13017-019-0258-x</t>
  </si>
  <si>
    <t>Wiegel, T.; Stöckle, M.; Bartkowiak, D.</t>
  </si>
  <si>
    <t xml:space="preserve">67
</t>
  </si>
  <si>
    <t>10.1016/j.eururo.2014.09.016</t>
  </si>
  <si>
    <t>protocol</t>
  </si>
  <si>
    <t>Wiatr, T.; Golabek, T.; Dudek, P.; Belch, L.; Przydacz, M.; Bukowczan, J.; Mains, E.; Kata, G.; Sobczynski, R.; Golabek, K.; Chlosta, P.</t>
  </si>
  <si>
    <t xml:space="preserve">Urologia Internationalis
</t>
  </si>
  <si>
    <t>10.1159/000438829</t>
  </si>
  <si>
    <t>Wennmacker, S. Z.; Van Dijk, A. H.; Drenth, J. P. H.; Donkervoort, S. C.; Boerma, D.; Westert, G. P.; Van Laarhoven, C. J. H. M.; Boermeester, M. A.; Dijkgraaf, M. G. W.; De Reuver, P. R.</t>
  </si>
  <si>
    <t>10.1186/s13063-018-2989-5</t>
  </si>
  <si>
    <t>Wennerblom, J.; Ateeb, Z.; Jönsson, C.; Björnsson, B.; Tingstedt, B.; Williamsson, C.; Sandström, P.; Ansorge, C.; Blomberg, J.; Del Chiaro, M.</t>
  </si>
  <si>
    <t xml:space="preserve">108
</t>
  </si>
  <si>
    <t>10.1093/bjs/znaa113</t>
  </si>
  <si>
    <t>Weindelmayer, J.; Mengardo, V.; Veltri, A.; Baiocchi, G. L.; Giacopuzzi, S.; Verlato, G.; de Manzoni, G.; on behalf of the Italian Research Group for Gastric, Cancer</t>
  </si>
  <si>
    <t>10.1186/s13063-021-05102-1</t>
  </si>
  <si>
    <t>Weinberg, L.; Ianno, D.; Churilov, L.; McGuigan, S.; Mackley, L.; Banting, J.; Shen, S. H.; Riedel, B.; Nikfarjam, M.; Christophi, C.</t>
  </si>
  <si>
    <t>10.1016/j.amsu.2019.07.003</t>
  </si>
  <si>
    <t>Weinberg, L.; Ianno, D.; Churilov, L.; Chao, I.; Scurrah, N.; Rachbuch, C.; Banting, J.; Muralidharan, V.; Story, D.; Bellomo, R.; Christophi, C.; Nikfarjam, M.</t>
  </si>
  <si>
    <t xml:space="preserve">PLoS ONE
</t>
  </si>
  <si>
    <t>10.1371/journal.pone.0183313</t>
  </si>
  <si>
    <t>Weinberg, L.; Harris, L.; Bellomo, R.; Ierino, F. L.; Story, D.; Eastwood, G.; Collins, M.; Churilov, L.; Mount, P. F.</t>
  </si>
  <si>
    <t xml:space="preserve">119
</t>
  </si>
  <si>
    <t>10.1093/bja/aex163</t>
  </si>
  <si>
    <t>Weinberg, L.; Broad, J.; Pillai, P.; Chen, G.; Nguyen, M.; Eastwood, G. M.; Scurrah, N.; Nikfarjam, M.; Story, D.; McNicol, L.; Bellomo, R.</t>
  </si>
  <si>
    <t xml:space="preserve">30
</t>
  </si>
  <si>
    <t xml:space="preserve">Clinical Transplantation
</t>
  </si>
  <si>
    <t>10.1111/ctr.12721</t>
  </si>
  <si>
    <t>Wei, X.; Jiang, Y.; Zhang, X.; Feng, S.; Zhou, B.; Ye, X.; Xing, H.; Xu, Y.; Shi, J.; Guo, W.; Zhou, D.; Zhang, H.; Sun, H.; Huang, C.; Lu, C.; Zheng, Y.; Meng, Y.; Huang, B.; Cong, W.; Lau, W. Y.; Cheng, S.</t>
  </si>
  <si>
    <t xml:space="preserve">Journal of Clinical Oncology
</t>
  </si>
  <si>
    <t>10.1200/JCO.18.02184</t>
  </si>
  <si>
    <t>Wei, S.; Guo, C.; He, J.; Tan, Q.; Mei, J.; Yang, Z.; Liu, C.; Pu, Q.; Ma, L.; Yuan, Y.; Lin, F.; Zhu, Y.; Liao, H.; Wang, W.; Liu, Z.; Li, Q.; Jiang, B.; Li, C.; Xia, L.; Zhao, K.; Gan, F.; Cheng, J.; Wu, Z.; Wang, Y.; Lin, Y.; Kou, Y.; Che, G.; Chen, L.; Li, J.; Liu, L.</t>
  </si>
  <si>
    <t xml:space="preserve">154
</t>
  </si>
  <si>
    <t>10.1001/jamasurg.2019.0972</t>
  </si>
  <si>
    <t>Wei, B.; Zheng, Z.; Fang, J.; Xiao, J.; Han, F.; Huang, M.; Xu, Q.; Wang, X.; Hong, C.; Wang, G.; Ju, Y.; Su, G.; Deng, H.; Zhang, J.; Li, J.; Chen, T.; Huang, Y.; Huang, J.; Liu, J.; Yang, X.; Wei, H.</t>
  </si>
  <si>
    <t xml:space="preserve">274
</t>
  </si>
  <si>
    <t>10.1097/SLA.0000000000004591</t>
  </si>
  <si>
    <t>Wegelin, O.; Exterkate, L.; van der Leest, M.; Kummer, J. A.; Vreuls, W.; de Bruin, P. C.; Bosch, J. L. H. R.; Barentsz, J. O.; Somford, D. M.; van Melick, H. H. E.</t>
  </si>
  <si>
    <t xml:space="preserve">75
</t>
  </si>
  <si>
    <t>10.1016/j.eururo.2018.11.040</t>
  </si>
  <si>
    <t>Wassenaar, E.; Schoenmaeckers, E.; Raymakers, J.; Van Der Palen, J.; Rakic, S.</t>
  </si>
  <si>
    <t xml:space="preserve">2010
</t>
  </si>
  <si>
    <t>10.1007/s00464-009-0763-1</t>
  </si>
  <si>
    <t>Wang, Z.; Xing, J.; Cai, J.; Zhang, Z.; Li, F.; Zhang, N.; Wu, J.; Cui, M.; Liu, Y.; Chen, L.; Yang, H.; Zheng, Z.; Wang, X.; Gao, C.; Wang, Z.; Fan, Q.; Zhu, Y.; Ren, S.; Zhang, C.; Liu, M.; Ji, J.; Su, X.</t>
  </si>
  <si>
    <t>10.1007/s00464-018-6391-x</t>
  </si>
  <si>
    <t>Wang, Z.; Ren, Z.; Chen, Y.; Hu, J.; Yang, G.; Yu, L.; Yang, X.; Huang, A.; Zhang, X.; Zhou, S.; Sun, H.; Wang, Y.; Ge, N.; Xu, X.; Tang, Z.; Lau, W.; Fan, J.; Wang, J.; Zhou, J.</t>
  </si>
  <si>
    <t>10.1158/1078-0432.CCR-17-2899</t>
  </si>
  <si>
    <t>Wang, Y.; Zhong, B.; Yang, X.; Wang, G.; Hou, P.; Meng, J.</t>
  </si>
  <si>
    <t xml:space="preserve">BMC Urology
</t>
  </si>
  <si>
    <t>10.1186/s12894-017-0236-0</t>
  </si>
  <si>
    <t>Wang, Y.; Yang, J. W.; Yan, S. Y.; Lu, Y.; Han, J. G.; Pei, W.; Zhao, J. J.; Li, Z. K.; Zhou, H.; Yang, N. N.; Wang, L. Q.; Yang, Y. C.; Liu, C. Z.</t>
  </si>
  <si>
    <t xml:space="preserve">158
</t>
  </si>
  <si>
    <t>10.1001/jamasurg.2022.5674</t>
  </si>
  <si>
    <t>Wang, Y.; Deng, H.; Mou, T.; Li, J.; Liu, H.; Zhou, H.; Li, G.</t>
  </si>
  <si>
    <t>10.1007/s00464-018-6350-6</t>
  </si>
  <si>
    <t>Wang, X.; Duan, Y.; Gao, Z.; Gu, J.</t>
  </si>
  <si>
    <t xml:space="preserve">31
</t>
  </si>
  <si>
    <t xml:space="preserve">Journal of the College of Physicians and Surgeons Pakistan
</t>
  </si>
  <si>
    <t>10.29271/jcpsp.2021.10.1179</t>
  </si>
  <si>
    <t>Wang, M.; Mu, X.; Yang, F.; Niu, Y.; Xing, N.</t>
  </si>
  <si>
    <t>10.1080/13645706.2018.1438473</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</si>
  <si>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</si>
  <si>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 xml:space="preserve">The Lancet Gastroenterology and Hepatology
</t>
  </si>
  <si>
    <t>10.1016/S2468-1253(21)00054-6</t>
  </si>
  <si>
    <t>Wang, L. K.; Cheng, T.; Yang, X. D.; Xiong, G. L.; Li, N.; Wang, D. X.</t>
  </si>
  <si>
    <t xml:space="preserve">Journal of Anesthesia
</t>
  </si>
  <si>
    <t>10.1007/s00540-021-03017-4</t>
  </si>
  <si>
    <t>Wang, J.; Yang, J.; Yang, X. W.; Li, X. H.; Yang, J. J.; Ji, G.</t>
  </si>
  <si>
    <t>10.2147/CMAR.S285598</t>
  </si>
  <si>
    <t>Wang, J.; Li, D.; Tang, W.; Guo, J.; Chen, W.; Yong, Y.; Song, W.; Yu, G.; Feng, R.; Yuan, L.; Fu, G.; Song, J.; Fan, L.</t>
  </si>
  <si>
    <t>10.1136/bmjopen-2019-030694</t>
  </si>
  <si>
    <t>Wang, G.; Yi, B.; Li, Z.; Zhu, L.; Hao, L.; Zeng, Y.; Zhu, S.</t>
  </si>
  <si>
    <t xml:space="preserve">46
</t>
  </si>
  <si>
    <t>10.1007/s00268-022-06668-w</t>
  </si>
  <si>
    <t>Wang, G.; Jiang, Z. W.; Xu, J.; Gong, J. F.; Bao, Y.; Xie, L. F.; Li, J. S.</t>
  </si>
  <si>
    <t xml:space="preserve">2011
</t>
  </si>
  <si>
    <t>10.3748/wjg.v17.i5.671</t>
  </si>
  <si>
    <t xml:space="preserve">really a RCT? </t>
  </si>
  <si>
    <t>Wang, G.; Jiang, Z.; Zhao, J.; Liu, J.; Zhang, S.; Zhao, K.; Feng, X.; Li, J.</t>
  </si>
  <si>
    <t xml:space="preserve">113
</t>
  </si>
  <si>
    <t>10.1002/jso.24146</t>
  </si>
  <si>
    <t>Wang, E.; Wang, L.; Ye, C.; Luo, N.; Zhang, Y.; Zhong, Y.; Zhu, M.; Zou, Y.; Li, Q.; Li, L.; Song, Z.; Luo, H.; Dai, F.; Liu, H.; Gelb, A. W.; Guo, Q.; Meng, L.</t>
  </si>
  <si>
    <t>10.1097/ANA.0000000000000823</t>
  </si>
  <si>
    <t>Wang, C. J.; Chang, C. H.; Huang, S. W.</t>
  </si>
  <si>
    <t xml:space="preserve">39
</t>
  </si>
  <si>
    <t xml:space="preserve">Urological Research
</t>
  </si>
  <si>
    <t xml:space="preserve">Review
</t>
  </si>
  <si>
    <t>10.1007/s00240-010-0342-x</t>
  </si>
  <si>
    <t>Wai, C. Y.; Curto, T. M.; Zyczynski, H. M.; Stoddard, A. M.; Burgio, K. L.; Brubaker, L.; Rickey, L. M.; Menefee, S. A.; Gormley, E. A.; Sirls, L.; Khandwala, S.; Kenton, K.; Richter, H. E.; Lloyd, L. K.; Albo, M.; Nager, C.; Chai, T. C.; Johnson, H. W.; Leng, W.; Zimmern, P.; Lemack, G.; Kraus, S.; Rozanski, T.; Norton, P.; Nygaard, I.; Tennstedt, S.; Chang, D.; Kusek, J.; Arisco, A.; Baker, J.; Borello-France, D.; Diokno, A.; Fitzgerald, M.; Ghetti, C.; Goode, P. S.; Holley, R. L.; Hsu, Y.; Kahn, M.; Lowder, J.; Luber, K.; Lukacz, E.; Markland, A.; Moalli, P.; Mueller, E.; Sagan, E.; Schaffer, J.; Starr, R.; Sutkin, G.; Varner, R. E.; Whitcomb, E.; Burge, J. E.; Burr, L.; Columbo, J.; Dickinson, T.; Dinh, R.; Gruss, J.; Howell, A.; Jayachandran, C.; Jesse, K.; Kalinoski, D. L.; Leemon, B.; Mislanovich, K.; Moore, E. K.; Prather, C.; Tabaldo, J.; Thrasher, T.; Tulke, M.; Willingham, R.; Woodson, K.; Zazueta-Damian, G.; Cannon, K.; Dandreo, K. J.; Huang, L.; Kowalski, R.; Litman, H.; Mihova, M.; Tanwar, K.; Tennstedt, S.; Xu, Y.; Clemens, J.; Abrams, P.; Bland, D.; Boone, T. B.; Connett, J.; Fenner, D.; Henderson, W.; Kelsey, S.; Lightner, D. J.; Myers, D.; Wadie, B.; Winters, J. C.</t>
  </si>
  <si>
    <t xml:space="preserve">121
</t>
  </si>
  <si>
    <t xml:space="preserve">Obstetrics and Gynecology
</t>
  </si>
  <si>
    <t>10.1097/AOG.0b013e31828ca49e</t>
  </si>
  <si>
    <t>Wagner, A. D.; Grabsch, H. I.; Mauer, M.; Marreaud, S.; Caballero, C.; Thuss-Patience, P.; Mueller, L.; Elme, A.; Moehler, M. H.; Martens, U.; Kang, Y. K.; Rha, S. Y.; Cats, A.; Tokunaga, M.; Lordick, F.</t>
  </si>
  <si>
    <t>10.1186/s12885-019-5675-4</t>
  </si>
  <si>
    <t>Wada, N.; Kurokawa, Y.; Tanaka, K.; Miyazaki, Y.; Makino, T.; Takahashi, T.; Wada, H.; Yamasaki, M.; Nakajima, K.; Eguchi, H.; Takiguchi, S.; Mori, M.; Doki, Y.</t>
  </si>
  <si>
    <t>Voogt, E. L. K.; Nordkamp, S.; Aalbers, A. G. J.; Buffart, T.; Creemers, G. J.; Marijnen, C. A. M.; Verhoef, C.; Havenga, K.; Holman, F. A.; Kusters, M.; Marinelli, A. W. K. S.; Melenhorst, J.; Abdul Aziz, N.; Abecasis, N.; Abraham-Nordling, M.; Akiyoshi, T.; Alberda, W.; Albert, M.; Andric, M.; Angenete, E.; Antoniou, A.; Auer, R.; Austin, K. K.; Aziz, O.; Baker, R. P.; Bali, M.; Baseckas, G.; Bebington, B.; Bedford, M.; Bednarski, B. K.; Beets, G. L.; Beets-Tan, R. G. H.; Berbée, M.; Berg, J.; Berg, P. L.; Beynon, J.; Biondo, S.; Bloemen, J. G.; Boyle, K.; Bordeianou, L.; Bremers, A. B.; Brunner, M.; Buchwald, P.; Bui, A.; Burgess, A.; Burling, D.; Burns, E.; Campain, N.; Carvalhal, S.; Castro, L.; Caycedo-Marulanda, A.; Ceha, H. M.; Chan, K. K. L.; Chang, G. J.; Chang, M.; Chew, M. H.; Chok, A. K.; Chong, P.; Christensen, H. K.; Clouston, H.; Codd, M.; Collins, D.; Colquhoun, A. J.; Corr, A.; Coscia, M.; Cosimelli, M.; Coyne, P. E.; Crobach, A. S. L. P.; Crolla, R. M. P. H.; Croner, R. S.; Damjanovic, L.; Daniels, I. R.; Davies, M.; Davies, R. J.; Delaney, C. P.; De Roos, M. A. J.; De Wilt, J. H. W.; Den Hartogh, M. D.; Denost, Q.; Deseyne, P.; Deutsch, C.; De Vos Tot Nederveen Cappel, R.; De Vries, M.; Dieters, M.; Dietz, D.; Domingo, S.; Doukas, M.; Dozois, E. J.; Duff, M.; Eglinton, T.; Enrique-Navascues, J. M.; Espin-Basany, E.; Evans, M. D.; Eyjólfsdóttir, B.; Fahy, M.; Fearnhead, N. S.; Feshtali, S.; Flatmark, K.; Fleming, F.; Folkesson, J.; Frizelle, F. A.; Frödin, J. E.; Gallego, M. A.; Garcia-Granero, E.; Garcia-Sabrido, J. L.; Geboes, K.; Gentilini, L.; George, M. L.; George, V.; Ghouti, L.; Giner, F.; Ginther, N.; Glyn, T.; Glynn, R.; Golda, T.; Grabsch, H. I.; Griffiths, B.; Harris, D. A.; Hagemans, J. A. W.; Hanchanale, V.; Harji, D. P.; Helewa, R. M.; Helgason, H.; Hellawell, G.; Heriot, A. G.; Heyman, S.; Hochman, D.; Hoff, C.; Hohenberger, W.; Holm, T.; Hompes, R.; Horsthuis, K.; Hospers, G.; Houwers, J.; Iversen, H.; Jenkins, J. T.; Kaffenberger, S.; Kandaswamy, G. V.; Kapur, S.; Kanemitsu, Y.; Kats-Ugurlu, G.; Kelley, S. R.; Keller, D. S.; Kelly, M. E.; Keymeulen, K.; Khan, M. S.; Kim, H.; Kim, H. J.; Koh, C. E.; Kok, N. F. M.; Kokelaar, R.; Kontovounisios, C.; Kristensen, H. Ø; Kroon, H. M.; Kumar, S.; Lago, V.; Lakkis, Z.; Lamberg, T.; Larsen, S. G.; Larson, D. W.; Law, W. L.; Laurberg, S.; Lee, P. J.; Leseman-Hoogenboom, M. M.; Limbert, M.; Lydrup, M. L.; Lyons, A.; Lynch, A. C.; Mantyh, C.; Mathis, K. L.; Margues, C. F. S.; Martling, A.; Meijer, O. W. M.; Meijerink, W. J. H. J.; Merchea, A.; Merkel, S.; Mehta, A. M.; McArthur, D. R.; McDermott, F. D.; McGrath, J. S.; Malde, S.; Mirnezami, A.; Monson, J. R. T.; Morton, J. R.; Nederend, J.; Negoi, I.; Neto, J. W. M.; Ng, J. L.; Nguyen, B.; Nielsen, M. B.; Nieuwenhuijzen, G. A. P.; Nilsson, P. J.; Nilsson, M. L.; Oei, S.; Oliver, A.; O'Dwyer, S. T.; Oppedijk, V.; Palmer, G.; Pappou, E.; Park, J.; Patsouras, D.; Pellino, G.; Peterson, A. C.; Peulen, H. M. U.; Poggioli, G.; Proud, D.; Quinn, M.; Quyn, A.; Rajendran, N.; Radwan, R. W.; Rasheed, S.; Rasmussen, P. C.; Rausa, E.; Regenbogen, S. E.; Renehan, A.; Richir, M. C.; Rocha, R.; Rochester, M.; Rohila, J.; Rothbarth, J.; Rottoli, M.; Roxburgh, C.; Rozema, T.; Safar, B.; Sagar, P. M.; Sahai, A.; Saklani, A.; Sammour, T.; Sayyed, R.; Schizas, A. M. P.; Schwarzkopf, E.; Scripcariu, V.; Selvasekar, C.; Shaikh, I.; Shida, D.; Simpson, A.; Skeie-Jensen, T.; Slangen, J. J. G.; Smart, N. J.; Smart, P.; Smith, J. J.; Snaebjornsson, P.; Solbakken, A. M.; Solomon, M. J.; Sørensen, M. M.; Sorrentino, L.; Speetjens, F. M.; Spillenaar Bilgen, E. J.; Steele, S. R.; Steffens, D.; Stitzenberg, K.; Stocchi, L.; Stylianides, N. A.; Swartling, T.; Sumrien, H.; Sutton, P. A.; Swartking, T.; Tan, E. J.; Taylor, C.; Tekkis, P. P.; Teras, J.; Terpstra, V.; Thurairaja, R.; Toh, E. L.; Tsarkov, P.; Tsukada, Y.; Tsukamoto, S.; Tuech, J. J.; Turner, W. H.; Tuynman, J. B.; Van Duyn, E. B.; Van Grevenstein, W. M. U.; Van Grieken, N. C. T.; Van Iersel, L.; Van Lijnschoten, G.; Van Meerten, E.; Van Ramshorst, G. H.; Van Westreenen, H. L.; Van Zoggel, D.; Vasquez-Jimenez, W.; Velema, L. A.; Verdaasdonk, E.; Verheul, H. M. W.; Versteeg, K. S.; Vizzielli, G.; Uehara, K.; Wakeman, C.; Warrier, S.; Wasmuth, H. H.; Weber, K.; Weiser, M. R.; Wheeler, J. M. D.; Wijffels, N. A. T.; Wild, J.; Willems, J. M. W. E.; Wilson, M.; Winter, D. C.; Wolthuis, A.; Wumkes, M. L.; Yano, H.; Yip, B.; Yip, J.; Yoo, R. N.; Zappa, M. A.; Zimmerman, D. D. E.; Rutten, H. J. T.; Burger, J. W. A.; PelvEx, Collaborative</t>
  </si>
  <si>
    <t xml:space="preserve">BJS Open
</t>
  </si>
  <si>
    <t>10.1093/bjsopen/zrab029</t>
  </si>
  <si>
    <t>Vogel, J. D.; Fleshner, P. R.; Holubar, S. D.; Poylin, V. Y.; Regenbogen, S. E.; Chapman, B. C.; Messaris, E.; Mutch, M. G.; Hyman, N. H.</t>
  </si>
  <si>
    <t xml:space="preserve">66
</t>
  </si>
  <si>
    <t>10.1097/DCR.0000000000002427</t>
  </si>
  <si>
    <t>Vissers, J.; Klein Meuleman, S. J. M.; De Leeuw, R. A.; Van Eekelen, R.; Groenman, F. A.; Mol, B. W.; Hehenkamp, W. J. K.; Huirne, J. A. F.</t>
  </si>
  <si>
    <t>10.1136/bmjopen-2022-070950</t>
  </si>
  <si>
    <t>Vissers, F. L.; Balduzzi, A.; van Bodegraven, E. A.; van Hilst, J.; Festen, S.; Hilal, M. A.; Asbun, H. J.; Mieog, J. S. D.; Koerkamp, B. G.; Busch, O. R.; Daams, F.; Luyer, M.; De Pastena, M.; Malleo, G.; Marchegiani, G.; Klaase, J.; Molenaar, I. Q.; Salvia, R.; van Santvoort, H. C.; Stommel, M.; Lips, D.; Coolsen, M.; Bassi, C.; van Eijck, C.; Besselink, M. G.; for the Dutch Pancreatic Cancer, Group</t>
  </si>
  <si>
    <t>10.1186/s13063-022-06736-5</t>
  </si>
  <si>
    <t>Vilches, R. M.; Aliaga, A.; Reyes, D.; Sepulveda, F.; Mercado, A.; Moya, F.; Ledezma, R.; Hidalgo, J. P.; Olmedo, T.; Marchant, F.</t>
  </si>
  <si>
    <t>10.1016/j.acuro.2014.08.003</t>
  </si>
  <si>
    <t>spanish</t>
  </si>
  <si>
    <t>Verla, W.; Waterloos, M.; Waterschoot, M.; Van Parys, B.; Spinoit, A. F.; Lumen, N.</t>
  </si>
  <si>
    <t>10.1186/s13063-020-04712-5</t>
  </si>
  <si>
    <t>Venkatramani, V.; Reis, I. M.; Gonzalgo, M. L.; Castle, E. P.; Woods, M. E.; Svatek, R. S.; Weizer, A. Z.; Konety, B. R.; Tollefson, M.; Krupski, T. L.; Smith, N. D.; Shabsigh, A.; Barocas, D. A.; Quek, M. L.; Dash, A.; Parekh, D. J.</t>
  </si>
  <si>
    <t>10.1001/jamanetworkopen.2021.48329</t>
  </si>
  <si>
    <t>Venara, A.; Podevin, J.; Godeberge, P.; Redon, Y.; Barussaud, M. L.; Sielezneff, I.; Queralto, M.; Bourbao, C.; Chiffoleau, A.; Lehur, P. A.; on behalf of the LigaLongo Study, Group</t>
  </si>
  <si>
    <t xml:space="preserve">International Journal of Colorectal Disease
</t>
  </si>
  <si>
    <t>10.1007/s00384-018-3093-8</t>
  </si>
  <si>
    <t>Venara, A.; Bougard, M.; Mucci, S.; Lemoult, A.; Le Naoures, P.; Darsonval, A.; Barbieux, J.; Neunlist, M.; Hamy, A.</t>
  </si>
  <si>
    <t xml:space="preserve">61
</t>
  </si>
  <si>
    <t>10.1097/DCR.0000000000001171</t>
  </si>
  <si>
    <t>Vather, R.; Josephson, R.; Jaung, R.; Kahokehr, A.; Sammour, T.; Bissett, I.</t>
  </si>
  <si>
    <t xml:space="preserve">262
</t>
  </si>
  <si>
    <t>10.1097/SLA.0000000000001062</t>
  </si>
  <si>
    <t>Varghese, C. T.; Bharathan, V. K.; Gopalakrishnan, U.; Balakrishnan, D.; Menon, R. N.; Sudheer, O. V.; Dhar, P.; Sudhindran, S.</t>
  </si>
  <si>
    <t xml:space="preserve">Liver Transplantation
</t>
  </si>
  <si>
    <t>10.1002/lt.25014</t>
  </si>
  <si>
    <t>Van Zeggeren, L.; Visser, R. A.; Vernooij, L. M.; Dijkstra, I. M.; Bosma, M.; Molenaar, Q.; Van Santvoort, H. C.; Noordzij, P. G.</t>
  </si>
  <si>
    <t>10.1093/bjsopen/zrab015</t>
  </si>
  <si>
    <t>van Woerden, V.; Olij, B.; Fichtinger, R. S.; Lodewick, T. M.; Coolsen, M. M. E.; Den Dulk, M.; Heise, D.; Olde Damink, S. W. M.; Dejong, C. H. C.; Neumann, U. P.; van Dam, R. M.</t>
  </si>
  <si>
    <t xml:space="preserve">HPB
</t>
  </si>
  <si>
    <t>10.1016/j.hpb.2022.03.005</t>
  </si>
  <si>
    <t>Van Vulpen, J. K.; Hiensch, A. E.; Van Hillegersberg, R.; Ruurda, J. P.; Backx, F. J. G.; Nieuwenhuijzen, G. A. P.; Kouwenhoven, E. A.; Groenendijk, R. P. R.; Van Der Peet, D. L.; Hazebroek, E. J.; Rosman, C.; Wijnhoven, B. P. L.; Van Berge Henegouwen, M. I.; Van Laarhoven, H. W. M.; Siersema, P. D.; May, A. M.</t>
  </si>
  <si>
    <t>10.1093/bjs/znab078</t>
  </si>
  <si>
    <t>Van Rooijen, S.; Carli, F.; Dalton, S.; Thomas, G.; Bojesen, R.; Le Guen, M.; Barizien, N.; Awasthi, R.; Minnella, E.; Beijer, S.; Martínez-Palli, G.; Van Lieshout, R.; Gögenur, I.; Feo, C.; Johansen, C.; Scheede-Bergdahl, C.; Roumen, R.; Schep, G.; Slooter, G.</t>
  </si>
  <si>
    <t>10.1186/s12885-018-5232-6</t>
  </si>
  <si>
    <t>Van Oostendorp, J. Y.; Dekker, L.; Van Dieren, S.; Bemelman, W. A.; Han-Geurts, I. J. M.</t>
  </si>
  <si>
    <t>10.1136/bmjopen-2022-067970</t>
  </si>
  <si>
    <t>Van Laarhoven, C. M. C. A.; Baas, M.; Qi, H.; Coert, J. H.; Zuidam, J. M.; Koch, A. R.</t>
  </si>
  <si>
    <t xml:space="preserve">Plastic and Reconstructive Surgery
</t>
  </si>
  <si>
    <t xml:space="preserve">Conference Paper
</t>
  </si>
  <si>
    <t>10.1097/PRS.0000000000009920</t>
  </si>
  <si>
    <t>van Hilst, J.; Brinkman, D. J.; de Rooij, T.; van Dieren, S.; Gerhards, M. F.; de Hingh, I. H.; Luyer, M. D.; Marsman, H. A.; Karsten, T. M.; Busch, O. R.; Festen, S.; Heger, M.; Besselink, M. G.; Dutch Pancreatic Cancer, Group</t>
  </si>
  <si>
    <t>10.1016/j.hpb.2019.03.353</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</si>
  <si>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</si>
  <si>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 xml:space="preserve">Gastric Cancer
</t>
  </si>
  <si>
    <t>10.1007/s10120-020-01109-w</t>
  </si>
  <si>
    <t>Van Der Veen, A.; Brenkman, H. J. F.; Seesing, M. F. J.; Haverkamp, L.; Luyer, M. D. P.; Nieuwenhuijzen, G. A. P.; Stoot, J. H. M. B.; Tegels, J. J. W.; Wijnhoven, B. P. L.; Lagarde, S. M.; De Steur, W. O.; Hartgrink, H. H.; Kouwenhoven, E. A.; Wassenaar, E. B.; Draaisma, W. A.; Gisbertz, S. S.; Van Der Peet, D. L.; May, A. M.; Ruurda, J. P.; Van Hillegersberg, R.</t>
  </si>
  <si>
    <t>10.1200/JCO.20.01540</t>
  </si>
  <si>
    <t>van der Valk, M. J. M.; Marijnen, C. A. M.; van Etten, B.; Dijkstra, E. A.; Hilling, D. E.; Kranenbarg, E. M. K.; Putter, H.; Roodvoets, A. G. H.; Bahadoer, R. R.; Fokstuen, T.; ten Tije, A. J.; Capdevila, J.; Hendriks, M. P.; Edhemovic, I.; Cervantes, A. M. R.; de Groot, D. J. A.; Nilsson, P. J.; Glimelius, B.; van de Velde, C. J. H.; Hospers, G. A. P.; Collaborative, investigators</t>
  </si>
  <si>
    <t>10.1016/j.radonc.2020.03.011</t>
  </si>
  <si>
    <t>van der Heijde, N.; Lof, S.; Busch, O. R.; de Hingh, I.; de Kleine, R. H.; Molenaar, I. Q.; Mungroop, T. H.; Stommel, M. W.; Besselink, M. G.; van Eijck, C.; Dutch Pancreatic Cancer, Group</t>
  </si>
  <si>
    <t xml:space="preserve">171
</t>
  </si>
  <si>
    <t>10.1016/j.surg.2021.11.009</t>
  </si>
  <si>
    <t>post-hoc analysis</t>
  </si>
  <si>
    <t>van den Heuvel, S. A. S.; van der Wal, S. E. I.; Bronkhorst, E. M.; Warlé, M. C.; Ronday, M.; Plat, J.; van Alfen, N.; Joosten, L. A. B.; Lerou, J. G. C.; Vissers, K. C. P.; Steegers, M. A. H.</t>
  </si>
  <si>
    <t xml:space="preserve">Journal of Pain Research
</t>
  </si>
  <si>
    <t>10.2147/JPR.S252377</t>
  </si>
  <si>
    <t>Van Den Heijkant, T. C.; Costes, L. M. M.; Van Der Lee, D. G. C.; Aerts, B.; Osinga-De Jong, M.; Rutten, H. R. M.; Hulsewé, K. W. E.; De Jonge, W. J.; Buurman, W. A.; Luyer, M. D. P.</t>
  </si>
  <si>
    <t>10.1002/bjs.9691</t>
  </si>
  <si>
    <t>Van Den Broek, M. A. J.; Bloemen, J. G.; Dello, S. A. W. G.; Van De Poll, M. C. G.; Olde Damink, S. W. M.; Dejong, C. H. C.</t>
  </si>
  <si>
    <t xml:space="preserve">55
</t>
  </si>
  <si>
    <t xml:space="preserve">Journal of Hepatology
</t>
  </si>
  <si>
    <t>10.1016/j.jhep.2010.11.024</t>
  </si>
  <si>
    <t>van den Bos, J.; Schols, R. M.; Boni, L.; Cassinotti, E.; Carus, T.; Luyer, M. D.; Vahrmeijer, A. L.; Mieog, J. S. D.; Warnaar, N.; Berrevoet, F.; van de Graaf, F.; Lange, J. F.; Van Kuijk, S. M. J.; Bouvy, N. D.; Stassen, L. P. S.</t>
  </si>
  <si>
    <t>10.1007/s00464-023-09935-6</t>
  </si>
  <si>
    <t>van de Wall, B. J. M.; Stam, M. A. W.; Draaisma, W. A.; Stellato, R.; Bemelman, W. A.; Boermeester, M. A.; Broeders, I. A. M. J.; Belgers, E. J.; Toorenvliet, B. R.; Prins, H. A.; Consten, E. C. J.</t>
  </si>
  <si>
    <t>10.1016/S2468-1253(16)30109-1</t>
  </si>
  <si>
    <t>Van Bree, S.; Vlug, M.; Bemelman, W.; Hollmann, M.; Ubbink, D.; Zwinderman, K.; De Jonge, W.; Snoek, S.; Bolhuis, K.; Van Der Zanden, E.; The, F.; Bennink, R.; Boeckxstaens, G.</t>
  </si>
  <si>
    <t xml:space="preserve">Gastroenterology
</t>
  </si>
  <si>
    <t>10.1053/j.gastro.2011.05.034</t>
  </si>
  <si>
    <t>in methods nicht erwähnt, dass complikationen erfasst werden.</t>
  </si>
  <si>
    <t>Van Braak, W. G.; Ponten, J. E. H.; Loozen, C. S.; Schots, J. P. M.; Van Geloven, A. A. W.; Donkervoort, S. C.; Nieuwenhuijzen, G. A. P.; Besselink, M. G.; Van Heek, T. N. T.; De Reuver, P. R.; Vlaminckx, B.; Kelder, J. C.; Van Santvoort, H. C.; Boerma, D.</t>
  </si>
  <si>
    <t xml:space="preserve">109
</t>
  </si>
  <si>
    <t>10.1093/bjs/znab441</t>
  </si>
  <si>
    <t>Valdez-Flores, R. A.; Campos-Salcedo, J. G.; Torres-Gomez, J. J.; Sedano-Lozano, A.; Parés-Hipólito, J.; Shelton, L. M.; Canizalez-Román, A.; Valdez-Flores, M. A.</t>
  </si>
  <si>
    <t>10.1007/s00345-017-2136-z</t>
  </si>
  <si>
    <t>Uranues, S.; Fingerhut, A.; Belyaev, O.; Zerbi, A.; Boggi, U.; Hoffmann, M. W.; Reim, D.; Esposito, A.; Primavesi, F.; Kornprat, P.; Coppola, R.; Fragulidis, G. P.; Serradilla-Martin, M.; Alimoglu, O.; Peri, A.; Diaconescu, B.</t>
  </si>
  <si>
    <t>10.1097/AS9.0000000000000033</t>
  </si>
  <si>
    <t>Uno, H.; Furukawa, K.; Suzuki, D.; Shimizu, H.; Ohtsuka, M.; Kato, A.; Yoshitomi, H.; Miyazaki, M.</t>
  </si>
  <si>
    <t xml:space="preserve">160
</t>
  </si>
  <si>
    <t>10.1016/j.surg.2016.01.019</t>
  </si>
  <si>
    <t>Ueno, M.; Kawai, M.; Hayami, S.; Hirono, S.; Okada, K. I.; Uchiyama, K.; Yamaue, H.</t>
  </si>
  <si>
    <t>10.1016/j.surg.2016.12.010</t>
  </si>
  <si>
    <t>Uemura, K.; Satoi, S.; Motoi, F.; Kwon, M.; Unno, M.; Murakami, Y.</t>
  </si>
  <si>
    <t>10.1002/bjs.10458</t>
  </si>
  <si>
    <t>Ueda, K.; Hayashi, M.; Murakami, J.; Tanaka, T.; Utada, K.; Hamano, K.</t>
  </si>
  <si>
    <t>10.1007/s11748-019-01197-1</t>
  </si>
  <si>
    <t>Uccella, S.; Malzoni, M.; Cromi, A.; Seracchioli, R.; Ciravolo, G.; Fanfani, F.; Shakir, F.; Gueli Alletti, S.; Legge, F.; Berretta, R.; Corrado, G.; Casarella, L.; Donarini, P.; Zanello, M.; Perrone, E.; Gisone, B.; Vizza, E.; Scambia, G.; Ghezzi, F.</t>
  </si>
  <si>
    <t xml:space="preserve">American Journal of Obstetrics and Gynecology
</t>
  </si>
  <si>
    <t>10.1016/j.ajog.2018.01.029</t>
  </si>
  <si>
    <t>Tzeng, B. C.; Wang, C. J.; Huang, S. W.; Chang, C. H.</t>
  </si>
  <si>
    <t xml:space="preserve">78
</t>
  </si>
  <si>
    <t xml:space="preserve">Urology
</t>
  </si>
  <si>
    <t>10.1016/j.urology.2010.12.037</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</si>
  <si>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</si>
  <si>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</si>
  <si>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</si>
  <si>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</si>
  <si>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Trowbridge, E. R.; Kim, D.; Caldwell, L.; Franko, D.; Jackson, J. N.; Shilling, A.; Hullfish, K. L.</t>
  </si>
  <si>
    <t xml:space="preserve">Female Pelvic Medicine and Reconstructive Surgery
</t>
  </si>
  <si>
    <t>10.1097/SPV.0000000000000459</t>
  </si>
  <si>
    <t>Trenti, L.; Biondo, S.; Kreisler Moreno, E.; Sanchez-Garcia, J. L.; Espin-Basany, E.; Landaluce-Olavarria, A.; Bermejo-Marcos, E.; Garcia-Martinez, M. T.; Alías Jiménez, D.; Jimenez, F.; Alonso, A.; Manso, M. B.</t>
  </si>
  <si>
    <t>10.1097/DCR.0000000000001362</t>
  </si>
  <si>
    <t>Tran, D. T. A.; Doerr-Harim, C.; Hüttner, F. J.; Harnoss, J. C.; Knebel, P.; Schneider, M.; Büchler, M. W.; Diener, M. K.; Probst, P.</t>
  </si>
  <si>
    <t xml:space="preserve">International Journal of Surgery Protocols
</t>
  </si>
  <si>
    <t>10.1016/j.isjp.2018.04.004</t>
  </si>
  <si>
    <t>Trabuco, E. C.; Klingele, C. J.; Blandon, R. E.; Occhino, J. A.; Weaver, A. L.; McGree, M. E.; Lemens, M. A.; Gebhart, J. B.</t>
  </si>
  <si>
    <t xml:space="preserve">128
</t>
  </si>
  <si>
    <t>10.1097/AOG.0000000000001651</t>
  </si>
  <si>
    <t>Toyama, H.; Matsumoto, I.; Mizumoto, T.; Fujita, H.; Tsuchida, S.; Kanbara, Y.; Kadowaki, Y.; Maeda, H.; Okano, K.; Fukuoka, M.; Takase, S.; Shirakawa, S.; Terai, S.; Mukubo, H.; Ishida, J.; Yamashita, H.; Ueno, K.; Tanaka, M.; Kido, M.; Ajiki, T.; Murakami, S.; Nishimura, K.; Fukumoto, T.</t>
  </si>
  <si>
    <t>10.1097/SLA.0000000000004072</t>
  </si>
  <si>
    <t>Torres Júnior, L. G.; De Vasconcellos Santos, F. A.; Correia, M. I. T. D.</t>
  </si>
  <si>
    <t>10.1007/s00268-014-2589-9</t>
  </si>
  <si>
    <t>Toriumi, T.; Terashima, M.; Mizusawa, J.; Uemura, K.; Kurokawa, Y.; Takiguchi, S.; Doki, Y.; Hihara, J.; Imamura, H.; Takagane, A.; Ito, S.; Yoshikawa, T.; Sano, T.; Sasako, M.</t>
  </si>
  <si>
    <t>10.1002/ags3.12722</t>
  </si>
  <si>
    <t>secondary analysis</t>
  </si>
  <si>
    <t>Toprak, H.; Başaran, B.; Toprak, Ş S.; Et, T.; Kumru, N.; Korkusuz, M.; Bilge, A.; Yarımoğlu, R.</t>
  </si>
  <si>
    <t>10.1007/s11695-023-06748-3</t>
  </si>
  <si>
    <t>Topal, B.; Fieuws, S.; Aerts, R.; Weerts, J.; Feryn, T.; Roeyen, G.; Bertrand, C.; Hubert, C.; Janssens, M.; Closset, J.</t>
  </si>
  <si>
    <t>10.1016/S1470-2045(13)70126-8</t>
  </si>
  <si>
    <t>Tønnesen, H.; Lydom, L. N.; Joensen, U. N.; Egerod, I.; Pappot, H.; Lauridsen, S. V.</t>
  </si>
  <si>
    <t>10.1186/s13063-022-06272-2</t>
  </si>
  <si>
    <t>Tongsiri, N.; Siripornadulsilp, S.; Impool, T.</t>
  </si>
  <si>
    <t xml:space="preserve">103
</t>
  </si>
  <si>
    <t>10.35755/jmedassocthai.2020.06.11023</t>
  </si>
  <si>
    <t>Toner, A.; Jenkins, N.; Ackland, G. L.</t>
  </si>
  <si>
    <t xml:space="preserve">117
</t>
  </si>
  <si>
    <t>10.1093/bja/aew257</t>
  </si>
  <si>
    <t>Tomassetti, C.; Adamson, D.; Arici, A.; Canis, M.; Hompes, P.; Hummelshoj, L.; Mol, B. W.; Nardo, L.; Rombauts, L.; D’Hooghe, T.</t>
  </si>
  <si>
    <t>10.1177/2284026518784236</t>
  </si>
  <si>
    <t>Tokunaga, M.; Kurokawa, Y.; Machida, R.; Sato, Y.; Takiguchi, S.; Doki, Y.; Yabusaki, H.; Watanabe, M.; Hato, S.; Nakamori, M.; Ito, S.; Yoshikawa, T.; Terashima, M.</t>
  </si>
  <si>
    <t>10.1007/s10120-020-01102-3</t>
  </si>
  <si>
    <t>exploratory outcome</t>
  </si>
  <si>
    <t>Toesca, A.; Sangalli, C.; Maisonneuve, P.; Massari, G.; Girardi, A.; Baker, J. L.; Lissidini, G.; Invento, A.; Farante, G.; Corso, G.; Rietjens, M.; Peradze, N.; Gottardi, A.; Magnoni, F.; Bottiglieri, L.; Lazzeroni, M.; Montagna, E.; Labo, P.; Orecchia, R.; Galimberti, V.; Intra, M.; Sacchini, V.; Veronesi, P.</t>
  </si>
  <si>
    <t xml:space="preserve">276
</t>
  </si>
  <si>
    <t>10.1097/SLA.0000000000004969</t>
  </si>
  <si>
    <t>Tien, Y. W.; Yang, C. Y.; Wu, Y. M.; Hu, R. H.; Lee, P. H.</t>
  </si>
  <si>
    <t xml:space="preserve">2009
</t>
  </si>
  <si>
    <t>10.1007/s11605-009-0831-9</t>
  </si>
  <si>
    <t>Tian, Y.; Cao, S.; Liu, X.; Li, L.; He, Q.; Jiang, L.; Wang, X.; Chu, X.; Wang, H.; Xia, L.; Ding, Y.; Mao, W.; Hui, X.; Shi, Y.; Zhang, H.; Niu, Z.; Li, Z.; Jiang, H.; Kehlet, H.; Zhou, Y.</t>
  </si>
  <si>
    <t>10.1097/SLA.0000000000004908</t>
  </si>
  <si>
    <t>Thurm, M.; Kröger Dahlin, B. I.; Winsö, O.; Ljungberg, B.</t>
  </si>
  <si>
    <t xml:space="preserve">Scandinavian Journal of Urology
</t>
  </si>
  <si>
    <t>10.1080/21681805.2017.1318300</t>
  </si>
  <si>
    <t>Thornell, A.; Angenete, E.; Bisgaard, T.; Bock, D.; Burcharth, J.; Heath, J.; Pommergaard, H. C.; Rosenberg, J.; Stilling, N.; Skullman, S.; Haglind, E.</t>
  </si>
  <si>
    <t xml:space="preserve">164
</t>
  </si>
  <si>
    <t>10.7326/M15-1210</t>
  </si>
  <si>
    <t>Thompson, J. C.; Cichowski, S. B.; Rogers, R. G.; Qeadan, F.; Zambrano, J.; Wenzl, C.; Jeppson, P. C.; Dunivan, G. C.; Komesu, Y. M.</t>
  </si>
  <si>
    <t>10.1007/s00192-019-03895-z</t>
  </si>
  <si>
    <t>Thiel, B.; Godfried, M. B.; van Emst, M. E.; Vernooij, L. M.; van Vliet, L. M.; Rumke, E.; van Dongen, R. T. M.; Gerrits, W.; Koopman, J. S. H. A.; Kalkman, C. J.</t>
  </si>
  <si>
    <t>10.1186/s13063-023-07121-6</t>
  </si>
  <si>
    <t>Tewari, N.; Awad, S.; Duška, F.; Williams, J. P.; Bennett, A.; Macdonald, I. A.; Lobo, D. N.</t>
  </si>
  <si>
    <t>10.1016/j.clnu.2018.01.032</t>
  </si>
  <si>
    <t>Teste, B.; Rouanet, P.; Tuech, J. J.; Valverde, A.; Lelong, B.; Rivoire, M.; Faucheron, J. L.; Jafari, M.; Portier, G.; Meunier, B.; Sielezneff, I.; Prudhomme, M.; Marchal, F.; Dubois, A.; Capdepont, M.; Denost, Q.; Rullier, E.</t>
  </si>
  <si>
    <t>10.1093/bjsopen/zrab043</t>
  </si>
  <si>
    <t>Tesar, M.; Kozusnikova, V.; Martinek, L.; Durdik, S.; Ihnat, P.</t>
  </si>
  <si>
    <t>10.5507/bp.2022.009</t>
  </si>
  <si>
    <t>Teoh, A. Y. B.; Kitano, M.; Itoi, T.; Pérez-Miranda, M.; Ogura, T.; Chan, S. M.; Serna-Higuera, C.; Omoto, S.; Torres-Yuste, R.; Tsuichiya, T.; Wong, K. T.; Leung, C. H.; Chiu, P. W. Y.; Ng, E. K. W.; Lau, J. Y. W.</t>
  </si>
  <si>
    <t xml:space="preserve">69
</t>
  </si>
  <si>
    <t xml:space="preserve">Gut
</t>
  </si>
  <si>
    <t>10.1136/gutjnl-2019-319996</t>
  </si>
  <si>
    <t>Teng, W.; Liu, J.; Liu, W.; Jiang, J.; Chen, M.; Wei, C.; Chong, C. S.; Zang, W.</t>
  </si>
  <si>
    <t>10.21037/tcr-21-1916</t>
  </si>
  <si>
    <t>Teng, D.; Dong, C.; Sun, D.; Liu, Z.; Wang, H.</t>
  </si>
  <si>
    <t>10.3389/fonc.2021.799956</t>
  </si>
  <si>
    <t>Tax, C.; Abbink, K.; Rovers, M. M.; Bekkers, R. L. M.; Zusterzeel, P. L. M.</t>
  </si>
  <si>
    <t>10.1186/s40814-017-0218-8</t>
  </si>
  <si>
    <t>Taurà, P.; Fuster, J.; Mercadal, J.; Martinez-Palli, G.; Fondevila, C.; Blasi, A.; Balust, J.; Garcia-Valdecasas, J. C.</t>
  </si>
  <si>
    <t>10.1016/j.jhep.2009.12.008</t>
  </si>
  <si>
    <t>Tarvainen, T.; Sirén, J.; Kokkola, A.; Sallinen, V.</t>
  </si>
  <si>
    <t xml:space="preserve">155
</t>
  </si>
  <si>
    <t>10.1001/jamasurg.2019.6019</t>
  </si>
  <si>
    <t>Tarantino, I.; Widmann, B.; Warschkow, R.; Weitzendorfer, M.; Bock, S.; Roeske, S.; Abbassi, F.; Sortino, R.; Schmied, B. M.; Steffen, T.</t>
  </si>
  <si>
    <t xml:space="preserve">96
</t>
  </si>
  <si>
    <t xml:space="preserve">International Journal of Surgery
</t>
  </si>
  <si>
    <t>10.1016/j.ijsu.2021.106173</t>
  </si>
  <si>
    <t>Tarantino, I.; Warschkow, R.; Beutner, U.; Kolb, W.; Luthi, A.; Luthi, C.; Schmied, B. M.; Clerici, T.</t>
  </si>
  <si>
    <t>10.1097/SLA.0000000000001112</t>
  </si>
  <si>
    <t>Tanggaard, K.; Hasselager, R. P.; Hølmich, E. R.; Hansen, C.; Dam, M.; Poulsen, T. D.; Bærentzen, F.; Eriksen, J. R.; Gögenur, I.; Børglum, J.</t>
  </si>
  <si>
    <t xml:space="preserve">48
</t>
  </si>
  <si>
    <t xml:space="preserve">Regional Anesthesia and Pain Medicine
</t>
  </si>
  <si>
    <t>10.1136/rapm-2022-103895</t>
  </si>
  <si>
    <t>Tang, W.; Ren, L.; Liu, T.; Ye, Q.; Wei, Y.; He, G.; Lin, Q.; Wang, X.; Wang, M.; Liang, F.; Cui, Y.; Xu, J.</t>
  </si>
  <si>
    <t>10.1200/JCO.20.00174</t>
  </si>
  <si>
    <t>Tanaka, R.; Lee, S. W.; Kawai, M.; Tashiro, K.; Kawashima, S.; Kagota, S.; Honda, K.; Uchiyama, K.</t>
  </si>
  <si>
    <t>10.1007/s10120-016-0686-1</t>
  </si>
  <si>
    <t>Tanaka, K.; Matsuo, K.; Kawaguchi, D.; Murakami, T.; Hiroshima, Y.; Hirano, A.; Sato, S.; Endo, I.; Taguri, M.; Koda, K.</t>
  </si>
  <si>
    <t>10.1002/jhbp.222</t>
  </si>
  <si>
    <t>Tan, C. K.; Said, S.; Rajandram, R.; Wang, Z.; Roslani, A. C.; Chin, K. F.</t>
  </si>
  <si>
    <t xml:space="preserve">40
</t>
  </si>
  <si>
    <t>10.1007/s00268-016-3499-9</t>
  </si>
  <si>
    <t>Tamandl, D.; Sahora, K.; Prucker, J.; Schmid, R.; Holst, J. J.; Miholic, J.; Goetzinger, P.; Gnant, M.</t>
  </si>
  <si>
    <t>10.1007/s00268-013-2274-4</t>
  </si>
  <si>
    <t>Talha, A.; El-Haddad, H.; Ghazal, A. E.; Shehata, G.</t>
  </si>
  <si>
    <t>10.1007/s00464-019-06847-2</t>
  </si>
  <si>
    <t>Takesue, T.; Takeuchi, H.; Ogura, M.; Fukuda, K.; Nakamura, R.; Takahashi, T.; Wada, N.; Kawakubo, H.; Kitagawa, Y.</t>
  </si>
  <si>
    <t>10.1245/s10434-015-4767-x</t>
  </si>
  <si>
    <t>Takeda, Y.; Mise, Y.; Ishizuka, N.; Harada, S.; Hayama, B.; Inoue, Y.; Ishizawa, T.; Ito, H.; Takahashi, Y.; Saiura, A.</t>
  </si>
  <si>
    <t xml:space="preserve">Langenbeck's Archives of Surgery
</t>
  </si>
  <si>
    <t>10.1007/s00423-018-1736-4</t>
  </si>
  <si>
    <t>Takata, A.; Takiguchi, S.; Miyazaki, Y.; Miyata, H.; Takahashi, T.; Kurokawa, Y.; Yamasaki, M.; Nakajima, K.; Mori, M.; Kangawa, K.; Doki, Y.</t>
  </si>
  <si>
    <t>10.1097/SLA.0000000000000986</t>
  </si>
  <si>
    <t>Takagi, K.; Yoshida, R.; Yagi, T.; Umeda, Y.; Nobuoka, D.; Kuise, T.; Hinotsu, S.; Matsusaki, T.; Morimatsu, H.; Eguchi, J.; Wada, J.; Senda, M.; Fujiwara, T.</t>
  </si>
  <si>
    <t>10.1016/j.clnu.2018.01.002</t>
  </si>
  <si>
    <t>Taha, O.; Abdelaal, M.; Talaat, M.; Abozeid, M.</t>
  </si>
  <si>
    <t>10.1007/s11695-017-2835-y</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</si>
  <si>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</si>
  <si>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</si>
  <si>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</si>
  <si>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</si>
  <si>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</si>
  <si>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</si>
  <si>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Sykes, K. J.; Gibbs, H.; Farrokhian, N.; Arthur, A.; Flynn, J.; Shnayder, Y.; Kakarala, K.; Nallani, R.; Smith, J. B.; Penn, J.; Fassas, S.; Cummings, E.; Arambula, Z.; Karadaghy, O.; Bur, A. M.</t>
  </si>
  <si>
    <t>10.1002/hed.27220</t>
  </si>
  <si>
    <t>Sychev, S. I.; Chernyshov, S. V.; Arzamastseva, A. I.; Panina, M. V.; Chernykh, M. V.; Petukhov, E. A.; Rybakov, E. G.</t>
  </si>
  <si>
    <t xml:space="preserve">Koloproktologia
</t>
  </si>
  <si>
    <t>10.33878/2073-7556-2022-21-3-76-84</t>
  </si>
  <si>
    <t>Sutton, P.; Vimalachandran, D.; Poston, G.; Fenwick, S.; Malik, H.</t>
  </si>
  <si>
    <t xml:space="preserve">JMIR Research Protocols
</t>
  </si>
  <si>
    <t>10.2196/resprot.9453</t>
  </si>
  <si>
    <t>Surendrakumar, V.; Aitken, E.; Mark, P.; Motallebzadeh, R.; Hunter, J.; Amer, A.; Summers, D.; Rennie, K.; Rooshenas, L.; Garbi, M.; Sylvester, K.; Hudson, C.; Banks, J.; Sidders, A.; Norton, A.; Slater, M.; Bartlett, M.; Knight, S.; Pettigrew, G.</t>
  </si>
  <si>
    <t>10.1136/bmjopen-2022-067668</t>
  </si>
  <si>
    <t>Sun, Y. M.; Zhu, S. N.; Zhang, C.; Li, S. L.; Wang, D. X.</t>
  </si>
  <si>
    <t xml:space="preserve">Frontiers in Medicine
</t>
  </si>
  <si>
    <t>10.3389/fmed.2022.931084</t>
  </si>
  <si>
    <t>Sun, H. B.; Xing, W. Q.; Liu, X. B.; Zheng, Y.; Yang, S. J.; Wang, Z. F.; Liu, S. L.; Ba, Y. F.; Zhang, R. X.; Liu, B. X.; Fan, C. C.; Chen, P. N.; Liang, G. H.; Yu, Y. K.; Liu, Q.; Wang, H. R.; Li, H. M.; Li, Z. X.; Henan Cancer Hospital Thoracic Oncology, Group</t>
  </si>
  <si>
    <t>10.1186/s12885-020-06824-2</t>
  </si>
  <si>
    <t>Sun, H. B.; Li, Y.; Liu, X. B.; Zhang, R. X.; Wang, Z. F.; Lerut, T.; Liu, C. C.; Fiorelli, A.; Chao, Y. K.; Molena, D.; Cerfolio, R. J.; Ozawa, S.; Chang, A. C.</t>
  </si>
  <si>
    <t xml:space="preserve">267
</t>
  </si>
  <si>
    <t>10.1097/SLA.0000000000002304</t>
  </si>
  <si>
    <t>Sultan, A. M.; Shehta, A.; Salah, T.; Elshoubary, M.; Elghawalby, A. N.; Said, R.; Elmorshedi, M.; Marwan, A.; Shiha, U.; Fathy, O.; Wahab, M. A.</t>
  </si>
  <si>
    <t>10.1007/s11605-019-04103-5</t>
  </si>
  <si>
    <t>Sujatha, P. P.; Nileshwar, A.; Krishna, H. M.; Prasad, S. S.; Prabhu, M.; Kamath, S. U.</t>
  </si>
  <si>
    <t>10.1155/2019/3408940</t>
  </si>
  <si>
    <t>Sugimura, K.; Miyata, H.; Tanaka, K.; Makino, T.; Takeno, A.; Shiraishi, O.; Motoori, M.; Yamasaki, M.; Kimura, Y.; Hirao, M.; Fujitani, K.; Yasuda, T.; Mori, M.; Eguchi, H.; Yano, M.; Doki, Y.</t>
  </si>
  <si>
    <t>10.1097/SLA.0000000000004564</t>
  </si>
  <si>
    <t>Sugawara, G.; Yokoyama, Y.; Ebata, T.; Mizuno, T.; Yagi, T.; Ando, M.; Nagino, M.</t>
  </si>
  <si>
    <t>10.1097/SLA.0000000000002049</t>
  </si>
  <si>
    <t>Subirana, H.; Rey, F.; Barri, J.; Robres, J.; Parra, L.; Martín, M.; Memba, R.; Mullerat, J.; Jorba, R.</t>
  </si>
  <si>
    <t>10.4103/jmas.JMAS_97_20</t>
  </si>
  <si>
    <t xml:space="preserve">BMC Health Services Research
</t>
  </si>
  <si>
    <t>Student, V., Jr.; Vidlar, A.; Grepl, M.; Hartmann, I.; Buresova, E.; Student, V.</t>
  </si>
  <si>
    <t xml:space="preserve">71
</t>
  </si>
  <si>
    <t>10.1016/j.eururo.2016.05.032</t>
  </si>
  <si>
    <t>Student, V., Jr.; Tudos, Z.; Studentova, Z.; Cesak, O.; Studentova, H.; Repa, V.; Purova, D.</t>
  </si>
  <si>
    <t>10.1016/j.eururo.2022.07.027</t>
  </si>
  <si>
    <t>Strobel, R. M.; Leonhardt, M.; Krochmann, A.; Neumann, K.; Speichinger, F.; Hartmann, L.; Lee, L. D.; Beyer, K.; Daum, S.; Kreis, M. E.; Lauscher, J. C.</t>
  </si>
  <si>
    <t xml:space="preserve">272
</t>
  </si>
  <si>
    <t>10.1097/SLA.0000000000003645</t>
  </si>
  <si>
    <t>Straatman, J.; Cuesta, M. A.; Tuynman, J. B.; Veenhof, A. A. F. A.; Bemelman, W. A.; van der Peet, D. L.</t>
  </si>
  <si>
    <t>10.1007/s00464-017-5996-9</t>
  </si>
  <si>
    <t>Stoll, F.; Lecointre, L.; Meyer, N.; Faller, E.; Host, A.; Hummel, M.; Boisrame, T.; Akladios, C.; Garbin, O.</t>
  </si>
  <si>
    <t xml:space="preserve">Journal of Minimally Invasive Gynecology
</t>
  </si>
  <si>
    <t>10.1016/j.jmig.2020.07.007</t>
  </si>
  <si>
    <t>Stephensen, B. D.; Clarke, L.; McManus, B.; Clark, S.; Carroll, R.; Holz, P.; Smith, S. R.</t>
  </si>
  <si>
    <t>10.1111/codi.14720</t>
  </si>
  <si>
    <t>Stenberg, E.; Szabo, E.; Ågren, G.; Ottosson, J.; Marsk, R.; Lönroth, H.; Boman, L.; Magnuson, A.; Thorell, A.; Näslund, I.</t>
  </si>
  <si>
    <t>10.1016/S0140-6736(15)01126-5</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</si>
  <si>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</si>
  <si>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</si>
  <si>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</si>
  <si>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Steffens, D.; Young, J.; Beckenkamp, P. R.; Ratcliffe, J.; Rubie, F.; Ansari, N.; Pillinger, N.; Koh, C.; Munoz, P. A.; Solomon, M.</t>
  </si>
  <si>
    <t>10.1186/s40814-021-00765-8</t>
  </si>
  <si>
    <t>Steffens, D.; Solomon, M. J.; Beckenkamp, P. R.; Koh, C. E.; Yeo, D.; Sandroussi, C.; Hancock, M. J.; Fit-4-Home, Collaborators</t>
  </si>
  <si>
    <t xml:space="preserve">92
</t>
  </si>
  <si>
    <t xml:space="preserve">ANZ Journal of Surgery
</t>
  </si>
  <si>
    <t>10.1111/ans.17212</t>
  </si>
  <si>
    <t>Stabilini, C.; Bracale, U.; Pignata, G.; Frascio, M.; Casaccia, M.; Pelosi, P.; Signori, A.; Testa, T.; Rosa, G. M.; Morelli, N.; Fornaro, R.; Palombo, D.; Perotti, S.; Bruno, M. S.; Imperatore, M.; Righetti, C.; Pezzato, S.; Lazzara, F.; Gianetta, E.</t>
  </si>
  <si>
    <t>10.1186/1745-6215-14-357</t>
  </si>
  <si>
    <t>Srinivasa, S.; Taylor, M. H. G.; Singh, P. P.; Yu, T. C.; Soop, M.; Hill, A. G.</t>
  </si>
  <si>
    <t>10.1002/bjs.8940</t>
  </si>
  <si>
    <t>Spinelli, C.; Strambi, S.; Busetto, M.; Pucci, V.; Bianco, F.</t>
  </si>
  <si>
    <t xml:space="preserve">Pediatric Surgery International
</t>
  </si>
  <si>
    <t>10.1007/s00383-014-3577-8</t>
  </si>
  <si>
    <t>Spaggiari, M.; Di Cocco, P.; Tulla, K.; Kaylan, K. B.; Masrur, M. A.; Hassan, C.; Alvarez, J. A.; Benedetti, E.; Tzvetanov, I.</t>
  </si>
  <si>
    <t>10.1111/ajt.16322</t>
  </si>
  <si>
    <t>Sorensen, L. S.; Thorlacius-Ussing, O.; Schmidt, E. B.; Rasmussen, H. H.; Lundbye-Christensen, S.; Calder, P. C.; Lindorff-Larsen, K.</t>
  </si>
  <si>
    <t xml:space="preserve">101
</t>
  </si>
  <si>
    <t>10.1002/bjs.9361</t>
  </si>
  <si>
    <t>Sooriakumaran, P.; Wilson, C.; Rombach, I.; Hassanali, N.; Aning, J.; D. Lamb, A.; Cathcart, P.; Eden, C.; Ahmad, I.; Rajan, P.; Sridhar, A.; Bryant, R. J.; Elhage, O.; Cook, J.; Leung, H.; Soomro, N.; Kelly, J.; Nathan, S.; Donovan, J. L.; Hamdy, F. C.</t>
  </si>
  <si>
    <t xml:space="preserve">130
</t>
  </si>
  <si>
    <t xml:space="preserve">BJU International
</t>
  </si>
  <si>
    <t>10.1111/bju.15669</t>
  </si>
  <si>
    <t>Sønksen, J.; Barber, N. J.; Speakman, M. J.; Berges, R.; Wetterauer, U.; Greene, D.; Sievert, K. D.; Chapple, C. R.; Montorsi, F.; Patterson, J. M.; Fahrenkrug, L.; Schoenthaler, M.; Gratzke, C.</t>
  </si>
  <si>
    <t>10.1016/j.eururo.2015.04.024</t>
  </si>
  <si>
    <t>Song, W. A.; Fan, B. S.; Di, S. Y.; Liu, J. Q.; Zhao, J. H.; Chen, S. Y.; Yue, C. Y.; Zhou, S. H.; Gong, T. Q.</t>
  </si>
  <si>
    <t xml:space="preserve">112
</t>
  </si>
  <si>
    <t xml:space="preserve">Annals of Thoracic Surgery
</t>
  </si>
  <si>
    <t>10.1016/j.athoracsur.2020.09.022</t>
  </si>
  <si>
    <t>Song, T.; Kim, M. K.; Kim, M. L.; Jung, Y. W.; Yun, B. S.; Seong, S. J.; Kwon, S. H.</t>
  </si>
  <si>
    <t xml:space="preserve">124
</t>
  </si>
  <si>
    <t xml:space="preserve">BJOG: An International Journal of Obstetrics and Gynaecology
</t>
  </si>
  <si>
    <t>10.1111/1471-0528.14182</t>
  </si>
  <si>
    <t>Song, T.; Kang, D. Y.</t>
  </si>
  <si>
    <t xml:space="preserve">Wideochirurgia I Inne Techniki Maloinwazyjne
</t>
  </si>
  <si>
    <t>10.5114/wiitm.2021.105724</t>
  </si>
  <si>
    <t>Song, Q.; Li, X.; Wu, D.; Li, S.; Xie, T.; Lu, Y.; Zhang, L.; Xu, Z.; Liu, L.; Guo, X.; Wang, X.</t>
  </si>
  <si>
    <t>10.1186/s12885-022-09375-w</t>
  </si>
  <si>
    <t>Song, E. K.; Seon, J. K.; Yim, J. H.; Netravali, N. A.; Bargar, W. L.</t>
  </si>
  <si>
    <t xml:space="preserve">471
</t>
  </si>
  <si>
    <t xml:space="preserve">Clinical Orthopaedics and Related Research
</t>
  </si>
  <si>
    <t>10.1007/s11999-012-2407-3</t>
  </si>
  <si>
    <t>Somashekhar, S. P.; Ashwin, K. R.; Rauthan, A.; Rohit, K. C.</t>
  </si>
  <si>
    <t>10.1515/pp-2018-0111</t>
  </si>
  <si>
    <t>Soliman, T.; Sherif, H.; Sebaey, A.; Mohey, A.; Elmohamady, B. N.</t>
  </si>
  <si>
    <t xml:space="preserve">35
</t>
  </si>
  <si>
    <t>10.1089/end.2016.0259</t>
  </si>
  <si>
    <t>Sokol, A. I.; Iglesia, C. B.; Kudish, B. I.; Gutman, R. E.; Shveiky, D.; Bercik, R.; Sokol, E. R.</t>
  </si>
  <si>
    <t>10.1016/j.ajog.2011.08.003</t>
  </si>
  <si>
    <t>Soeterik, T. F. W.; Wever, L.; Dijksman, L. M.; Frederix, G. W. J.; Van Melick, H. H. E.; Monninkhof, E. M.; Verkooijen, H. M.; Beerlage, H. P.; van Basten, J. P. A.; van den Bergh, R. C. N.; Group, Psma-Select Study</t>
  </si>
  <si>
    <t xml:space="preserve">European Urology Focus
</t>
  </si>
  <si>
    <t>10.1016/j.euf.2021.11.003</t>
  </si>
  <si>
    <t>Snowden, C.; Lynch, E.; Avery, L.; Haighton, C.; Howel, D.; Mamasoula, V.; Gilvarry, E.; McColl, E.; Prentis, J.; Gerrand, C.; Steel, A.; Goudie, N.; Howe, N.; Kaner, E.</t>
  </si>
  <si>
    <t>10.3310/hta24120</t>
  </si>
  <si>
    <t>Smyth, E.; Knödler, M.; Giraut, A.; Mauer, M.; Nilsson, M.; Van Grieken, N.; Wagner, A. D.; Moehler, M.; Lordick, F.</t>
  </si>
  <si>
    <t>10.3389/fonc.2019.01320</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</si>
  <si>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</si>
  <si>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</si>
  <si>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Smits, A. J.; Deunk, J.; Stadhouder, A.; Altena, M. C.; Kempen, D. H. R.; Bloemers, F. W.</t>
  </si>
  <si>
    <t>10.1136/bmjopen-2017-019596</t>
  </si>
  <si>
    <t>Smith, S. R.; Gani, J.; Carroll, R.; Lott, N.; Hampton, J.; Oldmeadow, C.; Clapham, M.; Attia, J.</t>
  </si>
  <si>
    <t>10.1097/SLA.0000000000005244</t>
  </si>
  <si>
    <t>Smith, J. J.; Chow, O. S.; Gollub, M. J.; Nash, G. M.; Temple, L. K.; Weiser, M. R.; Guillem, J. G.; Paty, P. B.; Avila, K.; Garcia-Aguilar, J.; and on behalf of the Rectal Cancer, Consortium</t>
  </si>
  <si>
    <t>10.1186/s12885-015-1632-z</t>
  </si>
  <si>
    <t>Smeets, B. J. J.; Brinkman, D. J.; Horsten, E. C. J.; Langius, J. A. E.; Rutten, H. J. T.; de Jonge, W. J.; Luyer, M. D. P.</t>
  </si>
  <si>
    <t xml:space="preserve">70
</t>
  </si>
  <si>
    <t>10.1080/01635581.2018.1445763</t>
  </si>
  <si>
    <t>Smedberg, J.; Graf, W.; Pekkari, K.; Hjern, F.</t>
  </si>
  <si>
    <t>10.1093/bjsopen/zrab140</t>
  </si>
  <si>
    <t>Slagter, A. E.; Jansen, E. P. M.; van Laarhoven, H. W. M.; van Sandick, J. W.; van Grieken, N. C. T.; Sikorska, K.; Cats, A.; Muller-Timmermans, P.; Hulshof, M. C. C. M.; Boot, H.; Los, M.; Beerepoot, L. V.; Peters, F. P. J.; Hospers, G. A. P.; van Etten, B.; Hartgrink, H. H.; van Berge Henegouwen, M. I.; Nieuwenhuijzen, G. A. P.; van Hillegersberg, R.; van der Peet, D. L.; Grabsch, H. I.; Verheij, M.</t>
  </si>
  <si>
    <t>10.1186/s12885-018-4770-2</t>
  </si>
  <si>
    <t>Skinner, E. C.; Fairey, A. S.; Groshen, S.; Daneshmand, S.; Cai, J.; Miranda, G.; Skinner, D. G.</t>
  </si>
  <si>
    <t xml:space="preserve">Journal of Urology
</t>
  </si>
  <si>
    <t>10.1016/j.juro.2015.03.101</t>
  </si>
  <si>
    <t>Sippola, S.; Haijanen, J.; Grönroos, J.; Rautio, T.; Nordström, P.; Rantanen, T.; Pinta, T.; Ilves, I.; Mattila, A.; Rintala, J.; Löyttyniemi, E.; Hurme, S.; Tammilehto, V.; Marttila, H.; Meriläinen, S.; Laukkarinen, J.; Sävelä, E. L.; Savolainen, H.; Sippola, T.; Aarnio, M.; Paajanen, H.; Salminen, P.</t>
  </si>
  <si>
    <t xml:space="preserve">JAMA - Journal of the American Medical Association
</t>
  </si>
  <si>
    <t>10.1001/jama.2020.23525</t>
  </si>
  <si>
    <t>Singh, S.; Parmar, K.; Devana, S. K.; Singh, S. K.</t>
  </si>
  <si>
    <t>10.1007/s00345-023-04369-0</t>
  </si>
  <si>
    <t>Singh, P. P.; Lemanu, D. P.; Taylor, M. H. G.; Hill, A. G.</t>
  </si>
  <si>
    <t>10.1093/bja/aet577</t>
  </si>
  <si>
    <t>Singh, P. P.; Lemanu, D. P.; Soop, M.; Bissett, I. P.; Harrison, J.; Hill, A. G.</t>
  </si>
  <si>
    <t xml:space="preserve">Journal of the American College of Surgeons
</t>
  </si>
  <si>
    <t>10.1016/j.jamcollsurg.2016.04.004</t>
  </si>
  <si>
    <t>Singh, H.; Krishnamurthy, G.; Kumar, H.; Gorsi, U.; Kumar-M, P.; Mandavdhare, H.; Sharma, V.; Yadav, T. D.</t>
  </si>
  <si>
    <t xml:space="preserve">7-8
</t>
  </si>
  <si>
    <t>10.1111/ans.15947</t>
  </si>
  <si>
    <t>Silecchia, G.; Cavallaro, G.; Raparelli, L.; Olmi, S.; Baldazzi, G.; Campanile, F. C.</t>
  </si>
  <si>
    <t xml:space="preserve">16
</t>
  </si>
  <si>
    <t>10.1186/s13063-015-0779-x</t>
  </si>
  <si>
    <t>Silay, M. S.; Danacioglu, O.; Ozel, K.; Karaman, M. I.; Caskurlu, T.</t>
  </si>
  <si>
    <t>10.1007/s00345-019-02910-8</t>
  </si>
  <si>
    <t>Sierink, J. C.; Treskes, K.; Edwards, M. J. R.; Beuker, B. J. A.; den Hartog, D.; Hohmann, J.; Dijkgraaf, M. G. W.; Luitse, J. S. K.; Beenen, L. F. M.; Hollmann, M. W.; Goslings, J. C.</t>
  </si>
  <si>
    <t>10.1016/S0140-6736(16)30932-1</t>
  </si>
  <si>
    <t>Si-Yuan, F.; Yee, L. W.; Yuan, Y.; Sheng-Xian, Y.; Zheng-Guang, W.; Gang, H.; Meng-Chao, W.; Wei-Ping, Z.</t>
  </si>
  <si>
    <t>10.1016/j.ijsu.2014.05.068</t>
  </si>
  <si>
    <t>Shrestha, A.; Adhikari, B.; Shah, A. K.</t>
  </si>
  <si>
    <t>10.1089/end.2022.0050</t>
  </si>
  <si>
    <t>Shoma, A. M.; Elshal, A. M.</t>
  </si>
  <si>
    <t xml:space="preserve">79
</t>
  </si>
  <si>
    <t>10.1016/j.urology.2011.09.042</t>
  </si>
  <si>
    <t>Shiraishi, O.; Yamasaki, M.; Makino, T.; Motoori, M.; Miyata, H.; Shinkai, M.; Kimura, Y.; Hirao, M.; Fujitani, K.; Tamura, S.; Kobayashi, K.; Yano, M.; Doki, Y.; Yasuda, T.</t>
  </si>
  <si>
    <t>10.1159/000452765</t>
  </si>
  <si>
    <t>Shiraishi, O.; Makino, T.; Yamasaki, M.; Tanaka, K.; Yamashita, K.; Ishida, T.; Sugimura, K.; Miyata, H.; Motoori, M.; Fujitani, K.; Takeno, A.; Hirao, M.; Kimura, Y.; Satoh, T.; Yano, M.; Doki, Y.; Yasuda, T.</t>
  </si>
  <si>
    <t>10.1007/s10388-021-00831-3</t>
  </si>
  <si>
    <t>Shimoyama, R.; Tsutani, Y.; Wakabayashi, M.; Katayama, H.; Fukuda, H.; Suzuki, K.; Watanabe, S. I.</t>
  </si>
  <si>
    <t xml:space="preserve">Japanese Journal of Clinical Oncology
</t>
  </si>
  <si>
    <t>10.1093/jjco/hyaa107</t>
  </si>
  <si>
    <t>Shim, J. W.; Ko, J.; Lee, C. S.; Lee, D. S.; Park, J.; Lee, H. M.; Kim, Y. S.; Moon, Y. E.; Hong, S. H.; Chae, M. S.</t>
  </si>
  <si>
    <t xml:space="preserve">44
</t>
  </si>
  <si>
    <t xml:space="preserve">Asian Journal of Surgery
</t>
  </si>
  <si>
    <t>10.1016/j.asjsur.2020.06.001</t>
  </si>
  <si>
    <t>Shikora, S. A.; Wolfe, B. M.; Apovian, C. M.; Anvari, M.; Sarwer, D. B.; Gibbons, R. D.; Ikramuddin, S.; Miller, C. J.; Knudson, M. B.; Tweden, K. S.; Sarr, M. G.; Billington, C. J.</t>
  </si>
  <si>
    <t>10.1155/2015/365604</t>
  </si>
  <si>
    <t>Shibuya, K.; Jang, J. Y.; Satoi, S.; Sho, M.; Yamada, S.; Kawai, M.; Kim, H.; Kim, S. C.; Heo, J. S.; Yoon, Y. S.; Park, J. S.; Hwang, H. K.; Yoshioka, I.; Shimokawa, T.; Yamaue, H.; Fujii, T.</t>
  </si>
  <si>
    <t>10.1186/s13063-019-3595-x</t>
  </si>
  <si>
    <t>Shi, C.; Li, Y.; Geng, L.; Shen, W.; Sui, C.; Dai, B.; Lu, J.; Pan, M.; Yang, J.</t>
  </si>
  <si>
    <t xml:space="preserve">European Journal of Cancer
</t>
  </si>
  <si>
    <t>10.1016/j.ejca.2022.02.012</t>
  </si>
  <si>
    <t>Sheill, G.; Guinan, E.; O'Neill, L.; Normand, C.; Doyle, S. L.; Moore, S.; Newell, J.; McDermott, G.; Ryan, R.; Reynolds, J. V.; Hussey, J.</t>
  </si>
  <si>
    <t>10.1186/s12885-020-06795-4</t>
  </si>
  <si>
    <t>Shao, X.; Xie, Y.; Xu, Q.; Sun, A.; Wang, Z.; Tian, Y.</t>
  </si>
  <si>
    <t>10.1007/s11605-018-4059-4</t>
  </si>
  <si>
    <t>Seshadri, R. A.; West, N. P.; Sundersingh, S.</t>
  </si>
  <si>
    <t>10.1111/codi.13726</t>
  </si>
  <si>
    <t>Serrano, P. E.; Parpia, S.; Simunovic, M.; Duceppe, E.; Pinto-Sanchez, M. I.; Bhandari, M.; Levine, M.</t>
  </si>
  <si>
    <t>10.1016/j.surg.2022.04.001</t>
  </si>
  <si>
    <t>Serradilla-Martín, M.; Paterna-López, S.; Palomares-Cano, A.; Cantalejo-Díaz, M.; Abadía-Forcén, T.; Gutiérrez-Díez, M. L.; Artigas-Marco, C.; Serrablo-Requejo, A.</t>
  </si>
  <si>
    <t>10.1093/bjsopen/zrad028</t>
  </si>
  <si>
    <t>Serracant, A.; Serra-Aracil, X.; Mora-López, L.; Pallisera-Lloveras, A.; Serra-Pla, S.; Zárate-Pinedo, A.; Navarro-Soto, S.</t>
  </si>
  <si>
    <t xml:space="preserve">43
</t>
  </si>
  <si>
    <t>10.1007/s00268-019-04972-6</t>
  </si>
  <si>
    <t>Serra-Aracil, X.; Zarate, A.; Bargalló, J.; Gonzalez, A.; Serracant, A.; Roura, J.; Delgado, S.; Mora-López, L.</t>
  </si>
  <si>
    <t xml:space="preserve">110
</t>
  </si>
  <si>
    <t>10.1093/bjs/znac324</t>
  </si>
  <si>
    <t>Serra-Aracil, X.; Pericay, C.; Golda, T.; Mora, L.; Targarona, E.; Delgado, S.; Reina, A.; Vallribera, F.; Enriquez-Navascues, J. M.; Serra-Pla, S.; Garcia-Pacheco, J. C.; On behalf of, T. A. U. T. E. M. study group; Saigi, E.; Dotor, E.; Pisa, A.; Macias, I.; Pallisera, A.; Navarro, S.; Lacy, A.; Otero, A.; Biondo, S.; Golda, T.; Tarragona, E.; Hernández, P.; Martínez, M. C.; Pernas, J. C.; Martín, M.; González, D.; Paez, D.; Cussó, X.; Balagué, C.; Coret, M. J. G.; Ferrer, F. V.; Andrés, B. D. S.; Gallego, Á; Prieto, H.; Ramos, J. L.; Miramó, J. J.; Septiem, J. G.; Angulo, F.; Castillo, J.; Martín, J. A.; Seco, I.; Palazuelo, C. M.; Reina, Á; Rubio Gil, F. A.; Caro, C.; Varela, R.; Ramos, M.; Fernández, A.; Belda, R.; Solbes, R.; Medina, B.; Reche, P.; Espín, E.; Vallribera, F.; Landolfini, S.; Capdevila, J.; Pascual, M.; Salvans, S.; Pera, M.; Díaz, C.; Barbadillo, J. G.; Palacios, A.; Pastor, C. V.; Pleguezuelo, M.; Triviño, F.; Martínez de Dueñas, J. L.; España, A. G.; Rodriguez, E. N.; Trujillo, R. L.; Frangi, A.; Carmona, M. D. R.; Carrillo, R. R.; Gil, M.; Miranda, V.; Laso, C. Á; Lora, P.; Navascues, J. M. E.; Placer, C.; Borda, N.; La Casta, A.; Elosegui, J.; Saralegui, Y.; Guimón, E.; Múgica, J.; Plazas, J. G.; Arroyo, A.; Caro, A.; Millan, M.</t>
  </si>
  <si>
    <t>10.1007/s00384-017-2942-1</t>
  </si>
  <si>
    <t>Serra-Aracil, X.; Pericay, C.; Badia-Closa, J.; Golda, T.; Biondo, S.; Hernández, P.; Targarona, E.; Borda-Arrizabalaga, N.; Reina, A.; Delgado, S.; Vallribera, F.; Caro, A.; Gallego-Plazas, J.; Pascual, M.; Álvarez-Laso, C.; Guadalajara-Labajo, H. G.; Mora-Lopez, L.</t>
  </si>
  <si>
    <t>10.1016/j.annonc.2022.09.160</t>
  </si>
  <si>
    <t>Sepesi, B.; Zhou, N.; William, W. N., Jr.; Lin, H. Y.; Leung, C. H.; Weissferdt, A.; Mitchell, K. G.; Pataer, A.; Walsh, G. L.; Rice, D. C.; Roth, J. A.; Mehran, R. J.; Hofstetter, W. L.; Antonoff, M. B.; Rajaram, R.; Negrao, M. V.; Tsao, A. S.; Gibbons, D. L.; Lee, J. J.; Heymach, J. V.; Vaporciyan, A. A.; Swisher, S. G.; Cascone, T.</t>
  </si>
  <si>
    <t>10.1016/j.jtcvs.2022.01.019</t>
  </si>
  <si>
    <t>Senft, J. D.; Warschkow, R.; Diener, M. K.; Tarantino, I.; Steinemann, D. C.; Lamm, S.; Simon, T.; Zerz, A.; Müller-Stich, B. P.; Linke, G. R.</t>
  </si>
  <si>
    <t>10.1186/1745-6215-15-454</t>
  </si>
  <si>
    <t>Senda, Y.; Shimizu, Y.; Natsume, S.; Ito, S.; Komori, K.; Abe, T.; Matsuo, K.; Sano, T.</t>
  </si>
  <si>
    <t>10.1002/bjs.10727</t>
  </si>
  <si>
    <t>Schwarz, L.; Vernerey, D.; Bachet, J. B.; Tuech, J. J.; Portales, F.; Michel, P.; Cunha, A. S.</t>
  </si>
  <si>
    <t>10.1186/s12885-018-4663-4</t>
  </si>
  <si>
    <t>Schwarz, C.; Klaus, D. A.; Tudor, B.; Fleischmann, E.; Wekerle, T.; Roth, G.; Bodingbauer, M.; Kaczirek, K.</t>
  </si>
  <si>
    <t>10.1371/journal.pone.0140314</t>
  </si>
  <si>
    <t>Schwab, M.; Brindl, N.; Studier-Fischer, A.; Tu, T.; Gsenger, J.; Pilgrim, M.; Friedrich, M.; Frey, P. E.; Achilles, C.; Leuck, A.; Bürgel, T.; Feisst, M.; Klose, C.; Tenckhoff, S.; Dörr-Harim, C.; Mihaljevic, A. L.</t>
  </si>
  <si>
    <t>10.1186/s13063-020-4220-8</t>
  </si>
  <si>
    <t>Schultz, J. K.; Yaqub, S.; Wallon, C.; Blecic, L.; Forsmo, H. M.; Folkesson, J.; Buchwald, P.; Körner, H.; Dahl, F. A.; Øresland, T.; Papp, A.; Ersson, U.; Zittel, T.; Fagerström, N.; Gustafsson, D.; Dafnis, G.; Cornelius, M.; Egenvall, M.; Nyström, P. O.; Syk, I.; Vilhjalmsson, D.; Påhlman, L.; Arbman, G.; Chabok, A.; Helgeland, M.; Bondi, J.; Husby, A.; Helander, R.; Kjos, A.; Gregussen, H.; Talabani, A. J.; Tranø, G.; Nygaard, I. H.; Wiedswang, G.; Sjo, O. H.; Desserud, K. F.; Norderval, S.; Gran, M. V.; Pettersen, T.; Sæther, A.; Group, Scandiv Study</t>
  </si>
  <si>
    <t xml:space="preserve">314
</t>
  </si>
  <si>
    <t>10.1001/jama.2015.12076</t>
  </si>
  <si>
    <t>Schultz, J. K.; Wallon, C.; Blecic, L.; Forsmo, H. M.; Folkesson, J.; Buchwald, P.; Kørner, H.; Dahl, F. A.; Øresland, T.; Yaqub, S.; the, Scandiv Study Group; Papp, A.; Ersson, U.; Zittel, T.; Fagerström, N.; Gustafsson, D.; Dafnis, G.; Cornelius, M.; Egenvall, M.; Nyström, P. O.; Syk, I.; Vilhjalmsson, D.; Arbman, G.; Chabok, A.; Helgeland, M.; Bondi, J.; Husby, A.; Helander, R.; Kjos, A.; Gregussen, H.; Talabani, A. J.; Tranø, G.; Nygaard, I. H.; Wiedswang, G.; Sjo, O. H.; Desserud, K. F.; Norderval, S.; Gran, M. V.; Pettersen, T.; Sæther, A.</t>
  </si>
  <si>
    <t>10.1002/bjs.10567</t>
  </si>
  <si>
    <t>Schrempf, M. C.; Pinto, D. R. M.; Wolf, S.; Geissler, B.; Sommer, F.; Hoffmann, M.; Vlasenko, D.; Gutschon, J.; Anthuber, M.</t>
  </si>
  <si>
    <t>10.1186/s13063-022-06032-2</t>
  </si>
  <si>
    <t>Schrempf, M. C.; Petzold, J.; Petersen, M. A.; Arndt, T. T.; Schiele, S.; Vachon, H.; Vlasenko, D.; Wolf, S.; Anthuber, M.; Müller, G.; Sommer, F.</t>
  </si>
  <si>
    <t>10.1038/s41598-022-16270-8</t>
  </si>
  <si>
    <t>Schoenfeld, J. D.; Hanna, G. J.; Jo, V. Y.; Rawal, B.; Chen, Y. H.; Catalano, P. S.; Lako, A.; Ciantra, Z.; Weirather, J. L.; Criscitiello, S.; Luoma, A.; Chau, N.; Lorch, J.; Kass, J. I.; Annino, D.; Goguen, L.; Desai, A.; Ross, B.; Shah, H. J.; Jacene, H. A.; Margalit, D. N.; Tishler, R. B.; Wucherpfennig, K. W.; Rodig, S. J.; Uppaluri, R.; Haddad, R. I.</t>
  </si>
  <si>
    <t>10.1001/jamaoncol.2020.2955</t>
  </si>
  <si>
    <t>Schmidt, M.; Eckardt, R.; Scholtz, K.; Neuner, B.; Von Dossow-Hanfstingl, V.; Sehouli, J.; Stief, C. G.; Wernecke, K. D.; Spies, C. D.</t>
  </si>
  <si>
    <t>10.1371/journal.pone.0137824</t>
  </si>
  <si>
    <t>Schmelzle, M.; Benzing, C.; Fischer, L.; Herden, U.; Sterneck, M.; Settmacher, U.; Bauschke, A.; Neumann, U.; Pelzer, U.; Müller, T.; Strassburg, C.; Lang, H.; Becker, T.; Königsrainer, A.; Nadalin, S.; Quante, M.; Paul, A.; Friess, H.; Klempnauer, J.; Richter, N.; Vondran, F.; Pascher, A.; Rösch, T.; Schöning, W.; Krenzien, F.; Öllinger, R.; Seehofer, D.; Neuhaus, P.; Pratschke, J.</t>
  </si>
  <si>
    <t>10.3389/fonc.2022.910871</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</si>
  <si>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</si>
  <si>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</si>
  <si>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Schindl, M.; Függer, R.; Götzinger, P.; Längle, F.; Zitt, M.; Stättner, S.; Kornprat, P.; Sahora, K.; Hlauschek, D.; Gnant, M.; the Austrian, Breast; Colorectal Cancer Study, Group</t>
  </si>
  <si>
    <t>10.1002/bjs.10840</t>
  </si>
  <si>
    <t>Schenk, J.; Wijnberge, M.; Maaskant, J. M.; Hollmann, M. W.; Hol, L.; Immink, R. V.; Vlaar, A. P.; van der Ster, B. J. P.; Geerts, B. F.; Veelo, D. P.</t>
  </si>
  <si>
    <t xml:space="preserve">127
</t>
  </si>
  <si>
    <t>10.1016/j.bja.2021.05.033</t>
  </si>
  <si>
    <t>Schaller, S. J.; Fuest, K.; Ulm, B.; Schmid, S.; Bubb, C.; Von Eisenhart-Rothe, R.; Friess, H.; Kirchhoff, C.; Stadlbauer, T.; Luppa, P.; Blobner, M.; Jungwirth, B.</t>
  </si>
  <si>
    <t>10.1186/s13063-020-04626-2</t>
  </si>
  <si>
    <t>Scatton, O.; Zalinski, S.; Jegou, D.; Compagnon, P.; Lesurtel, M.; Belghiti, J.; Boudjema, K.; Lentschener, C.; Soubrane, O.</t>
  </si>
  <si>
    <t xml:space="preserve">98
</t>
  </si>
  <si>
    <t>10.1002/bjs.7626</t>
  </si>
  <si>
    <t>Scarone, P.; Smeets, A. Y. J. M.; van Kuijk, S. M. J.; van Santbrink, H.; Peters, M.; Koetsier, E.</t>
  </si>
  <si>
    <t xml:space="preserve">BMC Musculoskeletal Disorders
</t>
  </si>
  <si>
    <t>10.1186/s12891-020-03826-w</t>
  </si>
  <si>
    <t>Saxer, F.; Studer, P.; Jakob, M.; Suhm, N.; Rosenthal, R.; Dell-Kuster, S.; Vach, W.; Bless, N.</t>
  </si>
  <si>
    <t xml:space="preserve">BMC Geriatrics
</t>
  </si>
  <si>
    <t>10.1186/s12877-018-0898-9</t>
  </si>
  <si>
    <t>Savlid, M.; Strand, A. H.; Jansson, A.; Agustsson, T.; Söderdahl, G.; Lundell, L.; Isaksson, B.</t>
  </si>
  <si>
    <t>10.1007/s00268-012-1884-6</t>
  </si>
  <si>
    <t>Saurabh, K.; Sureshkumar, S.; Mohsina, S.; Mahalakshmy, T.; Kundra, P.; Kate, V.</t>
  </si>
  <si>
    <t>10.1007/s11605-020-04684-6</t>
  </si>
  <si>
    <t>Sasaki, K.; Omoto, I.; Uchikado, Y.; Okumura, H.; Noda, M.; Tsuruda, Y.; Kita, Y.; Arigami, T.; Mori, S.; Kurahara, H.; Nakajyo, A.; Koriyama, C.; Natsugoe, S.; Ohtsuka, T.</t>
  </si>
  <si>
    <t>10.1007/s00595-020-02147-8</t>
  </si>
  <si>
    <t>Saratzis, A.; Chiocchia, V.; Jiffry, A.; Hassanali, N.; Singh, S.; Imray, C. H.; Bown, M. J.; Mahmood, A.</t>
  </si>
  <si>
    <t>10.1016/j.ejvs.2018.01.017</t>
  </si>
  <si>
    <t>Sapci, I.; Camargo, M.; Duraes, L.; Jia, X.; Hull, T. L.; Ashburn, J.; Valente, M. A.; Holubar, S. D.; Delaney, C. P.; Gorgun, E.; Steele, S. R.; Liska, D.</t>
  </si>
  <si>
    <t>10.1097/DCR.0000000000002415</t>
  </si>
  <si>
    <t>Sandström, P.; Røsok, B. I.; Sparrelid, E.; Larsen, P. N.; Larsson, A. L.; Lindell, G.; Schultz, N. A.; Bjørnbeth, B. A.; Isaksson, B.; Rizell, M.; Björnsson, B.</t>
  </si>
  <si>
    <t>10.1097/SLA.0000000000002511</t>
  </si>
  <si>
    <t>Sánchez-Velázquez, P.; Pueyo-Périz, E.; Álamo, J. M.; Suarez Artacho, G.; Gómez Bravo, M. Á; Marcello, M.; Vicente, E.; Quijano, Y.; Ferri, V.; Caruso, R.; Dorcaratto, D.; Sabater, L.; González Chávez, P.; Noguera, J.; Navarro Gonzalo, A.; Bellido-Luque, J.; Téllez-Marques, C.; Ielpo, B.; Burdio, F.</t>
  </si>
  <si>
    <t>10.1136/bmjopen-2022-062873</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</si>
  <si>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</si>
  <si>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</si>
  <si>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</si>
  <si>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 xml:space="preserve">136
</t>
  </si>
  <si>
    <t>10.1016/j.ejca.2020.06.011</t>
  </si>
  <si>
    <t>Sánchez-Guillén, L.; Soriano-Irigaray, L.; López-Rodríguez-arias, F.; Barber, X.; Murcia, A.; Alcaide, M. J.; Aranaz-Ostáriz, V.; Soler-Silva, Á; Navarro-Ruiz, A.; Arroyo, A.</t>
  </si>
  <si>
    <t xml:space="preserve">Journal of Clinical Medicine
</t>
  </si>
  <si>
    <t>10.3390/jcm10163647</t>
  </si>
  <si>
    <t>Sampurno, S.; Chittleborough, T.; Dean, M.; Flood, M.; Carpinteri, S.; Roth, S.; Millen, R. M.; Cain, H.; Kong, J. C. H.; MacKay, J.; Warrier, S. K.; McCormick, J.; Hiller, J. G.; Heriot, A. G.; Ramsay, R. G.; Lynch, A. C.</t>
  </si>
  <si>
    <t xml:space="preserve">29
</t>
  </si>
  <si>
    <t>10.1245/s10434-022-12057-3</t>
  </si>
  <si>
    <t xml:space="preserve">59
</t>
  </si>
  <si>
    <t>Sammour, T.; Kahokehr, A.; Hayes, J.; Hulme-Moir, M.; Hill, A. G.</t>
  </si>
  <si>
    <t xml:space="preserve">251
</t>
  </si>
  <si>
    <t>10.1097/SLA.0b013e3181d77a25</t>
  </si>
  <si>
    <t xml:space="preserve">International Surgery
</t>
  </si>
  <si>
    <t>Salmonsen, C. B.; Lange, K. H. W.; Kleif, J.; Bertelsen, C. A.</t>
  </si>
  <si>
    <t xml:space="preserve">Danish Medical Journal
</t>
  </si>
  <si>
    <t>Salminen, P.; Sippola, S.; Haijanen, J.; Nordström, P.; Rantanen, T.; Rautio, T.; Sallinen, V.; Löyttyniemi, E.; Hurme, S.; Tammilehto, V.; Laukkarinen, J.; Savolainen, H.; Meriläinen, S.; Leppäniemi, A.; Grönroos, J.</t>
  </si>
  <si>
    <t>10.1093/bjs/znac086</t>
  </si>
  <si>
    <t>Salminen, P.; Helmio, M.; Ovaska, J.; Juuti, A.; Leivonen, M.; Peromaa-Haavisto, P.; Hurme, S.; Soinio, M.; Nuutila, P.; Victorzon, M.</t>
  </si>
  <si>
    <t xml:space="preserve">319
</t>
  </si>
  <si>
    <t>10.1001/jama.2017.20313</t>
  </si>
  <si>
    <t>Salehi, S.; Åvall-Lundqvist, E.; Legerstam, B.; Carlson, J. W.; Falconer, H.</t>
  </si>
  <si>
    <t>10.1016/j.ejca.2017.03.038</t>
  </si>
  <si>
    <t>Salehi, S.; Åvall-Lundqvist, E.; Brandberg, Y.; Johansson, H.; Suzuki, C.; Falconer, H.</t>
  </si>
  <si>
    <t xml:space="preserve">International Journal of Gynecological Cancer
</t>
  </si>
  <si>
    <t>10.1136/ijgc-2018-000019</t>
  </si>
  <si>
    <t>Salazar, A.; Regis, L.; Planas, J.; Celma, A.; Trilla, E.; Morote, J.</t>
  </si>
  <si>
    <t>10.1016/j.acuro.2021.06.004</t>
  </si>
  <si>
    <t>Sakamoto, Y.; Hori, S.; Oguro, S.; Arita, J.; Kishi, Y.; Nara, S.; Esaki, M.; Saiura, A.; Shimada, K.; Yamanaka, T.; Kosuge, T.</t>
  </si>
  <si>
    <t>10.1007/s11605-015-2961-6</t>
  </si>
  <si>
    <t>Saito, K.; Nakajima, Y.; Kawada, K.; Tokairin, Y.; Kawano, T.</t>
  </si>
  <si>
    <t>10.1159/000446572</t>
  </si>
  <si>
    <t>Şahin, A.; Baran, O.</t>
  </si>
  <si>
    <t xml:space="preserve">Journal of International Medical Research
</t>
  </si>
  <si>
    <t>10.1177/03000605221086737</t>
  </si>
  <si>
    <t>Sadowski, S. M.; Andres, A.; Morel, P.; Schiffer, E.; Frossard, J. L.; Platon, A.; Poletti, P. A.; Bühler, L.</t>
  </si>
  <si>
    <t>10.3748/wjg.v21.i43.12448</t>
  </si>
  <si>
    <t>Sabnis, R. B.; Ganesamoni, R.; Doshi, A.; Ganpule, A. P.; Jagtap, J.; Desai, M. R.</t>
  </si>
  <si>
    <t>10.1111/bju.12164</t>
  </si>
  <si>
    <t>Sabbagh, C.; Siembida, N.; Dupont, H.; Diouf, M.; Schmit, J. L.; Boddaert, S.; Regimbeau, J. M.</t>
  </si>
  <si>
    <t>10.1186/s13063-020-04411-1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</si>
  <si>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</si>
  <si>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</si>
  <si>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</si>
  <si>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Saarinen, T.; Meriläinen, S.; Koivukangas, V.; Pietiläinen, K. H.; Juuti, A.</t>
  </si>
  <si>
    <t>10.1186/s13063-019-3898-y</t>
  </si>
  <si>
    <t>Saar, S.; Mihnovitš, V.; Lustenberger, T.; Rauk, M.; Noor, E. H.; Lipping, E.; Isand, K. G.; Lepp, J.; Lomp, A.; Lepner, U.; Talving, P.</t>
  </si>
  <si>
    <t>10.1097/TA.0000000000002086</t>
  </si>
  <si>
    <t>Ryczek, E.; White, J.; Poole, R. L.; Reeves, N. L.; Torkington, J.; Carolan-Rees, G.</t>
  </si>
  <si>
    <t>10.2196/14533</t>
  </si>
  <si>
    <t>Rybakov, E. G.; Pikunov, D. Y.; Fomenko, O. Y.; Chernyshov, S. V.; Shelygin, Y. A.</t>
  </si>
  <si>
    <t>10.1007/s00384-016-2608-4</t>
  </si>
  <si>
    <t>Rutkowski, A.; Zając, L.; Pietrzak, L.; Bednarczyk, M.; Byszek, A.; Oledzki, J.; Olesiński, T.; Szpakowski, M.; Saramak, P.; Chwalinski, M.</t>
  </si>
  <si>
    <t xml:space="preserve">Techniques in Coloproctology
</t>
  </si>
  <si>
    <t>10.1007/s10151-014-1193-1</t>
  </si>
  <si>
    <t>Rutegård, M.; Rutegård, J.; Haapamäki, M. M.</t>
  </si>
  <si>
    <t>10.1136/bmjopen-2018-027255</t>
  </si>
  <si>
    <t>Russolillo, N.; Ferrero, A.; Vigano, L.; Langella, S.; Briozzo, A.; Ferlini, M.; Migliardi, M.; Capussotti, L.</t>
  </si>
  <si>
    <t xml:space="preserve">Updates in Surgery
</t>
  </si>
  <si>
    <t>10.1007/s13304-014-0259-y</t>
  </si>
  <si>
    <t>Rullier, E.; Rouanet, P.; Tuech, J. J.; Valverde, A.; Lelong, B.; Rivoire, M.; Faucheron, J. L.; Jafari, M.; Portier, G.; Meunier, B.; Sileznieff, I.; Prudhomme, M.; Marchal, F.; Pocard, M.; Pezet, D.; Rullier, A.; Vendrely, V.; Denost, Q.; Asselineau, J.; Doussau, A.</t>
  </si>
  <si>
    <t>10.1016/S0140-6736(17)31056-5</t>
  </si>
  <si>
    <t>Royds, J.; O'Riordan, J. M.; Mansour, E.; Eguare, E.; Neary, P.</t>
  </si>
  <si>
    <t>10.1002/bjs.9183</t>
  </si>
  <si>
    <t>Roy, B. L.; Pereira, B.; Bouteloup, C.; Costes, F.; Richard, R.; Selvy, M.; Pétorin, C.; Gagnière, J.; Futier, E.; Slim, K.; Meunier, B.; Mabrut, J. Y.; Mariette, C.; Pezet, D.</t>
  </si>
  <si>
    <t>10.1136/bmjopen-2016-012876</t>
  </si>
  <si>
    <t>Rovers, K. P.; Bakkers, C.; Simkens, G. A. A. M.; Burger, J. W. A.; Nienhuijs, S. W.; Creemers, G. J. M.; Thijs, A. M. J.; Brandt-Kerkhof, A. R. M.; Madsen, E. V. E.; Ayez, N.; De Boer, N. L.; Van Meerten, E.; Tuynman, J. B.; Kusters, M.; Sluiter, N. R.; Verheul, H. M. W.; Van Der Vliet, H. J.; Wiezer, M. J.; Boerma, D.; Wassenaar, E. C. E.; Los, M.; Hunting, C. B.; Aalbers, A. G. J.; Kok, N. F. M.; Kuhlmann, K. F. D.; Boot, H.; Chalabi, M.; Kruijff, S.; Been, L. B.; Van Ginkel, R. J.; De Groot, D. J. A.; Fehrmann, R. S. N.; De Wilt, J. H. W.; Bremers, A. J. A.; De Reuver, P. R.; Radema, S. A.; Herbschleb, K. H.; Van Grevenstein, W. M. U.; Witkamp, A. J.; Koopman, M.; Haj Mohammad, N.; Van Duyn, E. B.; Mastboom, W. J. B.; Mekenkamp, L. J. M.; Nederend, J.; Lahaye, M. J.; Snaebjornsson, P.; Verhoef, C.; Van Laarhoven, H. W. M.; Zwinderman, A. H.; Bouma, J. M.; Kranenburg, O.; Van 'T Erve, I.; Fijneman, R. J. A.; Dijkgraaf, M. G. W.; Hemmer, P. H. J.; Punt, C. J. A.; Tanis, P. J.; De Hingh, I. H. J. T.</t>
  </si>
  <si>
    <t>10.1186/s12885-019-5545-0</t>
  </si>
  <si>
    <t>Rovers, K. P.; Bakkers, C.; Nienhuijs, S. W.; Burger, J. W. A.; Creemers, G. J. M.; Thijs, A. M. J.; Brandt-Kerkhof, A. R. M.; Madsen, E. V. E.; Van Meerten, E.; Tuynman, J. B.; Kusters, M.; Versteeg, K. S.; Aalbers, A. G. J.; Kok, N. F. M.; Buffart, T. E.; Wiezer, M. J.; Boerma, D.; Los, M.; De Reuver, P. R.; Bremers, A. J. A.; Verheul, H. M. W.; Kruijff, S.; De Groot, D. J. A.; Witkamp, A. J.; Van Grevenstein, W. M. U.; Koopman, M.; Nederend, J.; Lahaye, M. J.; Kranenburg, O.; Fijneman, R. J. A.; Van 'T Erve, I.; Snaebjornsson, P.; Hemmer, P. H. J.; Dijkgraaf, M. G. W.; Punt, C. J. A.; Tanis, P. J.; De Hingh, I. H. J. T.</t>
  </si>
  <si>
    <t>10.1001/jamasurg.2021.1642</t>
  </si>
  <si>
    <t>Roulin, D.; Saadi, A.; Di Mare, L.; Demartines, N.; Halkic, N.</t>
  </si>
  <si>
    <t xml:space="preserve">264
</t>
  </si>
  <si>
    <t>10.1097/SLA.0000000000001886</t>
  </si>
  <si>
    <t>Rotigliano, N.; Füglistaler, I.; Guenin, M. O.; Dursunoglu, G. B.; Freiermuth, D.; von Flüe, M.; Steinemann, D. C.</t>
  </si>
  <si>
    <t xml:space="preserve">107
</t>
  </si>
  <si>
    <t>10.1002/bjs.11520</t>
  </si>
  <si>
    <t>Rothenhoefer, S.; Herrle, F.; Herold, A.; Joos, A.; Bussen, D.; Kieser, M.; Schiller, P.; Klose, C.; Seiler, C. M.; Kienle, P.; Post, S.</t>
  </si>
  <si>
    <t>10.1186/1745-6215-13-155</t>
  </si>
  <si>
    <t>Roth, B.; Birkhäuser, F. D.; Zehnder, P.; Burkhard, F. C.; Thalmann, G. N.; Studer, U. E.</t>
  </si>
  <si>
    <t>10.1016/j.eururo.2010.10.030</t>
  </si>
  <si>
    <t>Rosenmüller, M. H.; Nilsson, E.; Lindberg, F.; Åberg, S. O.; Haapamäki, M. M.</t>
  </si>
  <si>
    <t>10.1186/s12876-017-0601-1</t>
  </si>
  <si>
    <t>Rosen, M. J.; Krpata, D. M.; Petro, C. C.; Carbonell, A.; Warren, J.; Poulose, B. K.; Costanzo, A.; Tu, C.; Blatnik, J.; Prabhu, A. S.</t>
  </si>
  <si>
    <t xml:space="preserve">157
</t>
  </si>
  <si>
    <t>10.1001/jamasurg.2021.6902</t>
  </si>
  <si>
    <t>Rørvik, H. D.; Campos, A. H.; Styr, K.; Ilum, L.; McKinstry, G. K.; Brandstrup, B.; Olaison, G.</t>
  </si>
  <si>
    <t xml:space="preserve">63
</t>
  </si>
  <si>
    <t>10.1097/DCR.0000000000001588</t>
  </si>
  <si>
    <t>Rondini, C.; Braun, H.; Alvarez, J.; Urzúa, M. J.; Villegas, R.; Wenzel, C.; Descouvieres, C.</t>
  </si>
  <si>
    <t>10.1007/s00192-015-2666-0</t>
  </si>
  <si>
    <t>Roman, H.; Bubenheim, M.; Huet, E.; Bridoux, V.; Zacharopoulou, C.; Daraï, E.; Collinet, P.; Tuech, J. J.</t>
  </si>
  <si>
    <t>10.1093/humrep/dex336</t>
  </si>
  <si>
    <t>Rohloff, M.; Peifer, G.; Shakuri-Rad, J.; Maatman, T. J.</t>
  </si>
  <si>
    <t>10.1007/s00345-020-03486-4</t>
  </si>
  <si>
    <t>Rogmark, P.; Petersson, U.; Bringman, S.; Eklund, A.; Ezra, E.; Sevonius, D.; Smedberg, S.; Österberg, J.; Montgomery, A.</t>
  </si>
  <si>
    <t xml:space="preserve">258
</t>
  </si>
  <si>
    <t>10.1097/SLA.0b013e31828fe1b2</t>
  </si>
  <si>
    <t>Roebroek, Y. G. M.; Paulus, G. F.; Van Mil, E. G. A. H.; Vreugdenhil, A. C. E.; Winkens, B.; Nederkoorn, C.; Stehouwer, C. D. A.; Greve, J. W. M.; Bouvy, N. D.; Van Heurn, L. W. E.</t>
  </si>
  <si>
    <t>10.1186/s12887-019-1395-9</t>
  </si>
  <si>
    <t>Rodríguez-Covarrubias, F.; González-Ramírez, A.; Aguilar-Davidov, B.; Castillejos-Molina, R.; Sotomayor, M.; Feria-Bernal, G.</t>
  </si>
  <si>
    <t>10.1016/j.juro.2011.02.010</t>
  </si>
  <si>
    <t>Rodríguez, A.; Taurà, P.; García Domingo, M. I.; Herrero, E.; Camps, J.; Forcada, P.; Sabaté, S.; Cugat, E.</t>
  </si>
  <si>
    <t>10.1016/j.surg.2014.09.005</t>
  </si>
  <si>
    <t>Robles-Campos, R.; Lopez-Lopez, V.; Brusadin, R.; Lopez-Conesa, A.; Gil-Vazquez, P. J.; Navarro-Barrios, Á; Parrilla, P.</t>
  </si>
  <si>
    <t>10.1007/s00464-019-06679-0</t>
  </si>
  <si>
    <t>Robert, M.; Poghosyan, T.; Delaunay, D.; Pelascini, E.; Iceta, S.; Sterkers, A.; Barsamian, C.; Khamphommala, L.; Bin Dorel, S.; Maucort-Boulch, D.; Czernichow, S.; Disse, E.</t>
  </si>
  <si>
    <t>10.1136/bmjopen-2020-037576</t>
  </si>
  <si>
    <t>Robert, G.; Descazeaud, A.; Karsenty, G.; Saussine, C.; Azzouzi, A. R.; de la Taille, A.; Desgrandchamps, F.; Faix, A.; Fourmarier, M.; Georget, A.; Benard, A.; Barry Delongchamps, N.</t>
  </si>
  <si>
    <t>10.1007/s00345-018-2193-y</t>
  </si>
  <si>
    <t>Ritch, C. R.; Cookson, M. S.; Clark, P. E.; Chang, S. S.; Fakhoury, K.; Ralls, V.; Thu, M. H.; Penson, D. F.; Smith, J. A.; Silver, H. J.</t>
  </si>
  <si>
    <t>10.1016/j.juro.2018.10.010</t>
  </si>
  <si>
    <t>Ringblom, C.; Odensten, C.; Strigård, K.; Gunnarsson, U.; Näsvall, P.</t>
  </si>
  <si>
    <t>10.1097/SLA.0000000000005537</t>
  </si>
  <si>
    <t>Richter, H. E.; Albo, M. E.; Zyczynski, H. M.; Kenton, K.; Norton, P. A.; Sirls, L. T.; Kraus, S. R.; Chai, T. C.; Lemack, G. E.; Dandreo, K. J.; Varner, R. E.; Menefee, S.; Ghetti, C.; Brubaker, L.; Nygaard, I.; Khandwala, S.; Rozanski, T. A.; Johnson, H.; Schaffer, J.; Stoddard, A. M.; Holley, R. L.; Nager, C. W.; Moalli, P.; Mueller, E.; Arisco, A. M.; Corton, M.; Tennstedt, S.; Chang, T. D.; Gormley, E. A.; Litman, H. J.; Urinary Incontinence Treatment, Network</t>
  </si>
  <si>
    <t xml:space="preserve">New England Journal of Medicine
</t>
  </si>
  <si>
    <t>10.1056/NEJMoa0912658</t>
  </si>
  <si>
    <t>Ribeiro, U., Jr.; Dias, A. R.; Ramos, M. F. K. P.; Yagi, O. K.; Oliveira, R. J.; Pereira, M. A.; Abdalla, R. Z.; Zilberstein, B.; Nahas, S. C.; Cecconello, I.</t>
  </si>
  <si>
    <t>10.1007/s11605-022-05448-0</t>
  </si>
  <si>
    <t>Revie, E. J.; McKeown, D. W.; Wilson, J. A.; Garden, O. J.; Wigmore, S. J.</t>
  </si>
  <si>
    <t>10.1111/j.1477-2574.2012.00490.x</t>
  </si>
  <si>
    <t>Renz, B. W.; Adrion, C.; Klinger, C.; Ilmer, M.; D'Haese, J. G.; Buhr, H. J.; Mansmann, U.; Werner, J.</t>
  </si>
  <si>
    <t>10.1136/bmjopen-2021-056191</t>
  </si>
  <si>
    <t>Reni, M.; Balzano, G.; Zanon, S.; Zerbi, A.; Rimassa, L.; Castoldi, R.; Pinelli, D.; Mosconi, S.; Doglioni, C.; Chiaravalli, M.; Pircher, C.; Arcidiacono, P. G.; Torri, V.; Maggiora, P.; Ceraulo, D.; Falconi, M.; Gianni, L.</t>
  </si>
  <si>
    <t>10.1016/S2468-1253(18)30081-5</t>
  </si>
  <si>
    <t>Ren, Y.; Sun, D.; Pei, L.; Liu, X.; Liu, Y.; Liu, H.</t>
  </si>
  <si>
    <t>10.1016/j.jmig.2021.01.024</t>
  </si>
  <si>
    <t>Reiniers, M. J.; Olthof, P. B.; van Golen, R. F.; Heger, M.; van Beek, A. A.; Meijer, B.; Leen, R.; van Kuilenburg, A. B. P.; Mearadji, B.; Bennink, R. J.; Verheij, J.; van Gulik, T. M.</t>
  </si>
  <si>
    <t xml:space="preserve">162
</t>
  </si>
  <si>
    <t>10.1016/j.surg.2017.01.024</t>
  </si>
  <si>
    <t>Reinhardt, P.; Giger, R.; Seifert, E.; Shelan, M.; Riggenbach, E.; Terribilini, D.; Joosten, A.; Schanne, D. H.; Aebersold, D. M.; Manser, P.; Dettmer, M. S.; Simon, C.; Ozsahin, E. M.; Moeckli, R.; Limacher, A.; Caparrotti, F.; Nair, D.; Bourhis, J.; Broglie, M. A.; Al-Mamgani, A.; Elicin, O.</t>
  </si>
  <si>
    <t>10.1186/s13063-022-06841-5</t>
  </si>
  <si>
    <t>Regueiro, C.; Codesido, L.; García-Nimo, L.; Zarraquiños, S.; Remedios, D.; Rodríguez-Blanco, A.; Sinde, E.; Fernández-De-Ana, C.; Cubiella, J.</t>
  </si>
  <si>
    <t>10.2196/34292</t>
  </si>
  <si>
    <t>Regimbeau, J. M.; Fuks, D.; Pautrat, K.; Mauvais, F.; Haccart, V.; Msika, S.; Mathonnet, M.; Scotté, M.; Paquet, J. C.; Vons, C.; Sielezneff, I.; Millat, B.; Chiche, L.; Dupont, H.; Duhaut, P.; Cossé, C.; Diouf, M.; Pocard, M.</t>
  </si>
  <si>
    <t xml:space="preserve">312
</t>
  </si>
  <si>
    <t xml:space="preserve">JAMA
</t>
  </si>
  <si>
    <t>10.1001/jama.2014.7586</t>
  </si>
  <si>
    <t>Reeves, N.; White, J.; Bird, S.; Shinkwin, M.; Cornish, J.; Torkington, J.</t>
  </si>
  <si>
    <t>10.1111/codi.15984</t>
  </si>
  <si>
    <t>Ratti, F.; Cipriani, F.; Reineke, R.; Catena, M.; Paganelli, M.; Comotti, L.; Beretta, L.; Aldrighetti, L.</t>
  </si>
  <si>
    <t>10.1016/j.hpb.2015.09.005</t>
  </si>
  <si>
    <t>Ratanapornsompong, W.; Pacharatakul, S.; Sangkum, P.; Leenanupan, C.; Kongcharoensombat, W.</t>
  </si>
  <si>
    <t>10.1016/j.ajur.2020.11.002</t>
  </si>
  <si>
    <t>Raos, M.; Roman, H.; Seyer-Hansen, M.; Kesmodel, U. S.; Knudsen, U. B.</t>
  </si>
  <si>
    <t>10.1136/bmjopen-2021-052877</t>
  </si>
  <si>
    <t>Rantalaiho, I.; Laaksonen, I.; Launonen, A. P.; Luokkala, T.; Flinkkilä, T.; Salmela, M.; Adolfsson, L.; Olsen, B.; Isotalo, K.; Ryösä, A.; Äärimaa, V.</t>
  </si>
  <si>
    <t>10.1136/bmjopen-2021-055097</t>
  </si>
  <si>
    <t>Rahr, H. B.; Streym, S.; Kryh-Jensen, C. G.; Hougaard, H. T.; Knudsen, A. S.; Kristensen, S. H.; Ejlersen, E.</t>
  </si>
  <si>
    <t>10.1186/s12957-019-1668-7</t>
  </si>
  <si>
    <t>Rahbari, N. N.; Koch, M.; Zimmermann, J. B.; Elbers, H.; Bruckner, T.; Contin, P.; Reissfelder, C.; Schmidt, T.; Weigand, M. A.; Martin, E.; Büchler, M. W.; Weitz, J.</t>
  </si>
  <si>
    <t xml:space="preserve">253
</t>
  </si>
  <si>
    <t>10.1097/SLA.0b013e318214bee5</t>
  </si>
  <si>
    <t>Rahbari, N. N.; Elbers, H.; Koch, M.; Vogler, P.; Striebel, F.; Bruckner, T.; Mehrabi, A.; Schemmer, P.; Büchler, M. W.; Weitz, J.</t>
  </si>
  <si>
    <t>10.1002/bjs.9387</t>
  </si>
  <si>
    <t>Rahbari, N. N.; Birgin, E.; Sturm, D.; Schwanebeck, U.; Weitz, J.; Reissfelder, C.</t>
  </si>
  <si>
    <t>10.1016/j.hpb.2019.10.1529</t>
  </si>
  <si>
    <t>Radosa, J. C.; Radosa, M. P.; Schweitzer, P. A.; Radosa, C. G.; Stotz, L.; Hamza, A.; Takacs, Z.; Lepper, P. M.; Wagenpfeil, S.; Linxweiler, M.; Morinello, E.; Solomayer, E. F.</t>
  </si>
  <si>
    <t xml:space="preserve">126
</t>
  </si>
  <si>
    <t>10.1111/1471-0528.15826</t>
  </si>
  <si>
    <t>Radosa, J. C.; Radosa, M. P.; Mavrova, R.; Rody, A.; Juhasz-Böss, I.; Bardens, D.; Brün, K.; Solomayer, E. F.; Baum, S.</t>
  </si>
  <si>
    <t>10.1016/j.ejogrb.2013.08.014</t>
  </si>
  <si>
    <t>Rabie, M.; Abdelnaby, M.; Morshed, M.; Shalaby, M.</t>
  </si>
  <si>
    <t>10.1186/s12893-022-01794-7</t>
  </si>
  <si>
    <t>Qiu, X.; Li, Y.; Chen, M.; Xu, L.; Guo, S.; Marra, G.; Elliot Rosenberg, J.; Ma, H.; Li, X.; Guo, H.</t>
  </si>
  <si>
    <t>10.1111/bju.15195</t>
  </si>
  <si>
    <t>Qi, S.; Chen, G.; Cao, P.; Hu, J.; He, G.; Luo, J.; He, J.; Peng, X.</t>
  </si>
  <si>
    <t>10.1002/jcla.22434</t>
  </si>
  <si>
    <t>Qi, B.; Wang, X. Q.; Pan, S. T.; Li, P. Y.; Chen, L. K.; Xia, Q.; Yang, L. Q.; Yu, W. F.</t>
  </si>
  <si>
    <t>10.3748/WJG.V27.I4.345</t>
  </si>
  <si>
    <t>Puckett, J. R.; Pickering, J. W.; Palmer, S. C.; McCall, J. L.; Kluger, M. T.; De Zoysa, J.; Endre, Z. H.; Soop, M.</t>
  </si>
  <si>
    <t xml:space="preserve">265
</t>
  </si>
  <si>
    <t>10.1097/SLA.0000000000002044</t>
  </si>
  <si>
    <t>Probst, P.; Tran, D. T. A.; Hüttner, F. J.; Harnoss, J. C.; Heger, P.; Ritter, A. S.; Doerr-Harim, C.; Mihaljevic, A. L.; Knebel, P.; Schneider, M.; Büchler, M. W.; Diener, M. K.</t>
  </si>
  <si>
    <t xml:space="preserve">405
</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</si>
  <si>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</si>
  <si>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</si>
  <si>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</si>
  <si>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</si>
  <si>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</si>
  <si>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Price, B. A.; Bednarski, B. K.; You, Y. N.; Manandhar, M.; Dean, E. M.; Alawadi, Z. M.; Bryce Speer, B.; Gottumukkala, V.; Weldon, M.; Massey, R. L.; Wang, X.; Qiao, W.; Chang, G. J.</t>
  </si>
  <si>
    <t>10.1136/bmjopen-2017-015960</t>
  </si>
  <si>
    <t>Pranavi, A. R.; Sureshkumar, S.; Mahalakshmy, T.; Kundra, P.; Kate, V.</t>
  </si>
  <si>
    <t>10.1007/s11605-021-05184-x</t>
  </si>
  <si>
    <t>Prakash, J.; Singh, V.; Kumar, M.; Sinha, R. J.; Sankhwar, S.</t>
  </si>
  <si>
    <t xml:space="preserve">42
</t>
  </si>
  <si>
    <t xml:space="preserve">Urolithiasis
</t>
  </si>
  <si>
    <t>10.1007/s00240-013-0624-1</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</si>
  <si>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</si>
  <si>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</si>
  <si>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</si>
  <si>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 xml:space="preserve">268
</t>
  </si>
  <si>
    <t>10.1097/SLA.0000000000002893</t>
  </si>
  <si>
    <t>Postma, E. L.; Verkooijen, H. M.; Van Esser, S.; Hobbelink, M. G.; Van Der Schelling, G. P.; Koelemij, R.; Witkamp, A. J.; Contant, C.; Van Diest, P. J.; Willems, S. M.; Rinkes, I. H. M. B.; Van Den Bosch, M. A. A. J.; Mali, W. P.; Van Hillegersberg, R.</t>
  </si>
  <si>
    <t>10.1007/s10549-012-2225-z</t>
  </si>
  <si>
    <t>Postlewait, L. M.; Farley, C. R.; Diller, M. L.; Martin, B.; Hart Squires, M., III; Russell, M. C.; Rizzo, M.; Ogan, K.; Master, V.; Delman, K.</t>
  </si>
  <si>
    <t>10.1245/s10434-017-5971-7</t>
  </si>
  <si>
    <t>Porta, A.; Aiolfi, A.; Musolino, C.; Antonini, I.; Zappa, M. A.</t>
  </si>
  <si>
    <t>10.1007/s11695-016-2338-2</t>
  </si>
  <si>
    <t>Porserud, A.; Karlsson, P.; Rydwik, E.; Aly, M.; Henningsohn, L.; Nygren-Bonnier, M.; Hagströmer, M.</t>
  </si>
  <si>
    <t>10.1186/s12885-020-07140-5</t>
  </si>
  <si>
    <t>Porcaro, A. B.; Siracusano, S.; Bizzotto, L.; Sebben, M.; Cacciamani, G. E.; De Luyk, N.; Corsi, P.; Tafuri, A.; Processali, T.; Mattevi, D.; Cerruto, M. A.; Brunelli, M.; Novella, G.; De Marco, V.; Artibani, W.</t>
  </si>
  <si>
    <t>10.1089/end.2018.0176</t>
  </si>
  <si>
    <t>Ponten, J. E. H.; Leenders, B. J. M.; Leclercq, W. K. G.; Lettinga, T.; Heemskerk, J.; Konsten, J. L. M.; Castelijns, P. S. S.; Nienhuijs, S. W.</t>
  </si>
  <si>
    <t>10.1007/s00268-017-4297-8</t>
  </si>
  <si>
    <t>Ponsioen, C. Y.; de Groof, E. J.; Eshuis, E. J.; Gardenbroek, T. J.; Bossuyt, P. M. M.; Hart, A.; Warusavitarne, J.; Buskens, C. J.; van Bodegraven, A. A.; Brink, M. A.; Consten, E. C. J.; van Wagensveld, B. A.; Rijk, M. C. M.; Crolla, R. M. P. H.; Noomen, C. G.; Houdijk, A. P. J.; Mallant, R. C.; Boom, M.; Marsman, W. A.; Stockmann, H. B.; Mol, B.; de Groof, A. J.; Stokkers, P. C.; D'Haens, G. R.; Bemelman, W. A.; Bruin, K.; Maring, J.; van Ditzhuijsen, T.; Prins, H.; van den Brande, J.; Kingma, P.; van Geloven, A.; de Boer, N.; van der Peet, D.; Jansen, J.; Gerhards, M.; van der Woude, J.; Schouten, R.; Oldenburg, B.; van Hillegersberg, R.; West, R.; Mannaerts, G.; Spanier, M.; Spillenaar Bilgen, E. J.; Lieverse, R.; van der Zaag, E.; Depla, A.; van de Laar, A.; Bolwerk, C.; Brouwer, H.; Mahmmod, N.; Hazebroek, E.; Vecht, J.; Pierik, R.; Dijkstra, G.; Hofker, S.; Uiterwaal, T.; Eijsbouts, Q.; Oostenbrug, L.; Sosef, M.; Cahen, D.; van der Werff, S.; Marinelli, A.; Peters, J.; Cense, H.; Talstra, N.; Morar, P.; group, Lir C. study; group, Lir C. study</t>
  </si>
  <si>
    <t>10.1016/S2468-1253(17)30248-0</t>
  </si>
  <si>
    <t>Plante, M.; Gilling, P.; Barber, N.; Bidair, M.; Anderson, P.; Sutton, M.; Aho, T.; Kramolowsky, E.; Thomas, A.; Cowan, B.; Kaufman, R. P., Jr.; Trainer, A.; Arther, A.; Badlani, G.; Desai, M.; Doumanian, L.; Te, A. E.; DeGuenther, M.; Roehrborn, C.</t>
  </si>
  <si>
    <t>10.1111/bju.14426</t>
  </si>
  <si>
    <t>Plank, L. D.; Mathur, S.; Gane, E. J.; Peng, S. L.; Gillanders, L. K.; McIlroy, K.; Chavez, C. P.; Calder, P. C.; McCall, J. L.</t>
  </si>
  <si>
    <t>10.1002/hep.27433</t>
  </si>
  <si>
    <t>Planellas, P.; Marinello, F.; Elorza, G.; Golda, T.; Farrés, R.; Espín-Basany, E.; Enríquez-Navascués, J. M.; Kreisler, E.; Cornejo, L.; Codina-Cazador, A.</t>
  </si>
  <si>
    <t>10.1097/SLA.0000000000005161</t>
  </si>
  <si>
    <t>Planellas, P.; Farrés, R.; Cornejo, L.; Rodríguez-Hermosa, J. I.; Pigem, A.; Timoteo, A.; Ortega, N.; Codina-Cazador, A.</t>
  </si>
  <si>
    <t>10.1016/j.ijsu.2020.09.039</t>
  </si>
  <si>
    <t>Pizza, F.; D’Antonio, D.; Lucido, F. S.; Tolone, S.; Del Genio, G.; Dell’Isola, C.; Docimo, L.; Gambardella, C.</t>
  </si>
  <si>
    <t>10.1007/s11695-020-04801-z</t>
  </si>
  <si>
    <t>Pizza, F.; D’Antonio, D.; Lucido, F. S.; Gambardella, C.; Carbonell Asíns, J. A.; Dell’Isola, C.; Tolone, S.</t>
  </si>
  <si>
    <t>10.1007/s00464-020-07811-1</t>
  </si>
  <si>
    <t>Pizza, F.; D’Antonio, D.; Lucido, F. S.; Del Rio, P.; Dell’Isola, C.; Brusciano, L.; Tolone, S.; Docimo, L.; Gambardella, C.</t>
  </si>
  <si>
    <t xml:space="preserve">Hernia
</t>
  </si>
  <si>
    <t>10.1007/s10029-022-02579-w</t>
  </si>
  <si>
    <t>Pizza, F.; D’Antonio, D.; Arcopinto, M.; Dell’Isola, C.; Marvaso, A.</t>
  </si>
  <si>
    <t>10.1007/s10029-019-02025-4</t>
  </si>
  <si>
    <t>Pirie, K.; Doane, M. A.; Riedel, B.; Myles, P. S.</t>
  </si>
  <si>
    <t xml:space="preserve">77
</t>
  </si>
  <si>
    <t xml:space="preserve">Anaesthesia
</t>
  </si>
  <si>
    <t>10.1111/anae.15651</t>
  </si>
  <si>
    <t>Piovano, E.; Pagano, E.; Piano, E. D.; Rinaldi, F.; Palazzo, V.; Coata, P.; Bongiovanni, D.; Rolfo, M.; Giannone, L. C.; Veliaj, D.; Camanni, M.; Puppo, A.; Ciccone, G.</t>
  </si>
  <si>
    <t>10.1371/journal.pone.0268655</t>
  </si>
  <si>
    <t>Piessen, G.; Messager, M.; Le Malicot, K.; Robb, W. B.; Di Fiore, F.; Guilbert, M.; Moreau, M.; Christophe, V.; Adenis, A.; Mariette, C.</t>
  </si>
  <si>
    <t>10.1186/1471-2407-13-281</t>
  </si>
  <si>
    <t>Pickard, R.; Goulao, B.; Carnell, S.; Shen, J.; Maclennan, G.; Norrie, J.; Breckons, M.; Vale, L.; Whybrow, P.; Rapley, T.; Forbes, R.; Currer, S.; Forrest, M.; Wilkinson, J.; McColl, E.; Andrich, D.; Barclay, S.; Cook, J.; Mundy, A.; N’Dow, J.; Payne, S.; Watkin, N.</t>
  </si>
  <si>
    <t>10.3310/hta24610</t>
  </si>
  <si>
    <t>Petrowsky, H.; McCormack, L.; Trujillo, M.; Selzner, M.; Jochum, W.; Clavien, P. A.</t>
  </si>
  <si>
    <t xml:space="preserve">2006
</t>
  </si>
  <si>
    <t>10.1097/01.sla.0000246834.07130.5d</t>
  </si>
  <si>
    <t>Petrowsky, H.; Breitenstein, S.; Slankamenac, K.; Vetter, D.; Lehmann, K.; Heinrich, S.; Deoliveira, M. L.; Jochum, W.; Weishaupt, D.; Frauenfelder, T.; Graf, R.; Clavien, P. A.</t>
  </si>
  <si>
    <t xml:space="preserve">252
</t>
  </si>
  <si>
    <t>10.1097/SLA.0b013e3181fcbc5e</t>
  </si>
  <si>
    <t>Peters, E. G.; Smeets, B. J. J.; Nors, J.; Back, C. M.; Funder, J. A.; Sommer, T.; Laurberg, S.; Løve, U. S.; Leclercq, W. K. G.; Slooter, G. D.; de Vries Reilingh, T. S.; Wegdam, J. A.; Nieuwenhuijzen, G. A. P.; Hiligsmann, M.; Buise, M. P.; Buurman, W. A.; de Jonge, W. J.; Rutten, H. J. T.; Luyer, M. D. P.</t>
  </si>
  <si>
    <t>10.1016/S2468-1253(18)30031-1</t>
  </si>
  <si>
    <t>Peterli, R.; Borbély, Y.; Kern, B.; Gass, M.; Peters, T.; Thurnheer, M.; Schultes, B.; Laederach, K.; Bueter, M.; Schiesser, M.</t>
  </si>
  <si>
    <t>10.1097/SLA.0b013e3182a67426</t>
  </si>
  <si>
    <t>Pessaux, P.; Sauvanet, A.; Mariette, C.; Paye, F.; Muscari, F.; Cunha, A. S.; Sastre, B.; Arnaud, J. P.</t>
  </si>
  <si>
    <t>10.1097/SLA.0b013e31821219af</t>
  </si>
  <si>
    <t>Pessaux, P.; Regimbeau, J. M.; Dondéro, F.; Plasse, M.; Mantz, J.; Belghiti, J.</t>
  </si>
  <si>
    <t>10.1002/bjs.5728</t>
  </si>
  <si>
    <t>Perinel, J.; Mariette, C.; Dousset, B.; Sielezneff, I.; Gainant, A.; Mabrut, J. Y.; Bin-Dorel, S.; El Bechwaty, M.; Delaunay, D.; Bernard, L.; Sauvanet, A.; Pocard, M.; Buc, E.; Adham, M.</t>
  </si>
  <si>
    <t>10.1097/SLA.0000000000001896</t>
  </si>
  <si>
    <t>Peng, Z.; Xia, J.; Yin, N.; Xue, H.</t>
  </si>
  <si>
    <t>10.21037/apm-21-1932</t>
  </si>
  <si>
    <t>Peng, Y.; Yang, Y.; Chen, K.; Li, B.; Zhang, Y.; Xu, H.; Guo, S.; Wei, Y.; Liu, F.</t>
  </si>
  <si>
    <t>10.1016/j.ijsu.2022.106961</t>
  </si>
  <si>
    <t>Peng, M.; Yi, L.; Wang, Y.</t>
  </si>
  <si>
    <t>10.1016/j.urology.2014.08.038</t>
  </si>
  <si>
    <t>Pellino, G.; Solís-Peña, A.; Kraft, M.; Huguet, B. M.; Espín-Basany, E.</t>
  </si>
  <si>
    <t>10.1111/codi.15681</t>
  </si>
  <si>
    <t>Pellegrini, P.; Campana, J. P.; Dietrich, A.; Goransky, J.; Glinka, J.; Giunta, D.; Barcan, L.; Alvarez, F.; Mazza, O.; Claria, R. S.; Palavecino, M.; Arbues, G.; Ardiles, V.; de Santibañes, E.; Pekolj, J.; de Santibañes, M.</t>
  </si>
  <si>
    <t>10.1136/BMJOPEN-2015-009502</t>
  </si>
  <si>
    <t>Pavlovic, G.; Diaper, J.; Ellenberger, C.; Frei, A.; Bendjelid, K.; Bonhomme, F.; Licker, M.</t>
  </si>
  <si>
    <t xml:space="preserve">Journal of Clinical Monitoring and Computing
</t>
  </si>
  <si>
    <t>10.1007/s10877-015-9691-x</t>
  </si>
  <si>
    <t>Paterson, H. M.; Cotton, S.; Norrie, J.; Nimmo, S.; Foo, I.; Balfour, A.; Speake, D.; MacLennan, G.; Stoddart, A.; Innes, K.; Cameron, S.; Aucott, L.; McCormack, K.</t>
  </si>
  <si>
    <t>10.1186/s13063-022-06021-5</t>
  </si>
  <si>
    <t>Pastore, A. L.; Palleschi, G.; Silvestri, L.; Leto, A.; Sacchi, K.; Pacini, L.; Petrozza, V.; Carbone, A.</t>
  </si>
  <si>
    <t>10.1089/end.2013.0033</t>
  </si>
  <si>
    <t>Pasquier, E. K.; Andersson, E.</t>
  </si>
  <si>
    <t xml:space="preserve">Surgery for Obesity and Related Diseases
</t>
  </si>
  <si>
    <t>10.1016/j.soard.2017.11.017</t>
  </si>
  <si>
    <t>Partelli, S.; Barugola, G.; Sartori, A.; Crippa, S.; Falconi, M.; Ruffo, G.</t>
  </si>
  <si>
    <t>10.1007/s00595-015-1182-7</t>
  </si>
  <si>
    <t>Park, Y. H.; Kim, K. T.; Ko, K.; Kim, H. H.</t>
  </si>
  <si>
    <t>10.1007/s00345-014-1322-5</t>
  </si>
  <si>
    <t>Park, Y.; Ko, J. H.; Kang, D. R.; Lee, J. H.; Hwang, D. W.; Lee, J. H.; Lee, W.; Kwon, J.; Park, S. N.; Song, K. B.; Kim, S. C.</t>
  </si>
  <si>
    <t>10.3390/jcm9103085</t>
  </si>
  <si>
    <t>Park, S. Y.; Ha, G. W.; Lee, S. Y.; Kim, C. H.; Son, G. M.</t>
  </si>
  <si>
    <t>10.1186/s13063-023-07162-x</t>
  </si>
  <si>
    <t>Park, S. H.; Hyung, W. J.; Yang, H. K.; Park, Y. K.; Lee, H. J.; An, J. Y.; Kim, W.; Kim, H. I.; Kim, H. H.; Ryu, S. W.; Hur, H.; Kim, M. C.; Kong, S. H.; Cho, G. S.; Kim, J. J.; Park, D. J.; Kim, Y. W.; Kim, J. W.; Lee, J. H.; Han, S. U.; Ryu, K. W.</t>
  </si>
  <si>
    <t>10.1093/bjs/znad002</t>
  </si>
  <si>
    <t>Park, S. H.; Huh, H.; Choi, S. I.; Kim, J. H.; Jang, Y. J.; Park, J. M.; Kwon, O. K.; Jung, M. R.; Jeong, O.; Lee, C. M.; Min, J. S.; Kim, J. J.; An, L.; Yang, K. S.; Park, S.; Lee, I. O.; Lee, Y.; Park, S. H.; Yi, J. W.; Kim, Y. S.; Bae, H. B.; Jung, Y. H.; Jung, H.; Choi, Y. J.; Kim, E. J.; Kim, D. A.; Yoon, S. Z.</t>
  </si>
  <si>
    <t>10.1097/XCS.0000000000000061</t>
  </si>
  <si>
    <t>Park, J. Y.; Kim, Y. W.; Ryu, K. W.; Nam, B. H.; Lee, Y. J.; Jeong, S. H.; Park, J. H.; Hur, H.; Han, S. U.; Min, J. S.; An, J. Y.; Hyung, W. J.; Cho, G. S.; Jeong, G. A.; Jeong, O.; Park, Y. K.; Jung, M. R.; Yoon, H. M.; Eom, B. W.</t>
  </si>
  <si>
    <t>10.1186/s12885-016-2336-8</t>
  </si>
  <si>
    <t>Park, J. Y.; Kang, O. J.; Lee, Y. Y.; Kim, Y. S.</t>
  </si>
  <si>
    <t>10.1136/ijgc-2023-004403</t>
  </si>
  <si>
    <t>Park, J. S.; Lee, S. M.; Choi, G. S.; Park, S. Y.; Kim, H. J.; Song, S. H.; Min, B. S.; Kim, N. K.; Kim, S. H.; Lee, K. Y.</t>
  </si>
  <si>
    <t xml:space="preserve">278
</t>
  </si>
  <si>
    <t>10.1097/SLA.0000000000005788</t>
  </si>
  <si>
    <t>Park, J. S.; Lee, D. H.; Jang, J. Y.; Han, Y.; Yoon, D. S.; Kim, J. K.; Han, H. S.; Yoon, Y.; Hwang, D.; Kang, C. M.; Hwang, H. K.; Lee, W. J.; Heo, J.; Chang, Y. R.; Kang, M. J.; Shin, Y. C.; Chang, J.; Kim, H.; Jung, W.; Kim, S. W.</t>
  </si>
  <si>
    <t>10.1002/jhbp.310</t>
  </si>
  <si>
    <t>Park, J. S.; Choi, G. S.; Park, S. Y.; Kim, H. J.; Ryuk, J. P.</t>
  </si>
  <si>
    <t>10.1002/bjs.8841</t>
  </si>
  <si>
    <t>Park, J.; Kim, M.; Park, Y. H.; Shim, J. W.; Lee, H. M.; Kim, Y. S.; Moon, Y. E.; Hong, S. H.; Chae, M. S.</t>
  </si>
  <si>
    <t>10.1136/bmjopen-2020-039881</t>
  </si>
  <si>
    <t>Park, H. C.; Kim, M. J.; Lee, B. H.</t>
  </si>
  <si>
    <t>10.1002/bjs.10660</t>
  </si>
  <si>
    <t>Park, E. J.; Baek, J. H.; Choi, G. S.; Park, W. C.; Yu, C. S.; Kang, S. B.; Min, B. S.; Kim, J. H.; Kim, H. R.; Lee, B. H.; Oh, J. H.; Jeong, S. Y.; Jung, M.; Ahn, J. B.; Baik, S. H.</t>
  </si>
  <si>
    <t>10.3390/cancers12082306</t>
  </si>
  <si>
    <t>Park, D. J.; Kim, Y. W.; Yang, H. K.; Ryu, K. W.; Han, S. U.; Kim, H. H.; Hyung, W. J.; Park, J. H.; Suh, Y. S.; Kwon, O. K.; Yoon, H. M.; Kim, W.; Park, Y. K.; Kong, S. H.; Ahn, S. H.; Lee, H. J.</t>
  </si>
  <si>
    <t>10.1093/bjs/znab295</t>
  </si>
  <si>
    <t>Parekh, D. J.; Messer, J.; Fitzgerald, J.; Ercole, B.; Svatek, R.</t>
  </si>
  <si>
    <t>10.1016/j.juro.2012.09.077</t>
  </si>
  <si>
    <t>Panici, P. B.; Palaia, I.; Bellati, F.; Pernice, M.; Angioli, R.; Muzii, L.</t>
  </si>
  <si>
    <t>10.1097/01.AOG.0000275265.99653.64</t>
  </si>
  <si>
    <t>Pan, S. B.; Geng, W.; Zhou, D. C.; Chen, J. M.; Zhao, H. C.; Liu, F. B.; Xie, S. X.; Hou, H.; Zhao, Y. J.; Xie, K.; Wang, G. B.; Geng, X. P.</t>
  </si>
  <si>
    <t>10.1186/s13063-016-1517-8</t>
  </si>
  <si>
    <t>Pamecha, V.; Sandhyav, R.; Sinha, P. K.; Bharathy, K. G. S.; Sasturkar, S.</t>
  </si>
  <si>
    <t xml:space="preserve">Transplantation
</t>
  </si>
  <si>
    <t>10.1097/TP.0000000000002088</t>
  </si>
  <si>
    <t>Palomba, S.; Oppedisano, R.; Torella, M.; Falbo, A.; Maiorana, A.; Materazzo, C.; Tartaglia, E.; Tolino, A.; Mastrantonio, P.; Alio, L.; Colacurci, N.; Zullo, F.</t>
  </si>
  <si>
    <t>10.1016/j.ejogrb.2012.03.038</t>
  </si>
  <si>
    <t>Pallisera-Lloveras, A.; Planelles-Soler, P.; Hannaoui, N.; Mora-López, L.; Muñoz-Rodriguez, J.; Serra-Pla, S.; Dominguez-Garcia, A.; Prats-López, J.; Navarro-Soto, S.; Serra-Aracil, X.; Hidalgo, M.; Del Pino, C.; Macias, I.; Ballesteros, E.; Casalots, À; Martinez-Bauer, E.</t>
  </si>
  <si>
    <t>10.1186/s12894-019-0501-5</t>
  </si>
  <si>
    <t>Palanivelu, C.; Senthilnathan, P.; Sabnis, S. C.; Babu, N. S.; Srivatsan Gurumurthy, S.; Anand Vijai, N.; Nalankilli, V. P.; Praveen Raj, P.; Parthasarathy, R.; Rajapandian, S.</t>
  </si>
  <si>
    <t>10.1002/bjs.10662</t>
  </si>
  <si>
    <t>Palaia, I.; Caruso, G.; Perniola, G.; Di Donato, V.; Brunelli, R.; Vestri, A.; Scudo, M.; Gentile, G.; Musella, A.; Benedetti Panici, P.; Muzii, L.</t>
  </si>
  <si>
    <t>10.1080/14767058.2023.2203795</t>
  </si>
  <si>
    <t>Pajecki, D.; Dantas, A. C. B.; Kanaji, A. L.; de Oliveira, D. R. C. F.; de Cleva, R.; Santo, M. A.</t>
  </si>
  <si>
    <t>10.1016/j.soard.2020.05.030</t>
  </si>
  <si>
    <t>Paireder, M.; Asari, R.; Kristo, I.; Rieder, E.; Zacherl, J.; Kabon, B.; Fleischmann, E.; Schoppmann, S. F.</t>
  </si>
  <si>
    <t>10.1007/s10353-018-0552-y</t>
  </si>
  <si>
    <t>Pagano, D.; Bosch, J.; Tuzzolino, F.; Oliva, E.; Ekser, B.; Zito, G.; Cintorino, D.; di Francesco, F.; Li Petri, S.; Ricotta, C.; Bonsignore, P.; Calamia, S.; Magro, B.; Trifirò, G.; Alduino, R.; Barbara, M.; Conaldi, P. G.; Gallo, A.; Venuti, F.; Luca, A.; Gruttadauria, S.</t>
  </si>
  <si>
    <t xml:space="preserve">106
</t>
  </si>
  <si>
    <t>10.1097/TP.0000000000004220</t>
  </si>
  <si>
    <t>Pacelli, F.; Gerardi, C.; Rulli, E.; Abatini, C.; Rotolo, S.; Garattini, S.; Melotti, G.; Torri, V.; Galli, F.; Rulli, E.; Di Giorgio, A.</t>
  </si>
  <si>
    <t>10.1136/bmjopen-2021-051324</t>
  </si>
  <si>
    <t>Oztekin, U.; Caniklioglu, M.; Selmi, V.; Kantekin, C. U.; Atac, F.; Gurel, A.; Sari, S.</t>
  </si>
  <si>
    <t xml:space="preserve">Journal of Laparoendoscopic and Advanced Surgical Techniques
</t>
  </si>
  <si>
    <t>10.1089/lap.2019.0548</t>
  </si>
  <si>
    <t>Oztekin, U.; Caniklioglu, M.; Atac, F.; Kantekin, C. U.; Gurel, A.; Isikay, L.</t>
  </si>
  <si>
    <t xml:space="preserve">Urology Journal
</t>
  </si>
  <si>
    <t>10.22037/uj.v0i0.5638</t>
  </si>
  <si>
    <t>Oughton, J. B.; Poad, H.; Twiddy, M.; Collinson, M.; Hiley, V.; Gordon, K.; Johnson, M.; Jain, S.; Noon, A. P.; Chahal, R.; Simms, M.; Dooldeniya, M.; Koenig, P.; Goodwin, L.; Brown, J. M.; Catto, J. W. F.</t>
  </si>
  <si>
    <t>10.1136/bmjopen-2017-017913</t>
  </si>
  <si>
    <t>Oudmaijer, C. A. J.; Minnee, R. C.; Pol, R. A.; van den Boogaard, W. M. C.; Komninos, D. S. J.; van de Wetering, J.; van Heugten, M. H.; Hoorn, E. J.; Sanders, J. S. F.; Hoeijmakers, J. H. J.; Vermeij, W. P.; Ijzermans, J. N. M.</t>
  </si>
  <si>
    <t>10.1186/s13063-021-05950-x</t>
  </si>
  <si>
    <t>Oudmaijer, C. A. J.; Boogaard, W. M. C. V. D.; Komninos, D. S. J.; Verwaaijen, E. J.; Santen, H. M. V.; Lilien, M. R.; Hoeijmakers, J. H. J.; Wijnen, M. H. W.; Heuvel-Eibrink, M. M. V. D.; Vermeij, W. P.</t>
  </si>
  <si>
    <t xml:space="preserve">Frontiers in Pediatrics
</t>
  </si>
  <si>
    <t>10.3389/fped.2022.828615</t>
  </si>
  <si>
    <t>Ottenhoff, J. S. E.; Teunis, T.; Braakenburg, A.; Mink van der Molen, A. B.</t>
  </si>
  <si>
    <t>10.1186/s13063-021-05283-9</t>
  </si>
  <si>
    <t>Ostermann, S.; Morel, P.; Chalé, J. J.; Bucher, P.; Konrad, B.; Meier, R. P. H.; Ris, F.; Schiffer, E. R. C.</t>
  </si>
  <si>
    <t>10.1097/DCR.0000000000001442</t>
  </si>
  <si>
    <t>Ospanov, O.; Akilzhanova, A.; Buchwald, J. N.; Fursov, A.; Bekmurzinova, F.; Rakhimova, S.; Yeleuov, G.; Kozhamkulov, U.; Abdina, Z.; Fursov, R.; Jumayeva, L.</t>
  </si>
  <si>
    <t>10.1007/s11695-021-05454-2</t>
  </si>
  <si>
    <t>Oshikiri, T.; Takiguchi, G.; Miura, S.; Takase, N.; Hasegawa, H.; Yamamoto, M.; Kanaji, S.; Yamashita, K.; Matsuda, Y.; Matsuda, T.; Nakamura, T.; Suzuki, S.; Kakeji, Y.</t>
  </si>
  <si>
    <t>10.1186/s13063-019-3750-4</t>
  </si>
  <si>
    <t>Örtegren, J.; Holmberg, J. T.; Lekås, E.; Mana, S.; Mårtensson, S.; Richthoff, J.; Sundqvist, P.; Kjölhede, H.; Bratt, O.; Liedberg, F.</t>
  </si>
  <si>
    <t xml:space="preserve">53
</t>
  </si>
  <si>
    <t>10.1080/21681805.2019.1628102</t>
  </si>
  <si>
    <t>Onoe, S.; Yokoyama, Y.; Ebata, T.; Igami, T.; Mizuno, T.; Yamaguchi, J.; Watanabe, N.; Suzuki, S.; Nishiwaki, K.; Ando, M.; Nagino, M.</t>
  </si>
  <si>
    <t>10.1245/s10434-020-08745-7</t>
  </si>
  <si>
    <t>Onerup, A.; Andersson, J.; Angenete, E.; Bock, D.; Börjesson, M.; Ehrencrona, C.; Fagevik Olsén, M.; Larsson, P. A.; De La Croix, H.; Wedin, A.; Haglind, E.</t>
  </si>
  <si>
    <t>10.1097/SLA.0000000000004901</t>
  </si>
  <si>
    <t>Omran, M.; Sakr, A.; Desoky, E. A. E.; Ali, M. M.; Abdalla, M. M. H.</t>
  </si>
  <si>
    <t xml:space="preserve">Arab Journal of Urology
</t>
  </si>
  <si>
    <t>10.1080/2090598X.2020.1738105</t>
  </si>
  <si>
    <t>Omori, T.; Yamamoto, K.; Hara, H.; Shinno, N.; Yamamoto, M.; Sugimura, K.; Wada, H.; Takahashi, H.; Yasui, M.; Miyata, H.; Ohue, M.; Yano, M.; Sakon, M.</t>
  </si>
  <si>
    <t>10.1007/s00464-020-07955-0</t>
  </si>
  <si>
    <t>Ommundsen, N.; Wyller, T. B.; Nesbakken, A.; Bakka, A. O.; Jordhøy, M. S.; Skovlund, E.; Rostoft, S.</t>
  </si>
  <si>
    <t>10.1111/codi.13785</t>
  </si>
  <si>
    <t>Okcu, G.; Ozkayin, N.; Okta, C.; Topcu, I.; Aktuglu, K.</t>
  </si>
  <si>
    <t>10.1007/s11999-013-2948-0</t>
  </si>
  <si>
    <t>Okamura, A.; Watanabe, M.; Kitazono, S.; Manoshiro, H.; Kasama, E.; Takahashi, K.; Toihata, T.; Otake, R.; Kozuki, R.; Imamura, Y.; Yamahara, Y.; Ishizuka, N.</t>
  </si>
  <si>
    <t>10.1159/000506512</t>
  </si>
  <si>
    <t>Okada, K. I.; Kawai, M.; Hirono, S.; Sho, M.; Tani, M.; Matsumoto, I.; Yamada, S.; Amano, R.; Toyama, H.; Yamashita, Y. I.; Gocho, T.; Shibuya, K.; Nagai, M.; Maehira, H.; Kamei, K.; Ohira, G.; Shirai, Y.; Takami, H.; Kimura, N.; Fukumoto, T.; Baba, H.; Kodera, Y.; Nakao, A.; Shimokawa, T.; Katsuda, M.; Yamaue, H.</t>
  </si>
  <si>
    <t>10.1186/s13063-021-05523-y</t>
  </si>
  <si>
    <t>Okada, K. I.; Kawai, M.; Hirono, S.; Fujii, T.; Kodera, Y.; Sho, M.; Nakajima, Y.; Satoi, S.; Kwon, A. H.; Shimizu, Y.; Ambo, Y.; Kondo, N.; Murakami, Y.; Ohuchida, J.; Eguchi, H.; Nagano, H.; Oba, M. S.; Morita, S.; Sakamoto, J.; Yamaue, H.; Japan, P. D. Investigators</t>
  </si>
  <si>
    <t xml:space="preserve">159
</t>
  </si>
  <si>
    <t>10.1016/j.surg.2015.11.019</t>
  </si>
  <si>
    <t>Okabayashi, T.; Sui, K.; Mastumoto, T.; Iwata, J.; Morita, S.; Iiyama, T.; Shimada, Y.</t>
  </si>
  <si>
    <t>10.1002/jpen.1720</t>
  </si>
  <si>
    <t>Ojima, T.; Nakamura, M.; Hayata, K.; Kitadani, J.; Katsuda, M.; Takeuchi, A.; Tominaga, S.; Nakai, T.; Nakamori, M.; Ohi, M.; Kusunoki, M.; Yamaue, H.</t>
  </si>
  <si>
    <t>10.1001/jamasurg.2021.3182</t>
  </si>
  <si>
    <t>Ojima, T.; Nakamura, M.; Hayata, K.; Kitadani, J.; Katsuda, M.; Nakamori, M.; Takeuchi, A.; Maruoka, S.; Fukuda, N.; Tominaga, S.; Motobayashi, H.; Yamaue, H.</t>
  </si>
  <si>
    <t>10.18632/oncotarget.27643</t>
  </si>
  <si>
    <t>Ojima, T.; Nakamori, M.; Nakamura, M.; Katsuda, M.; Hayata, K.; Kato, T.; Kitadani, J.; Tabata, H.; Takeuchi, A.; Yamaue, H.</t>
  </si>
  <si>
    <t>10.1002/bjs.10548</t>
  </si>
  <si>
    <t>Ohkura, Y.; Ueno, M.; Shindoh, J.; Iizuka, T.; Udagawa, H.</t>
  </si>
  <si>
    <t xml:space="preserve">Diseases of the Esophagus
</t>
  </si>
  <si>
    <t>10.1093/dote/doy084</t>
  </si>
  <si>
    <t>Oh, S. Y.; Choi, B.; Lee, K. G.; Choe, H. N.; Lee, H. J.; Suh, Y. S.; Kong, S. H.; Lee, H. J.; Kim, W. H.; Yang, H. K.</t>
  </si>
  <si>
    <t>10.1245/s10434-016-5518-3</t>
  </si>
  <si>
    <t>Oh, E. J.; Han, S.; Lee, S.; Choi, E. A.; Ko, J. S.; Gwak, M. S.; Kim, G. S.</t>
  </si>
  <si>
    <t>10.1038/s41598-022-23930-2</t>
  </si>
  <si>
    <t>O’Connell, S.; Islam, S.; Sewell, B.; Farr, A.; Knight, L.; Bashir, N.; Harries, R.; Jones, S.; Cleves, A.; Fegan, G.; Watkins, A.; Torkington, J.</t>
  </si>
  <si>
    <t>10.3310/CMWC8368</t>
  </si>
  <si>
    <t xml:space="preserve">Five-Year Survival Outcomes of Hybrid Minimally Invasive Esophagectomy in Esophageal Cancer: Results of the MIRO Randomized Clinical Trial
</t>
  </si>
  <si>
    <t>Nuytens, F.; Dabakuyo-Yonli, T. S.; Meunier, B.; Gagnière, J.; Collet, D.; D'Journo, X. B.; Brigand, C.; Perniceni, T.; Carrère, N.; Mabrut, J. Y.; Msika, S.; Peschaud, F.; Prudhomme, M.; Markar, S. R.; Piessen, G.</t>
  </si>
  <si>
    <t xml:space="preserve">https://www.scopus.com/inward/record.uri?eid=2-s2.0-85101229263&amp;doi=10.1001%2fjamasurg.2020.7081&amp;partnerID=40&amp;md5=c6b8586cee17c72e4af77b270ebcce00
</t>
  </si>
  <si>
    <t>10.1001/jamasurg.2020.7081</t>
  </si>
  <si>
    <t xml:space="preserve">Extended TIP vs. Standard TIP for primary distal hypospadias repair: randomized study for comparing functional and cosmetic outcomes
</t>
  </si>
  <si>
    <t>Noureldin, Y. A.; Gharib, T. M.; El Attar, K. A.; El Karamany, T. M.; Al Adl, A. M.</t>
  </si>
  <si>
    <t xml:space="preserve">https://www.scopus.com/inward/record.uri?eid=2-s2.0-85114616445&amp;doi=10.1080%2f21681805.2021.1973091&amp;partnerID=40&amp;md5=73eae3a27e26301d0421675177f32615
</t>
  </si>
  <si>
    <t>10.1080/21681805.2021.1973091</t>
  </si>
  <si>
    <t xml:space="preserve">Pneumatic vs laser lithotripsy for mid-ureteric stones: Clinical and cost effectiveness results of a prospective trial in a developing country
</t>
  </si>
  <si>
    <t>Nour, H. H.; Kamel, A. I.; Elmansy, H.; Badawy, M. H.; Shabana, W.; Abdelwahab, A.; Elbaz, A.; Eleithy, T.; Rushdy, M.</t>
  </si>
  <si>
    <t xml:space="preserve">https://www.scopus.com/inward/record.uri?eid=2-s2.0-85083518025&amp;doi=10.1080%2f2090598X.2020.1749800&amp;partnerID=40&amp;md5=7f9148646f7f228fec1fad3da47308ce
</t>
  </si>
  <si>
    <t>10.1080/2090598X.2020.1749800</t>
  </si>
  <si>
    <t xml:space="preserve">Effect of comprehensive geriatric assessment for frail elderly patients operated for colorectal cancer—the colorectal cancer frailty study: study protocol for a randomized, controlled, multicentre trial
</t>
  </si>
  <si>
    <t>Normann, M.; Ekerstad, N.; Angenete, E.; Prytz, M.</t>
  </si>
  <si>
    <t xml:space="preserve">https://www.scopus.com/inward/record.uri?eid=2-s2.0-85142124272&amp;doi=10.1186%2fs13063-022-06883-9&amp;partnerID=40&amp;md5=835d1bcd7e326de578a266b1550de218
</t>
  </si>
  <si>
    <t>10.1186/s13063-022-06883-9</t>
  </si>
  <si>
    <t xml:space="preserve">Randomized clinical trial comparing venous cutdown with the Seldinger technique for placement of implantable venous access ports
</t>
  </si>
  <si>
    <t>Nocito, A.; Wildi, S.; Rufibach, K.; Clavien, P. A.; Weber, M.</t>
  </si>
  <si>
    <t xml:space="preserve">https://www.scopus.com/inward/record.uri?eid=2-s2.0-70350121947&amp;doi=10.1002%2fbjs.6730&amp;partnerID=40&amp;md5=3c081d6179dc9a0d2a45a29ad6045f76
</t>
  </si>
  <si>
    <t>10.1002/bjs.6730</t>
  </si>
  <si>
    <t xml:space="preserve">Randomized clinical trial assessing the effect of Doppler-optimized fluid management on outcome after elective colorectal resection
</t>
  </si>
  <si>
    <t>Noblett, S. E.; Snowden, C. P.; Shenton, B. K.; Horgan, A. F.</t>
  </si>
  <si>
    <t xml:space="preserve">93
</t>
  </si>
  <si>
    <t xml:space="preserve">https://www.scopus.com/inward/record.uri?eid=2-s2.0-33748419499&amp;doi=10.1002%2fbjs.5454&amp;partnerID=40&amp;md5=7814767733d1ac161561e52be601b4ac
</t>
  </si>
  <si>
    <t>10.1002/bjs.5454</t>
  </si>
  <si>
    <t xml:space="preserve">A randomized, clinical trial to compare endoscopic sphincterotomy and subsequent laparoscopic cholecystectomy with primary laparoscopic bile duct exploration during cholecystectomy in higher risk patients with choledocholithiasis
</t>
  </si>
  <si>
    <t>Noble, H.; Tranter, S.; Chesworth, T.; Norton, S.; Thompson, M.</t>
  </si>
  <si>
    <t xml:space="preserve">https://www.scopus.com/inward/record.uri?eid=2-s2.0-72049119375&amp;doi=10.1089%2flap.2008.0428&amp;partnerID=40&amp;md5=99895a3863c3c3c931245ff33d6500a1
</t>
  </si>
  <si>
    <t>10.1089/lap.2008.0428</t>
  </si>
  <si>
    <t xml:space="preserve">Effects of a perioperative geriatric intervention for older adults with Cancer: A randomized clinical trial
</t>
  </si>
  <si>
    <t>Nipp, R. D.; Qian, C. L.; Knight, H. P.; Ferrone, C. R.; Kunitake, H.; Castillo, C. F. D.; Lanuti, M.; Qadan, M.; Ricciardi, R.; Lillemoe, K. D.; Temel, B.; Hashmi, A. Z.; Scott, E.; Stevens, E.; Williams, G. R.; Fong, Z. V.; O'Malley, T. A.; Franco-Garcia, E.; Horick, N. K.; Jackson, V. A.; Greer, J. A.; El-Jawahri, A.; Temel, J. S.</t>
  </si>
  <si>
    <t xml:space="preserve">Journal of Geriatric Oncology
</t>
  </si>
  <si>
    <t xml:space="preserve">https://www.scopus.com/inward/record.uri?eid=2-s2.0-85123364562&amp;doi=10.1016%2fj.jgo.2022.01.001&amp;partnerID=40&amp;md5=f8866a435652a7231d349c133fe9e22c
</t>
  </si>
  <si>
    <t>10.1016/j.jgo.2022.01.001</t>
  </si>
  <si>
    <t xml:space="preserve">Neoadjuvant Chemoradiotherapy and Surgery for Esophageal Squamous Cell Carcinoma Versus Definitive Chemoradiotherapy With Salvage Surgery as Needed: The Study Protocol for the Randomized Controlled NEEDS Trial
</t>
  </si>
  <si>
    <t>Nilsson, M.; Olafsdottir, H.; Alexandersson von Döbeln, G.; Villegas, F.; Gagliardi, G.; Hellström, M.; Wang, Q. L.; Johansson, H.; Gebski, V.; Hedberg, J.; Klevebro, F.; Markar, S.; Smyth, E.; Lagergren, P.; Al-Haidari, G.; Rekstad, L. C.; Aahlin, E. K.; Wallner, B.; Edholm, D.; Johansson, J.; Szabo, E.; Reynolds, J. V.; Pramesh, C. S.; Mummudi, N.; Joshi, A.; Ferri, L.; Wong, R. K. S.; O’Callaghan, C.; Lukovic, J.; Chan, K. K. W.; Leong, T.; Barbour, A.; Smithers, M.; Li, Y.; Kang, X.; Kong, F. M.; Chao, Y. K.; Crosby, T.; Bruns, C.; van Laarhoven, H.; van Berge Henegouwen, M.; van Hillegersberg, R.; Rosati, R.; Piessen, G.; de Manzoni, G.; Lordick, F.</t>
  </si>
  <si>
    <t xml:space="preserve">https://www.scopus.com/inward/record.uri?eid=2-s2.0-85135151158&amp;doi=10.3389%2ffonc.2022.917961&amp;partnerID=40&amp;md5=b6ccfbe1be8e008a271923d36a685a26
</t>
  </si>
  <si>
    <t>10.3389/fonc.2022.917961</t>
  </si>
  <si>
    <t xml:space="preserve">Surgical Morbidity and Mortality from the Multicenter Randomized Controlled NeoRes II Trial: Standard Versus Prolonged Time to Surgery after Neoadjuvant Chemoradiotherapy for Esophageal Cancer
</t>
  </si>
  <si>
    <t>Nilsson, K.; Klevebro, F.; Rouvelas, I.; Lindblad, M.; Szabo, E.; Halldestam, I.; Smedh, U.; Wallner, B.; Johansson, J.; Johnsen, G.; Aahlin, E. K.; Johannessen, H. O.; Hjortland, G. O.; Bartella, I.; Schröder, W.; Bruns, C.; Nilsson, M.</t>
  </si>
  <si>
    <t xml:space="preserve">https://www.scopus.com/inward/record.uri?eid=2-s2.0-85092943866&amp;doi=10.1097%2fSLA.0000000000004340&amp;partnerID=40&amp;md5=9d2bbde94e5fc7c7010ff5a53e411696
</t>
  </si>
  <si>
    <t>10.1097/SLA.0000000000004340</t>
  </si>
  <si>
    <t xml:space="preserve">Propofol-based anaesthesia versus sevoflurane-based anaesthesia for living donor kidney transplantation: results of the VAPOR-1 randomized controlled trial
</t>
  </si>
  <si>
    <t>Nieuwenhuijs-Moeke, G. J.; Nieuwenhuijs, V. B.; Seelen, M. A. J.; Berger, S. P.; van den Heuvel, M. C.; Burgerhof, J. G. M.; Ottens, P. J.; Ploeg, R. J.; Leuvenink, H. G. D.; Struys, M. M. R. F.</t>
  </si>
  <si>
    <t xml:space="preserve">118
</t>
  </si>
  <si>
    <t xml:space="preserve">https://www.scopus.com/inward/record.uri?eid=2-s2.0-85047430459&amp;doi=10.1093%2fbja%2faex057&amp;partnerID=40&amp;md5=f2104da98d295392e09fddc389964f47
</t>
  </si>
  <si>
    <t>10.1093/bja/aex057</t>
  </si>
  <si>
    <t xml:space="preserve">High-dose dexamethasone in low pain responders undergoing total knee arthroplasty: a randomised double-blind trial
</t>
  </si>
  <si>
    <t>Nielsen, N. I.; Kehlet, H.; Gromov, K.; Troelsen, A.; Husted, H.; Varnum, C.; Kjærsgaard-Andersen, P.; Rasmussen, L. E.; Pleckaitiene, L.; Foss, N. B.</t>
  </si>
  <si>
    <t xml:space="preserve">https://www.scopus.com/inward/record.uri?eid=2-s2.0-85148479543&amp;doi=10.1016%2fj.bja.2022.10.038&amp;partnerID=40&amp;md5=16b47dcf4ee38601f39b302307c3673f
</t>
  </si>
  <si>
    <t>10.1016/j.bja.2022.10.038</t>
  </si>
  <si>
    <t xml:space="preserve">Preoperative high-dose Steroids in Total Knee and Hip Arthroplasty – Protocols for three randomized controlled trials
</t>
  </si>
  <si>
    <t>Nielsen, N. I.; Kehlet, H.; Gromov, K.; Troelsen, A.; Husted, H.; Varnum, C.; Kjærsgaard-Andersen, P.; Rasmussen, L. E.; Mandøe, H.; Foss, N. B.</t>
  </si>
  <si>
    <t xml:space="preserve">64
</t>
  </si>
  <si>
    <t xml:space="preserve">Acta Anaesthesiologica Scandinavica
</t>
  </si>
  <si>
    <t xml:space="preserve">https://www.scopus.com/inward/record.uri?eid=2-s2.0-85087161358&amp;doi=10.1111%2faas.13656&amp;partnerID=40&amp;md5=ee900b833324014e9e37e46f92a9bc63
</t>
  </si>
  <si>
    <t>10.1111/aas.13656</t>
  </si>
  <si>
    <t xml:space="preserve">Sternotomy or drainage for a hemopericardium after penetrating trauma: A randomized controlled trial
</t>
  </si>
  <si>
    <t>Nicol, A. J.; Navsaria, P. H.; Hommes, M.; Ball, C. G.; Edu, S.; Kahn, D.</t>
  </si>
  <si>
    <t xml:space="preserve">259
</t>
  </si>
  <si>
    <t xml:space="preserve">https://www.scopus.com/inward/record.uri?eid=2-s2.0-84894095503&amp;doi=10.1097%2fSLA.0b013e31829069a1&amp;partnerID=40&amp;md5=3b2f74165543c9c11d52f6540aa1e1fc
</t>
  </si>
  <si>
    <t>10.1097/SLA.0b013e31829069a1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</si>
  <si>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</si>
  <si>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</si>
  <si>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</si>
  <si>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</si>
  <si>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</si>
  <si>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</si>
  <si>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</si>
  <si>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</si>
  <si>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A Prospective Randomized Controlled Trial to Compare Pringle Manoeuvre with Hemi-hepatic Vascular Inflow Occlusion in Liver Resection for Hepatocellular Carcinoma with Cirrhosis
</t>
  </si>
  <si>
    <t>Ni, J. S.; Lau, W. Y.; Yang, Y.; Pan, Z. Y.; Wang, Z. G.; Liu, H.; Wu, M. C.; Zhou, W. P.</t>
  </si>
  <si>
    <t xml:space="preserve">https://www.scopus.com/inward/record.uri?eid=2-s2.0-84880136330&amp;doi=10.1007%2fs11605-013-2236-z&amp;partnerID=40&amp;md5=5b807d6b7d58a043fc3f653c59817e44
</t>
  </si>
  <si>
    <t>10.1007/s11605-013-2236-z</t>
  </si>
  <si>
    <t xml:space="preserve">Fast-track surgery improves postoperative recovery in patients undergoing partial hepatectomy for primary liver cancer: A prospective randomized controlled trial
</t>
  </si>
  <si>
    <t>Ni, C. Y.; Yang, Y.; Chang, Y. Q.; Cai, H.; Xu, B.; Yang, F.; Lau, W. Y.; Wang, Z. H.; Zhou, W. P.</t>
  </si>
  <si>
    <t xml:space="preserve">European Journal of Surgical Oncology
</t>
  </si>
  <si>
    <t xml:space="preserve">https://www.scopus.com/inward/record.uri?eid=2-s2.0-84877581048&amp;doi=10.1016%2fj.ejso.2013.03.013&amp;partnerID=40&amp;md5=fac850976af082cdf03782f26c173731
</t>
  </si>
  <si>
    <t>10.1016/j.ejso.2013.03.013</t>
  </si>
  <si>
    <t xml:space="preserve">Randomized clinical trial of hepatic resection versus radiofrequency ablation for early-stage hepatocellular carcinoma
</t>
  </si>
  <si>
    <t>Ng, K. K. C.; Chok, K. S. H.; Chan, A. C. Y.; Cheung, T. T.; Wong, T. C. L.; Fung, J. Y. Y.; Yuen, J.; Poon, R. T. P.; Fan, S. T.; Lo, C. M.</t>
  </si>
  <si>
    <t xml:space="preserve">https://www.scopus.com/inward/record.uri?eid=2-s2.0-85032815315&amp;doi=10.1002%2fbjs.10677&amp;partnerID=40&amp;md5=565a37e1db79d99bfb04d6684ddd32e0
</t>
  </si>
  <si>
    <t>10.1002/bjs.10677</t>
  </si>
  <si>
    <t xml:space="preserve">A prospective randomized study comparing the effect of different kidney protection treatment protocols on acute renal injury after extracorporeal shockwave lithotripsy
</t>
  </si>
  <si>
    <t>Ng, C. F.; Luke, S.; Yee, C. H.; Chu, W. C. W.; Wong, K. T.; Yuen, J. W. M.</t>
  </si>
  <si>
    <t xml:space="preserve">https://www.scopus.com/inward/record.uri?eid=2-s2.0-85014611893&amp;doi=10.1089%2fend.2016.0653&amp;partnerID=40&amp;md5=3b3d466b81860856959a86823594e33f
</t>
  </si>
  <si>
    <t>10.1089/end.2016.0653</t>
  </si>
  <si>
    <t xml:space="preserve">The effects of intraoperative lung protective ventilation with positive end-expiratory pressure on blood loss during hepatic resection surgery
</t>
  </si>
  <si>
    <t>Neuschwander, A.; Futier, E.; Jaber, S.; Pereira, B.; Eurin, M.; Marret, E.; Szymkewicz, O.; Beaussier, M.; Paugam-Burtz, C.</t>
  </si>
  <si>
    <t xml:space="preserve">European Journal of Anaesthesiology
</t>
  </si>
  <si>
    <t xml:space="preserve">https://www.scopus.com/inward/record.uri?eid=2-s2.0-84960927830&amp;doi=10.1097%2fEJA.0000000000000390&amp;partnerID=40&amp;md5=d40949c0b80ade3b52199427f0aa284e
</t>
  </si>
  <si>
    <t>10.1097/EJA.0000000000000390</t>
  </si>
  <si>
    <t xml:space="preserve">A prospective, randomized trial comparing thulium vapoenucleation with holmium laser enucleation of the prostate for the treatment of symptomatic benign prostatic obstruction: perioperative safety and efficacy
</t>
  </si>
  <si>
    <t>Netsch, C.; Becker, B.; Tiburtius, C.; Moritz, C.; Becci, A. V.; Herrmann, T. R. W.; Gross, A. J.</t>
  </si>
  <si>
    <t xml:space="preserve">https://www.scopus.com/inward/record.uri?eid=2-s2.0-85023199578&amp;doi=10.1007%2fs00345-017-2071-z&amp;partnerID=40&amp;md5=fe3c83564e031908fb345c6336b76a6d
</t>
  </si>
  <si>
    <t>10.1007/s00345-017-2071-z</t>
  </si>
  <si>
    <t xml:space="preserve">Early versus conventional stoma closure following bowel surgery: A randomized controlled trial
</t>
  </si>
  <si>
    <t>Nelson, T.; Pranavi, A.; Sureshkumar, S.; Sreenath, G.; Kate, V.</t>
  </si>
  <si>
    <t xml:space="preserve">Saudi Journal of Gastroenterology
</t>
  </si>
  <si>
    <t xml:space="preserve">https://www.scopus.com/inward/record.uri?eid=2-s2.0-85042265490&amp;doi=10.4103%2fsjg.SJG_445_17&amp;partnerID=40&amp;md5=e6f5df226864d1b71c0199fdd5ec7f7f
</t>
  </si>
  <si>
    <t>10.4103/sjg.SJG_445_17</t>
  </si>
  <si>
    <t xml:space="preserve">134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</si>
  <si>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</si>
  <si>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</si>
  <si>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</si>
  <si>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</si>
  <si>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Modified enhanced recovery after surgery protocol in patients with acute cholecystitis: efficacy, safety and feasibility. Multicenter randomized control study
</t>
  </si>
  <si>
    <t>Nechay, T.; Titkova, S.; Tyagunov, A.; Anurov, M.; Sazhin, A.</t>
  </si>
  <si>
    <t xml:space="preserve">73
</t>
  </si>
  <si>
    <t xml:space="preserve">https://www.scopus.com/inward/record.uri?eid=2-s2.0-85103166496&amp;doi=10.1007%2fs13304-021-01031-5&amp;partnerID=40&amp;md5=80cbfd4767b5368858d14c5a8ff4d06f
</t>
  </si>
  <si>
    <t>10.1007/s13304-021-01031-5</t>
  </si>
  <si>
    <t xml:space="preserve">Evaluation of enhanced recovery after surgery program components implemented in laparoscopic appendectomy: prospective randomized clinical study
</t>
  </si>
  <si>
    <t>Nechay, T.; Sazhin, A.; Titkova, S.; Tyagunov, A.; Anurov, M.; Melnikov-Makarchuk, K.; Tyagunov, A.</t>
  </si>
  <si>
    <t xml:space="preserve">https://www.scopus.com/inward/record.uri?eid=2-s2.0-85087294738&amp;doi=10.1038%2fs41598-020-67591-5&amp;partnerID=40&amp;md5=50f30b01460872e92d6c4eff72c49a74
</t>
  </si>
  <si>
    <t>10.1038/s41598-020-67591-5</t>
  </si>
  <si>
    <t xml:space="preserve">Does coffee affect bowel recovery following minimally invasive colorectal operations? A three-armed randomized controlled trial
</t>
  </si>
  <si>
    <t>Nasseri, Y.; Kasheri, E.; Oka, K.; Zhu, R.; Smiley, A.; Cohen, J.; Ellenhorn, J.; Barnajian, M.</t>
  </si>
  <si>
    <t xml:space="preserve">https://www.scopus.com/inward/record.uri?eid=2-s2.0-85165402148&amp;doi=10.1007%2fs00384-023-04494-7&amp;partnerID=40&amp;md5=ae860a9eaec0d64954d3942b7da69666
</t>
  </si>
  <si>
    <t>10.1007/s00384-023-04494-7</t>
  </si>
  <si>
    <t xml:space="preserve">A randomized trial of normothermic preservation in liver transplantation
</t>
  </si>
  <si>
    <t>Nasralla, D.; Coussios, C. C.; Mergental, H.; Akhtar, M. Z.; Butler, A. J.; Ceresa, C. D. L.; Chiocchia, V.; Dutton, S. J.; García-Valdecasas, J. C.; Heaton, N.; Imber, C.; Jassem, W.; Jochmans, I.; Karani, J.; Knight, S. R.; Kocabayoglu, P.; Malagò, M.; Mirza, D.; Morris, P. J.; Pallan, A.; Paul, A.; Pavel, M.; Perera, M. T. P. R.; Pirenne, J.; Ravikumar, R.; Russell, L.; Upponi, S.; Watson, C. J. E.; Weissenbacher, A.; Ploeg, R. J.; Friend, P. J.</t>
  </si>
  <si>
    <t xml:space="preserve">557
</t>
  </si>
  <si>
    <t xml:space="preserve">7703
</t>
  </si>
  <si>
    <t xml:space="preserve">Nature
</t>
  </si>
  <si>
    <t xml:space="preserve">https://www.scopus.com/inward/record.uri?eid=2-s2.0-85046365311&amp;doi=10.1038%2fs41586-018-0047-9&amp;partnerID=40&amp;md5=9cfcfd289fd3a607d6b442994c1b4768
</t>
  </si>
  <si>
    <t>10.1038/s41586-018-0047-9</t>
  </si>
  <si>
    <t xml:space="preserve">Feasibility of transurethral resection of bladder lesion performed entirely by means of narrow-band imaging
</t>
  </si>
  <si>
    <t>Naselli, A.; Introini, C.; Bertolotto, F.; Spina, B.; Puppo, P.</t>
  </si>
  <si>
    <t xml:space="preserve">https://www.scopus.com/inward/record.uri?eid=2-s2.0-77954889368&amp;doi=10.1089%2fend.2010.0042&amp;partnerID=40&amp;md5=5c2e3af7cfaea85dd7d8a42e2094caa0
</t>
  </si>
  <si>
    <t>10.1089/end.2010.0042</t>
  </si>
  <si>
    <t xml:space="preserve">Severe perioperative morbidity after robot-assisted versus conventional laparoscopy in gynecologic oncology: Results of the randomized ROBOGYN-1004 trial
</t>
  </si>
  <si>
    <t>Narducci, F.; Bogart, E.; Hebert, T.; Gauthier, T.; Collinet, P.; Classe, J. M.; Lecuru, F.; Delest, A.; Motton, S.; Conri, V.; Ferrer, C.; Marchal, F.; Ferron, G.; Probst, A.; Thery, J.; Le Deley, M. C.; Lefebvre, D.; Francon, D.; Leblanc, E.; Lambaudie, E.</t>
  </si>
  <si>
    <t xml:space="preserve">Gynecologic Oncology
</t>
  </si>
  <si>
    <t xml:space="preserve">https://www.scopus.com/inward/record.uri?eid=2-s2.0-85085284988&amp;doi=10.1016%2fj.ygyno.2020.05.010&amp;partnerID=40&amp;md5=eb7d1635872cfe5a74d4ee841604b090
</t>
  </si>
  <si>
    <t>10.1016/j.ygyno.2020.05.010</t>
  </si>
  <si>
    <t xml:space="preserve">A randomised controlled trial of perivenous tumescent anaesthesia in addition to general anaesthesia for surgical ligation and stripping of the great saphenous vein
</t>
  </si>
  <si>
    <t>Nandhra, S.; Wallace, T.; El-Sheikha, J.; Carradice, D.; Chetter, I.</t>
  </si>
  <si>
    <t xml:space="preserve">Phlebology
</t>
  </si>
  <si>
    <t>10.1177/0268355519885221</t>
  </si>
  <si>
    <t xml:space="preserve">Subcutaneous drainage to prevent wound infection in liver resection: A randomized controlled trial
</t>
  </si>
  <si>
    <t>Nakayama, H.; Takayama, T.; Okubo, T.; Higaki, T.; Midorikawa, Y.; Moriguchi, M.; Aramaki, O.; Yamazaki, S.</t>
  </si>
  <si>
    <t xml:space="preserve">https://www.scopus.com/inward/record.uri?eid=2-s2.0-84902655204&amp;doi=10.1002%2fjhbp.93&amp;partnerID=40&amp;md5=eb6a494d78a56c648d28690e0a2d84e0
</t>
  </si>
  <si>
    <t>10.1002/jhbp.93</t>
  </si>
  <si>
    <t xml:space="preserve">Effect of enhanced recovery after surgery protocol on recovery after open hepatectomy: A randomized clinical trial
</t>
  </si>
  <si>
    <t>Nakanishi, W.; Miyagi, S.; Tokodai, K.; Fujio, A.; Sasaki, K.; Shono, Y.; Unno, M.; Kamei, T.</t>
  </si>
  <si>
    <t xml:space="preserve">https://www.scopus.com/inward/record.uri?eid=2-s2.0-85097806599&amp;doi=10.4174%2fastr.2020.99.6.320&amp;partnerID=40&amp;md5=cffe59a77525800bc57c3453a3192d1f
</t>
  </si>
  <si>
    <t>10.4174/astr.2020.99.6.320</t>
  </si>
  <si>
    <t xml:space="preserve">Randomized clinical trial comparing long-term quality of life for Billroth i versus Roux-en-Y reconstruction after distal gastrectomy for gastric cancer
</t>
  </si>
  <si>
    <t>Nakamura, M.; Nakamori, M.; Ojima, T.; Iwahashi, M.; Horiuchi, T.; Kobayashi, Y.; Yamade, N.; Shimada, K.; Oka, M.; Yamaue, H.</t>
  </si>
  <si>
    <t xml:space="preserve">https://www.scopus.com/inward/record.uri?eid=2-s2.0-84956963509&amp;doi=10.1002%2fbjs.10060&amp;partnerID=40&amp;md5=b12c7cbb40bb543ecdc6371a76c3c532
</t>
  </si>
  <si>
    <t>10.1002/bjs.10060</t>
  </si>
  <si>
    <t xml:space="preserve">The Clinical Research Office of the Endourological Society (CROES) Multicentre Randomised Trial of Narrow Band Imaging–Assisted Transurethral Resection of Bladder Tumour (TURBT) Versus Conventional White Light Imaging–Assisted TURBT in Primary Non–Muscle-invasive Bladder Cancer Patients: Trial Protocol and 1-year Results
</t>
  </si>
  <si>
    <t>Naito, S.; Algaba, F.; Babjuk, M.; Bryan, R. T.; Sun, Y. H.; Valiquette, L.; de la Rosette, J.</t>
  </si>
  <si>
    <t xml:space="preserve">https://www.scopus.com/inward/record.uri?eid=2-s2.0-84964620302&amp;doi=10.1016%2fj.eururo.2016.03.053&amp;partnerID=40&amp;md5=30391a273712265f38a8fc8141640902
</t>
  </si>
  <si>
    <t>10.1016/j.eururo.2016.03.053</t>
  </si>
  <si>
    <t xml:space="preserve">Prevention of incisional hernias by prophylactic meshaugmented reinforcement of midline laparotomies for abdominal aortic aneurysm treatment: A randomized controlled trial
</t>
  </si>
  <si>
    <t>Muysoms, F. E.; Detry, O.; Vierendeels, T.; Huyghe, M.; Miserez, M.; Ruppert, M.; Tollens, T.; Defraigne, J. O.; Berrevoet, F.</t>
  </si>
  <si>
    <t xml:space="preserve">263
</t>
  </si>
  <si>
    <t xml:space="preserve">https://www.scopus.com/inward/record.uri?eid=2-s2.0-84961879922&amp;doi=10.1097%2fSLA.0000000000001369&amp;partnerID=40&amp;md5=48ebbc99ac05b740cabb11513ff82433
</t>
  </si>
  <si>
    <t>10.1097/SLA.0000000000001369</t>
  </si>
  <si>
    <t xml:space="preserve">Wound related complications and the anterior rectus sheath versus Gibson approach to kidney transplantation: A single center randomized controlled trial
</t>
  </si>
  <si>
    <t>Murthy, P. B.; Fascelli, M.; Lyon, M.; Corrigan, D.; Spinner, M.; Lin, Y. C.; Wee, A. C.; Krishnamurthi, V.; Goldfarb, D. A.; Africa, J.; Eltemamy, M. M.</t>
  </si>
  <si>
    <t xml:space="preserve">https://www.scopus.com/inward/record.uri?eid=2-s2.0-85158006541&amp;doi=10.1111%2fctr.14991&amp;partnerID=40&amp;md5=1d6b3f68649c6668fe9ebb14b5aaa320
</t>
  </si>
  <si>
    <t>10.1111/ctr.14991</t>
  </si>
  <si>
    <t xml:space="preserve">Sleeve gastrectomy versus Roux-en-Y gastric bypass for type 2 diabetes and morbid obesity: Double-blind randomised clinical trial protocol
</t>
  </si>
  <si>
    <t>Murphy, R.; Evennett, N. J.; Clarke, M. G.; Robinson, S. J.; Humphreys, L.; Jones, B.; Kim, D. D.; Cutfield, R.; Plank, L. D.; Hammodat, H.; Booth, M. W. C.</t>
  </si>
  <si>
    <t xml:space="preserve">https://www.scopus.com/inward/record.uri?eid=2-s2.0-84978312806&amp;doi=10.1136%2fbmjopen-2016-011416&amp;partnerID=40&amp;md5=8159db83809f5b29aaa4ad700b0d0a85
</t>
  </si>
  <si>
    <t>10.1136/bmjopen-2016-011416</t>
  </si>
  <si>
    <t xml:space="preserve">Short-Term Outcomes from a Randomized Screening Phase II Non-inferiority Trial Comparing Omentectomy and Omentum Preservation for Locally Advanced Gastric Cancer: the TOP-G Trial
</t>
  </si>
  <si>
    <t>Murakami, H.; Yamada, T.; Taguri, M.; Hasegawa, S.; Yamanaka, T.; Rino, Y.; Mushiake, H.; Oshima, T.; Matsukawa, H.; Tani, K.; Suzuki, Y.; Ozawa, Y.; Tanabe, H.; Osaragi, T.; Sato, T.; Tamagawa, H.; Yukawa, N.; Yoshikawa, T.; Imada, T.; Masuda, M.; Yamamoto, Y.</t>
  </si>
  <si>
    <t xml:space="preserve">https://www.scopus.com/inward/record.uri?eid=2-s2.0-85100738227&amp;doi=10.1007%2fs00268-021-05988-7&amp;partnerID=40&amp;md5=fd93e3cf7d778e8839ae37b3540dbf1a
</t>
  </si>
  <si>
    <t>10.1007/s00268-021-05988-7</t>
  </si>
  <si>
    <t xml:space="preserve">Aquablation versus holmium laser enucleation of the prostate in the treatment of benign prostatic hyperplasia in medium-to-large-sized prostates (ATHLETE): Protocol of a prospective randomised trial
</t>
  </si>
  <si>
    <t>Müllhaupt, G.; Güsewell, S.; Schmid, H. P.; Zumstein, V.; Betschart, P.; Engeler, D. S.; Abt, D.</t>
  </si>
  <si>
    <t xml:space="preserve">https://www.scopus.com/inward/record.uri?eid=2-s2.0-85105317948&amp;doi=10.1136%2fbmjopen-2020-046973&amp;partnerID=40&amp;md5=77037b418a3839bb39be2fe20c3e9229
</t>
  </si>
  <si>
    <t>10.1136/bmjopen-2020-046973</t>
  </si>
  <si>
    <t xml:space="preserve">Repair of Paraesophageal Hiatal Hernias-Is a Fundoplication Needed? A Randomized Controlled Pilot Trial
</t>
  </si>
  <si>
    <t>Müller-Stich, B. P.; Achtstätter, V.; Diener, M. K.; Gondan, M.; Warschkow, R.; Marra, F.; Zerz, A.; Gutt, C. N.; Büchler, M. W.; Linke, G. R.</t>
  </si>
  <si>
    <t xml:space="preserve">221
</t>
  </si>
  <si>
    <t xml:space="preserve">https://www.scopus.com/inward/record.uri?eid=2-s2.0-84937735683&amp;doi=10.1016%2fj.jamcollsurg.2015.03.003&amp;partnerID=40&amp;md5=acb313472b326d2cacf8e2cf8f0c7f94
</t>
  </si>
  <si>
    <t>10.1016/j.jamcollsurg.2015.03.003</t>
  </si>
  <si>
    <t xml:space="preserve">Use of human fibrin glue (Tisseel) versus staples for mesh fixation in laparoscopic transabdominal preperitoneal hernioplasty (TISTA): A randomized controlled trial (NCT01641718)
</t>
  </si>
  <si>
    <t>Müller, S. A.; Warschkow, R.; Beutner, U.; Lüthi, C.; Ukegjini, K.; Schmied, B. M.; Tarantino, I.</t>
  </si>
  <si>
    <t xml:space="preserve">https://www.scopus.com/inward/record.uri?eid=2-s2.0-84898423759&amp;doi=10.1186%2f1471-2482-14-18&amp;partnerID=40&amp;md5=1dfea8c2d7751bc4bc30c44f77605cae
</t>
  </si>
  <si>
    <t>10.1186/1471-2482-14-18</t>
  </si>
  <si>
    <t xml:space="preserve">Randomized clinical trial on the effect of coffee on postoperative ileus following elective colectomy
</t>
  </si>
  <si>
    <t>Müller, S. A.; Rahbari, N. N.; Schneider, F.; Warschkow, R.; Simon, T.; Von Frankenberg, M.; Bork, U.; Weitz, J.; Schmied, B. M.; Büchler, M. W.</t>
  </si>
  <si>
    <t xml:space="preserve">https://www.scopus.com/inward/record.uri?eid=2-s2.0-84867100425&amp;doi=10.1002%2fbjs.8885&amp;partnerID=40&amp;md5=644214c42b82235f472f50a4ee972c5d
</t>
  </si>
  <si>
    <t>10.1002/bjs.8885</t>
  </si>
  <si>
    <t xml:space="preserve">A Fast-Track Program Reduces Complications and Length of Hospital Stay After Open Colonic Surgery
</t>
  </si>
  <si>
    <t>Muller, S.; Zalunardo, M. P.; Hubner, M.; Clavien, P. A.; Demartines, N.</t>
  </si>
  <si>
    <t xml:space="preserve">https://www.scopus.com/inward/record.uri?eid=2-s2.0-60449104629&amp;doi=10.1053%2fj.gastro.2008.10.030&amp;partnerID=40&amp;md5=afd3445febc87e9a121b34a421da3e10
</t>
  </si>
  <si>
    <t>10.1053/j.gastro.2008.10.030</t>
  </si>
  <si>
    <t xml:space="preserve">Prophylactic effect of retromuscular mesh placement during loop ileostomy closure on incisional hernia incidence—a multicentre randomised patient- and observer-blind trial (P.E.L.I.O.N trial)
</t>
  </si>
  <si>
    <t>Müller, S.; Weyhe, D.; Herrle, F.; Horvath, P.; Bachmann, R.; von Ehrlich-Treuenstätt, V.; Heger, P.; Nasir, N.; Klose, C.; Ritz, A.; Sander, A.; Grohmann, E.; Dörr-Harim, C.; Mihaljevic, A. L.</t>
  </si>
  <si>
    <t xml:space="preserve">https://www.scopus.com/inward/record.uri?eid=2-s2.0-85147235663&amp;doi=10.1186%2fs13063-023-07089-3&amp;partnerID=40&amp;md5=b9ea01093843ca3756dad2d3c417a7ed
</t>
  </si>
  <si>
    <t>10.1186/s13063-023-07089-3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</si>
  <si>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</si>
  <si>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</si>
  <si>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</si>
  <si>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</si>
  <si>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Contamination after disinfectant rectal washout in left colectomy as a model for transrectal NOTES: a randomized controlled trial
</t>
  </si>
  <si>
    <t>Müller, P. C.; Dube, A.; Steinemann, D. C.; Senft, J. D.; Gehrig, T.; Benner, L.; Nickel, F.; Müller-Stich, B. P.; Linke, G. R.</t>
  </si>
  <si>
    <t xml:space="preserve">232
</t>
  </si>
  <si>
    <t xml:space="preserve">Journal of Surgical Research
</t>
  </si>
  <si>
    <t xml:space="preserve">https://www.scopus.com/inward/record.uri?eid=2-s2.0-85051556440&amp;doi=10.1016%2fj.jss.2018.07.066&amp;partnerID=40&amp;md5=deef57fa8ab152a79bd253672259b405
</t>
  </si>
  <si>
    <t>10.1016/j.jss.2018.07.066</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</si>
  <si>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</si>
  <si>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</si>
  <si>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</si>
  <si>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</si>
  <si>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Intraoperative wound irrigation to prevent surgical site infection after laparotomy (IOWISI): Study protocol for a randomized controlled trial
</t>
  </si>
  <si>
    <t>Mueller, T. C.; Nitsche, U.; Kehl, V.; Schirren, R.; Schossow, B.; Goess, R.; Friess, H.; Reim, D.; Mihaljevic, A.; Vay, C.; Olbrich, H. G.; Bouchard, R.; Izbicki, J.; Bork, U.; Gassmann, P.; Albertsmeier, M.; on behalf of the, Iowisi Study Group</t>
  </si>
  <si>
    <t xml:space="preserve">https://www.scopus.com/inward/record.uri?eid=2-s2.0-85028844620&amp;doi=10.1186%2fs13063-017-2154-6&amp;partnerID=40&amp;md5=32526650f8e550bfe7574d30d78810d7
</t>
  </si>
  <si>
    <t>10.1186/s13063-017-2154-6</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</si>
  <si>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</si>
  <si>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</si>
  <si>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</si>
  <si>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Contemporary Clinical Trials
</t>
  </si>
  <si>
    <t xml:space="preserve">Gallstone Pancreatitis: Admission Versus Normal Cholecystectomy-A Randomized Trial (Gallstone PANC Trial)
</t>
  </si>
  <si>
    <t>Mueck, K. M.; Wei, S.; Pedroza, C.; Bernardi, K.; Jackson, M. L.; Liang, M. K.; Ko, T. C.; Tyson, J. E.; Kao, L. S.</t>
  </si>
  <si>
    <t xml:space="preserve">https://www.scopus.com/inward/record.uri?eid=2-s2.0-85070947718&amp;doi=10.1097%2fSLA.0000000000003424&amp;partnerID=40&amp;md5=182923dd803cc561c9e62d5ff1932613
</t>
  </si>
  <si>
    <t>10.1097/SLA.0000000000003424</t>
  </si>
  <si>
    <t xml:space="preserve">Prophylactic Drain Versus No Drain in Curative Gastric Cancer Surgery—A Randomized Controlled Trial
</t>
  </si>
  <si>
    <t>Muduly, D. K.; Imaduddin, M.; Sultania, M.; Houghton, T.; G, P. K. C.; Rao, P. B.; Mitra, J. K.; Behera, B. K.; Mohakud, S.; Kar, M.</t>
  </si>
  <si>
    <t xml:space="preserve">https://www.scopus.com/inward/record.uri?eid=2-s2.0-85140615902&amp;doi=10.1007%2fs11605-022-05480-0&amp;partnerID=40&amp;md5=7cbfe6948aa864b98ca2deca5ca55a7f
</t>
  </si>
  <si>
    <t>10.1007/s11605-022-05480-0</t>
  </si>
  <si>
    <t xml:space="preserve">Diverting ileostomy versus no diversion after low anterior resection for rectal cancer: A prospective, randomized, multicenter trial
</t>
  </si>
  <si>
    <t>Mrak, K.; Uranitsch, S.; Pedross, F.; Heuberger, A.; Klingler, A.; Jagoditsch, M.; Weihs, D.; Eberl, T.; Tschmelitsch, J.</t>
  </si>
  <si>
    <t xml:space="preserve">https://www.scopus.com/inward/record.uri?eid=2-s2.0-84959904975&amp;doi=10.1016%2fj.surg.2015.11.006&amp;partnerID=40&amp;md5=3af1f7930079a89eae1c311e1a7d0a7a
</t>
  </si>
  <si>
    <t>10.1016/j.surg.2015.11.006</t>
  </si>
  <si>
    <t xml:space="preserve">Perioperative immunonutrition in normo-nourished patients undergoing laparoscopic colorectal resection
</t>
  </si>
  <si>
    <t>Moya, P.; Miranda, E.; Soriano-Irigaray, L.; Arroyo, A.; Aguilar, M. D. M.; Bellón, M.; Muñoz, J. L.; Candela, F.; Calpena, R.</t>
  </si>
  <si>
    <t xml:space="preserve">https://www.scopus.com/inward/record.uri?eid=2-s2.0-84959536345&amp;doi=10.1007%2fs00464-016-4836-7&amp;partnerID=40&amp;md5=082217db4c38c1eec14deecccfd61607
</t>
  </si>
  <si>
    <t>10.1007/s00464-016-4836-7</t>
  </si>
  <si>
    <t xml:space="preserve">Intraoperative epidural analgesia prevents the early proinflammatory response to surgical trauma. Results from a prospective randomized clinical trial of intraoperative epidural versus general analgesia
</t>
  </si>
  <si>
    <t>Moselli, N. M.; Baricocchi, E.; Ribero, D.; Sottile, A.; Suita, L.; Debernardi, F.</t>
  </si>
  <si>
    <t xml:space="preserve">https://www.scopus.com/inward/record.uri?eid=2-s2.0-80052748303&amp;doi=10.1245%2fs10434-011-1700-9&amp;partnerID=40&amp;md5=71846b1d56f4fdbd1befe425b2bf3be3
</t>
  </si>
  <si>
    <t>10.1245/s10434-011-1700-9</t>
  </si>
  <si>
    <t xml:space="preserve">Antibiotic prophylaxis for sagittal split ramus osteotomy using resorbable plate and screw fixation: a randomised trial to compare extended dual-agent and inpatient single-agent regimens
</t>
  </si>
  <si>
    <t>Moroi, A.; Saito, Y.; Takayama, A.; Yoshizawa, K.; Ueki, K.</t>
  </si>
  <si>
    <t xml:space="preserve">British Journal of Oral and Maxillofacial Surgery
</t>
  </si>
  <si>
    <t xml:space="preserve">https://www.scopus.com/inward/record.uri?eid=2-s2.0-85100010836&amp;doi=10.1016%2fj.bjoms.2020.10.003&amp;partnerID=40&amp;md5=f9db53c8673e892725e1acc4ac1fbc48
</t>
  </si>
  <si>
    <t>10.1016/j.bjoms.2020.10.003</t>
  </si>
  <si>
    <t xml:space="preserve">Indocyanine green angiography-guided thyroidectomy versus conventional thyroidectomy for preserving parathyroid function: study protocol for a randomized single-blind controlled trial
</t>
  </si>
  <si>
    <t>Moreno-Llorente, P.; García-González, G.; Pascua-Solé, M.; García-Barrasa, A.; Videla, S.; Muñoz-de-Nova, J. L.; the GuiArte Study, Group</t>
  </si>
  <si>
    <t xml:space="preserve">Frontiers in Endocrinology
</t>
  </si>
  <si>
    <t xml:space="preserve">https://www.scopus.com/inward/record.uri?eid=2-s2.0-85160086936&amp;doi=10.3389%2ffendo.2023.1193900&amp;partnerID=40&amp;md5=8a99e8f9d19ffa00b70e07f27564c804
</t>
  </si>
  <si>
    <t>10.3389/fendo.2023.1193900</t>
  </si>
  <si>
    <t xml:space="preserve">Laparoscopic sacral colpopexy and a new approach to mesh fixationa randomized clinical trial
</t>
  </si>
  <si>
    <t>Morciano, A.; Marzo, G.; Caliandro, D.; Campagna, G.; Panico, G.; Alcaino, S.; Bisanti, T.; Ercoli, A.; Romualdi, D.; Scambia, G.</t>
  </si>
  <si>
    <t xml:space="preserve">298
</t>
  </si>
  <si>
    <t xml:space="preserve">Archives of Gynecology and Obstetrics
</t>
  </si>
  <si>
    <t xml:space="preserve">https://www.scopus.com/inward/record.uri?eid=2-s2.0-85053875284&amp;doi=10.1007%2fs00404-018-4916-0&amp;partnerID=40&amp;md5=43a335c92beb40cc120c2887ce8c0d1d
</t>
  </si>
  <si>
    <t>10.1007/s00404-018-4916-0</t>
  </si>
  <si>
    <t xml:space="preserve">Laparoscopic posterior vaginal plication plus sacral colpopexy for severe posterior vaginal prolapse: A randomized clinical trial
</t>
  </si>
  <si>
    <t>Morciano, A.; Ercoli, A.; Caliandro, D.; Campagna, G.; Panico, G.; Giaquinto, A.; Zullo, M. A.; Tinelli, A.; Scambia, G.; Marzo, G.; Cervigni, M.</t>
  </si>
  <si>
    <t xml:space="preserve">Neurourology and Urodynamics
</t>
  </si>
  <si>
    <t xml:space="preserve">https://www.scopus.com/inward/record.uri?eid=2-s2.0-85138541779&amp;doi=10.1002%2fnau.25052&amp;partnerID=40&amp;md5=a93b0ca0d4a97e388c7e08b676fcced1
</t>
  </si>
  <si>
    <t>10.1002/nau.25052</t>
  </si>
  <si>
    <t xml:space="preserve">Laparoscopic ventral rectopexy plus sacral colpopexy: continuous locked suture for mesh fixation. A randomized clinical trial
</t>
  </si>
  <si>
    <t>Morciano, A.; Caliandro, D.; Campagna, G.; Panico, G.; Giaquinto, A.; Fachechi, G.; Zullo, M. A.; Tinelli, A.; Ercoli, A.; Scambia, G.; Cervigni, M.; Marzo, G.</t>
  </si>
  <si>
    <t xml:space="preserve">306
</t>
  </si>
  <si>
    <t xml:space="preserve">https://www.scopus.com/inward/record.uri?eid=2-s2.0-85134353397&amp;doi=10.1007%2fs00404-022-06682-2&amp;partnerID=40&amp;md5=98d69592730ebb499172a86d6f5bba0e
</t>
  </si>
  <si>
    <t>10.1007/s00404-022-06682-2</t>
  </si>
  <si>
    <t xml:space="preserve">Ultrasound-guided erector spinae plane catheter versus video-assisted paravertebral catheter placement in minimally invasive thoracic surgery: comparing continuous infusion analgesic techniques on early quality of recovery, respiratory function and chronic persistent surgical pain: study protocol for a double-blinded randomised controlled trial
</t>
  </si>
  <si>
    <t>Moorthy, A.; Eochagain, A. N.; Dempsey, E.; Buggy, D.</t>
  </si>
  <si>
    <t xml:space="preserve">https://www.scopus.com/inward/record.uri?eid=2-s2.0-85122090511&amp;doi=10.1186%2fs13063-021-05863-9&amp;partnerID=40&amp;md5=7c8693ec05d953d13af6ce2b0d40f5b0
</t>
  </si>
  <si>
    <t>10.1186/s13063-021-05863-9</t>
  </si>
  <si>
    <t xml:space="preserve">Prospective randomized trial of neoadjuvant chemotherapy during the ‘wait period’ following preoperative chemoradiotherapy for rectal cancer: results of the WAIT trial
</t>
  </si>
  <si>
    <t>Moore, J.; Price, T.; Carruthers, S.; Selva-Nayagam, S.; Luck, A.; Thomas, M.; Hewett, P.</t>
  </si>
  <si>
    <t xml:space="preserve">https://www.scopus.com/inward/record.uri?eid=2-s2.0-85032585634&amp;doi=10.1111%2fcodi.13724&amp;partnerID=40&amp;md5=68c315e8091d7dba605456ff605e1cdc
</t>
  </si>
  <si>
    <t>10.1111/codi.13724</t>
  </si>
  <si>
    <t xml:space="preserve">Preoperative or perioperative docetaxel, oxaliplatin, and capecitabine (GASTRODOC regimen) in patients with locally-advanced resectable gastric cancer: A randomized phase-II trial
</t>
  </si>
  <si>
    <t>Monti, M.; Morgagni, P.; Nanni, O.; Framarini, M.; Saragoni, L.; Marrelli, D.; Roviello, F.; Petrioli, R.; Romario, U. F.; Rimassa, L.; Bozzarelli, S.; Donini, A.; Graziosi, L.; De Angelis, V.; De Manzoni, G.; Bencivenga, M.; Mengardo, V.; Parma, E.; Milandri, C.; Mura, G.; Signorini, A.; Baiocchi, G.; Molfino, S.; Sgroi, G.; Steccanella, F.; Rausei, S.; Proserpio, I.; Viganò, J.; Brugnatelli, S.; Rinnovati, A.; Santi, S.; Ercolani, G.; Foca, F.; Valmorri, L.; Amadori, D.; Frassineti, G. L.</t>
  </si>
  <si>
    <t xml:space="preserve">https://www.scopus.com/inward/record.uri?eid=2-s2.0-85088929261&amp;doi=10.3390%2fcancers12102790&amp;partnerID=40&amp;md5=50bc570abee1d9abfdccbc4050b4df23
</t>
  </si>
  <si>
    <t>10.3390/cancers12102790</t>
  </si>
  <si>
    <t xml:space="preserve">Stepped wedge cluster randomised controlled trial to assess the effectiveness of an optimisation strategy for general anaesthesia on postoperative morbidity and mortality in elderly patients (the OPTI-AGED study): A study protocol
</t>
  </si>
  <si>
    <t>Molliex, S.; Passot, S.; Futier, E.; Bonnefoi, M.; Rancon, F.; Lemanach, Y.; Pereira, B.</t>
  </si>
  <si>
    <t xml:space="preserve">https://www.scopus.com/inward/record.uri?eid=2-s2.0-85053104128&amp;doi=10.1136%2fbmjopen-2017-021053&amp;partnerID=40&amp;md5=efe949d43d0cc96299441ee9a46189a3
</t>
  </si>
  <si>
    <t>10.1136/bmjopen-2017-021053</t>
  </si>
  <si>
    <t xml:space="preserve">Evaluation of a Powered Vascular Stapler in Video-Assisted Thoracic Surgery Lobectomy
</t>
  </si>
  <si>
    <t>Molins, L.; Lanuti, M.; Force, S.; Woolley, S.; Krantz, S.; Creedon, E. E.; Schwiers, M. L.; Singleton, D. W.; Waggoner, J. R.; Fryrear, R., II; Licht, P.</t>
  </si>
  <si>
    <t xml:space="preserve">https://www.scopus.com/inward/record.uri?eid=2-s2.0-85083314825&amp;doi=10.1016%2fj.jss.2020.03.023&amp;partnerID=40&amp;md5=4bedda4364da866b5951ed407572adb9
</t>
  </si>
  <si>
    <t>10.1016/j.jss.2020.03.023</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</si>
  <si>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</si>
  <si>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</si>
  <si>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</si>
  <si>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</si>
  <si>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One-Shot Dilatation vs Metal Dilator During Percutaneous Nephrolithotomy in Flank-Free Supine Position: A Randomized Controlled Study
</t>
  </si>
  <si>
    <t>Mohyelden, K.; Abdel-Rassoul, M.; Dogha, M.; Kadry, A.; Mostafa, A.</t>
  </si>
  <si>
    <t xml:space="preserve">https://www.scopus.com/inward/record.uri?eid=2-s2.0-85131771352&amp;doi=10.1089%2fend.2021.0378&amp;partnerID=40&amp;md5=0c03cdf770a9a6b14610999af5070b9d
</t>
  </si>
  <si>
    <t>10.1089/end.2021.0378</t>
  </si>
  <si>
    <t xml:space="preserve">Adapted ERAS Pathway vs. Standard Care in Patients with Perforated Duodenal Ulcer—a Randomized Controlled Trial
</t>
  </si>
  <si>
    <t>Mohsina, S.; Shanmugam, D.; Sureshkumar, S.; Kundra, P.; Mahalakshmy, T.; Kate, V.</t>
  </si>
  <si>
    <t xml:space="preserve">https://www.scopus.com/inward/record.uri?eid=2-s2.0-85021284096&amp;doi=10.1007%2fs11605-017-3474-2&amp;partnerID=40&amp;md5=5a9894b46e1b2b3b11ce0a16a0750219
</t>
  </si>
  <si>
    <t>10.1007/s11605-017-3474-2</t>
  </si>
  <si>
    <t xml:space="preserve">Evaluation of postoperative ascites after somatostatin infusion following hepatectomy for hepatocellular carcinoma by laparotomy: A multicenter randomized double-blind controlled trial (SOMAPROTECT)
</t>
  </si>
  <si>
    <t>Mohkam, K.; Rayar, M.; Adam, J. P.; Muscari, F.; Rode, A.; Merle, P.; Pradat, P.; Bauler, S.; Delfour, I.; Chiche, L.; Ducerf, C.; Boudjema, K.; Lesurtel, M.; Laurent, C.; Mabrut, J. Y.</t>
  </si>
  <si>
    <t xml:space="preserve">https://www.scopus.com/inward/record.uri?eid=2-s2.0-85052313089&amp;doi=10.1186%2fs12885-018-4667-0&amp;partnerID=40&amp;md5=79b910680bae9e1b5f2465da233ad87b
</t>
  </si>
  <si>
    <t>10.1186/s12885-018-4667-0</t>
  </si>
  <si>
    <t xml:space="preserve">A Randomized Clinical Trial Comparing Laparoscopic and Vaginal Hysterectomy for Benign Disease: An Egyptian University Hospital Experience
</t>
  </si>
  <si>
    <t>Mohammad, H. F.; Alqenawy, H. B.; Moharram, A. E.; Raafat, T. A.; Abdelrahman, R. M.</t>
  </si>
  <si>
    <t xml:space="preserve">Journal of Gynecologic Surgery
</t>
  </si>
  <si>
    <t xml:space="preserve">https://www.scopus.com/inward/record.uri?eid=2-s2.0-85147310567&amp;doi=10.1089%2fgyn.2022.0067&amp;partnerID=40&amp;md5=431ecbfaf10398444bdad4d1a03f473a
</t>
  </si>
  <si>
    <t>10.1089/gyn.2022.0067</t>
  </si>
  <si>
    <t xml:space="preserve">Ileal conduit versus single stoma uretero-cutanoustomy after radical cystectomy in patients ≥ 75 years; which technique is better? a prospective randomized comparative study
</t>
  </si>
  <si>
    <t>Moeen, A. M.; Faragallah, M. A.; Zarzour, M. A.; Elbehairy, A. A.; Behnsawy, H. M.</t>
  </si>
  <si>
    <t xml:space="preserve">International Urology and Nephrology
</t>
  </si>
  <si>
    <t xml:space="preserve">https://www.scopus.com/inward/record.uri?eid=2-s2.0-85158105989&amp;doi=10.1007%2fs11255-023-03609-x&amp;partnerID=40&amp;md5=62b85f41c7e2a07e051c60d9ff7310d4
</t>
  </si>
  <si>
    <t>10.1007/s11255-023-03609-x</t>
  </si>
  <si>
    <t xml:space="preserve">Does inchinkoto, a herbal medicine, have hepatoprotective effects in major hepatectomy? A prospective randomized study
</t>
  </si>
  <si>
    <t>Mizutani, T.; Yokoyama, Y.; Kokuryo, T.; Ebata, T.; Igami, T.; Sugawara, G.; Nagino, M.</t>
  </si>
  <si>
    <t xml:space="preserve">https://www.scopus.com/inward/record.uri?eid=2-s2.0-84927568902&amp;doi=10.1111%2fhpb.12384&amp;partnerID=40&amp;md5=4478a2833cdeb6c40fc72c7dbfa13f17
</t>
  </si>
  <si>
    <t>10.1111/hpb.12384</t>
  </si>
  <si>
    <t xml:space="preserve">A surgeon-led model to improve operating theatre change-over time and overall efficiency: A randomised controlled trial
</t>
  </si>
  <si>
    <t>Mizumoto, R.; Cristaudo, A. T.; Hendahewa, R.</t>
  </si>
  <si>
    <t xml:space="preserve">https://www.scopus.com/inward/record.uri?eid=2-s2.0-84964892996&amp;doi=10.1016%2fj.ijsu.2016.04.033&amp;partnerID=40&amp;md5=e5a17d2e62817d1c105e1624a50f9ea6
</t>
  </si>
  <si>
    <t>10.1016/j.ijsu.2016.04.033</t>
  </si>
  <si>
    <t xml:space="preserve">Oral nutritional supplements versus a regular diet alone for body weight loss after gastrectomy: a phase 3, multicenter, open-label randomized controlled trial
</t>
  </si>
  <si>
    <t>Miyazaki, Y.; Omori, T.; Fujitani, K.; Fujita, J.; Kawabata, R.; Imamura, H.; Okada, K.; Moon, J. H.; Hirao, M.; Matsuyama, J.; Saito, T.; Takahashi, T.; Kurokawa, Y.; Yamasaki, M.; Takiguchi, S.; Mori, M.; Doki, Y.; Osaka University Clinical Research Group for Gastroenterological, Study</t>
  </si>
  <si>
    <t xml:space="preserve">https://www.scopus.com/inward/record.uri?eid=2-s2.0-85104348344&amp;doi=10.1007%2fs10120-021-01188-3&amp;partnerID=40&amp;md5=1d73f54ff3e8deb3a01d8bad9416229b
</t>
  </si>
  <si>
    <t>10.1007/s10120-021-01188-3</t>
  </si>
  <si>
    <t xml:space="preserve">Additional effect of perioperative, compared with preoperative, immunonutrition after pancreaticoduodenectomy: A randomized, controlled trial
</t>
  </si>
  <si>
    <t>Miyauchi, Y.; Furukawa, K.; Suzuki, D.; Yoshitomi, H.; Takayashiki, T.; Kuboki, S.; Miyazaki, M.; Ohtsuka, M.</t>
  </si>
  <si>
    <t xml:space="preserve">https://www.scopus.com/inward/record.uri?eid=2-s2.0-85058214046&amp;doi=10.1016%2fj.ijsu.2018.11.028&amp;partnerID=40&amp;md5=1b0316eb29cf225cc3f4adddaf2a9774
</t>
  </si>
  <si>
    <t>10.1016/j.ijsu.2018.11.028</t>
  </si>
  <si>
    <t xml:space="preserve">Randomized phase II study comparing the efficacy and safety of SOX versus mFOLFOX6 as neoadjuvant chemotherapy without radiotherapy for locally advanced rectal cancer (KSCC1301)
</t>
  </si>
  <si>
    <t>Miwa, K.; Oki, E.; Enomoto, M.; Ihara, K.; Ando, K.; Fujita, F.; Tominaga, M.; Mori, S.; Nakayama, G.; Shimokawa, M.; Saeki, H.; Baba, H.; Mori, M.; Akagi, Y.</t>
  </si>
  <si>
    <t xml:space="preserve">https://www.scopus.com/inward/record.uri?eid=2-s2.0-85098890333&amp;doi=10.1186%2fs12885-020-07766-5&amp;partnerID=40&amp;md5=6d55dfac45a0d2a6cef90a0ee580ba0f
</t>
  </si>
  <si>
    <t>10.1186/s12885-020-07766-5</t>
  </si>
  <si>
    <t xml:space="preserve">Surgery for type B ankle fracture treatment: A Combined Randomised and Observational Study (CROSSBAT)
</t>
  </si>
  <si>
    <t>Mittal, R.; Harris, I. A.; Adie, S.; Naylor, J. M.; Group, Crossbat Study</t>
  </si>
  <si>
    <t xml:space="preserve">https://www.scopus.com/inward/record.uri?eid=2-s2.0-85016248577&amp;doi=10.1136%2fbmjopen-2016-013298&amp;partnerID=40&amp;md5=d47aa9cf690d29113a6d3f264cd1f38f
</t>
  </si>
  <si>
    <t>10.1136/bmjopen-2016-013298</t>
  </si>
  <si>
    <t xml:space="preserve">Controlled oxygenated rewarming as novel end-ischemic therapy for cold stored liver grafts. A randomized controlled trial
</t>
  </si>
  <si>
    <t>Minor, T.; von Horn, C.; Zlatev, H.; Saner, F.; Grawe, M.; Lüer, B.; Huessler, E. M.; Kuklik, N.; Paul, A.</t>
  </si>
  <si>
    <t xml:space="preserve">Clinical and Translational Science
</t>
  </si>
  <si>
    <t xml:space="preserve">https://www.scopus.com/inward/record.uri?eid=2-s2.0-85139960535&amp;doi=10.1111%2fcts.13409&amp;partnerID=40&amp;md5=d768a490ee895afe981db4a62db92fe7
</t>
  </si>
  <si>
    <t>10.1111/cts.13409</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</si>
  <si>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</si>
  <si>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</si>
  <si>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</si>
  <si>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</si>
  <si>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</si>
  <si>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Multimodal Prehabilitation to Enhance Functional Capacity Following Radical Cystectomy: A Randomized Controlled Trial
</t>
  </si>
  <si>
    <t>Minnella, E. M.; Awasthi, R.; Bousquet-Dion, G.; Ferreira, V.; Austin, B.; Audi, C.; Tanguay, S.; Aprikian, A.; Carli, F.; Kassouf, W.</t>
  </si>
  <si>
    <t xml:space="preserve">https://www.scopus.com/inward/record.uri?eid=2-s2.0-85066729404&amp;doi=10.1016%2fj.euf.2019.05.016&amp;partnerID=40&amp;md5=a442f1bc23fd39deb304ec2293be1138
</t>
  </si>
  <si>
    <t>10.1016/j.euf.2019.05.016</t>
  </si>
  <si>
    <t xml:space="preserve">Prehabilitation for men undergoing radical prostatectomy: A multi-centre, pilot randomized controlled trial
</t>
  </si>
  <si>
    <t>Mina, D. S.; Matthew, A. G.; Hilton, W. J.; Au, D.; Awasthi, R.; Alibhai, S. M. H.; Clarke, H.; Ritvo, P.; Trachtenberg, J.; Fleshner, N. E.; Finelli, A.; Wijeysundera, D.; Aprikian, A.; Tanguay, S.; Carli, F.</t>
  </si>
  <si>
    <t xml:space="preserve">https://www.scopus.com/inward/record.uri?eid=2-s2.0-84988847881&amp;doi=10.1186%2f1471-2482-14-89&amp;partnerID=40&amp;md5=316ef454e8e34a7468a00037f9cad933
</t>
  </si>
  <si>
    <t>10.1186/1471-2482-14-89</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</si>
  <si>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</si>
  <si>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</si>
  <si>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</si>
  <si>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</si>
  <si>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Surgical stress and metabolic response after totally laparoscopic right colectomy
</t>
  </si>
  <si>
    <t>Milone, M.; Desiderio, A.; Velotti, N.; Manigrasso, M.; Vertaldi, S.; Bracale, U.; D’Ambra, M.; Servillo, G.; De Simone, G.; De Palma, F. D. E.; Perruolo, G.; Raciti, G. A.; Miele, C.; Beguinot, F.; De Palma, G. D.</t>
  </si>
  <si>
    <t xml:space="preserve">https://www.scopus.com/inward/record.uri?eid=2-s2.0-85105470960&amp;doi=10.1038%2fs41598-021-89183-7&amp;partnerID=40&amp;md5=b29f8507683c59d94427968e039735e9
</t>
  </si>
  <si>
    <t>10.1038/s41598-021-89183-7</t>
  </si>
  <si>
    <t xml:space="preserve">Effect of prucalopride to improve time to gut function recovery following elective colorectal surgery: Randomized clinical trial
</t>
  </si>
  <si>
    <t>Milne, T.; Liu, C.; O'Grady, G.; Woodfield, J.; Bissett, I.</t>
  </si>
  <si>
    <t xml:space="preserve">https://www.scopus.com/inward/record.uri?eid=2-s2.0-85134721392&amp;doi=10.1093%2fbjs%2fznac121&amp;partnerID=40&amp;md5=b7323011d31685173bd7475cc9f60f6c
</t>
  </si>
  <si>
    <t>10.1093/bjs/znac121</t>
  </si>
  <si>
    <t xml:space="preserve">A Randomized Phase II Study to Evaluate Prolonged Prophylactic Antibacterial Drug Treatment for Patients with Elevated Drain Amylase Concentration After Gastrectomy with D2 Lymph Node Dissection (REDUCED2)
</t>
  </si>
  <si>
    <t>Miki, Y.; Tokunaga, M.; Mori, K.; Fukushima, N.; Misawa, K.; Nishikawa, K.; Fujitani, K.; Ohira, M.; Tanizawa, Y.; Bando, E.; Terashima, M.</t>
  </si>
  <si>
    <t xml:space="preserve">https://www.scopus.com/inward/record.uri?eid=2-s2.0-85100075629&amp;doi=10.1007%2fs00268-020-05944-x&amp;partnerID=40&amp;md5=5dd4591f406378a8b5120f64ecae37c4
</t>
  </si>
  <si>
    <t>10.1007/s00268-020-05944-x</t>
  </si>
  <si>
    <t xml:space="preserve">Comparison of new versus reused Harmonic scalpel performance in laparoscopic appendectomy in patients with acute appendicitis—a randomized clinical trial
</t>
  </si>
  <si>
    <t>Mihanović, J.; Šikić, N. L.; Mrklić, I.; Katušić, Z.; Karlo, R.; Jukić, M.; Jerončić, A.; Pogorelić, Z.</t>
  </si>
  <si>
    <t xml:space="preserve">406
</t>
  </si>
  <si>
    <t xml:space="preserve">https://www.scopus.com/inward/record.uri?eid=2-s2.0-85096546583&amp;doi=10.1007%2fs00423-020-02039-y&amp;partnerID=40&amp;md5=9300367b03ff6d724be4611de406375d
</t>
  </si>
  <si>
    <t>10.1007/s00423-020-02039-y</t>
  </si>
  <si>
    <t xml:space="preserve">Postoperative negative-pressure incision therapy following open colorectal surgery (Poniy): Study protocol for a randomized controlled trial
</t>
  </si>
  <si>
    <t>Mihaljevic, A. L.; Schirren, R.; Müller, T. C.; Kehl, V.; Friess, H.; Kleeff, J.</t>
  </si>
  <si>
    <t xml:space="preserve">https://www.scopus.com/inward/record.uri?eid=2-s2.0-84945195481&amp;doi=10.1186%2fs13063-015-0995-4&amp;partnerID=40&amp;md5=a5a681d78b7a09ada3f27d2b2ec9c531
</t>
  </si>
  <si>
    <t>10.1186/s13063-015-0995-4</t>
  </si>
  <si>
    <t xml:space="preserve">Early removal of the prophylactic drain after distal gastrectomy: Results of a randomized controlled study
</t>
  </si>
  <si>
    <t>Migita, K.; Takayama, T.; Matsumoto, S.; Wakatsuki, K.; Tanaka, T.; Ito, M.; Nakajima, Y.</t>
  </si>
  <si>
    <t xml:space="preserve">3-6
</t>
  </si>
  <si>
    <t xml:space="preserve">Journal of Nara Medical Association
</t>
  </si>
  <si>
    <t xml:space="preserve">https://www.scopus.com/inward/record.uri?eid=2-s2.0-84964424226&amp;partnerID=40&amp;md5=78193aa56132d6e823e9b24f7e85fc6b
</t>
  </si>
  <si>
    <t xml:space="preserve">A prospective randomized trial comparing liposomal bupivacaine vs standard bupivacaine wound infiltration in open gynecologic surgery on an enhanced recovery pathway
</t>
  </si>
  <si>
    <t>Meyer, L. A.; Corzo, C.; Iniesta, M. D.; Munsell, M.; Shi, Q.; Pitcher, B.; Lasala, J.; Cain, K. E.; Wang, X. S.; Mena, G.; Ramirez, P. T.</t>
  </si>
  <si>
    <t xml:space="preserve">224
</t>
  </si>
  <si>
    <t xml:space="preserve">https://www.scopus.com/inward/record.uri?eid=2-s2.0-85091520328&amp;doi=10.1016%2fj.ajog.2020.07.017&amp;partnerID=40&amp;md5=c1c9f74ca9fdc06e0ec18be1bef607cf
</t>
  </si>
  <si>
    <t>10.1016/j.ajog.2020.07.017</t>
  </si>
  <si>
    <t xml:space="preserve">Comparing open and minimally invasive surgical procedures for oesophagectomy in the treatment of cancer: The romio (randomised oesophagectomy: Minimally invasive or open) feasibility study and pilot trial
</t>
  </si>
  <si>
    <t>Metcalfe, C.; Avery, K.; Berrisford, R.; Barham, P.; Noble, S. M.; Fernandez, A. M.; Hanna, G.; Goldin, R.; Elliott, J.; Wheatley, T.; Sanders, G.; Hollowood, A.; Falk, S.; Titcomb, D.; Streets, C.; Donovan, J. L.; Blazeby, J. M.</t>
  </si>
  <si>
    <t xml:space="preserve">https://www.scopus.com/inward/record.uri?eid=2-s2.0-84977562834&amp;doi=10.3310%2fhta20480&amp;partnerID=40&amp;md5=eea1b32d4eff5bcc8a2bf02b42f67c4f
</t>
  </si>
  <si>
    <t>10.3310/hta20480</t>
  </si>
  <si>
    <t xml:space="preserve">Preoperative chemoradiation with paclitaxel-carboplatin or with fluorouracil-oxaliplatin-folinic acid (FOLFOX) for resectable esophageal and junctional cancer: The PROTECT-1402, randomized phase 2 trial
</t>
  </si>
  <si>
    <t>Messager, M.; Mirabel, X.; Tresch, E.; Paumier, A.; Vendrely, V.; Dahan, L.; Glehen, O.; Vasseur, F.; Lacornerie, T.; Piessen, G.; El Hajbi, F.; Robb, W. B.; Clisant, S.; Kramar, A.; Mariette, C.; Adenis, A.</t>
  </si>
  <si>
    <t xml:space="preserve">https://www.scopus.com/inward/record.uri?eid=2-s2.0-84974536529&amp;doi=10.1186%2fs12885-016-2335-9&amp;partnerID=40&amp;md5=4c8b5847b390755cdfbaef2f82b9f7e5
</t>
  </si>
  <si>
    <t>10.1186/s12885-016-2335-9</t>
  </si>
  <si>
    <t xml:space="preserve">Assessing the value of prehabilitation in patients undergoing colorectal surgery according to the enhanced recovery after surgery (ERAS) pathway for the improvement of postoperative outcomes: Protocol for a randomized controlled trial
</t>
  </si>
  <si>
    <t>Merki-Künzli, C.; Kerstan-Huber, M.; Switalla, D.; Gisi, D.; Raptis, D. A.; Greco, N.; Mungo, G.; Wirz, M.; Gloor, S.; Misirlic, M.; Breitenstein, S.; Tschuor, C.</t>
  </si>
  <si>
    <t xml:space="preserve">https://www.scopus.com/inward/record.uri?eid=2-s2.0-85051253064&amp;doi=10.2196%2fresprot.7972&amp;partnerID=40&amp;md5=c8c77ea47851c6ee7d66b5561bb1c481
</t>
  </si>
  <si>
    <t>10.2196/resprot.7972</t>
  </si>
  <si>
    <t xml:space="preserve">Effect of the use of reinforced stapling on the occurrence of pancreatic fistula after distal pancreatectomy results of the REPLAY (Reinforcement of the Pancreas in Distal Pancreatectomy) multicenter randomized clinical trial
</t>
  </si>
  <si>
    <t>Merdrignac, A.; Garnier, J.; Dokmak, S.; Regenet, N.; Lesurtel, M.; Mabrut, J. Y.; Sa Cunha, A.; Fuks, D.; Bergeat, D.; Robin, F.; Le Pabic, E.; Boudjema, K.; Turrini, O.; Laviolle, B.; Sulpice, L.</t>
  </si>
  <si>
    <t xml:space="preserve">https://www.scopus.com/inward/record.uri?eid=2-s2.0-85139571358&amp;doi=10.1097%2fSLA.0000000000005618&amp;partnerID=40&amp;md5=8af4cde2de8c47f0678d4a6f4cd086a3
</t>
  </si>
  <si>
    <t>10.1097/SLA.0000000000005618</t>
  </si>
  <si>
    <t xml:space="preserve">Laparoscopic surgery or conservative treatment for appendiceal abscess in adults? A randomized controlled trial
</t>
  </si>
  <si>
    <t>Mentula, P.; Sammalkorpi, H.; Leppäniemi, A.</t>
  </si>
  <si>
    <t xml:space="preserve">https://www.scopus.com/inward/record.uri?eid=2-s2.0-84938226983&amp;doi=10.1097%2fSLA.0000000000001200&amp;partnerID=40&amp;md5=b68502a0b8ebfd238dac9a72add25c91
</t>
  </si>
  <si>
    <t>10.1097/SLA.0000000000001200</t>
  </si>
  <si>
    <t xml:space="preserve">Functional Recovery, Oncologic Outcomes and Postoperative Complications after Robot-Assisted Radical Prostatectomy: An Evidence-Based Analysis Comparing the Retzius Sparing and Standard Approaches
</t>
  </si>
  <si>
    <t>Menon, M.; Dalela, D.; Jamil, M.; Diaz, M.; Tallman, C.; Abdollah, F.; Sood, A.; Lehtola, L.; Miller, D.; Jeong, W.</t>
  </si>
  <si>
    <t xml:space="preserve">199
</t>
  </si>
  <si>
    <t xml:space="preserve">https://www.scopus.com/inward/record.uri?eid=2-s2.0-85044344811&amp;doi=10.1016%2fj.juro.2017.11.115&amp;partnerID=40&amp;md5=3dc09ec794298cd8525e21158ee2a2a4
</t>
  </si>
  <si>
    <t>10.1016/j.juro.2017.11.115</t>
  </si>
  <si>
    <t xml:space="preserve">Effect of preoperative CT angiography examination on the clinical outcome of patients with BMI ≥ 25.0 kg/m2 undergoing laparoscopic gastrectomy: study protocol for a multicentre randomized controlled trial
</t>
  </si>
  <si>
    <t>Meng, C.; Cao, S.; Liu, X.; Li, L.; He, Q.; Xia, L.; Jiang, L.; Chu, X.; Wang, X.; Wang, H.; Hui, X.; Sun, Z.; Huang, S.; Duan, Q.; Yang, D.; Zhang, H.; Tian, Y.; Li, Z.; Zhou, Y.</t>
  </si>
  <si>
    <t xml:space="preserve">https://www.scopus.com/inward/record.uri?eid=2-s2.0-85121027437&amp;doi=10.1186%2fs13063-021-05887-1&amp;partnerID=40&amp;md5=5017dbd1e635410eb78dfdc7fb8f3d30
</t>
  </si>
  <si>
    <t>10.1186/s13063-021-05887-1</t>
  </si>
  <si>
    <t xml:space="preserve">Design of a 3-arm randomized trial for posthysterectomy vault prolapse involving sacral colpopexy, transvaginal mesh, and native tissue apical repair: The apical suspension repair for vault prolapse in a three-arm randomized trial
</t>
  </si>
  <si>
    <t>Menefee, S.; Richter, H. E.; Myers, D.; Weidner, A.; Moalli, P.; Harvie, H.; Rahn, D.; Jeppson, P.; Paraiso, M.; Thomas, S.; Mazloomdoost, D.</t>
  </si>
  <si>
    <t xml:space="preserve">https://www.scopus.com/inward/record.uri?eid=2-s2.0-85087468886&amp;doi=10.1097%2fSPV.0000000000000803&amp;partnerID=40&amp;md5=7f00e39e90d64eea059b965890b0bb9e
</t>
  </si>
  <si>
    <t>10.1097/SPV.0000000000000803</t>
  </si>
  <si>
    <t xml:space="preserve">BestFLR trial: Liver regeneration at CT before major hepatectomies for liver cancer—A randomized controlled trial comparing portal vein embolization with N-butyl-cyanoacrylate plus iodized oil versus polyvinyl alcohol particles plus coils
</t>
  </si>
  <si>
    <t>Mendes Luz, J. H.; Gomes, F. V.; Costa, N. V.; Vasco, I.; Coimbra, E.; Luz, P. M.; Marques, H. P.; Coelho, J. S.; Alexandre Mega, R. M.; Vouga Ribeiro, V. N. T.; Costa Lamelas, J. T. R.; Nunese Sobral, M. M. S.; Gomesda Silva, S. R.; Teixeira Carrelha, A. S.; Rodrigues, S. C. C.; Figueiredo, A. A. F. P.; Santos, M. V.; Bilhim, T.</t>
  </si>
  <si>
    <t xml:space="preserve">299
</t>
  </si>
  <si>
    <t xml:space="preserve">Radiology
</t>
  </si>
  <si>
    <t xml:space="preserve">https://www.scopus.com/inward/record.uri?eid=2-s2.0-85107090405&amp;doi=10.1148%2fradiol.2021204055&amp;partnerID=40&amp;md5=53c5b213830844ad7ce01cec0c362623
</t>
  </si>
  <si>
    <t>10.1148/radiol.2021204055</t>
  </si>
  <si>
    <t xml:space="preserve">SUMMER Trial: mesh versus suture repair in small umbilical hernias in adults—a study protocol for a prospective randomized double-blind multicenter clinical trial
</t>
  </si>
  <si>
    <t>Melkemichel, M.; Bringman, S.; Granåsen, G.; Widhe, B.</t>
  </si>
  <si>
    <t xml:space="preserve">https://www.scopus.com/inward/record.uri?eid=2-s2.0-85109123101&amp;doi=10.1186%2fs13063-021-05366-7&amp;partnerID=40&amp;md5=c164ab240d0e7964fa5ae32e0942c4ce
</t>
  </si>
  <si>
    <t>10.1186/s13063-021-05366-7</t>
  </si>
  <si>
    <t xml:space="preserve">Perioperative celecoxib decreases opioid use in patients undergoing testicular surgery: A randomized, double-blind, placebo controlled trial
</t>
  </si>
  <si>
    <t>Mehta, A.; Hsiao, W.; King, P.; Schlegel, P. N.</t>
  </si>
  <si>
    <t xml:space="preserve">190
</t>
  </si>
  <si>
    <t xml:space="preserve">https://www.scopus.com/inward/record.uri?eid=2-s2.0-84888644273&amp;doi=10.1016%2fj.juro.2013.04.058&amp;partnerID=40&amp;md5=ad5083321049b663569031bcf9027206
</t>
  </si>
  <si>
    <t>10.1016/j.juro.2013.04.058</t>
  </si>
  <si>
    <t xml:space="preserve">Remote diagnosis of surgical-site infection using a mobile digital intervention: a randomised controlled trial in emergency surgery patients
</t>
  </si>
  <si>
    <t>McLean, K. A.; Mountain, K. E.; Shaw, C. A.; Drake, T. M.; Pius, R.; Knight, S. R.; Fairfield, C. J.; Sgrò, A.; Bouamrane, M.; Cambridge, W. A.; Lyons, M.; Riad, A.; Skipworth, R. J. E.; Wigmore, S. J.; Potter, M. A.; Harrison, E. M.; Baweja, K.; Cambridge, W. A.; Chauhan, V.; Czyzykowska, K.; Edirisooriya, M.; Forsyth, A.; Fox, B.; Fretwell, J.; Gent, C.; Gherman, A.; Green, L.; Grewar, J.; Heelan, S.; Henshall, D.; Iiuoma, C.; Jayasangaran, S.; Johnston, C.; Kennedy, E.; Kremel, D.; Kung, J.; Kwong, J.; Leavy, C.; Liu, J.; Mackay, S.; MacNamara, A.; Mowitt, S.; Musenga, E.; Ng, N.; Ng, Z. H.; O’Neill, S.; Ramage, M.; Reed, J.; Riad, A.; Scott, C.; Sehgal, V.; Sgrò, A.; Steven, L.; Stutchfield, B.; Tominey, S.; Wilson, W.; Wojtowicz, M.; Yang, J.; Collaborators, Twist</t>
  </si>
  <si>
    <t xml:space="preserve">pj Digital Medicine
</t>
  </si>
  <si>
    <t xml:space="preserve">https://www.scopus.com/inward/record.uri?eid=2-s2.0-85119470778&amp;doi=10.1038%2fs41746-021-00526-0&amp;partnerID=40&amp;md5=399b8634015293873d98be83c8fbc183
</t>
  </si>
  <si>
    <t>10.1038/s41746-021-00526-0</t>
  </si>
  <si>
    <t xml:space="preserve">PREPARE trial: a protocol for a multicentre randomised trial of frailty-focused preoperative exercise to decrease postoperative complication rates and disability scores
</t>
  </si>
  <si>
    <t>McIsaac, D. I.; Fergusson, D. A.; Khadaroo, R.; Meliambro, A.; Muscedere, J.; Gillis, C.; Hladkowicz, E.; Taljaard, M.</t>
  </si>
  <si>
    <t xml:space="preserve">https://www.scopus.com/inward/record.uri?eid=2-s2.0-85135552537&amp;doi=10.1136%2fbmjopen-2022-064165&amp;partnerID=40&amp;md5=c22fb5e1ff1bbee59755dd4bf5b6c2a8
</t>
  </si>
  <si>
    <t>10.1136/bmjopen-2022-064165</t>
  </si>
  <si>
    <t xml:space="preserve">Permanent compared with absorbable suture for vaginal mesh fixation during total hysterectomy and sacrocolpopexy: A randomized controlled trial
</t>
  </si>
  <si>
    <t>Matthews, C. A.; Geller, E. J.; Henley, B. R.; Kenton, K.; Myers, E. M.; Dieter, A. A.; Parnell, B.; Lewicky-Gaupp, C.; Mueller, M. G.; Wu, J. M.</t>
  </si>
  <si>
    <t xml:space="preserve">https://www.scopus.com/inward/record.uri?eid=2-s2.0-85089125612&amp;doi=10.1097%2fAOG.0000000000003884&amp;partnerID=40&amp;md5=7b939e577537c9c8ebad065222eea0c9
</t>
  </si>
  <si>
    <t>10.1097/AOG.0000000000003884</t>
  </si>
  <si>
    <t xml:space="preserve">Effects of low intraperitoneal pressure and a warmed, humidified carbon dioxide gas in laparoscopic surgery: A randomized clinical trial
</t>
  </si>
  <si>
    <t>Matsuzaki, S.; Vernis, L.; Bonnin, M.; Houlle, C.; Fournet-Fayard, A.; Rosano, G.; Lafaye, A. L.; Chartier, C.; Barriere, A.; Storme, B.; Bazin, J. E.; Canis, M.; Botchorishvili, R.</t>
  </si>
  <si>
    <t xml:space="preserve">https://www.scopus.com/inward/record.uri?eid=2-s2.0-85029293079&amp;doi=10.1038%2fs41598-017-10769-1&amp;partnerID=40&amp;md5=a4a0b67e3b61b0f7c03da30052877927
</t>
  </si>
  <si>
    <t>10.1038/s41598-017-10769-1</t>
  </si>
  <si>
    <t xml:space="preserve">A randomized controlled trial of surgery and postoperative modified FOLFOX6 versus surgery and perioperative modified FOLFOX6 plus cetuximab in patients with KRAS wild-type resectable colorectal liver metastases: EXPERT study
</t>
  </si>
  <si>
    <t>Matsumura, M.; Hasegawa, K.; Oba, M.; Yamaguchi, K.; Uetake, H.; Yoshino, T.; Morita, S.; Takahashi, K.; Unno, M.; Shimada, Y.; Muro, K.; Matsuhashi, N.; Mori, M.; Baba, H.; Shimada, M.; Mise, Y.; Kawaguchi, Y.; Kagimura, T.; Ishigure, K.; Saiura, A.; Sugihara, K.; Kokudo, N.</t>
  </si>
  <si>
    <t xml:space="preserve">407
</t>
  </si>
  <si>
    <t xml:space="preserve">https://www.scopus.com/inward/record.uri?eid=2-s2.0-85125146752&amp;doi=10.1007%2fs00423-022-02434-7&amp;partnerID=40&amp;md5=5b12c95d162649c194459ad3498c33f0
</t>
  </si>
  <si>
    <t>10.1007/s00423-022-02434-7</t>
  </si>
  <si>
    <t xml:space="preserve">A prospective randomized comparison between pylorus- and subtotal stomach-preserving pancreatoduodenectomy on postoperative delayed gastric emptying occurrence and long-term nutritional status
</t>
  </si>
  <si>
    <t>Matsumoto, I.; Shinzeki, M.; Asari, S.; Goto, T.; Shirakawa, S.; Ajiki, T.; Fukumoto, T.; Suzuki, Y.; Ku, Y.</t>
  </si>
  <si>
    <t xml:space="preserve">https://www.scopus.com/inward/record.uri?eid=2-s2.0-84899495069&amp;doi=10.1002%2fjso.23566&amp;partnerID=40&amp;md5=0666ece9ff95361cede12f86e43e41e7
</t>
  </si>
  <si>
    <t>10.1002/jso.23566</t>
  </si>
  <si>
    <t xml:space="preserve">Randomized clinical trial of defaecatory function after anterior resection for rectal cancer with high versus low ligation of the inferior mesenteric artery
</t>
  </si>
  <si>
    <t>Matsuda, K.; Hotta, T.; Takifuji, K.; Yokoyama, S.; Oku, Y.; Watanabe, T.; Mitani, Y.; Ieda, J.; Mizumoto, Y.; Yamaue, H.</t>
  </si>
  <si>
    <t xml:space="preserve">https://www.scopus.com/inward/record.uri?eid=2-s2.0-84924412356&amp;doi=10.1002%2fbjs.9739&amp;partnerID=40&amp;md5=401e30031794161b74063ff759e1c7b5
</t>
  </si>
  <si>
    <t>10.1002/bjs.9739</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</si>
  <si>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</si>
  <si>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</si>
  <si>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</si>
  <si>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</si>
  <si>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Open vs robotic intracorporeal Padua ileal bladder: functional outcomes of a single-centre RCT
</t>
  </si>
  <si>
    <t>Mastroianni, R.; Tuderti, G.; Ferriero, M.; Anceschi, U.; Bove, A. M.; Brassetti, A.; Misuraca, L.; Zampa, A.; Torregiani, G.; Covotta, M.; Guaglianone, S.; Gallucci, M.; Simone, G.</t>
  </si>
  <si>
    <t xml:space="preserve">https://www.scopus.com/inward/record.uri?eid=2-s2.0-85148945776&amp;doi=10.1007%2fs00345-023-04312-3&amp;partnerID=40&amp;md5=5822f0fb3163a9e725f2773741337c57
</t>
  </si>
  <si>
    <t>10.1007/s00345-023-04312-3</t>
  </si>
  <si>
    <t xml:space="preserve">Open versus robot-assisted radical cystectomy: pentafecta and trifecta achievement comparison from a randomised controlled trial
</t>
  </si>
  <si>
    <t>Mastroianni, R.; Tuderti, G.; Ferriero, M.; Anceschi, U.; Bove, A. M.; Brassetti, A.; Misuraca, L.; D'Annunzio, S.; Guaglianone, S.; Gallucci, M.; Simone, G.</t>
  </si>
  <si>
    <t xml:space="preserve">https://www.scopus.com/inward/record.uri?eid=2-s2.0-85166778244&amp;doi=10.1111%2fbju.16134&amp;partnerID=40&amp;md5=494aa8ba4f07ac7cb6acfb3a05f09e57
</t>
  </si>
  <si>
    <t>10.1111/bju.16134</t>
  </si>
  <si>
    <t xml:space="preserve">Open Radical Cystectomy versus Robot-Assisted Radical Cystectomy with Intracorporeal Urinary Diversion: Early Outcomes of a Single-Center Randomized Controlled Trial
</t>
  </si>
  <si>
    <t>Mastroianni, R.; Ferriero, M.; Tuderti, G.; Anceschi, U.; Bove, A. M.; Brassetti, A.; Misuraca, L.; Zampa, A.; Torregiani, G.; Ghiani, E.; Giannarelli, D.; Guaglianone, S.; Gallucci, M.; Simone, G.</t>
  </si>
  <si>
    <t xml:space="preserve">207
</t>
  </si>
  <si>
    <t xml:space="preserve">https://www.scopus.com/inward/record.uri?eid=2-s2.0-85128248511&amp;doi=10.1097%2fJU.0000000000002422&amp;partnerID=40&amp;md5=d7a1e541c266ab2d4b6dcf8b6d4ec5b9
</t>
  </si>
  <si>
    <t>10.1097/JU.0000000000002422</t>
  </si>
  <si>
    <t xml:space="preserve">Is structural hydroxyapatite tricalciumphosphate graft or tricortical iliac crest autograft better for calcaneal lengthening osteotomy in childhood? interim results from a randomised, controlled noninferiority study
</t>
  </si>
  <si>
    <t>Martinkevich, P.; Rahbek, O.; Stilling, M.; Pedersen, L. K.; Gottliebsen, M.; Søballe, K.; Møller-Madsen, B.</t>
  </si>
  <si>
    <t xml:space="preserve">98-B
</t>
  </si>
  <si>
    <t xml:space="preserve">Bone and Joint Journal
</t>
  </si>
  <si>
    <t xml:space="preserve">https://www.scopus.com/inward/record.uri?eid=2-s2.0-85019136005&amp;doi=10.1302%2f0301-620X.98B11.BJJ-2016-0095.R1&amp;partnerID=40&amp;md5=a13ad3ca68b216dacf5e3970a1e8d684
</t>
  </si>
  <si>
    <t>10.1302/0301-620X.98B11.BJJ-2016-0095.R1</t>
  </si>
  <si>
    <t xml:space="preserve">Does fibrin glue sealant decrease the rate of anastomotic leak after a pancreaticoduodenectomy? Results of a prospective randomized trial
</t>
  </si>
  <si>
    <t>Martin, I.; Au, K.</t>
  </si>
  <si>
    <t xml:space="preserve">https://www.scopus.com/inward/record.uri?eid=2-s2.0-84880175386&amp;doi=10.1111%2fhpb.12018&amp;partnerID=40&amp;md5=b33af401b1054ae0ca7b3412da022c24
</t>
  </si>
  <si>
    <t>10.1111/hpb.12018</t>
  </si>
  <si>
    <t xml:space="preserve">The cardiac output optimisation following liver transplant (COLT) trial: a feasibility randomised controlled trial
</t>
  </si>
  <si>
    <t>Martin, D.; Koti, R.; Gurusamy, K.; Longworth, L.; Singh, J.; Froghi, F.; Soggiu, F.; Mallett, S.; Schofield, N.; Selves, L.; Thorburn, D.; Eastgate, C.; Filipe, H.; McNeil, M.; Anastasiou, Z.; Davidson, B.; Abeysundara, L.; Baker, J.; Burrell, E.; Leen, J. C.; Cuell, J.; Flavin, K.; Fryer, K.; Gopalan, V.; Hannon, V.; Katherine; Horner; James, S.; Kaur, R.; Martin, K.; Mallet, S.; Morkane, C.; Mussad, A.; Perrin, M.; Pietroni, O.; Pinto, M.; Price, J.; Quist, K.; Rajaratnam, P.; Saha, S.; Sexton, D.; Soggiu, F.; Strachan, A.; Thakrar, S.; the, Colt study group</t>
  </si>
  <si>
    <t xml:space="preserve">https://www.scopus.com/inward/record.uri?eid=2-s2.0-85077168114&amp;doi=10.1016%2fj.hpb.2019.11.011&amp;partnerID=40&amp;md5=e9b8568fd7bf33a107c639e45a515c27
</t>
  </si>
  <si>
    <t>10.1016/j.hpb.2019.11.011</t>
  </si>
  <si>
    <t xml:space="preserve">The role of tibial nerve stimulation for enhanced postoperative recovery after colorectal surgery: a double-blind, parallel-group, randomized controlled trial
</t>
  </si>
  <si>
    <t>Martellucci, J.; Sturiale, A.; Alemanno, G.; Bartolini, I.; Pesi, B.; Perna, F.; Coratti, A.; Prosperi, P.; Valeri, A.</t>
  </si>
  <si>
    <t xml:space="preserve">https://www.scopus.com/inward/record.uri?eid=2-s2.0-85091775066&amp;doi=10.1007%2fs10151-020-02347-x&amp;partnerID=40&amp;md5=3f45119174edbf1c2a484cfbd871b5f3
</t>
  </si>
  <si>
    <t>10.1007/s10151-020-02347-x</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</si>
  <si>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</si>
  <si>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</si>
  <si>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</si>
  <si>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</si>
  <si>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</si>
  <si>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</si>
  <si>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</si>
  <si>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</si>
  <si>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Hybrid minimally invasive esophagectomy for esophageal cancer
</t>
  </si>
  <si>
    <t>Mariette, C.; Markar, S. R.; Dabakuyo-Yonli, T. H. S.; Meunier, B.; Pezet, D.; Collet, D.; D’Journo, X. B.; Brigand, C.; Perniceni, T.; Carrère, N.; Mabrut, J. Y.; Msika, S.; Peschaud, F.; Prudhomme, M.; Bonnetain, F.; Piessen, G.</t>
  </si>
  <si>
    <t xml:space="preserve">380
</t>
  </si>
  <si>
    <t xml:space="preserve">https://www.scopus.com/inward/record.uri?eid=2-s2.0-85059797129&amp;doi=10.1056%2fNEJMoa1805101&amp;partnerID=40&amp;md5=75892acb28e753f8ff3cd472c315a543
</t>
  </si>
  <si>
    <t>10.1056/NEJMoa1805101</t>
  </si>
  <si>
    <t xml:space="preserve">Enhanced Recovery Open vs Laparoscopic Left Donor Nephrectomy: A Randomized Controlled Trial
</t>
  </si>
  <si>
    <t>Mansour, A. M.; El-Nahas, A. R.; Ali-El-Dein, B.; Denewar, A. A.; Abbas, M. A.; Abdel-Rahman, A.; Eraky, I.; Shokeir, A. A.</t>
  </si>
  <si>
    <t xml:space="preserve">https://www.scopus.com/inward/record.uri?eid=2-s2.0-85033993767&amp;doi=10.1016%2fj.urology.2017.08.047&amp;partnerID=40&amp;md5=769fd5b586511029670251bbdbf2458c
</t>
  </si>
  <si>
    <t>10.1016/j.urology.2017.08.047</t>
  </si>
  <si>
    <t xml:space="preserve">Fully covered metal stents vs plastic stents for preoperative biliary drainage in patients with resectable pancreatic cancer without neoadjuvant chemotherapy: A multicenter, prospective, randomized controlled trial
</t>
  </si>
  <si>
    <t>Mandai, K.; Tsuchiya, T.; Kawakami, H.; Ryozawa, S.; Saitou, M.; Iwai, T.; Ogawa, T.; Tamura, T.; Doi, S.; Okabe, Y.; Chiba, Y.; Itoi, T.</t>
  </si>
  <si>
    <t xml:space="preserve">https://www.scopus.com/inward/record.uri?eid=2-s2.0-85120863405&amp;doi=10.1002%2fjhbp.1090&amp;partnerID=40&amp;md5=f6068d17cf24689e37f2dae82a4501bc
</t>
  </si>
  <si>
    <t>10.1002/jhbp.1090</t>
  </si>
  <si>
    <t xml:space="preserve">Multicenter phase III randomized trial comparing laparoscopy and laparotomy for colon cancer surgery in patients older than 75 years: The CELL study, a Fédération de Recherche en Chirurgie (FRENCH) trial
</t>
  </si>
  <si>
    <t>Manceau, G.; Brouquet, A.; Chaibi, P.; Passot, G.; Bouché, O.; Mathonnet, M.; Regimbeau, J. M.; Lo Dico, R.; Lefèvre, J. H.; Peschaud, F.; Facy, O.; Volpin, E.; Chouillard, E.; Beyert-Berjot, L.; Verny, M.; Karoui, M.; Benoist, S.</t>
  </si>
  <si>
    <t xml:space="preserve">https://www.scopus.com/inward/record.uri?eid=2-s2.0-85076174125&amp;doi=10.1186%2fs12885-019-6376-8&amp;partnerID=40&amp;md5=c461c32330c823484437bced3a01a410
</t>
  </si>
  <si>
    <t>10.1186/s12885-019-6376-8</t>
  </si>
  <si>
    <t xml:space="preserve">Results from an international multicentre double-blind randomized controlled trial on the perioperative efficacy and safety of bipolar vs monopolar transurethral resection of the prostate
</t>
  </si>
  <si>
    <t>Mamoulakis, C.; Skolarikos, A.; Schulze, M.; Scoffone, C. M.; Rassweiler, J. J.; Alivizatos, G.; Scarpa, R. M.; De La Rosette, J. J. M. C. H.</t>
  </si>
  <si>
    <t xml:space="preserve">https://www.scopus.com/inward/record.uri?eid=2-s2.0-84655169901&amp;doi=10.1111%2fj.1464-410X.2011.10222.x&amp;partnerID=40&amp;md5=1f961b4230972cd5b9d02eabe8dc8925
</t>
  </si>
  <si>
    <t>10.1111/j.1464-410X.2011.10222.x</t>
  </si>
  <si>
    <t xml:space="preserve">Midterm results from an international multicentre randomised controlled trial comparing bipolar with monopolar transurethral resection of the prostate
</t>
  </si>
  <si>
    <t>Mamoulakis, C.; Schulze, M.; Skolarikos, A.; Alivizatos, G.; Scarpa, R. M.; Rassweiler, J. J.; De La Rosette, J. J. M. C. H.; Scoffone, C. M.</t>
  </si>
  <si>
    <t xml:space="preserve">https://www.scopus.com/inward/record.uri?eid=2-s2.0-84874524799&amp;doi=10.1016%2fj.eururo.2012.10.003&amp;partnerID=40&amp;md5=04014be7e5f7c932b9e4a6ea508b8ce8
</t>
  </si>
  <si>
    <t>10.1016/j.eururo.2012.10.003</t>
  </si>
  <si>
    <t xml:space="preserve">Laparoscopy or clinical follow-up to detect occult diaphragm injuries following left-sided thoracoabdominal stab wounds: A pilot randomized controlled trial
</t>
  </si>
  <si>
    <t>Malherbe, G. F.; Navsaria, P. H.; Nicol, A. J.; Edu, S.; Chowdhury, S.</t>
  </si>
  <si>
    <t xml:space="preserve">South African Journal of Surgery
</t>
  </si>
  <si>
    <t xml:space="preserve">https://www.scopus.com/inward/record.uri?eid=2-s2.0-85034055098&amp;partnerID=40&amp;md5=fe0e185de8cdb10bc0a976d4e967f855
</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</si>
  <si>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</si>
  <si>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</si>
  <si>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</si>
  <si>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</si>
  <si>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Robot-assisted laparoscopic radical cystectomy with intracorporeal ileal conduit diversion versus open radical cystectomy with ileal conduit for bladder cancer in an ERAS setup (BORARC): protocol for a single-centre, double-blinded, randomised feasibility study
</t>
  </si>
  <si>
    <t>Maibom, S. L.; Joensen, U. N.; Aasvang, E. K.; Rohrsted, M.; Thind, P. O.; Bagi, P.; Kistorp, T.; Poulsen, A. M.; Salling, L. N.; Kehlet, H.; Brasso, K.; Røder, M. A.</t>
  </si>
  <si>
    <t xml:space="preserve">https://www.scopus.com/inward/record.uri?eid=2-s2.0-85146261934&amp;doi=10.1186%2fs40814-022-01229-3&amp;partnerID=40&amp;md5=aa234e5528a70a45dbb521becafaee99
</t>
  </si>
  <si>
    <t xml:space="preserve">10.1186/s40814-022-01229-3
</t>
  </si>
  <si>
    <t xml:space="preserve">Benefit of a flash dose of corticosteroids in digestive surgical oncology: a multicenter, randomized, double blind, placebo-controlled trial (CORTIFRENCH)
</t>
  </si>
  <si>
    <t>Magnin, J.; Fournel, I.; Doussot, A.; Régimbeau, J. M.; Zerbib, P.; Piessen, G.; Beyer-Berjot, L.; Deguelte, S.; Lakkis, Z.; Schwarz, L.; Orry, D.; Ayav, A.; Muscari, F.; Mauvais, F.; Passot, G.; Trelles, N.; Venara, A.; Benoist, S.; Messager, M.; Fuks, D.; Borraccino, B.; Trésallet, C.; Valverde, A.; Souche, F. R.; Herrero, A.; Gaujoux, S.; Lefevre, J.; Bourredjem, A.; Cransac, A.; Ortega-Deballon, P.</t>
  </si>
  <si>
    <t xml:space="preserve">https://www.scopus.com/inward/record.uri?eid=2-s2.0-85136396759&amp;doi=10.1186%2fs12885-022-09998-z&amp;partnerID=40&amp;md5=1deff028ddc1f0186d26398138a37e0f
</t>
  </si>
  <si>
    <t>10.1186/s12885-022-09998-z</t>
  </si>
  <si>
    <t xml:space="preserve">Single-incision laparoscopy versus multiport laparoscopy for colonic surgery: A multicenter, double-blinded, randomized controlled trial
</t>
  </si>
  <si>
    <t>Maggiori, L.; Tuech, J. J.; Cotte, E.; Lelong, B.; Denost, Q.; Karoui, M.; Vicaut, E.; Panis, Y.</t>
  </si>
  <si>
    <t xml:space="preserve">https://www.scopus.com/inward/record.uri?eid=2-s2.0-85054765712&amp;doi=10.1097%2fSLA.0000000000002836&amp;partnerID=40&amp;md5=df650b34980996d21ced5934ae577f07
</t>
  </si>
  <si>
    <t>10.1097/SLA.0000000000002836</t>
  </si>
  <si>
    <t xml:space="preserve">Does a Combination of Laparoscopic Approach and Full Fast Track Multimodal Management Decrease Postoperative Morbidity?
</t>
  </si>
  <si>
    <t>Maggiori, L.; Rullier, E.; Lefevre, J. H.; Régimbeau, J. M.; Berdah, S.; Karoui, M.; Loriau, J.; Alvès, A.; Vicaut, E.; Panis, Y.</t>
  </si>
  <si>
    <t xml:space="preserve">266
</t>
  </si>
  <si>
    <t xml:space="preserve">https://www.scopus.com/inward/record.uri?eid=2-s2.0-85031295825&amp;doi=10.1097%2fSLA.0000000000002394&amp;partnerID=40&amp;md5=b1d2051856da784995aded987b794e7d
</t>
  </si>
  <si>
    <t>10.1097/SLA.0000000000002394</t>
  </si>
  <si>
    <t xml:space="preserve">Exercise effects on functional capacity and quality of life in older patients with colorectal cancer: study protocol for the ECOOL randomized controlled trial
</t>
  </si>
  <si>
    <t>Macías-Valle, A.; Rodríguez-López, C.; González-Senac, N. M.; Mayordomo-Cava, J.; Vidán, M. T.; Cruz-Arnés, M. L.; Jiménez-Gómez, L. M.; Dujovne-Lindenbaum, P.; Pérez-Menéndez, M. E.; Ortiz-Alonso, J.; Valenzuela, P. L.; Rodríguez-Romo, G.; Serra-Rexach, J. A.</t>
  </si>
  <si>
    <t xml:space="preserve">https://www.scopus.com/inward/record.uri?eid=2-s2.0-85159768031&amp;doi=10.1186%2fs12877-023-04026-6&amp;partnerID=40&amp;md5=7ab8de181eca612cbd619e55080a8ade
</t>
  </si>
  <si>
    <t>10.1186/s12877-023-04026-6</t>
  </si>
  <si>
    <t xml:space="preserve">Intravenous Local Anesthetic Compared with Intraperitoneal Local Anesthetic in Laparoscopic Colectomy: A Double-blind Randomized Controlled Trial
</t>
  </si>
  <si>
    <t>MacFater, W. S.; Xia, W.; Barazanchi, A. W. H.; Lightfoot, N. J.; Weston, M.; Svirskis, D.; Hill, A. G.</t>
  </si>
  <si>
    <t xml:space="preserve">https://www.scopus.com/inward/record.uri?eid=2-s2.0-85122313756&amp;doi=10.1097%2fSLA.0000000000004758&amp;partnerID=40&amp;md5=c46e937450125cc54b23403d7ceb7de9
</t>
  </si>
  <si>
    <t>10.1097/SLA.0000000000004758</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</si>
  <si>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</si>
  <si>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</si>
  <si>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</si>
  <si>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</si>
  <si>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</si>
  <si>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Safety and efficacy of eraser laser enucleation of the prostate: Preliminary report
</t>
  </si>
  <si>
    <t>Lusuardi, L.; Myatt, A.; Sieberer, M.; Jeschke, S.; Zimmermann, R.; Janetschek, G.</t>
  </si>
  <si>
    <t xml:space="preserve">186
</t>
  </si>
  <si>
    <t xml:space="preserve">https://www.scopus.com/inward/record.uri?eid=2-s2.0-80053984941&amp;doi=10.1016%2fj.juro.2011.07.026&amp;partnerID=40&amp;md5=6821fd2cdfa63cab21e8229cf350d8a7
</t>
  </si>
  <si>
    <t>10.1016/j.juro.2011.07.026</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</si>
  <si>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</si>
  <si>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</si>
  <si>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</si>
  <si>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</si>
  <si>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Basiliximab versus steroids in double therapy immunosuppression in liver transplantation: A prospective randomized clinical trial
</t>
  </si>
  <si>
    <t>Lupo, L.; Panzera, P.; Tandoi, F.; Carbotta, G.; Giannelli, G.; Santantonio, T.; Rendina, M.; Gentile, A.; Memeo, V.</t>
  </si>
  <si>
    <t xml:space="preserve">2008
</t>
  </si>
  <si>
    <t xml:space="preserve">https://www.scopus.com/inward/record.uri?eid=2-s2.0-56049125963&amp;doi=10.1097%2fTP.0b013e318186b8a3&amp;partnerID=40&amp;md5=46eceeddb13468d3207233f2ed21837b
</t>
  </si>
  <si>
    <t>10.1097/TP.0b013e318186b8a3</t>
  </si>
  <si>
    <t xml:space="preserve">Efficacy and safety of percutaneous cryoablation for elderly patients with small hepatocellular carcinoma: A prospective multicenter study
</t>
  </si>
  <si>
    <t>Luo, J.; Dong, Z.; Xie, H.; Zhang, W.; An, L.; Yu, Z.; Chang, X.; Chen, Y.; Yang, W.; Hu, K.; Liu, F.; Yang, Y.</t>
  </si>
  <si>
    <t xml:space="preserve">Liver International
</t>
  </si>
  <si>
    <t xml:space="preserve">https://www.scopus.com/inward/record.uri?eid=2-s2.0-85124490063&amp;doi=10.1111%2fliv.15169&amp;partnerID=40&amp;md5=f1c9b49cf1da33331a93d516f5b2991f
</t>
  </si>
  <si>
    <t>10.1111/liv.15169</t>
  </si>
  <si>
    <t xml:space="preserve">Feasibility and efficacy of a multicomponent exercise medicine programme in patients with pancreatic cancer undergoing neoadjuvant therapy (the EXPAN trial): Study protocol of a dual-centre, two-armed phase i randomised controlled trial
</t>
  </si>
  <si>
    <t>Luo, H.; Galvão, D. A.; Newton, R. U.; Tang, C.; Dean, A.; Jasas, K.; Johansson, M.; Yusoff, I.; Spry, N.; Taaffe, D. R.</t>
  </si>
  <si>
    <t xml:space="preserve">BMJ Open Gastroenterology
</t>
  </si>
  <si>
    <t xml:space="preserve">https://www.scopus.com/inward/record.uri?eid=2-s2.0-85107667104&amp;doi=10.1136%2fbmjgast-2021-000642&amp;partnerID=40&amp;md5=4ab055b22fc9fe718ab1e96a21362a6e
</t>
  </si>
  <si>
    <t>10.1136/bmjgast-2021-000642</t>
  </si>
  <si>
    <t xml:space="preserve">Bowel function after laparoscopic posterior sutured rectopexy versus ventral mesh rectopexy for rectal prolapse: a double-blind, randomised single-centre study
</t>
  </si>
  <si>
    <t>Lundby, L.; Iversen, L. H.; Buntzen, S.; Wara, P.; Høyer, K.; Laurberg, S.</t>
  </si>
  <si>
    <t xml:space="preserve">https://www.scopus.com/inward/record.uri?eid=2-s2.0-84995618155&amp;doi=10.1016%2fS2468-1253%2816%2930085-1&amp;partnerID=40&amp;md5=b8bfc5a7aa976fa4dc6fb68711b283dd
</t>
  </si>
  <si>
    <t>10.1016/S2468-1253(16)30085-1</t>
  </si>
  <si>
    <t xml:space="preserve">The feasibility of negative pressure wound therapy versus standard dressings in paediatric hand and foot burns protocol: a pilot, single-centre, randomised control trial
</t>
  </si>
  <si>
    <t>Lumsden, E.; Kimble, R.; McMillan, C.; Storey, K.; Ware, R. S.; Griffin, B.</t>
  </si>
  <si>
    <t xml:space="preserve">https://www.scopus.com/inward/record.uri?eid=2-s2.0-85160236845&amp;doi=10.1186%2fs40814-023-01308-z&amp;partnerID=40&amp;md5=2947a20bc529c9fb7b7572b424e8dc21
</t>
  </si>
  <si>
    <t>10.1186/s40814-023-01308-z</t>
  </si>
  <si>
    <t xml:space="preserve">Prospective randomized controlled trial on comparison of standard CO2 pressure pneumoperitoneum insufflator versus AirSeal®
</t>
  </si>
  <si>
    <t>Luketina, R.; Luketina, T. L. H.; Antoniou, S. A.; Köhler, G.; Könneker, S.; Manzenreiter, L.; Wundsam, H.; Koch, O. O.; Knauer, M.; Emmanuel, K.</t>
  </si>
  <si>
    <t xml:space="preserve">https://www.scopus.com/inward/record.uri?eid=2-s2.0-85089097388&amp;doi=10.1007%2fs00464-020-07846-4&amp;partnerID=40&amp;md5=eaa65948c03cdf1832b6917d51a94f8b
</t>
  </si>
  <si>
    <t>10.1007/s00464-020-07846-4</t>
  </si>
  <si>
    <t xml:space="preserve">Safety of Vaginal Mesh Surgery Versus Laparoscopic Mesh Sacropexy for Cystocele Repair: Results of the Prosthetic Pelvic Floor Repair Randomized Controlled Trial
</t>
  </si>
  <si>
    <t>Lucot, J. P.; Cosson, M.; Bader, G.; Debodinance, P.; Akladios, C.; Salet-Lizée, D.; Delporte, P.; Savary, D.; Ferry, P.; Deffieux, X.; Campagne-Loiseau, S.; de Tayrac, R.; Blanc, S.; Fournet, S.; Wattiez, A.; Villet, R.; Ravit, M.; Jacquetin, B.; Fritel, X.; Fauconnier, A.</t>
  </si>
  <si>
    <t xml:space="preserve">74
</t>
  </si>
  <si>
    <t xml:space="preserve">https://www.scopus.com/inward/record.uri?eid=2-s2.0-85042145728&amp;doi=10.1016%2fj.eururo.2018.01.044&amp;partnerID=40&amp;md5=9a7143f62b72d296facb584f4a742639
</t>
  </si>
  <si>
    <t>10.1016/j.eururo.2018.01.044</t>
  </si>
  <si>
    <t xml:space="preserve">A phase III trial of neoadjuvant intraperitoneal and systemic chemotherapy for gastric cancer with peritoneal metastasis
</t>
  </si>
  <si>
    <t>Lu, S.; Yang, Z. Y.; Yan, C.; Liu, W. T.; Ni, Z. T.; Yao, X. X.; Hua, Z. C.; Feng, R. H.; Zheng, Y. N.; Wang, Z. Q.; Sah, B. K.; Chen, M. M.; Zhu, Z. L.; He, C. Y.; Li, C.; Yan, M.; Zhu, Z. G.</t>
  </si>
  <si>
    <t xml:space="preserve">Future Oncology
</t>
  </si>
  <si>
    <t xml:space="preserve">https://www.scopus.com/inward/record.uri?eid=2-s2.0-85126490228&amp;doi=10.2217%2ffon-2021-1414&amp;partnerID=40&amp;md5=4448877c9c950ee1cfab6c20c5232b95
</t>
  </si>
  <si>
    <t>10.2217/fon-2021-1414</t>
  </si>
  <si>
    <t xml:space="preserve">A randomized controlled trial to evaluate omentum-preserving gastrectomy for patients with T1-T3 gastric cancer
</t>
  </si>
  <si>
    <t xml:space="preserve">https://www.scopus.com/inward/record.uri?eid=2-s2.0-85113372976&amp;doi=10.2217%2ffon-2021-0240&amp;partnerID=40&amp;md5=48fdeb51fbf39f47b78c92e34ebf66af
</t>
  </si>
  <si>
    <t>10.2217/fon-2021-0240</t>
  </si>
  <si>
    <t xml:space="preserve">A physiology-based trigger score to guide perioperative transfusion of allogeneic red blood cells: A multicentre randomised controlled trial
</t>
  </si>
  <si>
    <t>Lu, K.; Huang, Z.; Liang, S.; Pan, F.; Zhang, C.; Wei, J.; Wei, H.; Wang, Y.; Liao, R.; Huang, A.; Huang, Y.</t>
  </si>
  <si>
    <t xml:space="preserve">Transfusion Medicine
</t>
  </si>
  <si>
    <t xml:space="preserve">https://www.scopus.com/inward/record.uri?eid=2-s2.0-85130430116&amp;doi=10.1111%2ftme.12883&amp;partnerID=40&amp;md5=c495fa321003c5efdcba7fa88686def4
</t>
  </si>
  <si>
    <t>10.1111/tme.12883</t>
  </si>
  <si>
    <t xml:space="preserve">Randomized, controlled trial comparing clinical outcomes of 3D and 2D laparoscopic surgery for gastric cancer: an interim report
</t>
  </si>
  <si>
    <t>Lu, J.; Zheng, C. H.; Zheng, H. L.; Li, P.; Xie, J. W.; Wang, J. B.; Lin, J. X.; Chen, Q. Y.; Cao, L. L.; Lin, M.; Tu, R. H.; Huang, C. M.</t>
  </si>
  <si>
    <t xml:space="preserve">https://www.scopus.com/inward/record.uri?eid=2-s2.0-84994452835&amp;doi=10.1007%2fs00464-016-5310-2&amp;partnerID=40&amp;md5=45075a0924177f1dbd00aca332c8e0a5
</t>
  </si>
  <si>
    <t>10.1007/s00464-016-5310-2</t>
  </si>
  <si>
    <t xml:space="preserve">Assessment of Robotic Versus Laparoscopic Distal Gastrectomy for Gastric Cancer: A Randomized Controlled Trial
</t>
  </si>
  <si>
    <t>Lu, J.; Zheng, C. H.; Xu, B. B.; Xie, J. W.; Wang, J. B.; Lin, J. X.; Chen, Q. Y.; Cao, L. L.; Lin, M.; Tu, R. H.; Huang, Z. N.; Lin, J. L.; Zheng, H. L.; Huang, C. M.; Li, P.</t>
  </si>
  <si>
    <t xml:space="preserve">https://www.scopus.com/inward/record.uri?eid=2-s2.0-85100842242&amp;doi=10.1097%2fSLA.0000000000004466&amp;partnerID=40&amp;md5=080dcab496a8a7d656dcd4faafc2e1ae
</t>
  </si>
  <si>
    <t>10.1097/SLA.0000000000004466</t>
  </si>
  <si>
    <t xml:space="preserve">Treatment of pediatric forearm midshaft fractures: Is there a difference between types of orthopedic surgeon?
</t>
  </si>
  <si>
    <t>Lu, D.; Lin, Z.; Zhang, J. D.; Chen, H.; Sun, L. J.</t>
  </si>
  <si>
    <t xml:space="preserve">Orthopaedics and Traumatology: Surgery and Research
</t>
  </si>
  <si>
    <t xml:space="preserve">https://www.scopus.com/inward/record.uri?eid=2-s2.0-85007524465&amp;doi=10.1016%2fj.otsr.2016.11.008&amp;partnerID=40&amp;md5=e0d1c43bfc982858eb57a48489119959
</t>
  </si>
  <si>
    <t>10.1016/j.otsr.2016.11.008</t>
  </si>
  <si>
    <t xml:space="preserve">Does deep neuromuscular blockade provide improved outcomes in low pressure laparoscopic colorectal surgery? A single blinded randomized pilot study
</t>
  </si>
  <si>
    <t>Lowen, D. J.; Hodgson, R.; Tacey, M.; Barclay, K. L.</t>
  </si>
  <si>
    <t xml:space="preserve">https://www.scopus.com/inward/record.uri?eid=2-s2.0-85122483906&amp;doi=10.1111%2fans.17458&amp;partnerID=40&amp;md5=5b003de5e4d9d1c8576a732356e0a8f8
</t>
  </si>
  <si>
    <t>10.1111/ans.17458</t>
  </si>
  <si>
    <t xml:space="preserve">Effect of home-based prehabilitation in an enhanced recovery after surgery program for patients undergoing colorectal cancer surgery during the COVID-19 pandemic
</t>
  </si>
  <si>
    <t>López-Rodríguez-Arias, F.; Sánchez-Guillén, L.; Aranaz-Ostáriz, V.; Triguero-Cánovas, D.; Lario-Pérez, S.; Barber-Valles, X.; Lacueva, F. J.; Ramirez, J. M.; Arroyo, A.</t>
  </si>
  <si>
    <t xml:space="preserve">Supportive Care in Cancer
</t>
  </si>
  <si>
    <t xml:space="preserve">https://www.scopus.com/inward/record.uri?eid=2-s2.0-85108619657&amp;doi=10.1007%2fs00520-021-06343-1&amp;partnerID=40&amp;md5=ca2ac87014553d0ab1716b39f819d7b1
</t>
  </si>
  <si>
    <t>10.1007/s00520-021-06343-1</t>
  </si>
  <si>
    <t xml:space="preserve">T-tube or no T-tube in cadaveric orthotopic liver transplantation: The eternal dilemma: Results of a prospective and randomized clinical trial
</t>
  </si>
  <si>
    <t>López-Andújar, R.; Orón, E. M.; Carregnato, A. F.; Suárez, F. V.; Herraiz, A. M.; Rodríguez, F. S. J.; Carbó, J. J. V.; Ibars, E. P.; Sos, J. E.; Suárez, A. R.; Castillo, M. P.; Pallardó, J. M.; De Juan Burgueño, M.</t>
  </si>
  <si>
    <t xml:space="preserve">https://www.scopus.com/inward/record.uri?eid=2-s2.0-84879076390&amp;doi=10.1097%2fSLA.0b013e318286e0a0&amp;partnerID=40&amp;md5=2300504ff9962100864a9f973a715f22
</t>
  </si>
  <si>
    <t>10.1097/SLA.0b013e318286e0a0</t>
  </si>
  <si>
    <t xml:space="preserve">Randomized clinical trial of extended versus single-dose perioperative antibiotic prophylaxis for acute calculous cholecystitis
</t>
  </si>
  <si>
    <t>Loozen, C. S.; Kortram, K.; Kornmann, V. N. N.; van Ramshorst, B.; Vlaminckx, B.; Knibbe, C. A. J.; Kelder, J. C.; Donkervoort, S. C.; Nieuwenhuijzen, G. A. P.; Ponten, J. E. H.; van Geloven, A. A. W.; van Duijvendijk, P.; Bos, W. J. W.; Besselink, M. G. H.; Gouma, D. J.; van Santvoort, H. C.; Boerma, D.</t>
  </si>
  <si>
    <t xml:space="preserve">https://www.scopus.com/inward/record.uri?eid=2-s2.0-85010868598&amp;doi=10.1002%2fbjs.10406&amp;partnerID=40&amp;md5=011ee05051f0229238b1ec358954c8f6
</t>
  </si>
  <si>
    <t>10.1002/bjs.10406</t>
  </si>
  <si>
    <t xml:space="preserve">Randomized clinical trial on the effect of fibrin sealant on latissimus dorsi donor-site seroma formation after breast reconstruction
</t>
  </si>
  <si>
    <t>Llewellyn-Bennett, R.; Greenwood, R.; Benson, J. R.; English, R.; Turner, J.; Rayter, Z.; Winters, Z. E.</t>
  </si>
  <si>
    <t xml:space="preserve">https://www.scopus.com/inward/record.uri?eid=2-s2.0-84866070135&amp;doi=10.1002%2fbjs.8874&amp;partnerID=40&amp;md5=bc39b2ce53bdf5cd2d5688fbff066033
</t>
  </si>
  <si>
    <t>10.1002/bjs.8874</t>
  </si>
  <si>
    <t xml:space="preserve">Two-week multimodal prehabilitation program improves perioperative functional capability in patients undergoing thoracoscopic lobectomy for lung cancer: A randomized controlled trial
</t>
  </si>
  <si>
    <t>Liu, Z.; Qiu, T.; Pei, L.; Zhang, Y.; Xu, L.; Cui, Y.; Liang, N.; Li, S.; Chen, W.; Huang, Y.</t>
  </si>
  <si>
    <t xml:space="preserve">https://www.scopus.com/inward/record.uri?eid=2-s2.0-85074692939&amp;doi=10.1213%2fANE.0000000000004342&amp;partnerID=40&amp;md5=3a396cccd5a1ec346e8c1f7cebc8dcba
</t>
  </si>
  <si>
    <t>10.1213/ANE.0000000000004342</t>
  </si>
  <si>
    <t xml:space="preserve">Parecoxib added to ropivacaine prolongs duration of axillary brachial plexus blockade and relieves postoperative pain general
</t>
  </si>
  <si>
    <t>Liu, X.; Zhao, X.; Lou, J.; Wang, Y.; Shen, X.</t>
  </si>
  <si>
    <t xml:space="preserve">https://www.scopus.com/inward/record.uri?eid=2-s2.0-84878225699&amp;doi=10.1007%2fs11999-012-2691-y&amp;partnerID=40&amp;md5=373e6b33a0b7e264fcac798dbe6c822f
</t>
  </si>
  <si>
    <t>10.1007/s11999-012-2691-y</t>
  </si>
  <si>
    <t xml:space="preserve">Effects of acupuncture treatment on postoperative gastrointestinal dysfunction in colorectal cancer: study protocol for randomized controlled trials
</t>
  </si>
  <si>
    <t>Liu, X.; Wang, Z.; Yao, H.; Yang, Y.; Cao, H.; Toh, Z.; Zheng, R.; Ren, Y.</t>
  </si>
  <si>
    <t xml:space="preserve">https://www.scopus.com/inward/record.uri?eid=2-s2.0-85123996410&amp;doi=10.1186%2fs13063-022-06003-7&amp;partnerID=40&amp;md5=3450ac76786c8a2487abb74a4eb4a94c
</t>
  </si>
  <si>
    <t>10.1186/s13063-022-06003-7</t>
  </si>
  <si>
    <t xml:space="preserve">Effect of Remote Ischemic Preconditioning in Patients Undergoing Hepatectomy With Portal Triad Clamping: A Randomized Controlled Trial
</t>
  </si>
  <si>
    <t>Liu, X.; Cao, L.; Zhang, T.; Guo, R.; Lin, W.</t>
  </si>
  <si>
    <t xml:space="preserve">129
</t>
  </si>
  <si>
    <t xml:space="preserve">https://www.scopus.com/inward/record.uri?eid=2-s2.0-85075322487&amp;doi=10.1213%2fANE.0000000000004434&amp;partnerID=40&amp;md5=c955beca6781d5ebb061a3c4119d6d23
</t>
  </si>
  <si>
    <t>10.1213/ANE.0000000000004434</t>
  </si>
  <si>
    <t xml:space="preserve">Laparoscopic Retroperitoneal Enucleation-Separation Surgery for Renal Angiomyolipoma: Perioperative and Oncologic Outcomes Based on a Randomized Controlled Trial
</t>
  </si>
  <si>
    <t>Liu, W.; Qi, L.; Chen, M.; Wang, L.; Liu, L.; Zhu, B.; Li, Y.</t>
  </si>
  <si>
    <t xml:space="preserve">https://www.scopus.com/inward/record.uri?eid=2-s2.0-84979996177&amp;doi=10.1089%2fend.2016.0195&amp;partnerID=40&amp;md5=2b7ef868789977e0a11a9f871f6e52a4
</t>
  </si>
  <si>
    <t>10.1089/end.2016.0195</t>
  </si>
  <si>
    <t xml:space="preserve">Novel Technique for Single-Layer Pancreatojejunostomy is Not Inferior to Modified Blumgart Anastomosis in Robotic Pancreatoduodenectomy: Results of a Randomized Controlled Trial
</t>
  </si>
  <si>
    <t>Liu, Q.; Zhao, Z.; Gao, Y.; Zhao, G.; Jiang, N.; Lau, W. Y.; Liu, R.</t>
  </si>
  <si>
    <t xml:space="preserve">https://www.scopus.com/inward/record.uri?eid=2-s2.0-85092444335&amp;doi=10.1245%2fs10434-020-09204-z&amp;partnerID=40&amp;md5=e6f25fad795fc6d3e542ebae7e341de7
</t>
  </si>
  <si>
    <t>10.1245/s10434-020-09204-z</t>
  </si>
  <si>
    <t xml:space="preserve">Safety, feasibility, and effect of an enhanced nutritional support pathway including extended preoperative and home enteral nutrition in patients undergoing enhanced recovery after esophagectomy: A pilot randomized clinical trial
</t>
  </si>
  <si>
    <t>Liu, K.; Ji, S.; Xu, Y.; Diao, Q.; Shao, C.; Luo, J.; Zhu, Y.; Jiang, Z.; Diao, Y.; Cong, Z.; Hu, L.; Qiang, Y.; Shen, Y.</t>
  </si>
  <si>
    <t xml:space="preserve">https://www.scopus.com/inward/record.uri?eid=2-s2.0-85078339679&amp;doi=10.1093%2fdote%2fdoz030&amp;partnerID=40&amp;md5=2296ef7c67ec07270d19d6bfa278c3a4
</t>
  </si>
  <si>
    <t>10.1093/dote/doz030</t>
  </si>
  <si>
    <t xml:space="preserve">Randomized clinical trial of chemoembolization plus radiofrequency ablation versus partial hepatectomy for hepatocellular carcinoma within the Milan criteria
</t>
  </si>
  <si>
    <t>Liu, H.; Wang, Z. G.; Fu, S. Y.; Li, A. J.; Pan, Z. Y.; Zhou, W. P.; Lau, W. Y.; Wu, M. C.</t>
  </si>
  <si>
    <t xml:space="preserve">https://www.scopus.com/inward/record.uri?eid=2-s2.0-84966553212&amp;doi=10.1002%2fbjs.10061&amp;partnerID=40&amp;md5=f4902d8d794cff9b52ecec397bd50043
</t>
  </si>
  <si>
    <t>10.1002/bjs.10061</t>
  </si>
  <si>
    <t xml:space="preserve">Effect of perioperative probiotic supplements on postoperative short-term outcomes in gastric cancer patients receiving neoadjuvant chemotherapy: A double-blind, randomized controlled trial
</t>
  </si>
  <si>
    <t>Liu, G.; Cao, S.; Liu, X.; Li, Z.; Tian, Y.; Zhang, X.; Zhong, H.; Zhou, Y.</t>
  </si>
  <si>
    <t xml:space="preserve">Nutrition
</t>
  </si>
  <si>
    <t xml:space="preserve">https://www.scopus.com/inward/record.uri?eid=2-s2.0-85123344918&amp;doi=10.1016%2fj.nut.2021.111574&amp;partnerID=40&amp;md5=e548f0017f3a7d9dfa57e9d6a434ae73
</t>
  </si>
  <si>
    <t>10.1016/j.nut.2021.111574</t>
  </si>
  <si>
    <t xml:space="preserve">Morbidity and Mortality of Laparoscopic vs Open Total Gastrectomy for Clinical Stage i Gastric Cancer: The CLASS02 Multicenter Randomized Clinical Trial
</t>
  </si>
  <si>
    <t>Liu, F.; Huang, C.; Xu, Z.; Su, X.; Zhao, G.; Ye, J.; Du, X.; Huang, H.; Hu, J.; Li, G.; Yu, P.; Li, Y.; Suo, J.; Zhao, N.; Zhang, W.; Li, H.; He, H.; Sun, Y.</t>
  </si>
  <si>
    <t xml:space="preserve">https://www.scopus.com/inward/record.uri?eid=2-s2.0-85090452820&amp;doi=10.1001%2fjamaoncol.2020.3152&amp;partnerID=40&amp;md5=2e4042bf634ce6c22907fda37e2e570d
</t>
  </si>
  <si>
    <t>10.1001/jamaoncol.2020.3152</t>
  </si>
  <si>
    <t xml:space="preserve">Impact of drinking Chinese green tea on postoperative short outcomes for gastric cancer: a randomized controlled trial
</t>
  </si>
  <si>
    <t>Liu, D.; Jing, X.; Cao, S.; Liu, X.; Tan, X.; Jiang, H.; Niu, Z.; Su, M.; Zhang, J.; Zhang, X.; Liu, G.; Zhou, Y.</t>
  </si>
  <si>
    <t xml:space="preserve">European Journal of Clinical Nutrition
</t>
  </si>
  <si>
    <t xml:space="preserve">https://www.scopus.com/inward/record.uri?eid=2-s2.0-85103055574&amp;doi=10.1038%2fs41430-021-00868-8&amp;partnerID=40&amp;md5=47454a097ea54334a44ad355ebaf35ad
</t>
  </si>
  <si>
    <t>10.1038/s41430-021-00868-8</t>
  </si>
  <si>
    <t xml:space="preserve">Irreversible electroporation versus radiofrequency ablation for malignant hepatic tumor: A prospective single-center double-arm trial
</t>
  </si>
  <si>
    <t>Liu, B.; Fu, D.; Fan, Y.; Wang, Z.; Lang, X.</t>
  </si>
  <si>
    <t xml:space="preserve">Journal of Interventional Medicine
</t>
  </si>
  <si>
    <t xml:space="preserve">https://www.scopus.com/inward/record.uri?eid=2-s2.0-85127364778&amp;doi=10.1016%2fj.jimed.2022.03.010&amp;partnerID=40&amp;md5=ceb21220d826f3f1b7b55f4182ded65c
</t>
  </si>
  <si>
    <t>10.1016/j.jimed.2022.03.010</t>
  </si>
  <si>
    <t xml:space="preserve">Early Catheter Removal After Robot-assisted Radical Prostatectomy: Results from a Prospective Single-institutional Randomized Trial (Ripreca Study)
</t>
  </si>
  <si>
    <t>Lista, G.; Lughezzani, G.; Buffi, N. M.; Saita, A.; Vanni, E.; Hurle, R.; Cardone, P.; Peschechera, R.; Forni, G.; Lazzeri, M.; Guazzoni, G.; Casale, P.</t>
  </si>
  <si>
    <t xml:space="preserve">https://www.scopus.com/inward/record.uri?eid=2-s2.0-85055960523&amp;doi=10.1016%2fj.euf.2018.10.013&amp;partnerID=40&amp;md5=18264250a00a152f549ee072fec641e5
</t>
  </si>
  <si>
    <t>10.1016/j.euf.2018.10.013</t>
  </si>
  <si>
    <t xml:space="preserve">"A randomized, double-blind study of the effects of omega-3 fatty acids (Omegaven™) on outcome after major liver resection"
</t>
  </si>
  <si>
    <t>Linecker, M.; Limani, P.; Botea, F.; Popescu, I.; Alikhanov, R.; Efanov, M.; Kim, P.; Khatkov, I.; Raptis, D. A.; Tschuor, C.; Beck-Schimmer, B.; Bonvini, J.; Wirsching, A.; Kron, P.; Slankamenac, K.; Humar, B.; Graf, R.; Petrowsky, H.; Clavien, P. A.</t>
  </si>
  <si>
    <t xml:space="preserve">https://www.scopus.com/inward/record.uri?eid=2-s2.0-84939173471&amp;doi=10.1186%2fs12876-015-0331-1&amp;partnerID=40&amp;md5=8e855a90d565751c4cde4af81575c859
</t>
  </si>
  <si>
    <t>10.1186/s12876-015-0331-1</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</si>
  <si>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</si>
  <si>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</si>
  <si>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</si>
  <si>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</si>
  <si>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</si>
  <si>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The Effect of Erector Spinae Plane Blockade on Prevention of Postherpetic Neuralgia in Elderly Patients: A Randomized Double-blind Placebo-controlled Trial
</t>
  </si>
  <si>
    <t>Lin, Z. M.; Wang, H. F.; Zhang, F.; Ma, J. H.; Yan, N.; Liu, X. F.</t>
  </si>
  <si>
    <t xml:space="preserve">https://www.scopus.com/inward/record.uri?eid=2-s2.0-85121061687&amp;partnerID=40&amp;md5=78e9ef328f5eef840de9da7cedfb289c
</t>
  </si>
  <si>
    <t xml:space="preserve">Thoracic paravertebral blockade reduces chronic postsurgical pain in breast cancer patients: A randomized controlled trial
</t>
  </si>
  <si>
    <t>Lin, Z. M.; Li, M. H.; Zhang, F.; Li, X.; Shao, C. L.; Li, X. Y.; Wang, D. X.</t>
  </si>
  <si>
    <t xml:space="preserve">Pain Medicine (United States)
</t>
  </si>
  <si>
    <t xml:space="preserve">https://www.scopus.com/inward/record.uri?eid=2-s2.0-85099171572&amp;doi=10.1093%2fPM%2fPNAA270&amp;partnerID=40&amp;md5=2c537265ec6f5e7e61e06eda4df53a3a
</t>
  </si>
  <si>
    <t>10.1093/PM/PNAA270</t>
  </si>
  <si>
    <t xml:space="preserve">Enhanced recovery after surgery for radical cystectomy with ileal urinary diversion: a multi-institutional, randomized, controlled trial from the Chinese bladder cancer consortium
</t>
  </si>
  <si>
    <t>Lin, T.; Li, K.; Liu, H.; Xue, X.; Xu, N.; Wei, Y.; Chen, Z.; Zhou, X.; Qi, L.; He, W.; Tong, S.; Jin, F.; Liu, X.; Wei, Q.; Han, P.; Gou, X.; He, W.; Zhang, X.; Yang, G.; Shen, Z.; Xu, T.; Xie, X.; Xue, W.; Cao, M.; Yang, J.; Hu, J.; Chen, F.; Li, P.; Li, G.; Xu, T.; Tian, Y.; Wang, W.; Song, D.; Shi, L.; Yang, X.; Yang, Y.; Shi, B.; Zhu, Y.; Liu, X.; Xing, J.; Wu, Z.; Zhang, K.; Li, W.; Liang, C.; Yang, C.; Li, W.; Qi, J.; Xu, C.; Xu, W.; Zhou, L.; Cai, L.; Xu, E.; Cai, W.; Weng, M.; Su, Y.; Zhou, F.; Jiang, L.; Liu, Z.; Chen, Q.; Pan, T.; Liu, B.; Zhou, Y.; Gao, X.; Qiu, J.; Situ, J.; Hu, C.; Chen, S.; Zheng, Y.; Huang, J.</t>
  </si>
  <si>
    <t xml:space="preserve">https://www.scopus.com/inward/record.uri?eid=2-s2.0-85032391114&amp;doi=10.1007%2fs00345-017-2108-3&amp;partnerID=40&amp;md5=b2ddbc6b76b949bc4937c1d9c490253d
</t>
  </si>
  <si>
    <t>10.1007/s00345-017-2108-3</t>
  </si>
  <si>
    <t xml:space="preserve">A prospective randomised controlled trial of laparoscopic vs open radical cystectomy for bladder cancer: Perioperative and oncologic outcomes with 5-year follow-upT Lin et al
</t>
  </si>
  <si>
    <t>Lin, T.; Fan, X.; Zhang, C.; Xu, K.; Liu, H.; Zhang, J.; Jiang, C.; Huang, H.; Han, J.; Yao, Y.; Xie, W.; Dong, W.; Bi, L.; Huang, J.</t>
  </si>
  <si>
    <t xml:space="preserve">British Journal of Cancer
</t>
  </si>
  <si>
    <t xml:space="preserve">https://www.scopus.com/inward/record.uri?eid=2-s2.0-84894304643&amp;doi=10.1038%2fbjc.2013.777&amp;partnerID=40&amp;md5=dd765849e0c83f59d6d8a6273469abf3
</t>
  </si>
  <si>
    <t>10.1038/bjc.2013.777</t>
  </si>
  <si>
    <t xml:space="preserve">Preoperative chemotherapy prior to primary tumour resection for asymptomatic synchronous unresectable colorectal liver-limited metastases: The RECUT multicenter randomised controlled trial
</t>
  </si>
  <si>
    <t>Lin, Q.; Ding, K.; Zhao, R.; Wang, H.; Wei, Y.; Ren, L.; Ye, Q.; Cui, Y.; He, G.; Tang, W.; Feng, Q.; Zhu, D.; Chang, W.; Wang, X.; Liang, L.; Zhou, G.; Liang, F.; Ye, F.; Wang, J.; Fan, J.; Xu, J.</t>
  </si>
  <si>
    <t xml:space="preserve">191
</t>
  </si>
  <si>
    <t xml:space="preserve">https://www.scopus.com/inward/record.uri?eid=2-s2.0-85165322044&amp;doi=10.1016%2fj.ejca.2023.112961&amp;partnerID=40&amp;md5=acd99b3dc4dd7527ae27ce89f9d31a24
</t>
  </si>
  <si>
    <t>10.1016/j.ejca.2023.112961</t>
  </si>
  <si>
    <t xml:space="preserve">Assessment of Laparoscopic Spleen-Preserving Hilar Lymphadenectomy for Advanced Proximal Gastric Cancer Without Invasion into the Greater Curvature: A Randomized Clinical Trial
</t>
  </si>
  <si>
    <t>Lin, J. X.; Lin, J. P.; Wang, Z. K.; Li, P.; Xie, J. W.; Wang, J. B.; Lu, J.; Chen, Q. Y.; Cao, L. L.; Lin, M.; Tu, R. H.; Lin, G. T.; Huang, Z. N.; Lin, J. L.; Zheng, H. L.; Lin, G. S.; Huang, C. M.; Zheng, C. H.</t>
  </si>
  <si>
    <t xml:space="preserve">https://www.scopus.com/inward/record.uri?eid=2-s2.0-85146193366&amp;doi=10.1001%2fjamasurg.2022.5307&amp;partnerID=40&amp;md5=760cbce2b40b4ac9dcb6078bf31ccd6a
</t>
  </si>
  <si>
    <t>10.1001/jamasurg.2022.5307</t>
  </si>
  <si>
    <t xml:space="preserve">Pericapsular nerve group (PENG) block provides improved short-term analgesia compared with the femoral nerve block in hip fracture surgery: A single-center double-blinded randomized comparative trial
</t>
  </si>
  <si>
    <t>Lin, D. Y.; Morrison, C.; Brown, B.; Saies, A. A.; Pawar, R.; Vermeulen, M.; Anderson, S. R.; Lee, T. S.; Doornberg, J.; Kroon, H. M.; Jaarsma, R. L.</t>
  </si>
  <si>
    <t xml:space="preserve">https://www.scopus.com/inward/record.uri?eid=2-s2.0-85101700472&amp;doi=10.1136%2frapm-2020-102315&amp;partnerID=40&amp;md5=47f51ad04012a03a6e59c39d730a106f
</t>
  </si>
  <si>
    <t>10.1136/rapm-2020-102315</t>
  </si>
  <si>
    <t xml:space="preserve">The Pericapsular Nerve Group (PENG) block combined with Local Infiltration Analgesia (LIA) compared to placebo and LIA in hip arthroplasty surgery: a multi-center double-blinded randomized-controlled trial
</t>
  </si>
  <si>
    <t>Lin, D. Y.; Brown, B.; Morrison, C.; Fraser, N. S.; Chooi, C. S. L.; Cehic, M. G.; McLeod, D. H.; Henningsen, M. D.; Sladojevic, N.; Kroon, H. M.; Jaarsma, R. L.</t>
  </si>
  <si>
    <t xml:space="preserve">BMC Anesthesiology
</t>
  </si>
  <si>
    <t xml:space="preserve">https://www.scopus.com/inward/record.uri?eid=2-s2.0-85135573888&amp;doi=10.1186%2fs12871-022-01787-2&amp;partnerID=40&amp;md5=748bce0e88deb6ee7237eced6e390abe
</t>
  </si>
  <si>
    <t>10.1186/s12871-022-01787-2</t>
  </si>
  <si>
    <t xml:space="preserve">Sham feeding with chewing gum after elective colorectal resectional surgery: A randomized clinical trial
</t>
  </si>
  <si>
    <t>Lim, P.; Morris, O. J.; Nolan, G.; Moore, S.; Draganic, B.; Smith, S. R.</t>
  </si>
  <si>
    <t xml:space="preserve">https://www.scopus.com/inward/record.uri?eid=2-s2.0-84879073491&amp;doi=10.1097%2fSLA.0b013e318286504a&amp;partnerID=40&amp;md5=76641c1b1f892a5b117ac22fe1f07fbb
</t>
  </si>
  <si>
    <t>10.1097/SLA.0b013e318286504a</t>
  </si>
  <si>
    <t xml:space="preserve">Monopolar vs. bipolar transurethral resection for non–muscle invasive bladder carcinoma: A post-hoc analysis from a randomized controlled trial
</t>
  </si>
  <si>
    <t>Liem, E. I. M. L.; McCormack, M.; Chan, E. S. Y.; Matsui, Y.; Geavlete, P.; Choi, Y. D.; de Reijke, T. M.; Farahat, Y.; Inman, B. A.; de la Rosette, J. J. M. C. H.; Naito, S.</t>
  </si>
  <si>
    <t xml:space="preserve">Urologic Oncology: Seminars and Original Investigations
</t>
  </si>
  <si>
    <t xml:space="preserve">https://www.scopus.com/inward/record.uri?eid=2-s2.0-85045555252&amp;doi=10.1016%2fj.urolonc.2018.03.015&amp;partnerID=40&amp;md5=6bdd5a6819b34c0c144dd7d2ceda5c2c
</t>
  </si>
  <si>
    <t>10.1016/j.urolonc.2018.03.015</t>
  </si>
  <si>
    <t xml:space="preserve">Different number of intravesical onabotulinumtoxinA injections for patients with refractory detrusor overactivity do not affect treatment outcome: A prospective randomized comparative study
</t>
  </si>
  <si>
    <t>Liao, C. H.; Chen, S. F.; Kuo, H. C.</t>
  </si>
  <si>
    <t xml:space="preserve">https://www.scopus.com/inward/record.uri?eid=2-s2.0-84978768086&amp;doi=10.1002%2fnau.22780&amp;partnerID=40&amp;md5=9a6adb75b0e03f131beb4da014cf0426
</t>
  </si>
  <si>
    <t>10.1002/nau.22780</t>
  </si>
  <si>
    <t xml:space="preserve">Assessment of Laparoscopic Distal Gastrectomy after Neoadjuvant Chemotherapy for Locally Advanced Gastric Cancer: A Randomized Clinical Trial
</t>
  </si>
  <si>
    <t>Li, Z.; Shan, F.; Ying, X.; Zhang, Y.; Jian-Yu, E.; Wang, Y.; Ren, H.; Su, X.; Ji, J.</t>
  </si>
  <si>
    <t xml:space="preserve">https://www.scopus.com/inward/record.uri?eid=2-s2.0-85072780724&amp;doi=10.1001%2fjamasurg.2019.3473&amp;partnerID=40&amp;md5=f62fd3a4f6780fe3c4fab463e12fb5ca
</t>
  </si>
  <si>
    <t>10.1001/jamasurg.2019.3473</t>
  </si>
  <si>
    <t xml:space="preserve">Delirium in Older Patients after Combined Epidural-General Anesthesia or General Anesthesia for Major Surgery: A Randomized Trial
</t>
  </si>
  <si>
    <t>Li, Y. W.; Li, H. J.; Li, H. J.; Zhao, B. J.; Guo, X. Y.; Feng, Y.; Zuo, M. Z.; Yu, Y. P.; Kong, H.; Zhao, Y.; Huang, D.; Deng, C. M.; Hu, X. Y.; Liu, P. F.; Li, Y.; An, H. Y.; Zhang, H. Y.; Wang, M. R.; Wu, Y. F.; Wang, D. X.; Sessler, D. I.; Zeng, Y.; Mu, D. L.; Liu, Y. F.; Zhou, W. J.; Shan, G. J.; Ma, Q.; Zheng, X. Y.; Fu, C.; Zhang, Y.; Liang, X. Q.; Liu, C.; He, S. T.; Cheng, T.; Huang, S. M.; Du, Y. T.; Xu, S. C.; Wang, R.; Xiao, L.; Zhang, J.; Yang, W. Z.; Liu, W. P.; Han, W. Y.; Yu, Y.; Hua, Z.; Zhang, J. J.; for the Peking University Clinical Research Program Study, Group</t>
  </si>
  <si>
    <t xml:space="preserve">https://www.scopus.com/inward/record.uri?eid=2-s2.0-85109966992&amp;doi=10.1097%2fALN.0000000000003834&amp;partnerID=40&amp;md5=a6ab14a5504fb673abbc367ed148ab62
</t>
  </si>
  <si>
    <t>10.1097/ALN.0000000000003834</t>
  </si>
  <si>
    <t xml:space="preserve">Mesenteric excision surgery or conservative limited resection in Crohn's disease: Study protocol for an international, multicenter, randomized controlled trial
</t>
  </si>
  <si>
    <t>Li, Y.; Mohan, H.; Lan, N.; Wu, X.; Zhou, W.; Gong, J.; Shen, B.; Stocchi, L.; Coffey, J. C.; Zhu, W.</t>
  </si>
  <si>
    <t xml:space="preserve">https://www.scopus.com/inward/record.uri?eid=2-s2.0-85079800627&amp;doi=10.1186%2fs13063-020-4105-x&amp;partnerID=40&amp;md5=fbcbb13c8563e15a0904d7fbb7aeb345
</t>
  </si>
  <si>
    <t>10.1186/s13063-020-4105-x</t>
  </si>
  <si>
    <t xml:space="preserve">Comparative Effect of Propofol and Volatile Anesthetics on Postoperative Pulmonary Complications after Lung Resection Surgery: A Randomized Clinical Trial
</t>
  </si>
  <si>
    <t>Li, X. F.; Hu, J. R.; Wu, Y.; Chen, Y.; Zhang, M. Q.; Yu, H.</t>
  </si>
  <si>
    <t xml:space="preserve">https://www.scopus.com/inward/record.uri?eid=2-s2.0-85114998099&amp;doi=10.1213%2fANE.0000000000005334&amp;partnerID=40&amp;md5=357ed5b02ff9484ca7d2c64ccb3a0920
</t>
  </si>
  <si>
    <t>10.1213/ANE.0000000000005334</t>
  </si>
  <si>
    <t xml:space="preserve">Robot-assisted Partial Nephrectomy with the Newly Developed KangDuo Surgical Robot Versus the da Vinci Si Surgical System: A Double-center Prospective Randomized Controlled Noninferiority Trial
</t>
  </si>
  <si>
    <t>Li, X.; Xu, W.; Fan, S.; Xiong, S.; Dong, J.; Wang, J.; Dai, X.; Yang, K.; Xie, Y.; Liu, G.; Meng, C.; Zhang, Z.; Cai, L.; Zhang, C.; Zhang, Z.; Ji, Z.; Shen, C.; Zhou, L.</t>
  </si>
  <si>
    <t xml:space="preserve">https://www.scopus.com/inward/record.uri?eid=2-s2.0-85142834594&amp;doi=10.1016%2fj.euf.2022.07.008&amp;partnerID=40&amp;md5=cd5f7d0b3714041b75472599aeb2a0c3
</t>
  </si>
  <si>
    <t>10.1016/j.euf.2022.07.008</t>
  </si>
  <si>
    <t xml:space="preserve">Three-field versus two-field lymphadenectomy in transthoracic oesophagectomy for oesophageal squamous cell carcinoma: short-term outcomes of a randomized clinical trial
</t>
  </si>
  <si>
    <t>Li, B.; Hu, H.; Zhang, Y.; Zhang, J.; Miao, L.; Ma, L.; Luo, X.; Zhang, Y.; Ye, T.; Li, H.; Li, Y.; Shen, L.; Zhao, K.; Fan, M.; Zhu, Z.; Wang, J.; Xu, J.; Deng, Y.; Lu, Q.; Li, H.; Zhang, Y.; Pan, Y.; Liu, S.; Hu, H.; Shao, L.; Sun, Y.; Xiang, J.; Chen, H.</t>
  </si>
  <si>
    <t xml:space="preserve">https://www.scopus.com/inward/record.uri?eid=2-s2.0-85081244744&amp;doi=10.1002%2fbjs.11497&amp;partnerID=40&amp;md5=6de33800ad4d2dea4d76ae9e0d0d4659
</t>
  </si>
  <si>
    <t>10.1002/bjs.11497</t>
  </si>
  <si>
    <t xml:space="preserve">Urodynamics tests for the diagnosis and management of bladder outlet obstruction in men: The upstream non-inferiority RCT
</t>
  </si>
  <si>
    <t>Lewis, A. L.; Young, G. J.; Selman, L. E.; Rice, C.; Clement, C.; Ochieng, C. A.; Abrams, P.; Blair, P. S.; Chapple, C.; Glazener, C. M.; Horwood, J.; McGrath, J. S.; Noble, S.; Taylor, G. T.; Lane, J. A.; Drake, M. J.</t>
  </si>
  <si>
    <t xml:space="preserve">https://www.scopus.com/inward/record.uri?eid=2-s2.0-85090821280&amp;doi=10.3310%2fHTA24420&amp;partnerID=40&amp;md5=a673c8c9a00e1f0dec0da4a8c3fbe326
</t>
  </si>
  <si>
    <t>10.3310/HTA24420</t>
  </si>
  <si>
    <t xml:space="preserve">A Multicenter Randomized Trial to Evaluate Hematologic Toxicities after Hyperthermic Intraperitoneal Chemotherapy with Oxaliplatin or Mitomycin in Patients with Appendiceal Tumors
</t>
  </si>
  <si>
    <t>Levine, E. A.; Votanopoulos, K. I.; Shen, P.; Russell, G.; Fenstermaker, J.; Mansfield, P.; Bartlett, D.; Stewart, J. H.</t>
  </si>
  <si>
    <t xml:space="preserve">226
</t>
  </si>
  <si>
    <t xml:space="preserve">https://www.scopus.com/inward/record.uri?eid=2-s2.0-85043587131&amp;doi=10.1016%2fj.jamcollsurg.2017.12.027&amp;partnerID=40&amp;md5=ae4c1ebb2661e11848e5de46769c8854
</t>
  </si>
  <si>
    <t>10.1016/j.jamcollsurg.2017.12.027</t>
  </si>
  <si>
    <t xml:space="preserve">How should transection of the liver be performed? A prospective randomized study in 100 consecutive patients: Comparing four different transection strategies
</t>
  </si>
  <si>
    <t>Lesurtel, M.; Selzner, M.; Petrowsky, H.; McCormack, L.; Clavien, P. A.; Bismuth; Belghiti; Heberer; Hockerstedt</t>
  </si>
  <si>
    <t xml:space="preserve">2005
</t>
  </si>
  <si>
    <t xml:space="preserve">242
</t>
  </si>
  <si>
    <t xml:space="preserve">https://www.scopus.com/inward/record.uri?eid=2-s2.0-28244445414&amp;doi=10.1097%2f01.sla.0000189121.35617.d7&amp;partnerID=40&amp;md5=ff59797f0965da96ccf58911118ea332
</t>
  </si>
  <si>
    <t>10.1097/01.sla.0000189121.35617.d7</t>
  </si>
  <si>
    <t xml:space="preserve">Body surface area-based vs concentration-based perioperative intraperitoneal chemotherapy after optimal cytoreductive surgery in colorectal peritoneal surface malignancy treatment: COBOX trial
</t>
  </si>
  <si>
    <t>Lemoine, L.; Thijssen, E.; Carleer, R.; Geboers, K.; Sugarbaker, P.; van der Speeten, K.</t>
  </si>
  <si>
    <t xml:space="preserve">https://www.scopus.com/inward/record.uri?eid=2-s2.0-85062513323&amp;doi=10.1002%2fjso.25437&amp;partnerID=40&amp;md5=d42022bc6ddd1eff5f9b948b1cc42575
</t>
  </si>
  <si>
    <t>10.1002/jso.25437</t>
  </si>
  <si>
    <t xml:space="preserve">Text messaging improves preoperative exercise in patients undergoing bariatric surgery
</t>
  </si>
  <si>
    <t>Lemanu, D. P.; Singh, P. P.; Shao, R. Y.; Pollock, T. T.; MacCormick, A. D.; Arroll, B.; Hill, A. G.</t>
  </si>
  <si>
    <t xml:space="preserve">88
</t>
  </si>
  <si>
    <t xml:space="preserve">https://www.scopus.com/inward/record.uri?eid=2-s2.0-85050970110&amp;doi=10.1111%2fans.14418&amp;partnerID=40&amp;md5=a775c845874795f1840fa5e1c0f8ef93
</t>
  </si>
  <si>
    <t>10.1111/ans.14418</t>
  </si>
  <si>
    <t xml:space="preserve">Randomized clinical trial of enhanced recovery versus standard care after laparoscopic sleeve gastrectomy
</t>
  </si>
  <si>
    <t>Lemanu, D. P.; Singh, P. P.; Berridge, K.; Burr, M.; Birch, C.; Babor, R.; MacCormick, A. D.; Arroll, B.; Hill, A. G.</t>
  </si>
  <si>
    <t xml:space="preserve">https://www.scopus.com/inward/record.uri?eid=2-s2.0-84873385220&amp;doi=10.1002%2fbjs.9026&amp;partnerID=40&amp;md5=3accf13bfa2d49fc34c5a32f4f352fe0
</t>
  </si>
  <si>
    <t>10.1002/bjs.9026</t>
  </si>
  <si>
    <t xml:space="preserve">A multicentre randomised controlled trial to evaluate the efficacy, morbidity and functional outcome of endoscopic transanal proctectomy versus laparoscopic proctectomy for low-lying rectal cancer (ETAP-GRECCAR 11 TRIAL): Rationale and design
</t>
  </si>
  <si>
    <t>Lelong, B.; de Chaisemartin, C.; Meillat, H.; Cournier, S.; Boher, J. M.; Genre, D.; Karoui, M.; Tuech, J. J.; Delpero, J. R.; the French Research Group of Rectal Cancer, Surgery</t>
  </si>
  <si>
    <t xml:space="preserve">https://www.scopus.com/inward/record.uri?eid=2-s2.0-85018472270&amp;doi=10.1186%2fs12885-017-3200-1&amp;partnerID=40&amp;md5=dfc10dcf179dbdfa8ef4eb77c3893ab3
</t>
  </si>
  <si>
    <t>10.1186/s12885-017-3200-1</t>
  </si>
  <si>
    <t xml:space="preserve">A comparison of a novel endoscopic “Su-Wang technique” with the open “Jaboulay’s procedure” for the surgical treatment of adult primary vaginal hydrocele
</t>
  </si>
  <si>
    <t>Lei, J.; Luo, C.; Zhang, Y.; Guo, Y.; Su, X.; Wang, X.</t>
  </si>
  <si>
    <t xml:space="preserve">https://www.scopus.com/inward/record.uri?eid=2-s2.0-85067876681&amp;doi=10.1038%2fs41598-019-45229-5&amp;partnerID=40&amp;md5=a6ef410d4e1eb90588c28e6786c795c7
</t>
  </si>
  <si>
    <t>10.1038/s41598-019-45229-5</t>
  </si>
  <si>
    <t xml:space="preserve">Cost-effectiveness of new surgical treatments for hemorrhoidal disease a multicentre randomized controlled trial comparing transanal doppler-guided hemorrhoidal artery ligation with mucopexy and circular stapled hemorrhoidopexy
</t>
  </si>
  <si>
    <t>Lehur, P. A.; Didnée, A. S.; Faucheron, J. L.; Meurette, G.; Zerbib, P.; Siproudhis, L.; Vinson-Bonnet, B.; Dubois, A.; Casa, C.; Hardouin, J. B.; Durand-Zaleski, I.</t>
  </si>
  <si>
    <t xml:space="preserve">https://www.scopus.com/inward/record.uri?eid=2-s2.0-84995680424&amp;doi=10.1097%2fSLA.0000000000001770&amp;partnerID=40&amp;md5=7ae6c794c812a75374cf6a0d7401e493
</t>
  </si>
  <si>
    <t>10.1097/SLA.0000000000001770</t>
  </si>
  <si>
    <t xml:space="preserve">Effect of interval (7 or 11 weeks) between neoadjuvant radiochemotherapy and surgery on complete pathologic response in rectal cancer: A multicenter, randomized, controlled trial (GRECCAR-6)
</t>
  </si>
  <si>
    <t>Lefevre, J. H.; Mineur, L.; Kotti, S.; Rullier, E.; Rouanet, P.; De Chaisemartin, C.; Meunier, B.; Mehrdad, J.; Cotte, E.; Desrame, J.; Karoui, M.; Benoist, S.; Kirzin, S.; Berger, A.; Panis, Y.; Piessen, G.; Saudemont, A.; Prudhomme, M.; Peschaud, F.; Dubois, A.; Loriau, J.; Tuech, J. J.; Meurette, G.; Lupinacci, R.; Goasgen, N.; Parc, Y.; Simon, T.; Tiret, E.</t>
  </si>
  <si>
    <t xml:space="preserve">https://www.scopus.com/inward/record.uri?eid=2-s2.0-84993965575&amp;doi=10.1200%2fJCO.2016.67.6049&amp;partnerID=40&amp;md5=9cab603e996a4702a6448d2c411a5770
</t>
  </si>
  <si>
    <t>10.1200/JCO.2016.67.6049</t>
  </si>
  <si>
    <t xml:space="preserve">The CARDIA-trial protocol: A multinational, prospective, randomized, clinical trial comparing transthoracic esophagectomy with transhiatal extended gastrectomy in adenocarcinoma of the gastroesophageal junction (GEJ) type II
</t>
  </si>
  <si>
    <t>Leers, J. M.; Knepper, L.; Van Der Veen, A.; Schröder, W.; Fuchs, H.; Schiller, P.; Hellmich, M.; Zettelmeyer, U.; Brosens, L. A. A.; Quaas, A.; Ruurda, J. P.; Van Hillegersberg, R.; Bruns, C. J.</t>
  </si>
  <si>
    <t xml:space="preserve">https://www.scopus.com/inward/record.uri?eid=2-s2.0-85089769633&amp;doi=10.1186%2fs12885-020-07152-1&amp;partnerID=40&amp;md5=d8a1fa9bfba7ed18764f0fe1c8ce17bb
</t>
  </si>
  <si>
    <t>10.1186/s12885-020-07152-1</t>
  </si>
  <si>
    <t xml:space="preserve">Short-term Outcomes of Single-port Versus Multiport Laparoscopic Surgery for Colon Cancer: The SIMPLE Multicenter Randomized Clinical Trial
</t>
  </si>
  <si>
    <t>Lee, Y. S.; Kim, J. H.; Kim, H. J.; Lee, S. C.; Kang, B. M.; Kim, C. W.; Lim, S. W.; Lee, S. H.; Kim, J. G.</t>
  </si>
  <si>
    <t xml:space="preserve">https://www.scopus.com/inward/record.uri?eid=2-s2.0-85094898207&amp;doi=10.1097%2fSLA.0000000000003882&amp;partnerID=40&amp;md5=99abd5f180abadad8b580b924df7ba56
</t>
  </si>
  <si>
    <t>10.1097/SLA.0000000000003882</t>
  </si>
  <si>
    <t xml:space="preserve">Comparison of oncological benefits of deep neuromuscular block in obese patients with gastric cancer (DEBLOQS_GC study) A study protocol for a double-blind, randomized controlled trial
</t>
  </si>
  <si>
    <t>Lee, Y.; Ha, D.; An, L.; Jang, Y. J.; Huh, H.; Min Lee, C.; Kim, Y. H.; Kim, J. H.; Park, S. H.; Mok, Y. J.; Lee, I. O.; Kwon, O. K.; Hwa Kwak, K.; Seok Min, J.; Jin Kim, E.; Il Choi, S.; Woo Yi, J.; Jeong, O.; Ran Jung, M.; Bum Bae, H.; Park, J. M.; Hoon Jung, Y.; Kim, J. J.; Ah Kim, D.; Park, S.</t>
  </si>
  <si>
    <t xml:space="preserve">97
</t>
  </si>
  <si>
    <t xml:space="preserve">https://www.scopus.com/inward/record.uri?eid=2-s2.0-85058734254&amp;doi=10.1097%2fMD.0000000000013424&amp;partnerID=40&amp;md5=751d873e0eab22db56e7f5f92bf903d1
</t>
  </si>
  <si>
    <t>10.1097/MD.0000000000013424</t>
  </si>
  <si>
    <t xml:space="preserve">Paracervical block in laparoscopic hysterectomy for postoperative pain control: a randomized, multi-center, double-blind, placebo-controlled trial
</t>
  </si>
  <si>
    <t>Lee, S. H.; Kim, T. J.; Lee, N. H.; Jeong, S. Y.; Lee, J.; Song, T.</t>
  </si>
  <si>
    <t xml:space="preserve">Clinical and Experimental Obstetrics and Gynecology
</t>
  </si>
  <si>
    <t xml:space="preserve">https://www.scopus.com/inward/record.uri?eid=2-s2.0-85127477621&amp;doi=10.31083%2fj.ceog4903066&amp;partnerID=40&amp;md5=3ad6a4c7847cb2e32e33f4ab6bb78220
</t>
  </si>
  <si>
    <t>10.31083/j.ceog4903066</t>
  </si>
  <si>
    <t xml:space="preserve">The effect on incisional hernia of absorbable barbed suture for midline fascial closure in minimally invasive surgery for colorectal and gastric cancers: study protocol for a randomized controlled trial
</t>
  </si>
  <si>
    <t>Lee, S.; Han, S. W.; Lee, M. R.; Kim, C. Y.; Ha, G. W.</t>
  </si>
  <si>
    <t xml:space="preserve">https://www.scopus.com/inward/record.uri?eid=2-s2.0-85157974046&amp;doi=10.1186%2fs13063-023-07324-x&amp;partnerID=40&amp;md5=b5d7c5c6d624cfca9bbcd090885a3d0f
</t>
  </si>
  <si>
    <t>10.1186/s13063-023-07324-x</t>
  </si>
  <si>
    <t xml:space="preserve">Randomized clinical trial of single-incision laparoscopic cholecystectomy versus minilaparoscopic cholecystectomy
</t>
  </si>
  <si>
    <t>Lee, P. C.; Lo, C.; Lai, P. S.; Chang, J. J.; Huang, S. J.; Lin, M. T.; Lee, P. H.</t>
  </si>
  <si>
    <t xml:space="preserve">https://www.scopus.com/inward/record.uri?eid=2-s2.0-77953624283&amp;doi=10.1002%2fbjs.7087&amp;partnerID=40&amp;md5=dcf33ec2e001501c6af5a6e3a2b664a9
</t>
  </si>
  <si>
    <t>10.1002/bjs.7087</t>
  </si>
  <si>
    <t xml:space="preserve">Incisional Hernia after Midline Versus Transverse Specimen Extraction Incision
</t>
  </si>
  <si>
    <t>Lee, L.; Mata, J.; Droeser, R. A.; Kaneva, P.; Liberman, S.; Charlebois, P.; Stein, B.; Fried, G. M.; Feldman, L. S.</t>
  </si>
  <si>
    <t xml:space="preserve">https://www.scopus.com/inward/record.uri?eid=2-s2.0-85050216163&amp;doi=10.1097%2fSLA.0000000000002615&amp;partnerID=40&amp;md5=2fef8314e740a131e7cea1c16abdc998
</t>
  </si>
  <si>
    <t>10.1097/SLA.0000000000002615</t>
  </si>
  <si>
    <t xml:space="preserve">A randomized, prospective study of laparoendoscopic single-site plus one-port versus mini laparoscopic technique for live donor nephrectomy
</t>
  </si>
  <si>
    <t>Lee, K. W.; Choi, S. W.; Park, Y. H.; Bae, W. J.; Choi, Y. S.; Ha, U. S.; Hong, S. H.; Lee, J. Y.; Kim, S. W.; Cho, H. J.</t>
  </si>
  <si>
    <t xml:space="preserve">https://www.scopus.com/inward/record.uri?eid=2-s2.0-85044615350&amp;doi=10.1007%2fs00345-018-2207-9&amp;partnerID=40&amp;md5=cf4c2fa5710acd9c4ac16bb26394af6f
</t>
  </si>
  <si>
    <t>10.1007/s00345-018-2207-9</t>
  </si>
  <si>
    <t xml:space="preserve">Does Intermittent Pringle Maneuver Increase Postoperative Complications After Hepatectomy for Hepatocellular Carcinoma? A Randomized Controlled Trial
</t>
  </si>
  <si>
    <t>Lee, K. F.; Wong, J.; Cheung, S. Y. S.; Chong, C. C. N.; Hui, J. W. Y.; Leung, V. Y. F.; Yu, S. C. H.; Lai, P. B. S.</t>
  </si>
  <si>
    <t xml:space="preserve">https://www.scopus.com/inward/record.uri?eid=2-s2.0-85053019493&amp;doi=10.1007%2fs00268-018-4637-3&amp;partnerID=40&amp;md5=4c976bda0ba74df1e6235b7a89e86ec2
</t>
  </si>
  <si>
    <t>10.1007/s00268-018-4637-3</t>
  </si>
  <si>
    <t xml:space="preserve">Impact of Intermittent Pringle Maneuver on Long-Term Survival After Hepatectomy for Hepatocellular Carcinoma: Result from Two Combined Randomized Controlled Trials
</t>
  </si>
  <si>
    <t>Lee, K. F.; Chong, C. C. N.; Cheung, S. Y. S.; Wong, J.; Fung, A. K. Y.; Lok, H. T.; Lai, P. B. S.</t>
  </si>
  <si>
    <t xml:space="preserve">https://www.scopus.com/inward/record.uri?eid=2-s2.0-85070746330&amp;doi=10.1007%2fs00268-019-05130-8&amp;partnerID=40&amp;md5=4a0210e6870caad681fced933f6eb892
</t>
  </si>
  <si>
    <t>10.1007/s00268-019-05130-8</t>
  </si>
  <si>
    <t xml:space="preserve">Randomized clinical trial of open hepatectomy with or without intermittent Pringle manoeuvre
</t>
  </si>
  <si>
    <t>Lee, K. F.; Cheung, Y. S.; Wong, J.; Chong, C. C.; Wong, J. S.; Lai, P. B.</t>
  </si>
  <si>
    <t xml:space="preserve">https://www.scopus.com/inward/record.uri?eid=2-s2.0-84864706128&amp;doi=10.1002%2fbjs.8863&amp;partnerID=40&amp;md5=6c3ba81d90bf3f1569744739abe789a3
</t>
  </si>
  <si>
    <t>10.1002/bjs.8863</t>
  </si>
  <si>
    <t xml:space="preserve">Prospective randomized controlled study for comparison of 2-dimensional versus 3-dimensional laparoscopic distal gastrectomy for gastric adenocarcinoma
</t>
  </si>
  <si>
    <t>Lee, K.; Youn, S. I.; Won, Y.; Min, S. H.; Park, Y. S.; Ahn, S. H.; Park, D. J.; Kim, H. H.</t>
  </si>
  <si>
    <t xml:space="preserve">https://www.scopus.com/inward/record.uri?eid=2-s2.0-85083978720&amp;doi=10.1007%2fs00464-020-07587-4&amp;partnerID=40&amp;md5=385c053d1816b076f0a328c19e935598
</t>
  </si>
  <si>
    <t>10.1007/s00464-020-07587-4</t>
  </si>
  <si>
    <t xml:space="preserve">Mini-percutaneous Nephrolithotomy vs Retrograde Intrarenal Surgery for Renal Stones Larger Than 10 mm: A Prospective Randomized Controlled Trial
</t>
  </si>
  <si>
    <t>Lee, J. W.; Park, J.; Lee, S. B.; Son, H.; Cho, S. Y.; Jeong, H.</t>
  </si>
  <si>
    <t xml:space="preserve">https://www.scopus.com/inward/record.uri?eid=2-s2.0-85027924784&amp;doi=10.1016%2fj.urology.2015.08.011&amp;partnerID=40&amp;md5=62ca9d9f75c27d1c7decb33bafbbd406
</t>
  </si>
  <si>
    <t>10.1016/j.urology.2015.08.011</t>
  </si>
  <si>
    <t xml:space="preserve">Short-term outcomes of a multicenter randomized controlled trial comparing laparoscopic distal gastrectomy with D2 lymphadenectomy to open distal gastrectomy for locally advanced gastric cancer (KLASS-02-RCT)
</t>
  </si>
  <si>
    <t>Lee, H. J.; Hyung, W. J.; Yang, H. K.; Han, S. U.; Park, Y. K.; An, J. Y.; Kim, W.; Kim, H. I.; Kim, H. H.; Ryu, S. W.; Hur, H.; Kong, S. H.; Cho, G. S.; Kim, J. J.; Park, D. J.; Ryu, K. W.; Kim, Y. W.; Kim, J. W.; Lee, J. H.; Kim, M. C.</t>
  </si>
  <si>
    <t xml:space="preserve">https://www.scopus.com/inward/record.uri?eid=2-s2.0-85066972427&amp;doi=10.1097%2fSLA.0000000000003217&amp;partnerID=40&amp;md5=d6d621f42f506d9e43e56f5d9a33735e
</t>
  </si>
  <si>
    <t>10.1097/SLA.0000000000003217</t>
  </si>
  <si>
    <t xml:space="preserve">Antibiotic Prophylaxis during Catheter-Managed Postoperative Urinary Retention after Pelvic Reconstructive Surgery: A Randomized Controlled Trial
</t>
  </si>
  <si>
    <t>Lavelle, E. S.; Alam, P.; Meister, M.; Florian-Rodriguez, M.; Elmer-Lyon, C.; Kowalski, J.; Carter-Brooks, C.; Mazloomdost, D.; Zyczynski, H.; Lowder, J.; Gutman, R.; Sutkin, G.</t>
  </si>
  <si>
    <t xml:space="preserve">https://www.scopus.com/inward/record.uri?eid=2-s2.0-85072791971&amp;doi=10.1097%2fAOG.0000000000003462&amp;partnerID=40&amp;md5=152bd2b831991e33a3831f76643ec3d7
</t>
  </si>
  <si>
    <t>10.1097/AOG.0000000000003462</t>
  </si>
  <si>
    <t xml:space="preserve">Thermal suit in preventing unintentional intraoperative hypothermia during general anaesthesia: a randomized controlled trial
</t>
  </si>
  <si>
    <t>Lauronen, S. L.; Kalliomäki, M. L.; Aho, A. J.; Kalliovalkama, J.; Riikonen, J. M.; Mäkinen, M. T.; Leppikangas, H. M.; Yli-Hankala, A. M.</t>
  </si>
  <si>
    <t xml:space="preserve">https://www.scopus.com/inward/record.uri?eid=2-s2.0-85026397086&amp;doi=10.1111%2faas.12945&amp;partnerID=40&amp;md5=b7571ec9c8ec54ccfff40ffadbd5d807
</t>
  </si>
  <si>
    <t>10.1111/aas.12945</t>
  </si>
  <si>
    <t xml:space="preserve">Effect of a Smoking and Alcohol Cessation Intervention Initiated Shortly Before Radical Cystectomy—the STOP-OP Study: A Randomised Clinical Trial
</t>
  </si>
  <si>
    <t>Lauridsen, S. V.; Thomsen, T.; Jensen, J. B.; Kallemose, T.; Schmidt Behrend, M.; Steffensen, K.; Poulsen, A. M.; Jacobsen, A.; Walther, L.; Isaksson, A.; Thind, P.; Tønnesen, H.</t>
  </si>
  <si>
    <t xml:space="preserve">https://www.scopus.com/inward/record.uri?eid=2-s2.0-85125435836&amp;doi=10.1016%2fj.euf.2022.02.005&amp;partnerID=40&amp;md5=c653398630d01883234a5480a8747e8d
</t>
  </si>
  <si>
    <t>10.1016/j.euf.2022.02.005</t>
  </si>
  <si>
    <t xml:space="preserve">Is Early Reversal of Defunctioning Ileostomy a Shorter, Easier and Less Expensive Operation?
</t>
  </si>
  <si>
    <t>Lasithiotakis, K.; Aghahoseini, A.; Alexander, D.</t>
  </si>
  <si>
    <t xml:space="preserve">https://www.scopus.com/inward/record.uri?eid=2-s2.0-84959096836&amp;doi=10.1007%2fs00268-016-3448-7&amp;partnerID=40&amp;md5=817b2983d69261f26332dc9eaef4447a
</t>
  </si>
  <si>
    <t>10.1007/s00268-016-3448-7</t>
  </si>
  <si>
    <t xml:space="preserve">Laparoscopic right colectomy vs laparoscopic-assisted colonoscopic polypectomy for endoscopically unresectable polyps: a randomized controlled trial
</t>
  </si>
  <si>
    <t>Lascarides, C.; Buscaglia, J. M.; Denoya, P. I.; Nagula, S.; Bucobo, J. C.; Bergamaschi, R.</t>
  </si>
  <si>
    <t xml:space="preserve">https://www.scopus.com/inward/record.uri?eid=2-s2.0-84994000005&amp;doi=10.1111%2fcodi.13346&amp;partnerID=40&amp;md5=996b011a907ca9b09051eaf6aa5f86a9
</t>
  </si>
  <si>
    <t>10.1111/codi.13346</t>
  </si>
  <si>
    <t xml:space="preserve">Prostate Cancer IRE Study (PRIS): A Randomized Controlled Trial Comparing Focal Therapy to Radical Treatment in Localized Prostate Cancer
</t>
  </si>
  <si>
    <t>Lantz, A.; Nordlund, P.; Falagario, U.; Jäderling, F.; Özbek, O.; Clements, M.; Discacciati, A.; Grönberg, H.; Eklund, M.; Stricker, P.; Emberton, M.; Aly, M.; Nordström, T.</t>
  </si>
  <si>
    <t xml:space="preserve">European Urology Open Science
</t>
  </si>
  <si>
    <t xml:space="preserve">https://www.scopus.com/inward/record.uri?eid=2-s2.0-85151764565&amp;doi=10.1016%2fj.euros.2023.03.003&amp;partnerID=40&amp;md5=91f82170db5f0177c0db7a60d848f508
</t>
  </si>
  <si>
    <t>10.1016/j.euros.2023.03.003</t>
  </si>
  <si>
    <t xml:space="preserve">Tamponade dressings may be unnecessary after haemorrhoidectomy: A randomised controlled clinical trial
</t>
  </si>
  <si>
    <t>Langenbach, M. R.; Chondros, S.; Sauerland, S.</t>
  </si>
  <si>
    <t xml:space="preserve">https://www.scopus.com/inward/record.uri?eid=2-s2.0-84896036332&amp;doi=10.1007%2fs00384-013-1800-z&amp;partnerID=40&amp;md5=89d144d44673a2f7df66eb23ce673395
</t>
  </si>
  <si>
    <t>10.1007/s00384-013-1800-z</t>
  </si>
  <si>
    <t xml:space="preserve">A randomized controlled trial of stapled versus ultrasonic transection in distal pancreatectomy
</t>
  </si>
  <si>
    <t>Landoni, L.; De Pastena, M.; Fontana, M.; Malleo, G.; Esposito, A.; Casetti, L.; Marchegiani, G.; Tuveri, M.; Paiella, S.; Pea, A.; Ramera, M.; Borin, A.; Giardino, A.; Frigerio, I.; Girelli, R.; Bassi, C.; Butturini, G.; Salvia, R.</t>
  </si>
  <si>
    <t xml:space="preserve">https://www.scopus.com/inward/record.uri?eid=2-s2.0-85114763852&amp;doi=10.1007%2fs00464-021-08724-3&amp;partnerID=40&amp;md5=d079764a38d4285df936b3afd9fb4a45
</t>
  </si>
  <si>
    <t>10.1007/s00464-021-08724-3</t>
  </si>
  <si>
    <t xml:space="preserve">Hartmann's procedure versus sigmoidectomy with primary anastomosis for perforated diverticulitis with purulent or faecal peritonitis (LADIES): a multicentre, parallel-group, randomised, open-label, superiority trial
</t>
  </si>
  <si>
    <t>Lambrichts, D. P. V.; Vennix, S.; Musters, G. D.; Mulder, I. M.; Swank, H. A.; Hoofwijk, A. G. M.; Belgers, E. H. J.; Stockmann, H. B. A. C.; Eijsbouts, Q. A. J.; Gerhards, M. F.; van Wagensveld, B. A.; van Geloven, A. A. W.; Crolla, R. M. P. H.; Nienhuijs, S. W.; Govaert, M. J. P. M.; di Saverio, S.; D'Hoore, A. J. L.; Consten, E. C. J.; van Grevenstein, W. M. U.; Pierik, R. E. G. J. M.; Kruyt, P. M.; van der Hoeven, J. A. B.; Steup, W. H.; Catena, F.; Konsten, J. L. M.; Vermeulen, J.; van Dieren, S.; Bemelman, W. A.; Lange, J. F.; Hop, W. C.; Opmeer, B. C.; Reitsma, J. B.; Scholte, R. A.; Waltmann, E. W. H.; Legemate, D. A.; Bartelsman, J. F.; Meijer, D. W.; Ünlü, Ç; Kluit, A. B.; El-Massoudi, Y.; Vuylsteke, R.; Tanis, P. J.; Matthijsen, R.; Polle, S. W.; Lagarde, S. M.; Gisbertz, S. S.; Wijers, O.; van der Bilt, J. D. W.; Boermeester, M. A.; Blom, R.; Gooszen, J. A. H.; Schreinemacher, M. H. F.; van der Zande, T.; Leeuwenburgh, M. M. N.; Bartels, S. A. L.; Hesp, W. L. E. M.; Koet, L.; van der Schelling, G. P.; van Dessel, E.; van Zeeland, M. L. P.; Lensvelt, M. M. A.; Nijhof, H.; Verest, S.; Buijs, M.; Wijsman, J. H.; Stassen, L. P. S.; Klinkert, M.; de Maat, M. F. G.; Sellenraad, G.; Jeekel, J.; Kleinrensink, G. J.; Tha-In, T.; Nijboer, W. N.; Boom, M. J.; Verbeek, P. C. M.; Sietses, C.; Stommel, M. W. J.; van Huijstee, P. J.; Merkus, J. W. S.; Eefting, D.; Mieog, J. S. D.; van Geldere, D.; Patijn, G. A.; de Vries, M.; Boskamp, M.; Bentohami, A.; Bijlsma, T. S.; de Korte, N.; Nio, D.; Rijna, H.; Luttikhold, J.; van Gool, M. H.; Fekkes, J. F.; Akkersdijk, G. J. M.; Heuff, G.; Jutte, E. H.; Kortmann, B. A.; Werkman, J. M.; Laméris, W.; Rietbergen, L.; Frankenmolen, P.; Draaisma, W. A.; Stam, M. A. W.; Verweij, M. S.; Karsten, T. M.; de Nes, L. C.; Fortuin, S.; de Castro, S. M.; Doeksen, A.; Simons, M. P.; Koffeman, G. I.; Steller, E. P.; Tuynman, J. B.; Boele van Hensbroek, P.; Mok, M.; van Diepen, S. R.; Hulsewé, K. W. E.; Melenhorst, J.; Stoot, J. H. M. B.; Fransen, S.; Sosef, M. N.; van Bastelaar, J.; Vissers, Y. L. J.; Douchy, T. P. D.; Christiaansen, C. E.; Smeenk, R.; Pijnenburg, A. M.; Tanaydin, V.; Veger, H. T. C.; Clermonts, S. H. E. M.; Al-Taher, M.; de Graaf, E. J. R.; Menon, A. G.; Vermaas, M.; Cense, H. A.; Jutte, E.; Wiezer, M. J.; Smits, A. B.; Westerterp, M.; Marsman, H. A.; Hendriks, E. R.; van Ruler, O.; Vriens, E. J. C.; Vogten, J. M.; van Rossem, C. C.; Ohanis, D.; Tanis, E.; van Grinsven, J.; Maring, J. K.; Heisterkamp, J.; Besselink, M. G. H.; Borel Rinkes, I. H. M.; Molenaar, I. Q.; Joosten, J. J. A.; Jongkind, V.; Diepenhorst, G. M. P.; Boute, M. C.; Smeenge, M.; Nielsen, K.; Harlaar, J. J.; Luyer, M. D. P.; van Montfort, G.; Smulders, J. F.; Daams, F.; van Haren, E.; Nieuwenhuijzen, G. A. P.; Lauret, G. J.; Pereboom, I. T. A.; Stokmans, R. A.; Birindelli, A.; Bianchi, E.; Pellegrini, S.; Terrasson, I.; Wolthuis, A.; de Buck van Overstraeten, A.; Nijs, S.</t>
  </si>
  <si>
    <t xml:space="preserve">https://www.scopus.com/inward/record.uri?eid=2-s2.0-85068469357&amp;doi=10.1016%2fS2468-1253%2819%2930174-8&amp;partnerID=40&amp;md5=0c5ecdfd98d4e5c5511e475700b5e879
</t>
  </si>
  <si>
    <t>10.1016/S2468-1253(19)30174-8</t>
  </si>
  <si>
    <t xml:space="preserve">Seven-day intensive preoperative rehabilitation for elderly patients with lung cancer: a randomized controlled trial
</t>
  </si>
  <si>
    <t>Lai, Y.; Huang, J.; Yang, M.; Su, J.; Liu, J.; Che, G.</t>
  </si>
  <si>
    <t xml:space="preserve">209
</t>
  </si>
  <si>
    <t xml:space="preserve">https://www.scopus.com/inward/record.uri?eid=2-s2.0-84993949256&amp;doi=10.1016%2fj.jss.2016.09.033&amp;partnerID=40&amp;md5=b0d933107e34f51df667a04f8f04588d
</t>
  </si>
  <si>
    <t>10.1016/j.jss.2016.09.033</t>
  </si>
  <si>
    <t xml:space="preserve">Postoperative symbiotic in patients with head and neck cancer: A double-blind randomised trial
</t>
  </si>
  <si>
    <t>Lages, P. C.; Generoso, S. V.; Correia, M. I. T. D.</t>
  </si>
  <si>
    <t xml:space="preserve">British Journal of Nutrition
</t>
  </si>
  <si>
    <t xml:space="preserve">https://www.scopus.com/inward/record.uri?eid=2-s2.0-85042221263&amp;doi=10.1017%2fS0007114517003403&amp;partnerID=40&amp;md5=4ab2a630cbfa2a919100300978e1a98b
</t>
  </si>
  <si>
    <t>10.1017/S0007114517003403</t>
  </si>
  <si>
    <t xml:space="preserve">Protocol for a randomized controlled trial to assess two procedures of vaginal native tissue repair for pelvic organ prolapse at the time of the questioning on vaginal prosthesis: The TAPP trial
</t>
  </si>
  <si>
    <t>Lacorre, A.; Vidal, F.; Campagne-Loiseau, S.; Marin, B.; Aubard, Y.; Siegerth, F.; Mesnard, C.; Chantalat, E.; Hocke, C.; Gauthier, T.</t>
  </si>
  <si>
    <t xml:space="preserve">https://www.scopus.com/inward/record.uri?eid=2-s2.0-85087730072&amp;doi=10.1186%2fs13063-020-04512-x&amp;partnerID=40&amp;md5=f6d68a5847a081a0dd328e608ae65287
</t>
  </si>
  <si>
    <t>10.1186/s13063-020-04512-x</t>
  </si>
  <si>
    <t xml:space="preserve">Neoadjuvant chemotherapy versus surgery first for resectable pancreatic cancer (Norwegian Pancreatic Cancer Trial - 1 (NorPACT-1)) - Study protocol for a national multicentre randomized controlled trial
</t>
  </si>
  <si>
    <t>Labori, K. J.; Lassen, K.; Hoem, D.; Grønbech, J. E.; Søreide, J. A.; Mortensen, K.; Smaaland, R.; Sorbye, H.; Verbeke, C.; Dueland, S.</t>
  </si>
  <si>
    <t xml:space="preserve">https://www.scopus.com/inward/record.uri?eid=2-s2.0-85028306770&amp;doi=10.1186%2fs12893-017-0291-1&amp;partnerID=40&amp;md5=821f0dd258d3dc0f83112a5e2b51926f
</t>
  </si>
  <si>
    <t>10.1186/s12893-017-0291-1</t>
  </si>
  <si>
    <t xml:space="preserve">Perioperative hydrocortisone reduces major complications after Pancreaticoduodenectomy a randomized controlled trial
</t>
  </si>
  <si>
    <t>Laaninen, M.; Sand, J.; Nordback, I.; Vasama, K.; Laukkarinen, J.</t>
  </si>
  <si>
    <t xml:space="preserve">https://www.scopus.com/inward/record.uri?eid=2-s2.0-84978636773&amp;doi=10.1097%2fSLA.0000000000001883&amp;partnerID=40&amp;md5=703ebfa68c2cd8b2a19a291e30446aaf
</t>
  </si>
  <si>
    <t>10.1097/SLA.0000000000001883</t>
  </si>
  <si>
    <t xml:space="preserve">Laparoscopic versus ultrasound-guided transversus abdominis plane block in colorectal surgery: a non-inferiority, multicentric randomized double-blinded clinical trial
</t>
  </si>
  <si>
    <t>La Regina, D.; Popeskou, S. G.; Saporito, A.; Gaffuri, P.; Tasciotti, E.; Dossi, R.; Christoforidis, D.; Mongelli, F.</t>
  </si>
  <si>
    <t xml:space="preserve">https://www.scopus.com/inward/record.uri?eid=2-s2.0-85166556982&amp;doi=10.1111%2fcodi.16689&amp;partnerID=40&amp;md5=d2a8b2db478ef37da99e4807ca30c0ee
</t>
  </si>
  <si>
    <t>10.1111/codi.16689</t>
  </si>
  <si>
    <t xml:space="preserve">Influence of anesthesia methods on surgical outcomes and renal function in retrograde intrarenal stone surgery: A prospective, randomized controlled study
</t>
  </si>
  <si>
    <t>Kwon, O.; Lee, J. M.; Park, J.; Cho, M. C.; Son, H.; Jeong, H.; Ryang, S. H.; Cho, S. Y.</t>
  </si>
  <si>
    <t xml:space="preserve">https://www.scopus.com/inward/record.uri?eid=2-s2.0-85077094267&amp;doi=10.1186%2fs12871-019-0901-9&amp;partnerID=40&amp;md5=93577ed806da82cd57fc67e7be6d00a8
</t>
  </si>
  <si>
    <t>10.1186/s12871-019-0901-9</t>
  </si>
  <si>
    <t xml:space="preserve">The Effect of Fibrinogen/Thrombin-Coated Collagen Patch (TachoSil®) Application in Pancreaticojejunostomy for Prevention of Pancreatic Fistula After Pancreaticoduodenectomy: A Randomized Clinical Trial
</t>
  </si>
  <si>
    <t>Kwon, J.; Shin, S. H.; Lee, S.; Park, G.; Park, Y.; Lee, S. J.; Lee, W.; Song, K. B.; Hwang, D. W.; Kim, S. C.; Lee, J. H.</t>
  </si>
  <si>
    <t xml:space="preserve">https://www.scopus.com/inward/record.uri?eid=2-s2.0-85072044226&amp;doi=10.1007%2fs00268-019-05172-y&amp;partnerID=40&amp;md5=3de48e8ed11bc39b62998bb12af35144
</t>
  </si>
  <si>
    <t>10.1007/s00268-019-05172-y</t>
  </si>
  <si>
    <t xml:space="preserve">Five-year follow-up of a randomized clinical trial comparing bursectomy and omentectomy alone for resectable gastric cancer (JCOG1001)
</t>
  </si>
  <si>
    <t>Kurokawa, Y.; Doki, Y.; Mizusawa, J.; Yoshikawa, T.; Yamada, T.; Kimura, Y.; Takiguchi, S.; Nishida, Y.; Fukushima, N.; Cho, H.; Kaji, M.; Hirao, M.; Sasako, M.; Terashima, M.</t>
  </si>
  <si>
    <t xml:space="preserve">https://www.scopus.com/inward/record.uri?eid=2-s2.0-85144584294&amp;doi=10.1093%2fbjs%2fznac373&amp;partnerID=40&amp;md5=8e7118412caccf7113a19adf97ed1eeb
</t>
  </si>
  <si>
    <t>10.1093/bjs/znac373</t>
  </si>
  <si>
    <t xml:space="preserve">A multicenter randomized controlled trial comparing administration of antithrombin III after liver resection (HiSCO-05 trial)
</t>
  </si>
  <si>
    <t>Kuroda, S.; Kobayashi, T.; Tashiro, H.; Onoe, T.; Oshita, A.; Abe, T.; Kohashi, T.; Oishi, K.; Ohmori, I.; Imaoka, Y.; Tanaka, J.; Ohdan, H.; Hiroshima Surgical Study Group of Clinical, Oncology</t>
  </si>
  <si>
    <t xml:space="preserve">170
</t>
  </si>
  <si>
    <t xml:space="preserve">https://www.scopus.com/inward/record.uri?eid=2-s2.0-85116061492&amp;doi=10.1016%2fj.surg.2021.03.057&amp;partnerID=40&amp;md5=0888ed222b6925ca00ac85ab7be99595
</t>
  </si>
  <si>
    <t>10.1016/j.surg.2021.03.057</t>
  </si>
  <si>
    <t xml:space="preserve">First prize: Standard laparoscopic donor nephrectomy versus laparoendoscopic single-site donor nephrectomy: A randomized comparative study
</t>
  </si>
  <si>
    <t>Kurien, A.; Rajapurkar, S.; Sinha, L.; Mishra, S.; Ganpule, A.; Muthu, V.; Sabnis, R.; Desai, M.</t>
  </si>
  <si>
    <t xml:space="preserve">https://www.scopus.com/inward/record.uri?eid=2-s2.0-79952656182&amp;doi=10.1089%2fend.2010.0250&amp;partnerID=40&amp;md5=76cb4d71c3802326385bd6e76b834326
</t>
  </si>
  <si>
    <t>10.1089/end.2010.0250</t>
  </si>
  <si>
    <t xml:space="preserve">A prospecticny CHNe randomized comparaticny CHNe study of monopolar and bipolar transurethral resection of the prostate and photoselecticny CHNe cny CHNaporization of the prostate in patients who present with benign prostatic obstruction: A single center experience
</t>
  </si>
  <si>
    <t>Kumar, A.; Vasudecny Chna, P.; Kumar, N.; Nanda, B.; Jha, S. C. K.; Mohanty, N.</t>
  </si>
  <si>
    <t xml:space="preserve">https://www.scopus.com/inward/record.uri?eid=2-s2.0-84885452577&amp;doi=10.1089%2fend.2013.0216&amp;partnerID=40&amp;md5=9f05f66017db77752a0e34f34aec36e1
</t>
  </si>
  <si>
    <t>10.1089/end.2013.0216</t>
  </si>
  <si>
    <t xml:space="preserve">A Prospective, Randomized Comparison of Shock Wave Lithotripsy, Retrograde Intrarenal Surgery and Miniperc for Treatment of 1 to 2 cm Radiolucent Lower Calyceal Renal Calculi: A Single Center Experience
</t>
  </si>
  <si>
    <t>Kumar, A.; Kumar, N.; Vasudeva, P.; Kumar Jha, S.; Kumar, R.; Singh, H.</t>
  </si>
  <si>
    <t xml:space="preserve">193
</t>
  </si>
  <si>
    <t xml:space="preserve">https://www.scopus.com/inward/record.uri?eid=2-s2.0-85027921459&amp;doi=10.1016%2fj.juro.2014.07.088&amp;partnerID=40&amp;md5=51e76722736079d29127385812b28a22
</t>
  </si>
  <si>
    <t>10.1016/j.juro.2014.07.088</t>
  </si>
  <si>
    <t xml:space="preserve">Hand-Assisted laparoscopic donor nephrectomy PERiumbilical versus Pfannenstiel incision and return to normal physical ACTivity (HAPERPACT): Study protocol for a randomized controlled trial
</t>
  </si>
  <si>
    <t>Kulu, Y.; Müller-Stich, B. P.; Ghamarnejad, O.; Khajeh, E.; Polychronidis, G.; Golriz, M.; Nickel, F.; Benner, L.; Knebel, P.; Diener, M.; Morath, C.; Zeier, M.; Büchler, M. W.; Mehrabi, A.</t>
  </si>
  <si>
    <t xml:space="preserve">https://www.scopus.com/inward/record.uri?eid=2-s2.0-85050032170&amp;doi=10.1186%2fs13063-018-2775-4&amp;partnerID=40&amp;md5=fb3c2335d72068a6895facf81525a2f9
</t>
  </si>
  <si>
    <t>10.1186/s13063-018-2775-4</t>
  </si>
  <si>
    <t xml:space="preserve">Hysterectomy with uterosacral suspension or Uphold™ hysteropexy in women with apical prolapse: a parallel cohort study
</t>
  </si>
  <si>
    <t>Kulkarni, M.; Young, N.; Lee, J.; Rosamilia, A.</t>
  </si>
  <si>
    <t xml:space="preserve">https://www.scopus.com/inward/record.uri?eid=2-s2.0-85085520451&amp;doi=10.1007%2fs00192-020-04328-y&amp;partnerID=40&amp;md5=0da8a1e7c957fc169f3ef25bcf0a66d4
</t>
  </si>
  <si>
    <t>10.1007/s00192-020-04328-y</t>
  </si>
  <si>
    <t xml:space="preserve">A comparison of the Thunderbeat and standard electrocautery devices in head and neck surgery: a prospective randomized controlled trial
</t>
  </si>
  <si>
    <t>Kuipers, N. C.; de Kleijn, B. J.; Wedman, J.; van der Laan, B. F. A. M.; Plaat, B. E. C.; Halmos, G. B.</t>
  </si>
  <si>
    <t xml:space="preserve">European Archives of Oto-Rhino-Laryngology
</t>
  </si>
  <si>
    <t xml:space="preserve">https://www.scopus.com/inward/record.uri?eid=2-s2.0-85103108032&amp;doi=10.1007%2fs00405-021-06739-z&amp;partnerID=40&amp;md5=6bc4cfb3efced31f56684028cc5153d0
</t>
  </si>
  <si>
    <t>10.1007/s00405-021-06739-z</t>
  </si>
  <si>
    <t xml:space="preserve">Level of inferior mesenteric artery ligation does not affect rectal cancer treatment outcomes despite better cancer-specific survival after low ligation—randomized trial results
</t>
  </si>
  <si>
    <t>Kruszewski, W. J.; Szajewski, M.; Ciesielski, M.; Buczek, T.; Kawecki, K.; Walczak, J.</t>
  </si>
  <si>
    <t xml:space="preserve">https://www.scopus.com/inward/record.uri?eid=2-s2.0-85110916817&amp;doi=10.1111%2fcodi.15798&amp;partnerID=40&amp;md5=a8392bde076e7ff6465036faf4b851be
</t>
  </si>
  <si>
    <t>10.1111/codi.15798</t>
  </si>
  <si>
    <t xml:space="preserve">Efficacy and Safety of Rivaroxaban for Postoperative Thromboprophylaxis in Patients After Bariatric Surgery A Randomized Clinical Trial
</t>
  </si>
  <si>
    <t>Kröll, D.; Nett, P. C.; Rommers, N.; Borbély, Y.; Deichsel, F.; Nocito, A.; Zehetner, J.; Kessler, U.; Fringeli, Y.; Alberio, L.; Candinas, D.; Stirnimann, G.</t>
  </si>
  <si>
    <t xml:space="preserve">https://www.scopus.com/inward/record.uri?eid=2-s2.0-85160455991&amp;doi=10.1001%2fjamanetworkopen.2023.15241&amp;partnerID=40&amp;md5=e5c5c143e53105e042b05bd01d7b6ef5
</t>
  </si>
  <si>
    <t>10.1001/jamanetworkopen.2023.15241</t>
  </si>
  <si>
    <t xml:space="preserve">Randomized clinical trial on closure versus non-closure of mesenteric defects during laparoscopic gastric bypass surgery
</t>
  </si>
  <si>
    <t>Kristensen, S. D.; Gormsen, J.; Naver, L.; Helgstrand, F.; Floyd, A. K.</t>
  </si>
  <si>
    <t xml:space="preserve">https://www.scopus.com/inward/record.uri?eid=2-s2.0-85102911818&amp;doi=10.1093%2fbjs%2fznaa055&amp;partnerID=40&amp;md5=b5a71bc55148fc4dbaa412d3fb75c029
</t>
  </si>
  <si>
    <t>10.1093/bjs/znaa055</t>
  </si>
  <si>
    <t xml:space="preserve">A comparison between thoracic epidural analgesia and rectus sheath catheter analgesia after open midline major abdominal surgery: Randomized clinical trial
</t>
  </si>
  <si>
    <t>Krige, A.; Brearley, S. G.; Mateus, C.; Carlson, G. L.; Lane, S.</t>
  </si>
  <si>
    <t xml:space="preserve">https://www.scopus.com/inward/record.uri?eid=2-s2.0-85141665421&amp;doi=10.1093%2fbjsopen%2fzrac055&amp;partnerID=40&amp;md5=414ef3bf263d828fa7af815ff75d4fe9
</t>
  </si>
  <si>
    <t>10.1093/bjsopen/zrac055</t>
  </si>
  <si>
    <t xml:space="preserve">Single- vs multiple-layer wound closure for flank incisions: results of a prospective, randomised, double-blinded multicentre study
</t>
  </si>
  <si>
    <t>Kriegmair, M. C.; Younsi, N.; Hiller, K.; Leitsmann, C.; Kowalewski, K. F.; Siegel, F.; Rothamel, M.; Ritter, M.; Bolenz, C.; Kriegmair, M.; Trojan, L.; Michel, M. S.</t>
  </si>
  <si>
    <t xml:space="preserve">https://www.scopus.com/inward/record.uri?eid=2-s2.0-85089501546&amp;doi=10.1111%2fbju.15148&amp;partnerID=40&amp;md5=e946be1d3a96745f68df54257f65ce04
</t>
  </si>
  <si>
    <t>10.1111/bju.15148</t>
  </si>
  <si>
    <t xml:space="preserve">Drain placement can safely be omitted for open partial nephrectomy: Results from a prospective randomized trial
</t>
  </si>
  <si>
    <t>Kriegmair, M. C.; Mandel, P.; Krombach, P.; Dönmez, H.; John, A.; Häcker, A.; Michel, M. S.</t>
  </si>
  <si>
    <t xml:space="preserve">International Journal of Urology
</t>
  </si>
  <si>
    <t xml:space="preserve">https://www.scopus.com/inward/record.uri?eid=2-s2.0-84959885445&amp;doi=10.1111%2fiju.13063&amp;partnerID=40&amp;md5=f526d5e744471767a655c96b757c0e1a
</t>
  </si>
  <si>
    <t>10.1111/iju.13063</t>
  </si>
  <si>
    <t xml:space="preserve">Influence of goal-directed therapy with balanced crystalloid-colloid or unbalanced crystalloid solution on base excess
</t>
  </si>
  <si>
    <t>Krebbel, H.; Feldheiser, A.; Müller, O.; Boemke, W.; Sander, M.; Perka, C.; Wernecke, K. D.; Spies, C.</t>
  </si>
  <si>
    <t xml:space="preserve">https://www.scopus.com/inward/record.uri?eid=2-s2.0-84898682895&amp;doi=10.1177%2f0300060513509548&amp;partnerID=40&amp;md5=eb6e4ac02b3f56fd42286d3404ed7171
</t>
  </si>
  <si>
    <t>10.1177/0300060513509548</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</si>
  <si>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</si>
  <si>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</si>
  <si>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</si>
  <si>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</si>
  <si>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Laparoscopic Roux-en-Y gastric bypass versus laparoscopic mini gastric bypass in the treatment of obesity: Study protocol for a randomized controlled trial
</t>
  </si>
  <si>
    <t>Kraljević, M.; Delko, T.; Köstler, T.; Osto, E.; Lutz, T.; Thommen, S.; Droeser, R. A.; Rothwell, L.; Oertli, D.; Zingg, U.</t>
  </si>
  <si>
    <t xml:space="preserve">https://www.scopus.com/inward/record.uri?eid=2-s2.0-85019916855&amp;doi=10.1186%2fs13063-017-1957-9&amp;partnerID=40&amp;md5=20bfea275bb9be848d1bb91c4a4e583c
</t>
  </si>
  <si>
    <t>10.1186/s13063-017-1957-9</t>
  </si>
  <si>
    <t xml:space="preserve">Laparoscopic adrenalectomy: Lateral transperitoneal versus posterior retroperitoneal approach – Prospective randomized trial
</t>
  </si>
  <si>
    <t>Kozłowski, T.; Choromanska, B.; Wojskowicz, P.; Astapczyk, K.; Łukaszewicz, J.; Rutkowski, D.; Dadan, J.; Rydzewska-Rosołowska, A.; Myśliwiec, P.</t>
  </si>
  <si>
    <t xml:space="preserve">https://www.scopus.com/inward/record.uri?eid=2-s2.0-85065250997&amp;doi=10.5114%2fwiitm.2019.84694&amp;partnerID=40&amp;md5=74b03c8ade831b783811e87fb52dfd9c
</t>
  </si>
  <si>
    <t>10.5114/wiitm.2019.84694</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</si>
  <si>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</si>
  <si>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</si>
  <si>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</si>
  <si>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</si>
  <si>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CARE: Protocol of a randomised trial evaluating the feasibility of preoperative intentional weight loss to support postoperative recovery in patients with excess weight and colorectal cancer
</t>
  </si>
  <si>
    <t>Koutoukidis, D. A.; Jebb, S. A.; Foster, C.; Wheatstone, P.; Horne, A.; Hill, T. M.; Taylor, A.; Realpe, A.; Achana, F.; Buczacki, S. J. A.</t>
  </si>
  <si>
    <t xml:space="preserve">https://www.scopus.com/inward/record.uri?eid=2-s2.0-85166580777&amp;doi=10.1111%2fcodi.16687&amp;partnerID=40&amp;md5=e0e734019e5a2287cf70abfc43e6dd97
</t>
  </si>
  <si>
    <t>10.1111/codi.16687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</si>
  <si>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</si>
  <si>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</si>
  <si>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</si>
  <si>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</si>
  <si>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</si>
  <si>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</si>
  <si>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Does preoperative use of silodosin affect the stages of F-URS procedure?
</t>
  </si>
  <si>
    <t>Köprü, B.; Ebiloğlu, T.; Kaya, E.; Zor, M.; Bedir, S.; Topuz, B.; Sarikaya, S.; Ergin, G.; Yalçin, S.</t>
  </si>
  <si>
    <t xml:space="preserve">Archivos Espanoles de Urologia
</t>
  </si>
  <si>
    <t xml:space="preserve">https://www.scopus.com/inward/record.uri?eid=2-s2.0-85077941769&amp;partnerID=40&amp;md5=8141ae92f6a953506e86a82688358ede
</t>
  </si>
  <si>
    <t xml:space="preserve">Primary cytoreductive surgery with or without hyperthermic intraperitoneal chemotherapy (HIPEC) for FIGO stage III epithelial ovarian cancer: OVHIPEC-2, a phase III randomized clinical trial
</t>
  </si>
  <si>
    <t>Koole, S.; Van Stein, R.; Sikorska, K.; Barton, D.; Perrin, L.; Brennan, D.; Zivanovic, O.; Mosgaard, B. J.; Fagotti, A.; Colombo, P. E.; Sonke, G.; Van Driel, W. J.</t>
  </si>
  <si>
    <t xml:space="preserve">https://www.scopus.com/inward/record.uri?eid=2-s2.0-85085905461&amp;doi=10.1136%2fijgc-2020-001231&amp;partnerID=40&amp;md5=af733714b4f65a1aed97dddb5f4f3fb1
</t>
  </si>
  <si>
    <t>10.1136/ijgc-2020-001231</t>
  </si>
  <si>
    <t xml:space="preserve">Clinical Implication of the Acumen Hypotension Prediction Index for Reducing Intraoperative Haemorrhage in Patients Undergoing Lumbar Spinal Fusion Surgery: A Prospective Randomised Controlled Single-Blinded Trial
</t>
  </si>
  <si>
    <t>Koo, J. M.; Choi, H.; Hwang, W.; Hong, S. H.; Kim, S. I.; Kim, Y. H.; Choi, S.; Kim, C. J.; Chae, M. S.</t>
  </si>
  <si>
    <t xml:space="preserve">https://www.scopus.com/inward/record.uri?eid=2-s2.0-85137351294&amp;doi=10.3390%2fjcm11164646&amp;partnerID=40&amp;md5=73b59f28ccb03620461c3b3b19acd3fd
</t>
  </si>
  <si>
    <t>10.3390/jcm11164646</t>
  </si>
  <si>
    <t xml:space="preserve">Effect of perioperative oral nutritional supplementation in malnourished patients who undergo gastrectomy: A prospective randomized trial
</t>
  </si>
  <si>
    <t>Kong, S. H.; Lee, H. J.; Na, J. R.; Kim, W. G.; Han, D. S.; Park, S. H.; Hong, H.; Choi, Y.; Ahn, H. S.; Suh, Y. S.; Yang, H. K.</t>
  </si>
  <si>
    <t xml:space="preserve">https://www.scopus.com/inward/record.uri?eid=2-s2.0-85050360239&amp;doi=10.1016%2fj.surg.2018.05.017&amp;partnerID=40&amp;md5=25f7fa7c567e7a5e1da29c6ac367c85f
</t>
  </si>
  <si>
    <t>10.1016/j.surg.2018.05.017</t>
  </si>
  <si>
    <t xml:space="preserve">A Multicenter, Randomized, Controlled Trial Comparing Reinforced Staplers with Bare Staplers During Distal Pancreatectomy (HiSCO-07 Trial)
</t>
  </si>
  <si>
    <t>Kondo, N.; Uemura, K.; Nakagawa, N.; Okada, K.; Kuroda, S.; Sudo, T.; Hadano, N.; Matstukawa, H.; Satoh, D.; Sasaki, M.; Abe, T.; Fukuda, S.; Oshita, A.; Nakashima, A.; Hashimoto, Y.; Ohdan, H.; Murakami, Y.; the Hiroshima Surgical Study Group of Clinical, Oncology</t>
  </si>
  <si>
    <t xml:space="preserve">https://www.scopus.com/inward/record.uri?eid=2-s2.0-85061753418&amp;doi=10.1245%2fs10434-019-07222-0&amp;partnerID=40&amp;md5=1feecbb20eb059abccb1e38b96c034a6
</t>
  </si>
  <si>
    <t>10.1245/s10434-019-07222-0</t>
  </si>
  <si>
    <t xml:space="preserve">Incidence of urethral stricture after bipolar transurethral resection of the prostate using TURis: Results from a randomised trial
</t>
  </si>
  <si>
    <t>Komura, K.; Inamoto, T.; Takai, T.; Uchimoto, T.; Saito, K.; Tanda, N.; Minami, K.; Oide, R.; Uehara, H.; Takahara, K.; Hirano, H.; Nomi, H.; Kiyama, S.; Watsuji, T.; Azuma, H.</t>
  </si>
  <si>
    <t xml:space="preserve">115
</t>
  </si>
  <si>
    <t xml:space="preserve">https://www.scopus.com/inward/record.uri?eid=2-s2.0-84925600392&amp;doi=10.1111%2fbju.12831&amp;partnerID=40&amp;md5=78c383c850c6e9027de81e90328acb26
</t>
  </si>
  <si>
    <t>10.1111/bju.12831</t>
  </si>
  <si>
    <t xml:space="preserve">Effectiveness of terlipressin for prevention of complications after major liver resection – A randomized placebo-controlled trial
</t>
  </si>
  <si>
    <t>Kohler, A.; Perrodin, S.; De Gottardi, A.; Candinas, D.; Beldi, G.</t>
  </si>
  <si>
    <t xml:space="preserve">https://www.scopus.com/inward/record.uri?eid=2-s2.0-85074151561&amp;doi=10.1016%2fj.hpb.2019.10.011&amp;partnerID=40&amp;md5=3f87ac69d593aa1da8aaa54f3713f934
</t>
  </si>
  <si>
    <t>10.1016/j.hpb.2019.10.011</t>
  </si>
  <si>
    <t xml:space="preserve">Combination of etoricoxib and low-pressure pneumoperitoneum versus standard treatment for the management of pain after laparoscopic cholecystectomy: a randomized controlled trial
</t>
  </si>
  <si>
    <t>Ko-iam, W.; Paiboonworachat, S.; Pongchairerks, P.; Junrungsee, S.; Sandhu, T.</t>
  </si>
  <si>
    <t xml:space="preserve">https://www.scopus.com/inward/record.uri?eid=2-s2.0-84959095940&amp;doi=10.1007%2fs00464-016-4810-4&amp;partnerID=40&amp;md5=621d06d3f209382e73ee38551b61ea52
</t>
  </si>
  <si>
    <t>10.1007/s00464-016-4810-4</t>
  </si>
  <si>
    <t xml:space="preserve">Study of Peri-Articular Anaesthetic for Replacement of the Knee (SPAARK): Study protocol for a patient-blinded, randomised controlled superiority trial of liposomal bupivacaine
</t>
  </si>
  <si>
    <t>Knight, R.; Poulton, L.; Strickland, L. H.; Hamilton, T. W.; Beard, D.; Cook, J.; Dutton, S. J.; Leal, J.; Lamb, S.; Cooper, C.; Barker, K. L.; Murray, D. W.; Pandit, H. G.</t>
  </si>
  <si>
    <t xml:space="preserve">https://www.scopus.com/inward/record.uri?eid=2-s2.0-85076715002&amp;doi=10.1186%2fs13063-019-3826-1&amp;partnerID=40&amp;md5=81d8237166334686cb9c8cd672883224
</t>
  </si>
  <si>
    <t>10.1186/s13063-019-3826-1</t>
  </si>
  <si>
    <t xml:space="preserve">Functional results of total-knee arthroplasty versus medial unicompartmental arthroplasty: Two-year results of a randomised, assessor-blinded multicentre trial
</t>
  </si>
  <si>
    <t>Knifsund, J.; Niinimaki, T.; Nurmi, H.; Toom, A.; Keemu, H.; Laaksonen, I.; Seppänen, M.; Liukas, A.; Pamilo, K.; Vahlberg, T.; Äärimaa, V.; Mäkelä, K. T.</t>
  </si>
  <si>
    <t xml:space="preserve">https://www.scopus.com/inward/record.uri?eid=2-s2.0-85108601701&amp;doi=10.1136%2fbmjopen-2020-046731&amp;partnerID=40&amp;md5=ba5e709530200503afb58992808188f3
</t>
  </si>
  <si>
    <t>10.1136/bmjopen-2020-046731</t>
  </si>
  <si>
    <t xml:space="preserve">Inflammatory response after open and laparoscopic Nissen fundoplication in children: A randomized study
</t>
  </si>
  <si>
    <t>Knatten, C. K.; Hviid, C. H. B.; Pripp, A. H.; Emblem, R.; Bjørnland, K.</t>
  </si>
  <si>
    <t xml:space="preserve">https://www.scopus.com/inward/record.uri?eid=2-s2.0-84892591717&amp;doi=10.1007%2fs00383-013-3433-2&amp;partnerID=40&amp;md5=631fe07dfe3a7c412bbe15d2a1fb7d77
</t>
  </si>
  <si>
    <t>10.1007/s00383-013-3433-2</t>
  </si>
  <si>
    <t xml:space="preserve">Thirty-day outcome in children randomized to open and laparoscopic Nissen fundoplication
</t>
  </si>
  <si>
    <t>Knatten, C. K.; Fyhn, T. J.; Edwin, B.; Schistad, O.; Emblem, R.; Bjornland, K.</t>
  </si>
  <si>
    <t xml:space="preserve">Journal of Pediatric Surgery
</t>
  </si>
  <si>
    <t xml:space="preserve">https://www.scopus.com/inward/record.uri?eid=2-s2.0-84869404252&amp;doi=10.1016%2fj.jpedsurg.2012.05.038&amp;partnerID=40&amp;md5=822b4eb311d082e8a4d2ef746c0face9
</t>
  </si>
  <si>
    <t>10.1016/j.jpedsurg.2012.05.038</t>
  </si>
  <si>
    <t xml:space="preserve">Initial non-operative management of uncomplicated appendicitis in children: A protocol for a multicentre randomised controlled trial (APAC trial)
</t>
  </si>
  <si>
    <t>Knaapen, M.; Van Der Lee, J. H.; Bakx, R.; The, S. M. L.; Van Heurn, E. W. E.; Heij, H. A.; Gorter, R. R.</t>
  </si>
  <si>
    <t xml:space="preserve">https://www.scopus.com/inward/record.uri?eid=2-s2.0-85049901813&amp;doi=10.1136%2fbmjopen-2017-018145&amp;partnerID=40&amp;md5=cfe82117fae63b9e318819a01d62a992
</t>
  </si>
  <si>
    <t xml:space="preserve">10.1136/bmjopen-2017-018145
</t>
  </si>
  <si>
    <t xml:space="preserve">Epidural anesthesia in liver surgery - A propensity score-matched analysis
</t>
  </si>
  <si>
    <t>Knaak, C.; Spies, C.; Schneider, A.; Jara, M.; Vorderwülbecke, G.; Kuhlmann, A. D.; von Haefen, C.; Lachmann, G.; Schulte, E.</t>
  </si>
  <si>
    <t xml:space="preserve">https://www.scopus.com/inward/record.uri?eid=2-s2.0-85102142741&amp;doi=10.1093%2fPM%2fPNAA130&amp;partnerID=40&amp;md5=ba92545b02ec1a97f6f2cb84f497b7b5
</t>
  </si>
  <si>
    <t>10.1093/PM/PNAA130</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</si>
  <si>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</si>
  <si>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</si>
  <si>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</si>
  <si>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</si>
  <si>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Intravenous versus epidural analgesia to reduce the incidence of gastrointestinal complications after elective pancreatoduodenectomy (the PAKMAN trial, DRKS 00007784): Study protocol for a randomized controlled trial
</t>
  </si>
  <si>
    <t>Klotz, R.; Hofer, S.; Schellhaaß, A.; Dörr-Harim, C.; Tenckhoff, S.; Bruckner, T.; Klose, C.; Diener, M. K.; Weigand, M. A.; Büchler, M. W.; Knebel, P.</t>
  </si>
  <si>
    <t>10.1186/s13063-016-1306-4</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</si>
  <si>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</si>
  <si>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</si>
  <si>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</si>
  <si>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</si>
  <si>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</si>
  <si>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</si>
  <si>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</si>
  <si>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</si>
  <si>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</si>
  <si>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</si>
  <si>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</si>
  <si>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</si>
  <si>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 xml:space="preserve">Early closure of the protective ileostomy after rectal resection should become part of the enhanced recovery after surgery (ERAS) protocol: A randomized, prospective, two-center clinical trial
</t>
  </si>
  <si>
    <t>Kłęk, S.; Pisarska, M.; Milian-Ciesielska, K.; Cegielny, T.; Choruz, R.; Sałówka, J.; Szybinski, P.; Pędziwiatr, M.</t>
  </si>
  <si>
    <t xml:space="preserve">https://www.scopus.com/inward/record.uri?eid=2-s2.0-85057717716&amp;doi=10.5114%2fwiitm.2018.79574&amp;partnerID=40&amp;md5=41b9de894d2802fa7a3b285133d1db22
</t>
  </si>
  <si>
    <t>10.5114/wiitm.2018.79574</t>
  </si>
  <si>
    <t xml:space="preserve">Immunomodulating versus high-protein oral preoperative supplement in surgical patients – A two-center, prospective, randomized clinical trial
</t>
  </si>
  <si>
    <t>Klek, S.; Kret, K.; Choruz, R.; Pisarska-Adamczyk, M.; Salowka, J.; Cegielny, T.; Welanyk, J.; Wilczek, M.; Pedziwiatr, M.</t>
  </si>
  <si>
    <t xml:space="preserve">https://www.scopus.com/inward/record.uri?eid=2-s2.0-85132234863&amp;doi=10.1016%2fj.nut.2022.111701&amp;partnerID=40&amp;md5=bb512964a2f1c3836118d42e92361867
</t>
  </si>
  <si>
    <t>10.1016/j.nut.2022.111701</t>
  </si>
  <si>
    <t xml:space="preserve">Randomized controlled trial of single incision versus conventional multiport laparoscopic cholecystectomy with long-term follow-up
</t>
  </si>
  <si>
    <t>Klein, D.; Barutcu, A. G.; Kröll, D.; Kilian, M.; Pratschke, J.; Raakow, R.; Raakow, J.</t>
  </si>
  <si>
    <t xml:space="preserve">https://www.scopus.com/inward/record.uri?eid=2-s2.0-85087019153&amp;doi=10.1007%2fs00423-020-01911-1&amp;partnerID=40&amp;md5=694e78c6176c8d79d793a175f9548f34
</t>
  </si>
  <si>
    <t>10.1007/s00423-020-01911-1</t>
  </si>
  <si>
    <t xml:space="preserve">Randomized clinical trial of preoperative dexamethasone on postoperative nausea and vomiting after laparoscopy for suspected appendicitis
</t>
  </si>
  <si>
    <t>Kleif, J.; Kirkegaard, A.; Vilandt, J.; Gögenur, I.</t>
  </si>
  <si>
    <t xml:space="preserve">https://www.scopus.com/inward/record.uri?eid=2-s2.0-85009480759&amp;doi=10.1002%2fbjs.10418&amp;partnerID=40&amp;md5=759379203b174049a4b59576b342e156
</t>
  </si>
  <si>
    <t>10.1002/bjs.10418</t>
  </si>
  <si>
    <t xml:space="preserve">Randomized clinical trial of preoperative high-dose methylprednisolone on postoperative pain at rest after laparoscopic appendectomy
</t>
  </si>
  <si>
    <t>Kleif, J.; Hauge, C. I.; Vilandt, J.; Gögenur, I.</t>
  </si>
  <si>
    <t xml:space="preserve">https://www.scopus.com/inward/record.uri?eid=2-s2.0-85041654141&amp;doi=10.1213%2fANE.0000000000002693&amp;partnerID=40&amp;md5=6a54b64f87244bccc972acb909a1e653
</t>
  </si>
  <si>
    <t>10.1213/ANE.0000000000002693</t>
  </si>
  <si>
    <t xml:space="preserve">Early oral feeding versus traditional postoperative care after abdominal emergency surgery: A randomized controlled trial
</t>
  </si>
  <si>
    <t>Klappenbach, R. F.; Yazyi, F. J.; Alonso Quintas, F.; Horna, M. E.; Alvarez Rodríguez, J.; Oría, A.</t>
  </si>
  <si>
    <t xml:space="preserve">https://www.scopus.com/inward/record.uri?eid=2-s2.0-84883554643&amp;doi=10.1007%2fs00268-013-2143-1&amp;partnerID=40&amp;md5=d21a77b35836354467486eb4efb50273
</t>
  </si>
  <si>
    <t>10.1007/s00268-013-2143-1</t>
  </si>
  <si>
    <t xml:space="preserve">Impact of preoperative patient education on the prevention of postoperative complications after major visceral surgery: The cluster randomized controlled PEDUCAT trial
</t>
  </si>
  <si>
    <t>Klaiber, U.; Stephan-Paulsen, L. M.; Bruckner, T.; Müller, G.; Auer, S.; Farrenkopf, I.; Fink, C.; Dörr-Harim, C.; Diener, M. K.; Büchler, M. W.; Knebel, P.</t>
  </si>
  <si>
    <t xml:space="preserve">https://www.scopus.com/inward/record.uri?eid=2-s2.0-85047492442&amp;doi=10.1186%2fs13063-018-2676-6&amp;partnerID=40&amp;md5=4d5a5c28802ba37c9633001e943727f7
</t>
  </si>
  <si>
    <t>10.1186/s13063-018-2676-6</t>
  </si>
  <si>
    <t xml:space="preserve">Effect of intrathecal morphine and epidural analgesia on postoperative recovery after abdominal surgery for gynecologic malignancy: An open-label randomised trial
</t>
  </si>
  <si>
    <t>Kjølhede, P.; Bergdahl, O.; Borendal Wodlin, N.; Nilsson, L.</t>
  </si>
  <si>
    <t xml:space="preserve">https://www.scopus.com/inward/record.uri?eid=2-s2.0-85062583607&amp;doi=10.1136%2fbmjopen-2018-024484&amp;partnerID=40&amp;md5=e2250afa4052c6198b182133d202dc04
</t>
  </si>
  <si>
    <t>10.1136/bmjopen-2018-024484</t>
  </si>
  <si>
    <t xml:space="preserve">Clinical effect of enteral nutrition support during neoadjuvant chemotherapy on the preservation of skeletal muscle mass in patients with esophageal cancer
</t>
  </si>
  <si>
    <t>Kita, R.; Miyata, H.; Sugimura, K.; Tanaka, K.; Makino, T.; Yamashita, K.; Yamasaki, M.; Motoori, M.; Shiraishi, O.; Kimura, Y.; Yasuda, T.; Yano, M.; Doki, Y.</t>
  </si>
  <si>
    <t xml:space="preserve">https://www.scopus.com/inward/record.uri?eid=2-s2.0-85100398088&amp;doi=10.1016%2fj.clnu.2021.01.007&amp;partnerID=40&amp;md5=6bf1eb57f79bad89809cc43704f9aff6
</t>
  </si>
  <si>
    <t>10.1016/j.clnu.2021.01.007</t>
  </si>
  <si>
    <t xml:space="preserve">The unrestricted global effort to complete the COOL trial
</t>
  </si>
  <si>
    <t>Kirkpatrick, A. W.; Coccolini, F.; Tolonen, M.; Minor, S.; Catena, F.; Gois, E., Jr.; Doig, C. J.; Hill, M. D.; Ansaloni, L.; Chiarugi, M.; Tartaglia, D.; Ioannidis, O.; Sugrue, M.; Colak, E.; Hameed, S. M.; Lampela, H.; Agnoletti, V.; McKee, J. L.; Garraway, N.; Sartelli, M.; Ball, C. G.; Parry, N. G.; Voght, K.; Julien, L.; Kroeker, J.; Roberts, D. J.; Faris, P.; Tiruta, C.; Moore, E. E.; Ammons, L. A.; Anestiadou, E.; Bendinelli, C.; Bouliaris, K.; Carroll, R.; Ceresoli, M.; Favi, F.; Gurrado, A.; Rezende-Neto, J.; Isik, A.; Cremonini, C.; Strambi, S.; Koukoulis, G.; Testini, M.; Trpcic, S.; Pasculli, A.; Picariello, E.; Abu-Zidan, F.; Adeyeye, A.; Augustin, G.; Alconchel, F.; Altinel, Y.; Hernandez Amin, L. A.; Aranda-Narváez, J. M.; Baraket, O.; Biffl, W. L.; Baiocchi, G. L.; Bonavina, L.; Brisinda, G.; Cardinali, L.; Celotti, A.; Chaouch, M.; Chiarello, M.; Costa, G.; de’Angelis, N.; De Manzini, N.; Delibegovic, S.; Di Saverio, S.; De Simone, B.; Dubuisson, V.; Fransvea, P.; Garulli, G.; Giordano, A.; Gomes, C.; Hayati, F.; Huang, J.; Ibrahim, A. F.; Huei, T. J.; Jailani, R. F.; Khan, M.; Luna, A. P.; Malbrain, M. L. N. G.; Marwah, S.; McBeth, P.; Mihailescu, A.; Morello, A.; Mulita, F.; Murzi, V.; Mohammad, A. T.; Parmar, S.; Pak, A.; Wong, M. P. K.; Pantalone, D.; Podda, M.; Puccioni, C.; Rasa, K.; Ren, J.; Roscio, F.; Gonzalez-Sanchez, A.; Sganga, G.; Scheiterle, M.; Slavchev, M.; Smirnov, D.; Tosi, L.; Trivedi, A.; Vega, J. A. G.; Waledziak, M.; Xenaki, S.; Winter, D.; Wu, X.; Zakaria, A. D.; Zakaria, Z.</t>
  </si>
  <si>
    <t xml:space="preserve">https://www.scopus.com/inward/record.uri?eid=2-s2.0-85159186127&amp;doi=10.1186%2fs13017-023-00500-z&amp;partnerID=40&amp;md5=f3032e162bf9d8f23f7b0df8fc3c59a0
</t>
  </si>
  <si>
    <t>10.1186/s13017-023-00500-z</t>
  </si>
  <si>
    <t xml:space="preserve">One-step laparoscopic cholecystectomy with common bile duct exploration and stone extraction versus two-step endoscopic retrograde cholangiography with stone extraction plus laparoscopic cholecystectomy for patients with common bile duct stones: a randomised feasibility and pilot clinical trial—the preGallStep trial
</t>
  </si>
  <si>
    <t>Kirkegaard-Klitbo, A.; Shabanzadeh, D. M.; Olsen, M. H.; Lindschou, J.; Gluud, C.; Sørensen, L. T.</t>
  </si>
  <si>
    <t xml:space="preserve">https://www.scopus.com/inward/record.uri?eid=2-s2.0-85147534301&amp;doi=10.1186%2fs40814-023-01251-z&amp;partnerID=40&amp;md5=0eea967963106dd678ebe944a6671195
</t>
  </si>
  <si>
    <t>10.1186/s40814-023-01251-z</t>
  </si>
  <si>
    <t xml:space="preserve">The efficacy of bupivacaine infiltration on the nephrostomy tract in tubeless and standard percutaneous nephrolithotomy: A prospective, randomized, multicenter Study
</t>
  </si>
  <si>
    <t>Kirac, M.; Tepeler, A.; Bozkurt, O. F.; Elbir, F.; Ozluk, C.; Armagan, A.; Unsal, A.; Biri, H.</t>
  </si>
  <si>
    <t xml:space="preserve">82
</t>
  </si>
  <si>
    <t xml:space="preserve">https://www.scopus.com/inward/record.uri?eid=2-s2.0-84883218326&amp;doi=10.1016%2fj.urology.2013.02.083&amp;partnerID=40&amp;md5=b4a8a301437114185a8e1006b236f35f
</t>
  </si>
  <si>
    <t>10.1016/j.urology.2013.02.083</t>
  </si>
  <si>
    <t xml:space="preserve">A randomized controlled trial of postoperative intravenous acetaminophen plus thoracic epidural analgesia vs. thoracic epidural analgesia alone after gastrectomy for gastric cancer
</t>
  </si>
  <si>
    <t>Kinoshita, J.; Fushida, S.; Kaji, M.; Oyama, K.; Fujimoto, D.; Hirono, Y.; Tsukada, T.; Fujimura, T.; Ohyama, S.; Yabushita, K.; Kadoya, N.; Nishijima, K.; Ohta, T.; Fushida, S.; Li, T.; Yamamoto, S.; Sato, N.; Nakano, T.; Ohyama, T. Y. S.; Tani, T.; Yoshimitsu, Y.; Kinami, S.; On behalf of the Digestive Disease Support Organization Study, Group</t>
  </si>
  <si>
    <t xml:space="preserve">https://www.scopus.com/inward/record.uri?eid=2-s2.0-85052076141&amp;doi=10.1007%2fs10120-018-0863-5&amp;partnerID=40&amp;md5=b6f08977d4522fdfdfc9a8558ba8a4ab
</t>
  </si>
  <si>
    <t>10.1007/s10120-018-0863-5</t>
  </si>
  <si>
    <t xml:space="preserve">Long-term outcomes of laparoscopy-assisted distal gastrectomy for early gastric cancer: Result of a randomized controlled trial (COACT 0301)
</t>
  </si>
  <si>
    <t>Kim, Y. W.; Yoon, H. M.; Yun, Y. H.; Nam, B. H.; Eom, B. W.; Baik, Y. H.; Lee, S. E.; Lee, Y.; Kim, Y. A.; Park, J. Y.; Ryu, K. W.</t>
  </si>
  <si>
    <t xml:space="preserve">https://www.scopus.com/inward/record.uri?eid=2-s2.0-84892829347&amp;doi=10.1007%2fs00464-013-3037-x&amp;partnerID=40&amp;md5=c83333134f9041c20c68b9eb3a5ecc1f
</t>
  </si>
  <si>
    <t>10.1007/s00464-013-3037-x</t>
  </si>
  <si>
    <t xml:space="preserve">Effect of Biologic Material Reinforcement on Surgical Anastomosis After Gastrectomy—A Pilot Study
</t>
  </si>
  <si>
    <t>Kim, W. J.; Lee, C. M.; An, L.; Kim, J. H.; Park, S.</t>
  </si>
  <si>
    <t xml:space="preserve">https://www.scopus.com/inward/record.uri?eid=2-s2.0-85075575725&amp;doi=10.3389%2ffonc.2019.01184&amp;partnerID=40&amp;md5=5e99bcf2ad16b73eff6ed99d9dbb3a4a
</t>
  </si>
  <si>
    <t>10.3389/fonc.2019.01184</t>
  </si>
  <si>
    <t xml:space="preserve">Robot-assisted Versus Laparoscopic Surgery for Rectal Cancer: A Phase II Open Label Prospective Randomized Controlled Trial
</t>
  </si>
  <si>
    <t>Kim, M. J.; Park, S. C.; Park, J. W.; Chang, H. J.; Kim, D. Y.; Nam, B. H.; Sohn, D. K.; Oh, J. H.</t>
  </si>
  <si>
    <t xml:space="preserve">https://www.scopus.com/inward/record.uri?eid=2-s2.0-85019749610&amp;doi=10.1097%2fSLA.0000000000002321&amp;partnerID=40&amp;md5=d40980df6585fce514d46ab4ae414900
</t>
  </si>
  <si>
    <t>10.1097/SLA.0000000000002321</t>
  </si>
  <si>
    <t xml:space="preserve">Silodosin for Prevention of Ureteral Injuries Resulting from Insertion of a Ureteral Access Sheath: A Randomized Controlled Trial
</t>
  </si>
  <si>
    <t>Kim, J. K.; Choi, C. I.; Lee, S. H.; Han, J. H.; Shim, Y. S.; Choo, M. S.</t>
  </si>
  <si>
    <t xml:space="preserve">https://www.scopus.com/inward/record.uri?eid=2-s2.0-85102634027&amp;doi=10.1016%2fj.euf.2021.03.009&amp;partnerID=40&amp;md5=6ad1f8dbb1dc6793bf3646341f16d6f4
</t>
  </si>
  <si>
    <t>10.1016/j.euf.2021.03.009</t>
  </si>
  <si>
    <t xml:space="preserve">Intraoperative use of dexmedetomidine for the prevention of emergence agitation and postoperative delirium in thoracic surgery: a randomized-controlled trial
</t>
  </si>
  <si>
    <t>Kim, J. A.; Ahn, H. J.; Yang, M.; Lee, S. H.; Jeong, H.; Seong, B. G.</t>
  </si>
  <si>
    <t xml:space="preserve">Canadian Journal of Anesthesia
</t>
  </si>
  <si>
    <t xml:space="preserve">https://www.scopus.com/inward/record.uri?eid=2-s2.0-85060953345&amp;doi=10.1007%2fs12630-019-01299-7&amp;partnerID=40&amp;md5=a4eeb671f41dd7de22219a3d4eb5cc95
</t>
  </si>
  <si>
    <t>10.1007/s12630-019-01299-7</t>
  </si>
  <si>
    <t xml:space="preserve">Temporary simultaneous two-arterial occlusion for reducing operative blood loss during laparoscopic myomectomy: a randomized controlled trial
</t>
  </si>
  <si>
    <t>Kim, H. C.; Song, T.</t>
  </si>
  <si>
    <t xml:space="preserve">https://www.scopus.com/inward/record.uri?eid=2-s2.0-85055499251&amp;doi=10.1007%2fs00464-018-6482-8&amp;partnerID=40&amp;md5=a1d4177f02f59e673a6ea2cba481e540
</t>
  </si>
  <si>
    <t>10.1007/s00464-018-6482-8</t>
  </si>
  <si>
    <t xml:space="preserve">Korean Society of Coloproctology (KSCP) trial of cONsolidation Chemotherapy for Locally advanced mid or low rectal cancer after neoadjUvant concurrent chemoraDiothErapy: A multicenter, randomized controlled trial (KONCLUDE)
</t>
  </si>
  <si>
    <t>Kim, C. W.; Kang, B. M.; Kim, I. Y.; Kim, J. Y.; Park, S. J.; Park, W. C.; Bae, K. B.; Bae, B. N.; Baek, S. K.; Baik, S. H.; Son, G. M.; Lee, Y. S.; Lee, S. H.</t>
  </si>
  <si>
    <t xml:space="preserve">https://www.scopus.com/inward/record.uri?eid=2-s2.0-85046686395&amp;doi=10.1186%2fs12885-018-4466-7&amp;partnerID=40&amp;md5=6bebaa9d49030ef75da525eb45c52259
</t>
  </si>
  <si>
    <t>10.1186/s12885-018-4466-7</t>
  </si>
  <si>
    <t xml:space="preserve">Long-term postoperative follow-up results of transobturator autologous rectus fascial sling versus transobturator tension-free vaginal tapes for female stress urinary incontinence: Randomized controlled clinical trial
</t>
  </si>
  <si>
    <t>Kilinc, M. F.; Yildiz, Y.; Hascicek, A. M.; Doluoglu, O. G.; Tokat, E.</t>
  </si>
  <si>
    <t xml:space="preserve">https://www.scopus.com/inward/record.uri?eid=2-s2.0-85116464430&amp;doi=10.1002%2fnau.24813&amp;partnerID=40&amp;md5=674a45b24b5deb2ed19761ac418deb35
</t>
  </si>
  <si>
    <t>10.1002/nau.24813</t>
  </si>
  <si>
    <t xml:space="preserve">A Randomized Clinical Trial of Preoperative Administration of Branched-Chain Amino Acids to Prevent Postoperative Ascites in Patients with Liver Resection for Hepatocellular Carcinoma
</t>
  </si>
  <si>
    <t>Kikuchi, Y.; Hiroshima, Y.; Matsuo, K.; Kawaguchi, D.; Murakami, T.; Yabushita, Y.; Endo, I.; Taguri, M.; Koda, K.; Tanaka, K.</t>
  </si>
  <si>
    <t xml:space="preserve">https://www.scopus.com/inward/record.uri?eid=2-s2.0-84976320929&amp;doi=10.1245%2fs10434-016-5348-3&amp;partnerID=40&amp;md5=399746e49070447b48ba11c25502440e
</t>
  </si>
  <si>
    <t>10.1245/s10434-016-5348-3</t>
  </si>
  <si>
    <t xml:space="preserve">Randomized controlled trial of epidural versus patient-controlled intravenous analgesia for postoperative pain control after laparoscopic gastrectomy
</t>
  </si>
  <si>
    <t>Kikuchi, S.; Kuroda, S.; Nishizaki, M.; Matsusaki, T.; Mitsuhashi, T.; Kuwada, K.; Kagawa, S.; Morimatsu, H.; Fujiwara, T.</t>
  </si>
  <si>
    <t xml:space="preserve">Acta Medica Okayama
</t>
  </si>
  <si>
    <t xml:space="preserve">https://www.scopus.com/inward/record.uri?eid=2-s2.0-85042350956&amp;partnerID=40&amp;md5=f7962998b9899d2f80dc244f8df44d43
</t>
  </si>
  <si>
    <t xml:space="preserve">A prospective randomised comparison between the transperitoneal and retroperitoneoscopic approaches for robotic-assisted pyeloplasty in a single surgeon, single centre study
</t>
  </si>
  <si>
    <t>Khoder, W. Y.; Waidelich, R.; Ghamdi, A. M. A.; Schulz, T.; Becker, A.; Stief, C. G.</t>
  </si>
  <si>
    <t xml:space="preserve">Journal of Robotic Surgery
</t>
  </si>
  <si>
    <t xml:space="preserve">https://www.scopus.com/inward/record.uri?eid=2-s2.0-85019956732&amp;doi=10.1007%2fs11701-017-0707-z&amp;partnerID=40&amp;md5=c53d664e52e0482a4eab03b19f6fffbb
</t>
  </si>
  <si>
    <t>10.1007/s11701-017-0707-z</t>
  </si>
  <si>
    <t xml:space="preserve">A single-centre early phase randomised controlled three-arm trial of open, Robotic, and Laparoscopic Radical Cystectomy (CORAL)
</t>
  </si>
  <si>
    <t>Khan, M. S.; Gan, C.; Ahmed, K.; Ismail, A. F.; Watkins, J.; Summers, J. A.; Peacock, J. L.; Rimington, P.; Dasgupta, P.</t>
  </si>
  <si>
    <t xml:space="preserve">https://www.scopus.com/inward/record.uri?eid=2-s2.0-84959501476&amp;doi=10.1016%2fj.eururo.2015.07.038&amp;partnerID=40&amp;md5=f7ffd5a5671a1ea8e678f4837df2014e
</t>
  </si>
  <si>
    <t>10.1016/j.eururo.2015.07.038</t>
  </si>
  <si>
    <t xml:space="preserve">Text Messaging, Telephone, or In-Person Outpatient Visit to the Surgical Clinic: A Randomized Trial
</t>
  </si>
  <si>
    <t>Khair, A.; Cromwell, P. M.; Abdelatif, A.; Boland, F.; O'Reilly, C.; Maudarbaccus, N.; Aremu, M.; Arumugasamy, M.; Walsh, T. N.</t>
  </si>
  <si>
    <t xml:space="preserve">280
</t>
  </si>
  <si>
    <t>10.1016/j.jss.2022.07.013</t>
  </si>
  <si>
    <t xml:space="preserve">Multicenter randomized controlled trial of conventional versus laparoscopic surgery for colorectal cancer within an enhanced recovery programme: EnROL
</t>
  </si>
  <si>
    <t>Kennedy, R. H.; Francis, E. A.; Wharton, R.; Blazeby, J. M.; Quirke, P.; West, N. P.; Dutton, S. J.</t>
  </si>
  <si>
    <t xml:space="preserve">https://www.scopus.com/inward/record.uri?eid=2-s2.0-84903996629&amp;doi=10.1200%2fJCO.2013.54.3694&amp;partnerID=40&amp;md5=a6f8b046e4c44282119153312aa613ef
</t>
  </si>
  <si>
    <t>10.1200/JCO.2013.54.3694</t>
  </si>
  <si>
    <t xml:space="preserve">StOP? II trial: cluster randomized clinical trial to test the implementation of a toolbox for structured communication in the operating room—study protocol
</t>
  </si>
  <si>
    <t>Keller, S.; Tschan, F.; Semmer, N. K.; Trelle, S.; Manser, T.; Beldi, G.</t>
  </si>
  <si>
    <t xml:space="preserve">https://www.scopus.com/inward/record.uri?eid=2-s2.0-85140180304&amp;doi=10.1186%2fs13063-022-06775-y&amp;partnerID=40&amp;md5=1942ec2cff43be1278ae5340efec8fba
</t>
  </si>
  <si>
    <t>10.1186/s13063-022-06775-y</t>
  </si>
  <si>
    <t xml:space="preserve">Randomized clinical trial of preoperative oral versus intravenous iron in anaemic patients with colorectal cancer
</t>
  </si>
  <si>
    <t>Keeler, B. D.; Simpson, J. A.; Ng, O.; Padmanabhan, H.; Brookes, M. J.; Acheson, A. G.; the, Ivica Trial Group; Banerjea, A.; Walter, C.; Maxwell-Armstrong, C.; Williams, J.; Scholefield, J.; Abercrombie, J.; Robinson, M.; Vitish-Sharma, P.; Bhandal, N.; Gornall, C.; Petsas, A.; Ward, K.; Pyke, S.; Johnson, P.; Cripps, H.; Williams, G.; Green, M. E.; Rankin, J.; Pinkney, T.; Iqbal, T.; Ward, D.; Tselepis, C.; Narewal, M.; Futaba, K.; Ghods-Ghorbani, M.; Lund, J.; Theophilidou, E.; Peacock, O.; Longman, R.; Francis, N.; Spurdle, K.; Miskovic, D.; Moriarty, C.</t>
  </si>
  <si>
    <t xml:space="preserve">https://www.scopus.com/inward/record.uri?eid=2-s2.0-85009792077&amp;doi=10.1002%2fbjs.10328&amp;partnerID=40&amp;md5=8b4d8313372cd566925f9f1acb32887a
</t>
  </si>
  <si>
    <t>10.1002/bjs.10328</t>
  </si>
  <si>
    <t xml:space="preserve">Neoadjuvant pazopanib in nonrhabdomyosarcoma soft tissue sarcomas (ARST1321): A report of major wound complications from the Children's Oncology Group and NRG Oncology
</t>
  </si>
  <si>
    <t>Kayton, M. L.; Weiss, A. R.; Xue, W.; Binitie, O.; Hayes Dixon, A.; Randall, R. L.; Sorger, J. I.; Hawkins, D. S.; Spunt, S. L.; Wang, D.; Million, L.; Terezakis, S.; Choy, E.; Okuno, S. H.; Venkatramani, R.; Chen, Y. L.; Scharschmidt, T. J.</t>
  </si>
  <si>
    <t xml:space="preserve">https://www.scopus.com/inward/record.uri?eid=2-s2.0-85148025383&amp;doi=10.1002%2fjso.27205&amp;partnerID=40&amp;md5=1a6e09adbaf80ecd60f013f3b284d88a
</t>
  </si>
  <si>
    <t>10.1002/jso.27205</t>
  </si>
  <si>
    <t xml:space="preserve">Randomized controlled trial of pancreaticojejunostomy versus stapler closure of the pancreatic stump during distal pancreatectomy to reduce pancreatic fistula
</t>
  </si>
  <si>
    <t>Kawai, M.; Hirono, S.; Okada, K. I.; Sho, M.; Nakajima, Y.; Eguchi, H.; Nagano, H.; Ikoma, H.; Morimura, R.; Takeda, Y.; Nakahira, S.; Suzumura, K.; Fujimoto, J.; Yamaue, H.</t>
  </si>
  <si>
    <t xml:space="preserve">https://www.scopus.com/inward/record.uri?eid=2-s2.0-84944392606&amp;doi=10.1097%2fSLA.0000000000001395&amp;partnerID=40&amp;md5=444254f6a9e42a50a3bf7cbc506a0a58
</t>
  </si>
  <si>
    <t>10.1097/SLA.0000000000001395</t>
  </si>
  <si>
    <t xml:space="preserve">A randomized clinical trial of early enteral nutrition to prevent infectious complications in patients with extensive liver resection
</t>
  </si>
  <si>
    <t>Kawaguchi, D.; Hiroshima, Y.; Matsuo, K.; Koda, K.; Endo, I.; Taguri, M.; Tanaka, K.</t>
  </si>
  <si>
    <t xml:space="preserve">https://www.scopus.com/inward/record.uri?eid=2-s2.0-84991628125&amp;doi=10.9738%2fINTSURG-D-15-00060.1&amp;partnerID=40&amp;md5=e5f2b77b6d2e360a8ac5f4e5e16ade57
</t>
  </si>
  <si>
    <t>10.9738/INTSURG-D-15-00060.1</t>
  </si>
  <si>
    <t xml:space="preserve">The Effect of Follow-Up Contact on Recovery after Benign Hysterectomy: A Randomized, Single-Blinded, Four-Arm, Controlled Multicenter Trial
</t>
  </si>
  <si>
    <t>Kassymova, G.; Sydsjö, G.; Borendal Wodlin, N.; Nilsson, L.; Kjølhede, P.</t>
  </si>
  <si>
    <t xml:space="preserve">Journal of Women's Health
</t>
  </si>
  <si>
    <t xml:space="preserve">https://www.scopus.com/inward/record.uri?eid=2-s2.0-85108081057&amp;doi=10.1089%2fjwh.2020.8752&amp;partnerID=40&amp;md5=dee22deb5d6f568054bfe3b8c62d9169
</t>
  </si>
  <si>
    <t>10.1089/jwh.2020.8752</t>
  </si>
  <si>
    <t xml:space="preserve">Laser and pneumatic lithotripsy in the endoscopic management of large ureteric stones: A comparative study
</t>
  </si>
  <si>
    <t>Kassem, A.; Elfayoumy, H.; Elsaied, W.; Elgammal, M.; Bedair, A.</t>
  </si>
  <si>
    <t xml:space="preserve">https://www.scopus.com/inward/record.uri?eid=2-s2.0-84860340238&amp;doi=10.1159%2f000336254&amp;partnerID=40&amp;md5=22180c55019cb4b50ee97ea5398b05a8
</t>
  </si>
  <si>
    <t>10.1159/000336254</t>
  </si>
  <si>
    <t xml:space="preserve">Aquablation versus transurethral resection of the prostate: 1 year United States - cohort outcomes
</t>
  </si>
  <si>
    <t>Kasivisvanathan, V.; Hussain, M.; On behalf of the, U. S. Water investigators</t>
  </si>
  <si>
    <t xml:space="preserve">Canadian Journal of Urology
</t>
  </si>
  <si>
    <t xml:space="preserve">https://www.scopus.com/inward/record.uri?eid=2-s2.0-85048634619&amp;partnerID=40&amp;md5=831b8822c94677ecd6942864262723ba
</t>
  </si>
  <si>
    <t xml:space="preserve">Perioperative FOLFOX 4 Versus FOLFOX 4 plus Cetuximab Versus Immediate Surgery for High-Risk Stage II and III Colon Cancers: A Phase II Multicenter Randomized Controlled Trial (PRODIGE 22)
</t>
  </si>
  <si>
    <t>Karoui, M.; Rullier, A.; Piessen, G.; Legoux, J. L.; Barbier, E.; De Chaisemartin, C.; Lecaille, C.; Bouche, O.; Ammarguellat, H.; Brunetti, F.; Prudhomme, M.; Regimbeau, J. M.; Glehen, O.; Lievre, A.; Portier, G.; Hartwig, J.; Goujon, G.; Romain, B.; Lepage, C.; Taieb, J.</t>
  </si>
  <si>
    <t xml:space="preserve">271
</t>
  </si>
  <si>
    <t xml:space="preserve">https://www.scopus.com/inward/record.uri?eid=2-s2.0-85076385799&amp;doi=10.1097%2fSLA.0000000000003454&amp;partnerID=40&amp;md5=e2e74c05596210125ebd1cb299b46d61
</t>
  </si>
  <si>
    <t>10.1097/SLA.0000000000003454</t>
  </si>
  <si>
    <t xml:space="preserve">Neoadjuvant FOLFOX 4 versus FOLFOX 4 with Cetuximab versus immediate surgery for high-risk stage II and III colon cancers: A multicentre randomised controlled phase II trial - the PRODIGE 22 - ECKINOXE trial
</t>
  </si>
  <si>
    <t>Karoui, M.; Rullier, A.; Luciani, A.; Bonnetain, F.; Auriault, M. L.; Sarran, A.; Monges, G.; Trillaud, H.; Le Malicot, K.; Leroy, K.; Sobhani, I.; Bardier, A.; Moreau, M.; Brindel, I.; Seitz, J. F.; Taieb, J.</t>
  </si>
  <si>
    <t xml:space="preserve">https://www.scopus.com/inward/record.uri?eid=2-s2.0-84936772084&amp;doi=10.1186%2fs12885-015-1507-3&amp;partnerID=40&amp;md5=758afd59d5303edb5c98fae958cca064
</t>
  </si>
  <si>
    <t>10.1186/s12885-015-1507-3</t>
  </si>
  <si>
    <t xml:space="preserve">Feasibility of preoperative supervised home-based exercise in older adults undergoing colorectal cancer surgery – A randomized controlled design
</t>
  </si>
  <si>
    <t>Karlsson, E.; Farahnak, P.; Franzén, E.; Nygren-Bonnier, M.; Dronkers, J.; Van Meeteren, N.; Rydwik, E.</t>
  </si>
  <si>
    <t xml:space="preserve">https://www.scopus.com/inward/record.uri?eid=2-s2.0-85069261777&amp;doi=10.1371%2fjournal.pone.0219158&amp;partnerID=40&amp;md5=8662a15fab933b3c37bd66753130c397
</t>
  </si>
  <si>
    <t>10.1371/journal.pone.0219158</t>
  </si>
  <si>
    <t>pilot study</t>
  </si>
  <si>
    <t xml:space="preserve">Simple Versus Complex Preoperative Carbohydrate Drink to Preserve Perioperative Insulin Sensitivity in Laparoscopic Colectomy: A Randomized Controlled Trial
</t>
  </si>
  <si>
    <t>Karimian, N.; Kaneva, P.; Donatelli, F.; Stein, B.; Liberman, A. S.; Charlebois, P.; Lee, L.; Fiore, J. F.; Carli, F.; Feldman, L. S.</t>
  </si>
  <si>
    <t xml:space="preserve">https://www.scopus.com/inward/record.uri?eid=2-s2.0-85085005239&amp;doi=10.1097%2fSLA.0000000000003488&amp;partnerID=40&amp;md5=9bd1ef82f57ae4d43229d1d25863414b
</t>
  </si>
  <si>
    <t>10.1097/SLA.0000000000003488</t>
  </si>
  <si>
    <t xml:space="preserve">Tranexamic acid versus placebo to reduce perioperative blood transfusion in patients undergoing liver resection: Protocol for the haemorrhage during liver resection tranexamic acid (HeLiX) randomised controlled trial
</t>
  </si>
  <si>
    <t>Karanicolas, P. J.; Lin, Y.; McCluskey, S.; Roke, R.; Tarshis, J.; Thorpe, K. E.; Ball, C. G.; Chaudhury, P.; Cleary, S. P.; Dixon, E.; Eeson, G.; Moulton, C. A.; Nanji, S.; Porter, G.; Ruo, L.; Skaro, A. I.; Tsang, M.; Wei, A. C.; Guyatt, G.</t>
  </si>
  <si>
    <t xml:space="preserve">https://www.scopus.com/inward/record.uri?eid=2-s2.0-85125314966&amp;doi=10.1136%2fbmjopen-2021-058850&amp;partnerID=40&amp;md5=837f559140a2c2d4a62f175e9f5630fa
</t>
  </si>
  <si>
    <t>10.1136/bmjopen-2021-058850</t>
  </si>
  <si>
    <t xml:space="preserve">Medial Open Transversus Abdominis Plane (MOTAP) Catheters Reduce Opioid Requirements and Improve Pain Control Following Open Liver Resection: A Multicenter, Blinded, Randomized Controlled Trial
</t>
  </si>
  <si>
    <t>Karanicolas, P. J.; Cleary, S.; McHardy, P.; Kiss, A.; Sawyer, J.; Behman, R.; Ladak, S.; McCluskey, S. A.; Srinivas, C.; Katz, J.; Coburn, N.; Law, C.; Wei, A. C.; Greig, P.; Hallet, J.; Clarke, H.</t>
  </si>
  <si>
    <t xml:space="preserve">https://www.scopus.com/inward/record.uri?eid=2-s2.0-85050094190&amp;doi=10.1097%2fSLA.0000000000002657&amp;partnerID=40&amp;md5=f0fd43d841adac0292c7b495de734f87
</t>
  </si>
  <si>
    <t>10.1097/SLA.0000000000002657</t>
  </si>
  <si>
    <t xml:space="preserve">A comparison of standard PCNL and staged retrograde FURS in pelvis stones over 2 cm in diameter: a prospective randomized study
</t>
  </si>
  <si>
    <t>Karakoyunlu, N.; Goktug, G.; Şener, N. C.; Zengin, K.; Nalbant, I.; Ozturk, U.; Ozok, U.; Imamoglu, A.</t>
  </si>
  <si>
    <t xml:space="preserve">https://www.scopus.com/inward/record.uri?eid=2-s2.0-84937764682&amp;doi=10.1007%2fs00240-015-0768-2&amp;partnerID=40&amp;md5=39e20f9b58ee260126e82e1293e2721a
</t>
  </si>
  <si>
    <t>10.1007/s00240-015-0768-2</t>
  </si>
  <si>
    <t xml:space="preserve">Efficacy of various laser devices on lithotripsy in retrograde intrarenal surgery used to treat 1-2 cm kidney stones: A prospective randomized study
</t>
  </si>
  <si>
    <t>Karakoyunlu, N.; Çakıcı, M. Ç; Sarı, S.; Hepşen, E.; Bikirov, M.; Kısa, E.; Özbal, S.; Özok, H. U.; Ersoy, H.</t>
  </si>
  <si>
    <t xml:space="preserve">International Journal of Clinical Practice
</t>
  </si>
  <si>
    <t xml:space="preserve">https://www.scopus.com/inward/record.uri?eid=2-s2.0-85104808517&amp;doi=10.1111%2fijcp.14216&amp;partnerID=40&amp;md5=d339aedd6df97133d25b0dacb39f234e
</t>
  </si>
  <si>
    <t>10.1111/ijcp.14216</t>
  </si>
  <si>
    <t xml:space="preserve">Short-term outcomes of a multicentre randomized clinical trial comparing D2 versus D3 lymph node dissection for colonic cancer (COLD trial)
</t>
  </si>
  <si>
    <t>Karachun, A.; Panaiotti, L.; Chernikovskiy, I.; Achkasov, S.; Gevorkyan, Y.; Savanovich, N.; Sharygin, G.; Markushin, L.; Sushkov, O.; Aleshin, D.; Shakhmatov, D.; Nazarov, I.; Muratov, I.; Maynovskaya, O.; Olkina, A.; Lankov, T.; Ovchinnikova, T.; Kharagezov, D.; Kaymakchi, D.; Milakin, A.; Petrov, A.</t>
  </si>
  <si>
    <t xml:space="preserve">https://www.scopus.com/inward/record.uri?eid=2-s2.0-85077151625&amp;doi=10.1002%2fbjs.11387&amp;partnerID=40&amp;md5=f90823b6f7cd9c7f46ca69f7e4881dd1
</t>
  </si>
  <si>
    <t>10.1002/bjs.11387</t>
  </si>
  <si>
    <t xml:space="preserve">Prepectoral versus subpectoral implant-based breast reconstruction after skin-sparing mastectomy or nipple-sparing mastectomy (OPBC-02/ PREPEC): A pragmatic, multicentre, randomised, superiority trial
</t>
  </si>
  <si>
    <t>Kappos, E. A.; Schulz, A.; Regan, M. M.; Moffa, G.; Harder, Y.; Ribi, K.; Potter, S.; Pusic, A. L.; Fehr, M. K.; Hemkens, L. G.; Holzbach, T.; Farhadi, J.; Simonson, C.; Knauer, M.; Verstappen, R.; Bucher, H. C.; Zwahlen, D.; Zimmermann, F.; Schwenkglenks, M.; Mucklow, R.; Shaw, J.; Bjelic-Radisic, V.; Chiorescu, A.; Chun, Y. S.; Farah, S.; Xiaosong, C.; Nigard, L.; Kuemmel, S.; Reitsamer, R.; Hauschild, M.; Fulco, I.; Tausch, C.; Fischer, T.; Sarlos, D.; Constantinescu, M. A.; Lupatsch, J. E.; Fitzal, F.; Heil, J.; Matrai, Z.; De Boniface, J.; Kurzeder, C.; Haug, M.; Weber, W. P.</t>
  </si>
  <si>
    <t xml:space="preserve">https://www.scopus.com/inward/record.uri?eid=2-s2.0-85114454260&amp;doi=10.1136%2fbmjopen-2020-045239&amp;partnerID=40&amp;md5=45b5abcb5312ae34b7f651bea7f1e5e8
</t>
  </si>
  <si>
    <t>10.1136/bmjopen-2020-045239</t>
  </si>
  <si>
    <t xml:space="preserve">Special orthopaedic geriatrics (SOG) - a new multiprofessional care model for elderly patients in elective orthopaedic surgery: a study protocol for a prospective randomized controlled trial of a multimodal intervention in frail patients with hip and knee replacement
</t>
  </si>
  <si>
    <t>Kappenschneider, T.; Maderbacher, G.; Weber, M.; Greimel, F.; Holzapfel, D.; Parik, L.; Schwarz, T.; Leiss, F.; Knebl, M.; Reinhard, J.; Schraag, A. D.; Thieme, M.; Turn, A.; Götz, J.; Zborilova, M.; Pulido, L. C.; Azar, F.; Spörrer, J. F.; Oblinger, B.; Pfalzgraf, F.; Sundmacher, L.; Iashchenko, I.; Franke, S.; Trabold, B.; Michalk, K.; Grifka, J.; Meyer, M.</t>
  </si>
  <si>
    <t xml:space="preserve">https://www.scopus.com/inward/record.uri?eid=2-s2.0-85143616465&amp;doi=10.1186%2fs12891-022-05955-w&amp;partnerID=40&amp;md5=7653bf8adc2922a088be1d134568e268
</t>
  </si>
  <si>
    <t>10.1186/s12891-022-05955-w</t>
  </si>
  <si>
    <t xml:space="preserve">A Randomized Controlled Study of Robot-Assisted versus 3D Laparoscopic Radical Prostatectomy in Patients with Carcinoma Prostate
</t>
  </si>
  <si>
    <t>Kapoor, K. K.; Kumar, A.</t>
  </si>
  <si>
    <t xml:space="preserve">https://www.scopus.com/inward/record.uri?eid=2-s2.0-85161334390&amp;doi=10.1155%2f2023%2f4666116&amp;partnerID=40&amp;md5=32e41f724ac5221a0a7dda799ed8be40
</t>
  </si>
  <si>
    <t>10.1155/2023/4666116</t>
  </si>
  <si>
    <t xml:space="preserve">Multicenter, randomized single-port versus multiport laparoscopic surgery (SIMPLE) trial in colon cancer: an interim analysis
</t>
  </si>
  <si>
    <t>Kang, B. M.; Kim, H. J.; Kye, B. H.; Lee, S. C.; Lee, K. Y.; Park, S. J.; Lee, S. H.; Lim, S. W.; Lee, Y. S.; Kim, J. H.; Lee, J.; Kim, M. K.; Kim, J. G.</t>
  </si>
  <si>
    <t xml:space="preserve">https://www.scopus.com/inward/record.uri?eid=2-s2.0-85029490579&amp;doi=10.1007%2fs00464-017-5842-0&amp;partnerID=40&amp;md5=ccba7d8b2d5634b14d9511e4e9f9eb31
</t>
  </si>
  <si>
    <t>10.1007/s00464-017-5842-0</t>
  </si>
  <si>
    <t xml:space="preserve">Single-port laparoscopic surgery in uncomplicated acute appendicitis: a randomized controlled trial
</t>
  </si>
  <si>
    <t>Kang, B. M.; Choi, S. I.; Kim, B. S.; Lee, S. H.</t>
  </si>
  <si>
    <t xml:space="preserve">https://www.scopus.com/inward/record.uri?eid=2-s2.0-85040574034&amp;doi=10.1007%2fs00464-018-6028-0&amp;partnerID=40&amp;md5=fc46b15e4a30e1ebeb3e9c149d883e9d
</t>
  </si>
  <si>
    <t>10.1007/s00464-018-6028-0</t>
  </si>
  <si>
    <t xml:space="preserve">Efficacy of perioperative immunonutrition in esophageal cancer patients undergoing esophagectomy
</t>
  </si>
  <si>
    <t>Kanekiyo, S.; Takeda, S.; Iida, M.; Nishiyama, M.; Kitahara, M.; Shindo, Y.; Tokumitsu, Y.; Tomochika, S.; Tsunedomi, R.; Suzuki, N.; Abe, T.; Yoshino, S.; Hazama, S.; Ueno, T.; Nagano, H.</t>
  </si>
  <si>
    <t xml:space="preserve">https://www.scopus.com/inward/record.uri?eid=2-s2.0-85056816831&amp;doi=10.1016%2fj.nut.2018.08.006&amp;partnerID=40&amp;md5=e8bf8a0eea6aa0443f0986ff0f62b05a
</t>
  </si>
  <si>
    <t>10.1016/j.nut.2018.08.006</t>
  </si>
  <si>
    <t xml:space="preserve">Comparison of laparoscopic gastrectomy with 3-D/HD and 2-D/4 K camera system for gastric cancer: a prospective randomized control study
</t>
  </si>
  <si>
    <t>Kanaji, S.; Yamazaki, Y.; Kudo, T.; Harada, H.; Takiguchi, G.; Urakawa, N.; Hasegawa, H.; Yamamoto, M.; Yamashita, K.; Matsuda, T.; Oshikiri, T.; Nakamura, T.; Suzuki, S.; Kakeji, Y.</t>
  </si>
  <si>
    <t xml:space="preserve">https://www.scopus.com/inward/record.uri?eid=2-s2.0-85113740065&amp;doi=10.1007%2fs00423-021-02302-w&amp;partnerID=40&amp;md5=61b166934ce46064ed02225f53faed2b
</t>
  </si>
  <si>
    <t>10.1007/s00423-021-02302-w</t>
  </si>
  <si>
    <t xml:space="preserve">Papillary vs nonpapillary puncture in percutaneous nephrolithotomy: A prospective randomized trial
</t>
  </si>
  <si>
    <t>Kallidonis, P.; Kyriazis, I.; Kotsiris, D.; Koutava, A.; Kamal, W.; Liatsikos, E.</t>
  </si>
  <si>
    <t xml:space="preserve">https://www.scopus.com/inward/record.uri?eid=2-s2.0-85018658196&amp;doi=10.1089%2fend.2016.0571&amp;partnerID=40&amp;md5=6e032410d69627300b7a72bcce36aac6
</t>
  </si>
  <si>
    <t>10.1089/end.2016.0571</t>
  </si>
  <si>
    <t xml:space="preserve">A multimodal concept for vaginal cuff closure by modification of the Bakay technique in total laparoscopic hysterectomy: a randomized clinical study
</t>
  </si>
  <si>
    <t>Kalkan, Ü; Bakay, K.</t>
  </si>
  <si>
    <t xml:space="preserve">BMC Women's Health
</t>
  </si>
  <si>
    <t xml:space="preserve">https://www.scopus.com/inward/record.uri?eid=2-s2.0-85122513749&amp;doi=10.1186%2fs12905-021-01591-z&amp;partnerID=40&amp;md5=edcad518653c2d57c2b7836df6fb624e
</t>
  </si>
  <si>
    <t>10.1186/s12905-021-01591-z</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</si>
  <si>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</si>
  <si>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</si>
  <si>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</si>
  <si>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</si>
  <si>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Dexamethasone in head and neck cancer patients with microvascular reconstruction: No benefit, more complications
</t>
  </si>
  <si>
    <t>Kainulainen, S.; Törnwall, J.; Koivusalo, A. M.; Suominen, A. L.; Lassus, P.</t>
  </si>
  <si>
    <t xml:space="preserve">65
</t>
  </si>
  <si>
    <t xml:space="preserve">Oral Oncology
</t>
  </si>
  <si>
    <t xml:space="preserve">https://www.scopus.com/inward/record.uri?eid=2-s2.0-85007385032&amp;doi=10.1016%2fj.oraloncology.2016.12.008&amp;partnerID=40&amp;md5=eb8c13665acc7555cd2b5021e3fa6453
</t>
  </si>
  <si>
    <t>10.1016/j.oraloncology.2016.12.008</t>
  </si>
  <si>
    <t xml:space="preserve">Journal of Oral and Maxillofacial Surgery
</t>
  </si>
  <si>
    <t xml:space="preserve">A prospective randomized controlled trial of hemostasis with a bipolar sealer during hepatic transection for liver resection
</t>
  </si>
  <si>
    <t>Kaibori, M.; Matsui, K.; Ishizaki, M.; Sakaguchi, T.; Matsushima, H.; Matsui, Y.; Kwon, A. H.</t>
  </si>
  <si>
    <t xml:space="preserve">https://www.scopus.com/inward/record.uri?eid=2-s2.0-84886086558&amp;doi=10.1016%2fj.surg.2013.04.053&amp;partnerID=40&amp;md5=35d7108da4372f65c901e44ab5bfcb8e
</t>
  </si>
  <si>
    <t>10.1016/j.surg.2013.04.053</t>
  </si>
  <si>
    <t xml:space="preserve">Effect of hydrogen gas inhalation on patient QOL after hepatectomy: protocol for a randomized controlled trial
</t>
  </si>
  <si>
    <t>Kaibori, M.; Kosaka, H.</t>
  </si>
  <si>
    <t xml:space="preserve">https://www.scopus.com/inward/record.uri?eid=2-s2.0-85117690889&amp;doi=10.1186%2fs13063-021-05697-5&amp;partnerID=40&amp;md5=d4b0c81ad8c8576c910f87273eb40b53
</t>
  </si>
  <si>
    <t>10.1186/s13063-021-05697-5</t>
  </si>
  <si>
    <t xml:space="preserve">Intraoperative indocyanine green fluorescent imaging for prevention of bile leakage after hepatic resection
</t>
  </si>
  <si>
    <t>Kaibori, M.; Ishizaki, M.; Matsui, K.; Hon Kwon, A.</t>
  </si>
  <si>
    <t xml:space="preserve">150
</t>
  </si>
  <si>
    <t xml:space="preserve">Surgery
</t>
  </si>
  <si>
    <t xml:space="preserve">https://www.scopus.com/inward/record.uri?eid=2-s2.0-79959356710&amp;doi=10.1016%2fj.surg.2011.02.011&amp;partnerID=40&amp;md5=1556193d84bf5aaeaed41d7b1ef38ae1
</t>
  </si>
  <si>
    <t>10.1016/j.surg.2011.02.011</t>
  </si>
  <si>
    <t xml:space="preserve">Intraperitoneal local anesthetic improves recovery after colon resection: A double-blinded randomized controlled trial
</t>
  </si>
  <si>
    <t>Kahokehr, A.; Sammour, T.; Shoshtari, K. Z.; Taylor, M.; Hill, A. G.</t>
  </si>
  <si>
    <t xml:space="preserve">254
</t>
  </si>
  <si>
    <t xml:space="preserve">https://www.scopus.com/inward/record.uri?eid=2-s2.0-79959519844&amp;doi=10.1097%2fSLA.0b013e318221f0cf&amp;partnerID=40&amp;md5=01b1ca8693a04e67c28b4494781539cf
</t>
  </si>
  <si>
    <t>10.1097/SLA.0b013e318221f0cf</t>
  </si>
  <si>
    <t xml:space="preserve">Randomized Study of Postoperative Single Intravesical Instillation with Pirarubicin and Mitomycin C for Low-risk Bladder Cancer
</t>
  </si>
  <si>
    <t>Kageyama, Y.; Fujii, Y.; Aizawa, T.; Urakami, S.; Fukui, I.; Yamamoto, S.</t>
  </si>
  <si>
    <t xml:space="preserve">Anticancer Research
</t>
  </si>
  <si>
    <t xml:space="preserve">https://www.scopus.com/inward/record.uri?eid=2-s2.0-85090260947&amp;doi=10.21873%2fanticanres.14535&amp;partnerID=40&amp;md5=e33580f045c9cb5a430c8d537469d862
</t>
  </si>
  <si>
    <t>10.21873/anticanres.14535</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</si>
  <si>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</si>
  <si>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</si>
  <si>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</si>
  <si>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</si>
  <si>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Effect of Remote Ischemic Preconditioning Conducted in Living Liver Donors on Postoperative Liver Function in Donors and Recipients following Liver Transplantation: A Randomized Clinical Trial
</t>
  </si>
  <si>
    <t>Jung, K. W.; Kang, J.; Kwon, H. M.; Moon, Y. J.; Jun, I. G.; Song, J. G.; Hwang, G. S.</t>
  </si>
  <si>
    <t xml:space="preserve">https://www.scopus.com/inward/record.uri?eid=2-s2.0-85082146580&amp;doi=10.1097%2fSLA.0000000000003498&amp;partnerID=40&amp;md5=c41457e05c210be26bc00768cd33ec7a
</t>
  </si>
  <si>
    <t>10.1097/SLA.0000000000003498</t>
  </si>
  <si>
    <t xml:space="preserve">Epidural versus continuous preperitoneal analgesia during fast-track open colorectal surgery: A randomized controlled trial
</t>
  </si>
  <si>
    <t>Jouve, P.; Bazin, J. E.; Petit, A.; Minville, V.; Gerard, A.; Buc, E.; Dupre, A.; Kwiatkowski, F.; Constantin, J. M.; Futier, E.</t>
  </si>
  <si>
    <t xml:space="preserve">https://www.scopus.com/inward/record.uri?eid=2-s2.0-84874620737&amp;doi=10.1097%2fALN.0b013e3182800d94&amp;partnerID=40&amp;md5=05bd20d3ae2319ed1da1eddcb92784cc
</t>
  </si>
  <si>
    <t>10.1097/ALN.0b013e3182800d94</t>
  </si>
  <si>
    <t xml:space="preserve">Goal-directed fluid therapy vs. low central venous pressure during major open liver resections (GALILEO): a surgeon- and patient-blinded randomized controlled trial
</t>
  </si>
  <si>
    <t>Jongerius, I. M.; Mungroop, T. H.; Uz, Z.; Geerts, B. F.; Immink, R. V.; Rutten, M. V. H.; Hollmann, M. W.; van Gulik, T. M.; Besselink, M. G.; Veelo, D. P.</t>
  </si>
  <si>
    <t xml:space="preserve">https://www.scopus.com/inward/record.uri?eid=2-s2.0-85106336310&amp;doi=10.1016%2fj.hpb.2021.03.013&amp;partnerID=40&amp;md5=d4a5098851d743c6e439a6135926ae07
</t>
  </si>
  <si>
    <t>10.1016/j.hpb.2021.03.013</t>
  </si>
  <si>
    <t xml:space="preserve">Protein and calorie restriction may improve outcomes in living kidney donors and kidney transplant recipients
</t>
  </si>
  <si>
    <t>Jongbloed, F.; de Bruin, R. W. F.; Van Steeg, H.; Beekhof, P.; Wackers, P.; Hesselink, D. A.; Hoeijmakers, J. H. J.; Dollé, M. E. T.; Ijzermans, J. N. M.</t>
  </si>
  <si>
    <t xml:space="preserve">Aging
</t>
  </si>
  <si>
    <t xml:space="preserve">https://www.scopus.com/inward/record.uri?eid=2-s2.0-85088493940&amp;doi=10.18632%2faging.103619&amp;partnerID=40&amp;md5=ac9d118e051e5b0ea658f0708c0252f7
</t>
  </si>
  <si>
    <t>10.18632/aging.103619</t>
  </si>
  <si>
    <t xml:space="preserve">Randomized clinical trial on enhanced recovery versus standard care following open liver resection
</t>
  </si>
  <si>
    <t>Jones, C.; Kelliher, L.; Dickinson, M.; Riga, A.; Worthington, T.; Scott, M. J.; Vandrevala, T.; Fry, C. H.; Karanjia, N.; Quiney, N.</t>
  </si>
  <si>
    <t xml:space="preserve">https://www.scopus.com/inward/record.uri?eid=2-s2.0-84878876845&amp;doi=10.1002%2fbjs.9165&amp;partnerID=40&amp;md5=1a5aec616173a4173d47c22ae258946a
</t>
  </si>
  <si>
    <t>10.1002/bjs.9165</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</si>
  <si>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</si>
  <si>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</si>
  <si>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</si>
  <si>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</si>
  <si>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A 4-tier Protocolized Radiological Classification System for Leaks Following Sleeve Gastrectomy
</t>
  </si>
  <si>
    <t>Johari, Y.; Catchlove, W.; Tse, M.; Shaw, K.; Paul, E.; Chen, R.; Loh, D.; Packiyanathan, A.; Burton, P.; Nottle, P.; Ellis, S.; Brown, W.</t>
  </si>
  <si>
    <t xml:space="preserve">https://www.scopus.com/inward/record.uri?eid=2-s2.0-85123171360&amp;doi=10.1097%2fSLA.0000000000003984&amp;partnerID=40&amp;md5=e9eaead110a3134a0157736a95946aba
</t>
  </si>
  <si>
    <t>10.1097/SLA.0000000000003984</t>
  </si>
  <si>
    <t xml:space="preserve">Oxygenated versus standard cold perfusion preservation in kidney transplantation (COMPARE): a randomised, double-blind, paired, phase 3 trial
</t>
  </si>
  <si>
    <t>Jochmans, I.; Brat, A.; Davies, L.; Hofker, H. S.; van de Leemkolk, F. E. M.; Leuvenink, H. G. D.; Knight, S. R.; Pirenne, J.; Ploeg, R. J.; Abramowicz, D.; Banga, N.; Bemelman, F. J.; Betjens, M. G.; Burns, R.; Chiocchia, V.; Christiaans, M. H.; Darius, T.; de Jonge, J.; de Vries, A. P.; Detry, O.; Hilbrands, L. B.; Hoksbergen, A. W.; Huurman, V. A.; Idu, M. M.; Jacobs-Tulleneers-Thevissen, D.; Kaisar, M.; Kanaan, N.; Kimenai, D.; Kuypers, D.; Le Moine, A.; Marshall, C.; Meurisse, N.; Mikhalski, D.; Moers, C.; Monbaliu, D.; Nijboer, W. N.; Nurmohamed, S. A.; O'Callaghan, J.; Papalois, V.; Pipeleers, L.; Poyck, P. P.; Quiroga, I.; Randon, C.; Schurink, G. W.; Seelen, M.; Szabo, L.; Toorop, R. J.; van de Poll, M. C.; van der Jagt, M. F.; Van Laecke, S.; van Zuilen, A. D.; Weekers, L.; Ysebaert, D.; Collaboration, Compare Trial; Consortium for Organ Preservation in, Europe</t>
  </si>
  <si>
    <t xml:space="preserve">396
</t>
  </si>
  <si>
    <t xml:space="preserve">10263
</t>
  </si>
  <si>
    <t xml:space="preserve">https://www.scopus.com/inward/record.uri?eid=2-s2.0-85096484532&amp;doi=10.1016%2fS0140-6736%2820%2932411-9&amp;partnerID=40&amp;md5=b0eceff6e461ccb952a5a635100092de
</t>
  </si>
  <si>
    <t>10.1016/S0140-6736(20)32411-9</t>
  </si>
  <si>
    <t xml:space="preserve">Robotic-assisted Versus Video-assisted Thoracoscopic Lobectomy: Short-term Results of a Randomized Clinical Trial (RVlob Trial)
</t>
  </si>
  <si>
    <t>Jin, R.; Zheng, Y.; Yuan, Y.; Han, D.; Cao, Y.; Zhang, Y.; Li, C.; Xiang, J.; Zhang, Z.; Niu, Z.; Lerut, T.; Lin, J.; Abbas, A. E.; Pardolesi, A.; Suda, T.; Amore, D.; Schraag, S.; Aigner, C.; Li, J.; Che, J.; Hang, J.; Ren, J.; Zhu, L.; Li, H.</t>
  </si>
  <si>
    <t xml:space="preserve">https://www.scopus.com/inward/record.uri?eid=2-s2.0-85123187446&amp;doi=10.1097%2fSLA.0000000000004922&amp;partnerID=40&amp;md5=22f4edf76267788e6623e399fbb25419
</t>
  </si>
  <si>
    <t>10.1097/SLA.0000000000004922</t>
  </si>
  <si>
    <t xml:space="preserve">Multicenter, Randomized, Phase III Trial of Short-Term Radiotherapy Plus Chemotherapy Versus Long-Term Chemoradiotherapy in Locally Advanced Rectal Cancer (STELLAR)
</t>
  </si>
  <si>
    <t>Jin, J.; Tang, Y.; Hu, C.; Jiang, L. M.; Jiang, J.; Li, N.; Liu, W. Y.; Chen, S. L.; Li, S.; Lu, N. N.; Cai, Y.; Li, Y. H.; Zhu, Y.; Cheng, G. H.; Zhang, H. Y.; Wang, X.; Zhu, S. Y.; Wang, J.; Li, G. F.; Yang, J. L.; Zhang, K.; Chi, Y.; Yang, L.; Zhou, H. T.; Zhou, A. P.; Zou, S. M.; Fang, H.; Wang, S. L.; Zhang, H. Z.; Wang, X. S.; Wei, L. C.; Wang, W. L.; Liu, S. X.; Gao, Y. H.; Li, Y. X.</t>
  </si>
  <si>
    <t xml:space="preserve">https://www.scopus.com/inward/record.uri?eid=2-s2.0-85126935946&amp;doi=10.1200%2fJCO.21.01667&amp;partnerID=40&amp;md5=db74f4ebee9fcf5b89f82d1e4705ac31
</t>
  </si>
  <si>
    <t>10.1200/JCO.21.01667</t>
  </si>
  <si>
    <t xml:space="preserve">Robotic versus Open Pancreatoduodenectomy for Pancreatic and Periampullary Tumors (PORTAL): a study protocol for a multicenter phase III non-inferiority randomized controlled trial
</t>
  </si>
  <si>
    <t>Jin, J.; Shi, Y.; Chen, M.; Qian, J.; Qin, K.; Wang, Z.; Chen, W.; Jin, W.; Lu, F.; Li, Z.; Wu, Z.; Jian, L.; Han, B.; Liang, X.; Sun, C.; Wu, Z.; Mou, Y.; Yin, X.; Huang, H.; Chen, H.; Gemenetzis, G.; Deng, X.; Peng, C.; Shen, B.</t>
  </si>
  <si>
    <t xml:space="preserve">https://www.scopus.com/inward/record.uri?eid=2-s2.0-85121674472&amp;doi=10.1186%2fs13063-021-05939-6&amp;partnerID=40&amp;md5=ebb1a50dc4ee99b759958dc492f85d8b
</t>
  </si>
  <si>
    <t>10.1186/s13063-021-05939-6</t>
  </si>
  <si>
    <t xml:space="preserve">Gas embolism under standard versus low pneumoperitoneum pressure during laparoscopic liver resection (GASES): study protocol for a randomized controlled trial
</t>
  </si>
  <si>
    <t>Jin, D.; Liu, M.; Huang, J.; Xu, Y.; Liu, L.; Miao, C.; Zhong, J.</t>
  </si>
  <si>
    <t xml:space="preserve">https://www.scopus.com/inward/record.uri?eid=2-s2.0-85119076306&amp;doi=10.1186%2fs13063-021-05678-8&amp;partnerID=40&amp;md5=cce5c8deca82f1fd1ff8d60a8672172e
</t>
  </si>
  <si>
    <t>10.1186/s13063-021-05678-8</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</si>
  <si>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</si>
  <si>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</si>
  <si>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</si>
  <si>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</si>
  <si>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A Randomized Trial on the Efficacy of Prophylactic Active Drainage in Prevention of Complications after Pancreaticoduodenectomy
</t>
  </si>
  <si>
    <t>Jiang, H.; Liu, N.; Zhang, M.; Lu, L.; Dou, R.; Qu, L.</t>
  </si>
  <si>
    <t xml:space="preserve">Scandinavian Journal of Surgery
</t>
  </si>
  <si>
    <t xml:space="preserve">https://www.scopus.com/inward/record.uri?eid=2-s2.0-85009231351&amp;doi=10.1177%2f1457496916665543&amp;partnerID=40&amp;md5=1f8ad1b996b6b941d65a208eaa992dd2
</t>
  </si>
  <si>
    <t>10.1177/1457496916665543</t>
  </si>
  <si>
    <t xml:space="preserve">Fast-track surgery decreases the incidence of postoperative delirium and other complications in elderly patients with colorectal carcinoma
</t>
  </si>
  <si>
    <t>Jia, Y.; Jin, G.; Guo, S.; Gu, B.; Jin, Z.; Gao, X.; Li, Z.</t>
  </si>
  <si>
    <t xml:space="preserve">399
</t>
  </si>
  <si>
    <t xml:space="preserve">https://www.scopus.com/inward/record.uri?eid=2-s2.0-84893645315&amp;doi=10.1007%2fs00423-013-1151-9&amp;partnerID=40&amp;md5=6cdf5c9c74395a304f0332c8456e3604
</t>
  </si>
  <si>
    <t>10.1007/s00423-013-1151-9</t>
  </si>
  <si>
    <t xml:space="preserve">Microdissection Testicular Sperm Extraction Versus Multiple Needle-pass Percutaneous Testicular Sperm Aspiration in Men with Nonobstructive Azoospermia: A Randomized Clinical Trial
</t>
  </si>
  <si>
    <t>Jensen, C. F. S.; Ohl, D. A.; Fode, M.; Jørgensen, N.; Giwercman, A.; Bruun, N. H.; Elenkov, A.; Klajnbard, A.; Andersen, C. Y.; Aksglaede, L.; Grøndahl, M. L.; Bekker, M. C.; Sønksen, J.</t>
  </si>
  <si>
    <t xml:space="preserve">https://www.scopus.com/inward/record.uri?eid=2-s2.0-85130451865&amp;doi=10.1016%2fj.eururo.2022.04.030&amp;partnerID=40&amp;md5=17c43f18eb1cecbe25bd5d52aa40cfcf
</t>
  </si>
  <si>
    <t>10.1016/j.eururo.2022.04.030</t>
  </si>
  <si>
    <t xml:space="preserve">Efficacy of a multiprofessional rehabilitation programme in radical cystectomy pathways: A prospective randomized controlled trial
</t>
  </si>
  <si>
    <t>Jensen, B. T.; Petersen, A. K.; Jensen, J. B.; Laustsen, S.; Borre, M.</t>
  </si>
  <si>
    <t xml:space="preserve">https://www.scopus.com/inward/record.uri?eid=2-s2.0-84925009877&amp;doi=10.3109%2f21681805.2014.967810&amp;partnerID=40&amp;md5=0d8f7eef8c3c74e8d912e9022eb17f7c
</t>
  </si>
  <si>
    <t>10.3109/21681805.2014.967810</t>
  </si>
  <si>
    <t xml:space="preserve">A Randomized Controlled Trial Evaluating the Effect of an Educational Video on Patient Understanding of Midurethral Sling
</t>
  </si>
  <si>
    <t>Jeney, S. E. S.; Whitcomb, E. L.; Ihara, J.; Guaderrama, N.; Mukhtar, F.; Heliker, B. D.</t>
  </si>
  <si>
    <t xml:space="preserve">https://www.scopus.com/inward/record.uri?eid=2-s2.0-85126404374&amp;doi=10.1097%2fSPV.0000000000001154&amp;partnerID=40&amp;md5=899de0df21b9a392ca278749d94093d0
</t>
  </si>
  <si>
    <t>10.1097/SPV.0000000000001154</t>
  </si>
  <si>
    <t xml:space="preserve">Predicting Risk of Urinary Incontinence and Adverse Events After Midurethral Sling Surgery in Women
</t>
  </si>
  <si>
    <t>Jelovsek, J. E.; Hill, A. J.; Chagin, K. M.; Kattan, M. W.; Barber, M. D.</t>
  </si>
  <si>
    <t xml:space="preserve">https://www.scopus.com/inward/record.uri?eid=2-s2.0-84955478827&amp;doi=10.1097%2fAOG.0000000000001269&amp;partnerID=40&amp;md5=b04b6e48b8e2ff44f767046789edf74a
</t>
  </si>
  <si>
    <t>10.1097/AOG.0000000000001269</t>
  </si>
  <si>
    <t xml:space="preserve">Models for predicting recurrence, complications, and health status in women after pelvic organ prolapse surgery
</t>
  </si>
  <si>
    <t>Jelovsek, J. E.; Chagin, K.; Lukacz, E. S.; Nolen, T. L.; Shepherd, J. P.; Barber, M. D.; Sung, V.; Brubaker, L.; Norton, P. A.; Rahn, D. D.; Smith, A. L.; Ballard, A.; Jeppson, P.; Meikle, S. F.; Kattan, M. W.; Network, Nichd Pelvic Floor Disorders</t>
  </si>
  <si>
    <t xml:space="preserve">132
</t>
  </si>
  <si>
    <t xml:space="preserve">https://www.scopus.com/inward/record.uri?eid=2-s2.0-85056542717&amp;doi=10.1097%2fAOG.0000000000002750&amp;partnerID=40&amp;md5=856318986ccc3337eb7a1b5e54247fbf
</t>
  </si>
  <si>
    <t>10.1097/AOG.0000000000002750</t>
  </si>
  <si>
    <t>pooled analysis</t>
  </si>
  <si>
    <t xml:space="preserve">Effect of uterosacral ligament suspension vs sacrospinous ligament fixation with or without perioperative behavioral therapy for pelvic organ vaginal prolapse on surgical outcomes and prolapse symptoms at 5 years in the OPTIMAL randomized clinical trial
</t>
  </si>
  <si>
    <t>Jelovsek, J. E.; Barber, M. D.; Norton, P.; Brubaker, L.; Gantz, M.; Richter, H. E.; Weidner, A.; Menefee, S.; Schaffer, J.; Pugh, N.; Meikle, S.</t>
  </si>
  <si>
    <t xml:space="preserve">https://www.scopus.com/inward/record.uri?eid=2-s2.0-85046101220&amp;doi=10.1001%2fjama.2018.2827&amp;partnerID=40&amp;md5=df1715f7d2875049e047e6def148ad70
</t>
  </si>
  <si>
    <t>10.1001/jama.2018.2827</t>
  </si>
  <si>
    <t xml:space="preserve">Randomised, double-blinded, placebo-controlled trial to investigate the role of laparoscopic transversus abdominis plane block in gastric bypass surgery: A study protocol
</t>
  </si>
  <si>
    <t>Jarrar, A.; Budiansky, A.; Eipe, N.; Walsh, C.; Kolozsvari, N.; Neville, A.; Mamazza, J.</t>
  </si>
  <si>
    <t xml:space="preserve">https://www.scopus.com/inward/record.uri?eid=2-s2.0-85087253619&amp;doi=10.1136%2fbmjopen-2018-025818&amp;partnerID=40&amp;md5=ee73d21b213961be89e7c31e24a5b76a
</t>
  </si>
  <si>
    <t>10.1136/bmjopen-2018-025818</t>
  </si>
  <si>
    <t xml:space="preserve">Total neoadjuvant FOLFIRINOX versus neoadjuvant gemcitabine-based chemoradiotherapy and adjuvant gemcitabine for resectable and borderline resectable pancreatic cancer (PREOPANC-2 trial): study protocol for a nationwide multicenter randomized controlled trial
</t>
  </si>
  <si>
    <t>Janssen, Q. P.; van Dam, J. L.; Bonsing, B. A.; Bos, H.; Bosscha, K. P.; Coene, P. P. L. O.; van Eijck, C. H. J.; de Hingh, I. H. J. T.; Karsten, T. M.; van der Kolk, M. B.; Patijn, G. A.; Liem, M. S. L.; van Santvoort, H. C.; Loosveld, O. J. L.; de Vos-Geelen, J.; Zonderhuis, B. M.; Homs, M. Y. V.; van Tienhoven, G.; Besselink, M. G.; Wilmink, J. W.; Groot Koerkamp, B.; for the Dutch Pancreatic Cancer, Group</t>
  </si>
  <si>
    <t xml:space="preserve">https://www.scopus.com/inward/record.uri?eid=2-s2.0-85103254048&amp;doi=10.1186%2fs12885-021-08031-z&amp;partnerID=40&amp;md5=164d2785069137d17672b8b5486f6006
</t>
  </si>
  <si>
    <t>10.1186/s12885-021-08031-z</t>
  </si>
  <si>
    <t xml:space="preserve">Randomized multicentre trial comparing external and internal pancreatic stenting during pancreaticoduodenectomy
</t>
  </si>
  <si>
    <t>Jang, J. Y.; Chang, Y. R.; Kim, S. W.; Choi, S. H.; Park, S. J.; Lee, S. E.; Lim, C. S.; Kang, M. J.; Lee, H.; Heo, J. S.</t>
  </si>
  <si>
    <t xml:space="preserve">https://www.scopus.com/inward/record.uri?eid=2-s2.0-84962786753&amp;doi=10.1002%2fbjs.10160&amp;partnerID=40&amp;md5=76937fbede860415eaebde814d63049c
</t>
  </si>
  <si>
    <t>10.1002/bjs.10160</t>
  </si>
  <si>
    <t xml:space="preserve">Role of delay and antibiotics on PERForation rate while waiting appendicECTomy (PERFECT): a protocol for a randomized non-inferiority trial
</t>
  </si>
  <si>
    <t>Jalava, K.; Sallinen, V.; Lampela, H.; Malmi, H.; Leppäniemi, A.; Mentula, P.</t>
  </si>
  <si>
    <t xml:space="preserve">https://www.scopus.com/inward/record.uri?eid=2-s2.0-85117317670&amp;doi=10.1093%2fbjsopen%2fzrab089&amp;partnerID=40&amp;md5=34d47ec9d387e4fb472fd037d193f233
</t>
  </si>
  <si>
    <t>10.1093/bjsopen/zrab089</t>
  </si>
  <si>
    <t xml:space="preserve">Tension-Free Vaginal Tape Surgery versus Polyacrylamide Hydrogel Injection for Primary Stress Urinary Incontinence: A Randomized Clinical Trial
</t>
  </si>
  <si>
    <t>Itkonen Freitas, A. M.; Mentula, M.; Rahkola-Soisalo, P.; Tulokas, S.; Mikkola, T. S.</t>
  </si>
  <si>
    <t xml:space="preserve">203
</t>
  </si>
  <si>
    <t xml:space="preserve">https://www.scopus.com/inward/record.uri?eid=2-s2.0-85077726396&amp;doi=10.1097%2fJU.0000000000000517&amp;partnerID=40&amp;md5=2c8b935c6ded467d6a2a2e3b7c506e07
</t>
  </si>
  <si>
    <t>10.1097/JU.0000000000000517</t>
  </si>
  <si>
    <t xml:space="preserve">Comparison of laparoscopic and open repair with mesh for the treatment of ventral incisional hernia: A randomized trial
</t>
  </si>
  <si>
    <t>Itani, K. M. F.; Hur, K.; Kim, L. T.; Anthony, T.; Berger, D. H.; Reda, D.; Neumayer, L.</t>
  </si>
  <si>
    <t xml:space="preserve">145
</t>
  </si>
  <si>
    <t xml:space="preserve">Archives of Surgery
</t>
  </si>
  <si>
    <t xml:space="preserve">https://www.scopus.com/inward/record.uri?eid=2-s2.0-77951437009&amp;doi=10.1001%2farchsurg.2010.18&amp;partnerID=40&amp;md5=5c85954f36edfa924ea37100f36bc615
</t>
  </si>
  <si>
    <t>10.1001/archsurg.2010.18</t>
  </si>
  <si>
    <t xml:space="preserve">Laparoscopic vs. Open Pyloromyotomy in Treatment of Infantile Hypertrophic Pyloric Stenosis
</t>
  </si>
  <si>
    <t>Ismail, I.; Elsherbini, R.; Elsaied, A.; Aly, K.; Sheir, H.</t>
  </si>
  <si>
    <t xml:space="preserve">https://www.scopus.com/inward/record.uri?eid=2-s2.0-85090396819&amp;doi=10.3389%2ffped.2020.00426&amp;partnerID=40&amp;md5=cf19d690ec5b98b85ef0614ba8fa31c2
</t>
  </si>
  <si>
    <t>10.3389/fped.2020.00426</t>
  </si>
  <si>
    <t xml:space="preserve">Tranexamic acid and blood loss in pancreaticoduodenectomy: TAC-PD randomized clinical trial
</t>
  </si>
  <si>
    <t>Ishii, K.; Yokoyama, Y.; Yonekawa, Y.; Hayashi, D.; Kinoshita, F.; Kuwatsuka, Y.; Okuno, M.; Natsume, S.; Minami, T.; Sugawara, G.; Seita, K.; Sato, F.; Aoba, T.; Shimizu, Y.; Kurumiya, Y.; Maeda, A.; Yamaguchi, R.; Hiramatsu, K.; Ebata, T.</t>
  </si>
  <si>
    <t xml:space="preserve">https://www.scopus.com/inward/record.uri?eid=2-s2.0-85146140036&amp;doi=10.1093%2fbjs%2fznac382&amp;partnerID=40&amp;md5=6b0e1312d3f394a9da5964f5d18f1f9b
</t>
  </si>
  <si>
    <t>10.1093/bjs/znac382</t>
  </si>
  <si>
    <t xml:space="preserve">Comparison of laparoscopic lateral suspension and laparoscopic sacrocolpopexy with concurrent total laparoscopic hysterectomy for the treatment of pelvic organ prolapse: a randomized controlled clinical trial
</t>
  </si>
  <si>
    <t>Isenlik, B. S.; Aksoy, O.; Erol, O.; Mulayim, B.</t>
  </si>
  <si>
    <t xml:space="preserve">https://www.scopus.com/inward/record.uri?eid=2-s2.0-85132756482&amp;doi=10.1007%2fs00192-022-05267-6&amp;partnerID=40&amp;md5=50e646bca5f5bf83de9ef40b3d604764
</t>
  </si>
  <si>
    <t>10.1007/s00192-022-05267-6</t>
  </si>
  <si>
    <t xml:space="preserve">Impact of Early Cholecystectomy on the Cost of Treating Mild Gallstone Pancreatitis: Gallstone PANC Trial
</t>
  </si>
  <si>
    <t>Isbell, K. D.; Wei, S.; Dodwad, S. J. M.; Avritscher, E. B.; Mueck, K. M.; Bernardi, K.; Hatton, G. E.; Liang, M. K.; Ko, T. C.; Kao, L. S.</t>
  </si>
  <si>
    <t xml:space="preserve">233
</t>
  </si>
  <si>
    <t xml:space="preserve">https://www.scopus.com/inward/record.uri?eid=2-s2.0-85112086541&amp;doi=10.1016%2fj.jamcollsurg.2021.06.023&amp;partnerID=40&amp;md5=17ad7ef4d3c94c22db7cc8f16341422b
</t>
  </si>
  <si>
    <t>10.1016/j.jamcollsurg.2021.06.023</t>
  </si>
  <si>
    <t xml:space="preserve">Initial cholecystectomy vs sequential common duct endoscopic assessment and subsequent cholecystectomy for suspected gallstone migration: A randomized clinical trial
</t>
  </si>
  <si>
    <t>Iranmanesh, P.; Frossard, J. L.; Mugnier-Konrad, B.; Morel, P.; Majno, P.; Nguyen-Tang, T.; Berney, T.; Mentha, G.; Toso, C.</t>
  </si>
  <si>
    <t xml:space="preserve">https://www.scopus.com/inward/record.uri?eid=2-s2.0-84903880565&amp;doi=10.1001%2fjama.2014.7587&amp;partnerID=40&amp;md5=b15f8a1df7891833b2b28875ebe0ce3b
</t>
  </si>
  <si>
    <t>10.1001/jama.2014.7587</t>
  </si>
  <si>
    <t xml:space="preserve">Randomized Comparison of Prostatic Artery Embolization versus Transurethral Resection of the Prostate for Treatment of Benign Prostatic Hyperplasia
</t>
  </si>
  <si>
    <t>Insausti, I.; Sáez de Ocáriz, A.; Galbete, A.; Capdevila, F.; Solchaga, S.; Giral, P.; Bilhim, T.; Isaacson, A.; Urtasun, F.; Napal, S.</t>
  </si>
  <si>
    <t xml:space="preserve">Journal of Vascular and Interventional Radiology
</t>
  </si>
  <si>
    <t xml:space="preserve">https://www.scopus.com/inward/record.uri?eid=2-s2.0-85082802396&amp;doi=10.1016%2fj.jvir.2019.12.810&amp;partnerID=40&amp;md5=4267f041376c2e5bf4a827b08e811ec3
</t>
  </si>
  <si>
    <t>10.1016/j.jvir.2019.12.810</t>
  </si>
  <si>
    <t xml:space="preserve">Ultrasonic Scalpel for Gastric Cancer Surgery: A Prospective Randomized Study
</t>
  </si>
  <si>
    <t>Inoue, K.; Nakane, Y.; Michiura, T.; Yamada, M.; Mukaide, H.; Fukui, J.; Miki, H.; Ueyama, Y.; Nakatake, R.; Tokuhara, K.; Iwamoto, S.; Yanagimoto, H.; Toyokawa, H.; Satoi, S.; Kwon, A. H.</t>
  </si>
  <si>
    <t xml:space="preserve">https://www.scopus.com/inward/record.uri?eid=2-s2.0-84866554419&amp;doi=10.1007%2fs11605-012-1970-y&amp;partnerID=40&amp;md5=75d7e57cfea0cce1ae65604221f21194
</t>
  </si>
  <si>
    <t>10.1007/s11605-012-1970-y</t>
  </si>
  <si>
    <t xml:space="preserve">Robot-assisted Vs Laparoscopic Sacrocolpopexy for High-stage Pelvic Organ Prolapse: A Prospective, Randomized, Single-center Study
</t>
  </si>
  <si>
    <t>Illiano, E.; Ditonno, P.; Giannitsas, K.; De Rienzo, G.; Bini, V.; Costantini, E.</t>
  </si>
  <si>
    <t xml:space="preserve">https://www.scopus.com/inward/record.uri?eid=2-s2.0-85074508900&amp;doi=10.1016%2fj.urology.2019.07.043&amp;partnerID=40&amp;md5=c2456feb6ecd9bb2dd4c9325fed08185
</t>
  </si>
  <si>
    <t>10.1016/j.urology.2019.07.043</t>
  </si>
  <si>
    <t xml:space="preserve">Perioperative Morbidity of Radical Prostatectomy After Intensive Neoadjuvant Androgen Blockade in Men With High-Risk Prostate Cancer: Results of Phase II Trial Compared to a Control Group
</t>
  </si>
  <si>
    <t>Ilario, E. N.; Bastos, D. A.; Guglielmetti, G. B.; Murta, C. B.; Cardili, L.; Cordeiro, M. D.; Junior, J. P.; Coelho, R. F.; Nahas, W. C.</t>
  </si>
  <si>
    <t xml:space="preserve">Clinical Genitourinary Cancer
</t>
  </si>
  <si>
    <t>10.1016/j.clgc.2022.10.009</t>
  </si>
  <si>
    <t xml:space="preserve">A randomized clinical trial of technical modifications of appendix stump closure during laparoscopic appendectomy for uncomplicated acute appendicitis
</t>
  </si>
  <si>
    <t>Ihnát, P.; Tesař, M.; Tulinský, L.; Ihnát Rudinská, L.; Okantey, O.; Durdík, Š</t>
  </si>
  <si>
    <t xml:space="preserve">https://www.scopus.com/inward/record.uri?eid=2-s2.0-85107075499&amp;doi=10.1186%2fs12893-021-01279-z&amp;partnerID=40&amp;md5=ad6fe87a5acadfbe31e06516c3c45519
</t>
  </si>
  <si>
    <t>10.1186/s12893-021-01279-z</t>
  </si>
  <si>
    <t xml:space="preserve">Vaginal mesh for prolapse: A randomized controlled trial
</t>
  </si>
  <si>
    <t>Iglesia, C. B.; Sokol, A. I.; Sokol, E. R.; Kudish, B. I.; Gutman, R. E.; Peterson, J. L.; Shott, S.</t>
  </si>
  <si>
    <t xml:space="preserve">116
</t>
  </si>
  <si>
    <t>10.1097/AOG.0b013e3181e7d7f8</t>
  </si>
  <si>
    <t xml:space="preserve">HOPPSA update: changes in the study protocol of Hysterectomy and OPPortunistic SAlpingectomy, a registry-based randomized controlled trial
</t>
  </si>
  <si>
    <t>Idahl, A.; Liv, P.; Darelius, A.; Collins, E.; Sundfeldt, K.; Pålsson, M.; Strandell, A.</t>
  </si>
  <si>
    <t xml:space="preserve">https://www.scopus.com/inward/record.uri?eid=2-s2.0-85150909736&amp;doi=10.1186%2fs13063-023-07244-w&amp;partnerID=40&amp;md5=4c249501afebfc91295b0de4641ae47e
</t>
  </si>
  <si>
    <t>10.1186/s13063-023-07244-w</t>
  </si>
  <si>
    <t xml:space="preserve">Randomized clinical trial comparing standard diet with perioperative oral immunonutrition in total gastrectomy for gastric cancer
</t>
  </si>
  <si>
    <t>Ida, S.; Hiki, N.; Cho, H.; Sakamaki, K.; Ito, S.; Fujitani, K.; Takiguchi, N.; Kawashima, Y.; Nishikawa, K.; Sasako, M.; Aoyama, T.; Honda, M.; Sato, T.; Nunobe, S.; Yoshikawa, T.</t>
  </si>
  <si>
    <t xml:space="preserve">https://www.scopus.com/inward/record.uri?eid=2-s2.0-85009494002&amp;doi=10.1002%2fbjs.10417&amp;partnerID=40&amp;md5=7d5df5385126d14a0807a3221f5803c2
</t>
  </si>
  <si>
    <t>10.1002/bjs.10417</t>
  </si>
  <si>
    <t xml:space="preserve">Randomized clinical trial comparing two vessel-sealing devices with crush clamping during liver transection
</t>
  </si>
  <si>
    <t>Ichida, A.; Hasegawa, K.; Takayama, T.; Kudo, H.; Sakamoto, Y.; Yamazaki, S.; Midorikawa, Y.; Higaki, T.; Matsuyama, Y.; Kokudo, N.</t>
  </si>
  <si>
    <t xml:space="preserve">https://www.scopus.com/inward/record.uri?eid=2-s2.0-85000577870&amp;doi=10.1002%2fbjs.10297&amp;partnerID=40&amp;md5=46ce03d0bb9c8ecdcfed024a0c196f2f
</t>
  </si>
  <si>
    <t>10.1002/bjs.10297</t>
  </si>
  <si>
    <t xml:space="preserve">Enhanced recovery protocol versus standard protocol for patients undergoing radical cystectomy: results of a prospective randomized study
</t>
  </si>
  <si>
    <t>Ibrahim, H.; Kotb, S.; Abd Allah, A.; Kassem, A.; Salem, A.; Abd ElHamid, M.; ElFayoumy, H.; Mosharafa, A.; Saad, I. R.; Mursi, K.; Abdel-Razzak, O.</t>
  </si>
  <si>
    <t xml:space="preserve">African Journal of Urology
</t>
  </si>
  <si>
    <t xml:space="preserve">https://www.scopus.com/inward/record.uri?eid=2-s2.0-85077519116&amp;doi=10.1186%2fs12301-019-0012-3&amp;partnerID=40&amp;md5=9e56e4955cb5a590ce9c5e647f198f46
</t>
  </si>
  <si>
    <t>10.1186/s12301-019-0012-3</t>
  </si>
  <si>
    <t xml:space="preserve">Isoperistaltic versus antiperistaltic ileocolic anastomosis. Does it really matter? Results from a randomised clinical trial (ISOVANTI)
</t>
  </si>
  <si>
    <t>Ibáñez, N.; Abrisqueta, J.; Luján, J.; Hernández, Q.; Rufete, M. D.; Parrilla, P.</t>
  </si>
  <si>
    <t xml:space="preserve">https://www.scopus.com/inward/record.uri?eid=2-s2.0-85056410094&amp;doi=10.1007%2fs00464-018-6580-7&amp;partnerID=40&amp;md5=b6db4001a28d9f0f5f4b17240bdc24c1
</t>
  </si>
  <si>
    <t>10.1007/s00464-018-6580-7</t>
  </si>
  <si>
    <t xml:space="preserve">Short-Term Outcomes of Laparoscopic Proximal Gastrectomy With DoubleTract Reconstruction Versus Laparoscopic Total Gastrectomy for Upper Early Gastric Cancer: A KLASS 05 Randomized Clinical Trial
</t>
  </si>
  <si>
    <t>Hwang, S. H.; Park, D. J.; Kim, H. H.; Hyung, W. J.; Hur, H.; Yang, H. K.; Lee, H. J.; Kim, H. I.; Kong, S. H.; Kim, Y. W.; Lee, H. H.; Kim, B. S.; Park, Y. K.; Lee, Y. J.; Ahn, S. H.; Lee, I. S.; Suh, Y. S.; Park, J. H.; Ahn, S.; Han, S. U.</t>
  </si>
  <si>
    <t xml:space="preserve">Journal of Gastric Cancer
</t>
  </si>
  <si>
    <t xml:space="preserve">https://www.scopus.com/inward/record.uri?eid=2-s2.0-85133185004&amp;doi=10.5230%2fjgc.2022.22.e8&amp;partnerID=40&amp;md5=3cea51dc7eede9ee1867dcbf3ad08591
</t>
  </si>
  <si>
    <t>10.5230/jgc.2022.22.e8</t>
  </si>
  <si>
    <t xml:space="preserve">Impact of Braun anastomosis on reducing delayed gastric emptying following pancreaticoduodenectomy: a prospective, randomized controlled trial
</t>
  </si>
  <si>
    <t>Hwang, H. K.; Lee, S. H.; Han, D. H.; Choi, S. H.; Kang, C. M.; Lee, W. J.</t>
  </si>
  <si>
    <t xml:space="preserve">https://www.scopus.com/inward/record.uri?eid=2-s2.0-84975297561&amp;doi=10.1002%2fjhbp.349&amp;partnerID=40&amp;md5=9228018e6799a2de2741c18dba281fdf
</t>
  </si>
  <si>
    <t>10.1002/jhbp.349</t>
  </si>
  <si>
    <t xml:space="preserve">Effect of Enhanced Recovery After Surgery program on pancreaticoduodenectomy: a randomized controlled trial
</t>
  </si>
  <si>
    <t>Hwang, D. W.; Kim, H. J.; Lee, J. H.; Song, K. B.; Kim, M. H.; Lee, S. K.; Choi, K. T.; Jun, I. G.; Bang, J. Y.; Kim, S. C.</t>
  </si>
  <si>
    <t xml:space="preserve">https://www.scopus.com/inward/record.uri?eid=2-s2.0-85068613356&amp;doi=10.1002%2fjhbp.641&amp;partnerID=40&amp;md5=4076d4c58109db8e876511520878956d
</t>
  </si>
  <si>
    <t>10.1002/jhbp.641</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</si>
  <si>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</si>
  <si>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</si>
  <si>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</si>
  <si>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</si>
  <si>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Primary Open Versus Closed Implantation Strategy for Totally Implantable Venous Access Ports: The Multicentre Randomized Controlled PORTAS-3 Trial (DRKS 00004900)
</t>
  </si>
  <si>
    <t>Hüttner, F. J.; Bruckner, T.; Hackbusch, M.; Weitz, J.; Bork, U.; Kotschenreuther, P.; Heupel, O.; Kümmel, S.; Schlitt, H. J.; Mattulat, M.; Pintér, L.; Seiler, C. M.; Gutt, C. N.; Nottberg, H. S.; Pohl, A.; Ghanem, F.; Meyer, T.; Imdahl, A.; Neudecker, J.; Müller, V. A.; Gehrig, T.; Reineke, M.; Von Frankenberg, M.; Schumacher, G.; Hennes, R.; Mihaljevic, A. L.; Rossion, I.; Klose, C.; Kieser, M.; Büchler, M. W.; Diener, M. K.; Knebel, P.</t>
  </si>
  <si>
    <t xml:space="preserve">https://www.scopus.com/inward/record.uri?eid=2-s2.0-85096152148&amp;doi=10.1097%2fSLA.0000000000003705&amp;partnerID=40&amp;md5=c5077fd526f98e3bfc8b7ba9dfa26a32
</t>
  </si>
  <si>
    <t>10.1097/SLA.0000000000003705</t>
  </si>
  <si>
    <t xml:space="preserve">Frequency of pneumothorax and haemothorax after primary open versus closed implantation strategies for insertion of a totally implantable venous access port in oncological patients: Study protocol for a randomised controlled trial
</t>
  </si>
  <si>
    <t>Hüttner, F. J.; Bruckner, T.; Alldinger, I.; Hennes, R.; Ulrich, A.; Büchler, M. W.; Diener, M. K.; Knebel, P.</t>
  </si>
  <si>
    <t xml:space="preserve">https://www.scopus.com/inward/record.uri?eid=2-s2.0-84927522954&amp;doi=10.1186%2fs13063-015-0643-z&amp;partnerID=40&amp;md5=cadce32487d3a754e8b6ab74554b58c2
</t>
  </si>
  <si>
    <t>10.1186/s13063-015-0643-z</t>
  </si>
  <si>
    <t xml:space="preserve">Anterior suspension combined with posterior reconstruction during robot-assisted laparoscopic prostatectomy improves early return of urinary continence: A prospective randomized multicentre trial
</t>
  </si>
  <si>
    <t>Hurtes, X.; Rouprêt, M.; Vaessen, C.; Pereira, H.; Faivre D'Arcier, B.; Cormier, L.; Bruyère, F.</t>
  </si>
  <si>
    <t xml:space="preserve">https://www.scopus.com/inward/record.uri?eid=2-s2.0-84865457017&amp;doi=10.1111%2fj.1464-410X.2011.10849.x&amp;partnerID=40&amp;md5=f8273dced768efe3aebd4900f89f6ba3
</t>
  </si>
  <si>
    <t>10.1111/j.1464-410X.2011.10849.x</t>
  </si>
  <si>
    <t xml:space="preserve">Efficacy of laparoscopic subtotal gastrectomy with D2 lymphadenectomy for locally advanced gastric cancer: The protocol of the KLASS-02 multicenter randomized controlled clinical trial
</t>
  </si>
  <si>
    <t>Hur, H.; Lee, H. Y.; Lee, H. J.; Kim, M. C.; Hyung, W. J.; Park, Y. K.; Kim, W.; Han, S. U.</t>
  </si>
  <si>
    <t xml:space="preserve">https://www.scopus.com/inward/record.uri?eid=2-s2.0-84929339462&amp;doi=10.1186%2fs12885-015-1365-z&amp;partnerID=40&amp;md5=ab0339761f7c5d43ff5b4952b9bbb14c
</t>
  </si>
  <si>
    <t>10.1186/s12885-015-1365-z</t>
  </si>
  <si>
    <t xml:space="preserve">Operative hysteroscopy versus vacuum aspiration for incomplete spontaneous abortion (HY-PER): Study protocol for a randomized controlled trial
</t>
  </si>
  <si>
    <t>Huchon, C.; Koskas, M.; Agostini, A.; Akladios, C.; Alouini, S.; Bauville, E.; Bourdel, N.; Fernandez, H.; Fritel, X.; Graesslin, O.; Legendre, G.; Lucot, J. P.; Matheron, I.; Panel, P.; Raiffort, C.; Fauconnier, A.</t>
  </si>
  <si>
    <t xml:space="preserve">https://www.scopus.com/inward/record.uri?eid=2-s2.0-84939453247&amp;doi=10.1186%2fs13063-015-0900-1&amp;partnerID=40&amp;md5=b22e87bba46c8cb37048607ffb417e8c
</t>
  </si>
  <si>
    <t>10.1186/s13063-015-0900-1</t>
  </si>
  <si>
    <t xml:space="preserve">Operative Hysteroscopy vs Vacuum Aspiration for Incomplete Spontaneous Abortion: A Randomized Clinical Trial
</t>
  </si>
  <si>
    <t>Huchon, C.; Drioueche, H.; Koskas, M.; Agostini, A.; Bauville, E.; Bourdel, N.; Fernandez, H.; Fritel, X.; Graesslin, O.; Legendre, G.; Lucot, J. P.; Panel, P.; Raiffort, C.; Giraudet, G.; Bussières, L.; Fauconnier, A.</t>
  </si>
  <si>
    <t xml:space="preserve">329
</t>
  </si>
  <si>
    <t xml:space="preserve">https://www.scopus.com/inward/record.uri?eid=2-s2.0-85152204483&amp;doi=10.1001%2fjama.2023.3415&amp;partnerID=40&amp;md5=d54a84f8756daadc964460e1ec011c1f
</t>
  </si>
  <si>
    <t>10.1001/jama.2023.3415</t>
  </si>
  <si>
    <t xml:space="preserve">A prospective randomized comparison of two instruments for dissection and vessel sealing in laparoscopic colorectal surgery
</t>
  </si>
  <si>
    <t>Hübner, M.; Hahnloser, D.; Hetzer, F.; Müller, M. K.; Clavien, P. A.; Demartines, N.</t>
  </si>
  <si>
    <t xml:space="preserve">Surgical Endoscopy and Other Interventional Techniques
</t>
  </si>
  <si>
    <t xml:space="preserve">https://www.scopus.com/inward/record.uri?eid=2-s2.0-33947305289&amp;doi=10.1007%2fs00464-006-9034-6&amp;partnerID=40&amp;md5=254092bf699434443f3bea28395b511b
</t>
  </si>
  <si>
    <t>10.1007/s00464-006-9034-6</t>
  </si>
  <si>
    <t xml:space="preserve">Prospective randomized study of monopolar scissors, bipolar vessel sealer and ultrasonic shears in laparoscopic colorectal surgery
</t>
  </si>
  <si>
    <t>Hubner, M.; Demartines, N.; Muller, S.; Dindo, D.; Clavien, P. A.; Hahnloser, D.</t>
  </si>
  <si>
    <t xml:space="preserve">https://www.scopus.com/inward/record.uri?eid=2-s2.0-50249090453&amp;doi=10.1002%2fbjs.6321&amp;partnerID=40&amp;md5=168ec82759cae75284017124fb94eaa7
</t>
  </si>
  <si>
    <t>10.1002/bjs.6321</t>
  </si>
  <si>
    <t xml:space="preserve">Preoperative immunonutrition in patients at nutritional risk: Results of a double-blinded randomized clinical trial
</t>
  </si>
  <si>
    <t>Hübner, M.; Cerantola, Y.; Grass, F.; Bertrand, P. C.; Schäfer, M.; Demartines, N.</t>
  </si>
  <si>
    <t xml:space="preserve">https://www.scopus.com/inward/record.uri?eid=2-s2.0-84863726131&amp;doi=10.1038%2fejcn.2012.53&amp;partnerID=40&amp;md5=867b063d10f0efb125efa98e3af22f4a
</t>
  </si>
  <si>
    <t>10.1038/ejcn.2012.53</t>
  </si>
  <si>
    <t xml:space="preserve">Randomized clinical trial on epidural versus patient-controlled analgesia for laparoscopic colorectal surgery within an enhanced recovery pathway
</t>
  </si>
  <si>
    <t>Hübner, M.; Blanc, C.; Roulin, D.; Winiker, M.; Gander, S.; Demartines, N.</t>
  </si>
  <si>
    <t xml:space="preserve">261
</t>
  </si>
  <si>
    <t xml:space="preserve">https://www.scopus.com/inward/record.uri?eid=2-s2.0-84928764990&amp;doi=10.1097%2fSLA.0000000000000838&amp;partnerID=40&amp;md5=68c104ba59c489238d3fed2665204ebe
</t>
  </si>
  <si>
    <t>10.1097/SLA.0000000000000838</t>
  </si>
  <si>
    <t xml:space="preserve">Patient-individualized resection planning in liver surgery using 3D print and virtual reality (i-LiVR)—a study protocol for a prospective randomized controlled trial
</t>
  </si>
  <si>
    <t>Huber, T.; Hanke, L. I.; Boedecker, C.; Vradelis, L.; Baumgart, J.; Heinrich, S.; Bartsch, F.; Mittler, J.; Schulze, A.; Hansen, C.; Hüttl, F.; Lang, H.</t>
  </si>
  <si>
    <t xml:space="preserve">https://www.scopus.com/inward/record.uri?eid=2-s2.0-85130016831&amp;doi=10.1186%2fs13063-022-06347-0&amp;partnerID=40&amp;md5=3bc6a424ff7331a1a49f4308d4baba7a
</t>
  </si>
  <si>
    <t>10.1186/s13063-022-06347-0</t>
  </si>
  <si>
    <t xml:space="preserve">A randomized controlled trial of effect of 15- or 25-minute intermittent Pringle maneuver on hepatectomy for hepatocellular carcinoma
</t>
  </si>
  <si>
    <t>Huang, Y.; Liao, A.; Pu, X.; Yang, J.; Lv, T.; Yan, L.; Yang, J.; Wu, H.; Jiang, L.</t>
  </si>
  <si>
    <t xml:space="preserve">https://www.scopus.com/inward/record.uri?eid=2-s2.0-85121100158&amp;doi=10.1016%2fj.surg.2021.11.012&amp;partnerID=40&amp;md5=cf954cc1ae4ea2d901dc3c03ca83c530
</t>
  </si>
  <si>
    <t>10.1016/j.surg.2021.11.012</t>
  </si>
  <si>
    <t xml:space="preserve">Short-term high-intensity rehabilitation in radically treated lung cancer: A three-armed randomized controlled trial
</t>
  </si>
  <si>
    <t>Huang, J.; Lai, Y.; Zhou, X.; Li, S.; Su, J.; Yang, M.; Che, G.</t>
  </si>
  <si>
    <t xml:space="preserve">Journal of Thoracic Disease
</t>
  </si>
  <si>
    <t xml:space="preserve">https://www.scopus.com/inward/record.uri?eid=2-s2.0-85026529155&amp;doi=10.21037%2fjtd.2017.06.15&amp;partnerID=40&amp;md5=46f6c11f78b0c5518ee009502ba9b7c0
</t>
  </si>
  <si>
    <t>10.21037/jtd.2017.06.15</t>
  </si>
  <si>
    <t xml:space="preserve">Morbidity and mortality of laparoscopic versus open D2 distal gastrectomy for advanced gastric cancer: A randomized controlled trial
</t>
  </si>
  <si>
    <t>Hu, Y.; Huang, C.; Sun, Y.; Su, X.; Cao, H.; Hu, J.; Xue, Y.; Suo, J.; Tao, K.; He, X.; Wei, H.; Ying, M.; Hu, W.; Du, X.; Chen, P.; Liu, H.; Zheng, C.; Liu, F.; Yu, J.; Li, Z.; Zhao, G.; Chen, X.; Wang, K.; Li, P.; Xing, J.; Li, G.</t>
  </si>
  <si>
    <t xml:space="preserve">https://www.scopus.com/inward/record.uri?eid=2-s2.0-84966365393&amp;doi=10.1200%2fJCO.2015.63.7215&amp;partnerID=40&amp;md5=3bd0a290059ce8bf2fbb3c6f33a61531
</t>
  </si>
  <si>
    <t>10.1200/JCO.2015.63.7215</t>
  </si>
  <si>
    <t xml:space="preserve">Association between intraoperative dexmedetomidine and all-cause mortality and recurrence after laparoscopic resection of colorectal cancer: Follow-up analysis of a previous randomized controlled trial
</t>
  </si>
  <si>
    <t>Hu, J.; Gong, C.; Xiao, X.; Chen, L.; Zhang, Y.; Li, X.; Li, Y.; Zang, X.; Huang, P.; Zhou, S.; Chen, C.</t>
  </si>
  <si>
    <t xml:space="preserve">https://www.scopus.com/inward/record.uri?eid=2-s2.0-85153344543&amp;doi=10.3389%2ffonc.2023.906514&amp;partnerID=40&amp;md5=74ef4a096caed521ed26ba4dbf0949db
</t>
  </si>
  <si>
    <t>10.3389/fonc.2023.906514</t>
  </si>
  <si>
    <t xml:space="preserve">Randomized clinical trial of mesh fixation with glue or sutures for Lichtenstein hernia repair
</t>
  </si>
  <si>
    <t>Hoyuela, C.; Juvany, M.; Carvajal, F.; Veres, A.; Troyano, D.; Trias, M.; Martrat, A.; Ardid, J.; Obiols, J.; López-Cano, M.</t>
  </si>
  <si>
    <t xml:space="preserve">https://www.scopus.com/inward/record.uri?eid=2-s2.0-85013407981&amp;doi=10.1002%2fbjs.10488&amp;partnerID=40&amp;md5=d0d6c7660743313cccea36a26538f86f
</t>
  </si>
  <si>
    <t>10.1002/bjs.10488</t>
  </si>
  <si>
    <t xml:space="preserve">HTK-N as a new preservation solution for human kidney preservation: Results of a pilot randomized controlled clinical phase II trial in living donor transplantation
</t>
  </si>
  <si>
    <t>Hoyer, D. P.; Benkö, T.; Gallinat, A.; Lefering, R.; Kaths, M.; Kribben, A.; Korth, J.; Rauen, U.; Treckmann, J. W.; Paul, A.</t>
  </si>
  <si>
    <t xml:space="preserve">https://www.scopus.com/inward/record.uri?eid=2-s2.0-85120673025&amp;doi=10.1111%2fctr.14543&amp;partnerID=40&amp;md5=e8d3c54dce243c6ac7e025c5323a897a
</t>
  </si>
  <si>
    <t>10.1111/ctr.14543</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</si>
  <si>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</si>
  <si>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</si>
  <si>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</si>
  <si>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SEALIVE: The use of technical vessel-sealing devices for recipient hepatectomy in liver transplantation: Study protocol for a randomized controlled trial
</t>
  </si>
  <si>
    <t>Houben, P.; Khajeh, E.; Hinz, U.; Knebel, P.; Diener, M. K.; Mehrabi, A.</t>
  </si>
  <si>
    <t xml:space="preserve">https://www.scopus.com/inward/record.uri?eid=2-s2.0-85050149576&amp;doi=10.1186%2fs13063-018-2778-1&amp;partnerID=40&amp;md5=59b644acf7ec33b298755b8e39142e55
</t>
  </si>
  <si>
    <t>10.1186/s13063-018-2778-1</t>
  </si>
  <si>
    <t xml:space="preserve">Randomized controlled trial on Pringle Maneuver to reduce blood loss during stapler hepatectomy - PriMal StHep
</t>
  </si>
  <si>
    <t>Houben, P.; Hinz, U.; Knebel, P.; Diener, M. K.; Mehrabi, A.; Schemmer, P.</t>
  </si>
  <si>
    <t xml:space="preserve">https://www.scopus.com/inward/record.uri?eid=2-s2.0-85067092295&amp;doi=10.1186%2fs12893-019-0524-6&amp;partnerID=40&amp;md5=6e8ed6295061233c22d0c0bf81ad712f
</t>
  </si>
  <si>
    <t>10.1186/s12893-019-0524-6</t>
  </si>
  <si>
    <t xml:space="preserve">A double-blind randomized controlled trial of the effects of eicosapentaenoic acid supplementation on muscle inflammation and physical function in patients undergoing colorectal cancer resection
</t>
  </si>
  <si>
    <t>Hossain, T.; Phillips, B. E.; Doleman, B.; Lund, J. N.; Williams, J. P.</t>
  </si>
  <si>
    <t xml:space="preserve">https://www.scopus.com/inward/record.uri?eid=2-s2.0-85073832087&amp;doi=10.1016%2fj.clnu.2019.09.009&amp;partnerID=40&amp;md5=eacba04177bd1c90ea206f2e5889144e
</t>
  </si>
  <si>
    <t>10.1016/j.clnu.2019.09.009</t>
  </si>
  <si>
    <t xml:space="preserve">Circular Stapled Technique Versus Modified Collard Technique for Cervical Esophagogastric Anastomosis After Esophagectomy: A Randomized Controlled Trial
</t>
  </si>
  <si>
    <t>Hosoi, T.; Abe, T.; Higaki, E.; Fujieda, H.; Nagao, T.; Ito, S.; Komori, K.; Iwase, M.; Oze, I.; Shimizu, Y.</t>
  </si>
  <si>
    <t xml:space="preserve">https://www.scopus.com/inward/record.uri?eid=2-s2.0-85133236515&amp;doi=10.1097%2fSLA.0000000000005185&amp;partnerID=40&amp;md5=01414f44843ca02afc63872f4155aed2
</t>
  </si>
  <si>
    <t>10.1097/SLA.0000000000005185</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</si>
  <si>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</si>
  <si>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</si>
  <si>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</si>
  <si>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</si>
  <si>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Preoperative vs Postoperative Eradication of Helicobacter pylori in 150 Patients with Gastric Cancer: A Randomized Controlled Trial
</t>
  </si>
  <si>
    <t>Honda, M.; Hiki, N.; Nunobe, S.; Ohashi, M.; Kumagai, K.; Hashimoto, Y.; Mine, S.; Kamiya, S.; Sano, T.; Yamaguchi, T.</t>
  </si>
  <si>
    <t xml:space="preserve">https://www.scopus.com/inward/record.uri?eid=2-s2.0-84937727986&amp;doi=10.1016%2fj.jamcollsurg.2015.03.052&amp;partnerID=40&amp;md5=c67db44ef4c032640362901fcc4e8279
</t>
  </si>
  <si>
    <t>10.1016/j.jamcollsurg.2015.03.052</t>
  </si>
  <si>
    <t xml:space="preserve">Efficacy of 50 mg pregabalin for prevention of postoperative neuropathic pain after video-assisted thoracoscopic surgery and thoracotomy: A 3-month prospective randomized controlled trial
</t>
  </si>
  <si>
    <t>Homma, T.; Doki, Y.; Yamamoto, Y.; Ojima, T.; Shimada, Y.; Kitamura, N.; Akemoto, Y.; Hida, Y.; Yoshimura, N.</t>
  </si>
  <si>
    <t xml:space="preserve">https://www.scopus.com/inward/record.uri?eid=2-s2.0-85065136211&amp;doi=10.21037%2fjtd.2019.02.77&amp;partnerID=40&amp;md5=60dca5e9cf8cda6b3f451fc8be62aef5
</t>
  </si>
  <si>
    <t>10.21037/jtd.2019.02.77</t>
  </si>
  <si>
    <t xml:space="preserve">Implementation of a very low calorie diet program into the pre-operative model of care for obese general elective surgery patients: Outcomes of a feasibility randomised control trial
</t>
  </si>
  <si>
    <t>Hollis, G.; Franz, R.; Bauer, J.; Bell, J.</t>
  </si>
  <si>
    <t xml:space="preserve">Nutrition and Dietetics
</t>
  </si>
  <si>
    <t xml:space="preserve">https://www.scopus.com/inward/record.uri?eid=2-s2.0-85079723765&amp;doi=10.1111%2f1747-0080.12601&amp;partnerID=40&amp;md5=6a2d607e28f15890d5f0eb86e2f107a7
</t>
  </si>
  <si>
    <t>10.1111/1747-0080.12601</t>
  </si>
  <si>
    <t xml:space="preserve">Early enteral feeding is beneficial for patients after pelvic exenteration surgery: A randomized controlled trial
</t>
  </si>
  <si>
    <t>Hogan, S.; Reece, L.; Solomon, M.; Rangan, A.; Carey, S.</t>
  </si>
  <si>
    <t xml:space="preserve">https://www.scopus.com/inward/record.uri?eid=2-s2.0-85105970765&amp;doi=10.1002%2fjpen.2120&amp;partnerID=40&amp;md5=47d2f518e8c57027b45a51fe3aeb86ba
</t>
  </si>
  <si>
    <t>10.1002/jpen.2120</t>
  </si>
  <si>
    <t xml:space="preserve">MAPLE-PD trial (Mesenteric Approach vs. Conventional Approach for Pancreatic Cancer during Pancreaticoduodenectomy): Study protocol for a multicenter randomized controlled trial of 354 patients with pancreatic ductal adenocarcinoma
</t>
  </si>
  <si>
    <t>Hirono, S.; Kawai, M.; Okada, K. I.; Fujii, T.; Sho, M.; Satoi, S.; Amano, R.; Eguchi, H.; Mataki, Y.; Nakamura, M.; Matsumoto, I.; Baba, H.; Tani, M.; Kawabata, Y.; Nagakawa, Y.; Yamada, S.; Murakami, Y.; Shimokawa, T.; Yamaue, H.</t>
  </si>
  <si>
    <t xml:space="preserve">https://www.scopus.com/inward/record.uri?eid=2-s2.0-85065266140&amp;doi=10.1186%2fs13063-018-3002-z&amp;partnerID=40&amp;md5=c8108fdf394a0918f7aa2d7a1e492b95
</t>
  </si>
  <si>
    <t>10.1186/s13063-018-3002-z</t>
  </si>
  <si>
    <t xml:space="preserve">Impact of celecoxib on inflammation during cancer surgery: a randomized clinical trial
</t>
  </si>
  <si>
    <t>Hiller, J. G.; Sampurno, S.; Millen, R.; Kuruvilla, N.; Ho, K. M.; Ramsay, R.; Riedel, B.</t>
  </si>
  <si>
    <t xml:space="preserve">https://www.scopus.com/inward/record.uri?eid=2-s2.0-85010735732&amp;doi=10.1007%2fs12630-017-0818-z&amp;partnerID=40&amp;md5=0d1eca2e72a9fcaefb44e58e5bfa1627
</t>
  </si>
  <si>
    <t>10.1007/s12630-017-0818-z</t>
  </si>
  <si>
    <t xml:space="preserve">Colorectal Endoscopic Stenting Trial (CReST) for obstructing left-sided colorectal cancer: Randomized clinical trial
</t>
  </si>
  <si>
    <t>Hill, J.; Lee, S.; Morton, D.; Parker, M.; Halligan, S.; Taylor, S.; Kay, C.; Gray, R.; Handley, K.; Kaur, M.; Magill, L.; Fulcher, L.; Lilly, H.; Palmer, A.; Peters, A.; Sidile, C.; Wilcockson, A.; Bensoussane, H.; Marchevsky, N.; Oliver, A.; Carlson, G.; Scott, N.; Hiller, L.; Alderson, D.; Martin, D.; Yu, L.; Chokkalingam, A.; Cross, N.; Delicata, R. J.; Edwards, P.; Sturgeon, G.; Domingo, D.; Gutmann, J.; Huang, J.; Mills-Baldock, T.; Mtwana, A.; Premchand, P.; Willis, N.; Cocks, S.; Curran, E.; Gall, Z.; Harris, P.; Hobbiss, J.; Lipscomb, G.; Maxwell, A.; Patel, H.; Smith, D.; Antrum, R. M.; Beckett, C. G.; Davies, J.; Ghosh, T.; Gokhale, J.; Griffith, J. P.; Halstead, J.; Jackson, C.; Jowett, S.; Lowe, A.; May, J.; McGowan, J.; Robinson, J.; Simpson, R.; Stephenson, S.; Steward, M.; Thomas, B.; Thrower, A.; Ward, K.; Dexter, J.; Doyle, T.; Farrands, P.; Hart, A.; Lamah, M.; Peterson, J.; Brown, H.; Cameron, E.; Carroll, N.; Fearnhead, N.; Goodwin, K.; Liddle, A.; Miller, R.; Morton, J.; Powar, M.; Read, D.; Sloan, K.; Uttridge, J.; Wheeler, J.; Bain, I.; Clark, S.; Cundall, J.; Dent, J.; Green, S.; Grunshaw, N.; Gunning, K.; Howey, A.; Marsden, S.; Minty, I.; Morgan, L.; Noblett, S.; Potts, K.; Scott, J.; Turnbull, D.; Varma, J. S.; Wayman, L.; Welsh, S.; Anstead, A.; Bhardwaj, R.; Edmunds, T.; Fuller, B.; Holder, P.; Lacey, L.; Ryan, R.; Smith-Hedges, J.; Stuart, C.; Walsh, K.; Basu, A.; Omar, A.; Pitt, J.; Read, G.; Ridley, P.; Spurgeon, J.; Tricker, Y.; Bird, N.; Browell, D.; Barry, C.; Cunliffe, W.; Eltringham, M.; Katrory, M.; Mercer-Jones, M.; Nice, C.; Timmons, G.; Williams, M.; Wipat, C.; Akula, J.; Caine, A.; Dawson, P.; Reese, G.; Fatola, Y.; Mazibuko, B.; Pelling, M.; Ramos, L.; Smith, G. V.; Aryal, K.; Ashraf, K.; Badreldin, R.; Brett, B.; DeSilva, A.; Gray, S.; Harman, J.; Jordon, M.; Kshatriya, K. S.; Lal, R.; Perry, L.; Velchuru, V.; Chung-Faye, G.; Hansmann, A.; Leather, A.; Papagrigoriadis, S.; Peddu, P.; Ryan, S.; Ambrose, S.; Baker, R.; Beral, D.; Botterill, I.; Burke, D.; Clarke, L.; Evans, M.; Everett, S.; Finan, P. J.; Griffiths, B.; Hamlin, J.; Hance, J.; Harris, K.; Hussain, M.; Jayne, D.; Kelly, S.; Lim, M.; Maslekar, S.; Miskovic, D.; Moriarty, C.; Priestley, M.; Rawson, S.; Sagar, P. M.; Saunders, R.; Sheridan, M.; Speight, H.; Tolan, D.; White, L.; Wilkinson, L.; Wilson, T.; Burling, D.; Datt, P.; Fraser, C.; Gupta, A.; Jenkins, I.; Kennedy, R.; Northover, J. M.; Sakuma, S.; Saunders, B. P.; Suzuki, N.; Thomas-Gibson, S.; Curran, F.; Hitchen, D.; Immanuel, A.; Kirk, S.; Kushwaha, R.; Vanessa, A.; Butler-Barnes, J.; Hough, C.; Khan, A.; Larcombe, T.; London, I.; Selvasekar, C.; Zaman, S.; Anderson, J.; Ball, J.; Basheer, M.; Brittenden, J.; Fawole, A.; Foster, R.; Gill, K.; Hayton-Bott, A.; Jones, A.; Kamposioras, K.; Kerr, S.; Lowry, T.; Lupton, S.; MacKlin, C.; Morrison, C. P.; Narula, H.; Parchment-Smith, C.; Rogers, M.; Shah, S.; Sivakumar, R.; Sivaramakrishnan, N.; Vani, D.; Verma, K.; Sivanathan, C.; Chong, P.; Duff, M.; Duffey, K.; Horgan, P.; McGregor, L.; McKee, R.; Pender, J.; Viswanathan, S.; Ashcroft, M.; Docherty, J. G.; Donaldson, A.; MacLeod, K.; MacLeod, A. J. M.; Todd, A.; Walker, K. G.; Watson, A. J. M.; Younger, H. L.; Brush, J.; Glancy, S.; MacRury, M.; Mander, J.; Paterson, H.; Atkin, L.; Brain, C.; Brunt, S.; Burt, C.; Cheshire, H.; Clout, M.; Corderoy, H.; Dawe, C.; Richard Dixon, A.; Garlicka, H.; Hopes, M.; John, S.; Kirby, K.; Kirkpatrick, S.; Law, R.; Longstaff, A.; Loveday, E.; Lyons, A.; McCarthy, K.; Pullyblank, A.; Reilly, A.; Richmond-Russell, K.; Roe, A. M.; Saville, L.; Shelton, L.; Slack, N.; Smith, C.; Solomon, L.; Treasure, A.; Agarwal, A. K.; Borowski, D.; Chilvers, A.; Dwarakanath, D.; Essex, S.; Garg, D.; Gill, T.; Jameson, E.; Jones-King, P.; Kiddell, S.; Latif, H.; Latimer, J.; Shepherd, L.; Sinclair, S.; Tabaqchali, M. A.; Wardle, H.; Wilson, D.; Ahmad, A.; Arain, A.; Cartmell, M.; Cross, K.; Davis, A.; Groome, J.; Holbrook, B.; Ley, S.; Markham, N.; Menon, M.; Taylor, J.; Thomas, F.; Koutrik, L. V.; Ahmad, S. M.; Cursley, V.; Dent, K.; Martin, K.; Pai, D.; Pearson, S.; Abercrombie, J. F.; Acheson, A.; Aldred, L.; Armitage, N. C.; Banerjea, A.; Coulson, C.; Eyre, M.; Maxwell-Armstrong, C. A.; O'Neil, R.; Ragunath, K.; Robinson, M. H. E.; Scholefield, J. H.; Swinden, R.; Williams, J.; Anthony, S.; Bratby, M.; Cunningham, C.; Fourie, S.; Jones, O.; Lindsey, I.; Morrison, F.; Mortensen, N. J.; Munday, D.; Uberoi, R.; Ahmad, F.; Chandra, N.; Conaghan, P.; Coull, D.; Foxton, J.; Gibson, M.; Hameed, W.; Jones, L.; McGrath, D.; Ramus, J.; Samakomva, T.; Speirs, A.; Arumugam, H.; Ewiddison, A.; Faux, W.; Feldman, M.; Gopalswamy, S.; Graves, L.; Hancock, J.; Harvey, P.; Hussaini, H.; Lloyd-Davies, E.; Lynn, C.; Madine, J. P.; Maskell, G.; Morley, N.; Pollard, K.; Prout, K.; Boorman, P.; Dickinson, B.; Guinness, R.; Hill, T.; Moran, J.; Anderson, I. D.; Ashton, A.; Babbs, C.; Burnett, H.; Goulden, K.; Harrison, P.; Harter, L.; Hughes, S.; Kenyon, V.; Lees, N.; Lydon, A.; Ogden, A.; Ottiwell, L.; Platt, D.; Read, F.; Slade, D.; Thompson, C.; Vinod, C.; Watson, D.; Brown, S.; Donnelly, D.; Hampton, J.; Eyre-Brook, I. A.; Foot, J.; Forsyth, N.; Hunt, L.; MacKey, P.; Matull, R.; Thomas, H.; Vickery, C. J.; Caddy, G.; Foreman, J.; Hyland, M.; McCallion, K.; McFerran, E.; Tham, T.; Turkington, J.; Day, S.; Francombe, J.; Murphy, P.; Simmons, E.; Sinha, R.; Bull, D.; Compson, A.; Gould, M.; Ishaq, S.; Kawesha, A.; Maleki, K.; Marriott, M.; Poutney, L.; Stonelake, P. S.; Adams, C.; Brundell, S.; Coleman, M.; Congdon, H.; Douie, W.; Eastlake, L.; Evenden, L.; Fox, B.; Gandy, C.; Georgiadis, K.; Hosie, K. B.; Latchford, A.; Oppong, F. C.; Pascoe, J.; Rance, M.; Shepherd, E.; Shirley, J.; Smith, H.; Appleton, B.; Bobary, C.; Feeney, M.; Gardner, A.; Krouma, F.; Richards, D.; Roche, L.; Tudor, G.; Young, T.; Olufunso, A.; Atif, M.; Bach, S.; Dasgin, J.; Forde, C.; Futaba, K.; Ghods-Ghorbani, M.; Gourevitch, D.; Ismail, T.; Keh, C.; Manimaran, N.; McCafferty, I.; Pandey, S.; Radley, S.; Riley, P.; Royle, J.; Suggett, N.; Torrance, A.; Tucker, O.; Vohra, R.; Aldous, J.; Beal, D.; Beveridge, H.; Bradshaw, S.; Carrick, A. J.; Dockree, J.; Fearon, M.; Hall, A.; Holding, K.; Hurst, N.; Irvine, G.; Langston, K.; Lund, J.; Redfern, G.; Reeves, D.; Reynolds, J. R.; Rowntree, J.; Simmonds, K.; Singh, R.; Speake, W.; Tierney, G.; Tou, S.; Worth, C.; Singh, B.; Verma, R.; Allison, J.; Allison, A.; Bathurst, N.; Buckley, C.; Gotto, J.; Khan, Z.; Ockrim, J.; Rowland-Axe, R.; Russell, A.; Spurdle, K.; Williams-Yesson, B.; Ames, A.; Rylance, P. C.; Dyer, S.; Fletcher, J.; Kent, S.; Law, N.; MacFie, J.; Mainprize, K.; Mallinson, J.; McNaught, C.; Mitchell, C.; Nunn, A.; Renwick, I. G. H.; Group, C. ReST Collaborative</t>
  </si>
  <si>
    <t xml:space="preserve">https://www.scopus.com/inward/record.uri?eid=2-s2.0-85140144608&amp;doi=10.1093%2fbjs%2fznac141&amp;partnerID=40&amp;md5=24fd23121e14a617813e38b1b7f5a8dd
</t>
  </si>
  <si>
    <t>10.1093/bjs/znac141</t>
  </si>
  <si>
    <t xml:space="preserve">Perioperative Fully Closed-Loop Insulin Delivery in Patients Undergoing Elective Surgery: An Open-Label, Randomized Controlled Trial
</t>
  </si>
  <si>
    <t>Herzig, D.; Suhner, S.; Roos, J.; Schurch, D.; Cecchini, L.; Nakas, C. T.; Weiss, S.; Kadner, A.; Kocher, G. J.; Guensch, D. P.; Wilinska, M. E.; Raabe, A.; Siebenrock, K. A.; Beldi, G.; Gloor, B.; Hovorka, R.; Vogt, A. P.; Bally, L.</t>
  </si>
  <si>
    <t xml:space="preserve">Diabetes Care
</t>
  </si>
  <si>
    <t xml:space="preserve">https://www.scopus.com/inward/record.uri?eid=2-s2.0-85137136959&amp;doi=10.2337%2fdc22-0438&amp;partnerID=40&amp;md5=e81fd480b7c5bf41598e76fb3f79934e
</t>
  </si>
  <si>
    <t>10.2337/dc22-0438</t>
  </si>
  <si>
    <t xml:space="preserve">Delayed gastric emptying following pancreatoduodenectomy: A roux-en-y gastrojejunostomy vs billroth II gastrojejunostomy randomized study
</t>
  </si>
  <si>
    <t>Herrera-Cabezón, J.; Sánchez-Acedo, P.; Tarifa-Castilla, A.; Zazpe-Ripa, C.</t>
  </si>
  <si>
    <t xml:space="preserve">111
</t>
  </si>
  <si>
    <t xml:space="preserve">Revista Espanola de Enfermedades Digestivas
</t>
  </si>
  <si>
    <t xml:space="preserve">https://www.scopus.com/inward/record.uri?eid=2-s2.0-85061271857&amp;doi=10.17235%2freed.2019.5744%2f2019&amp;partnerID=40&amp;md5=8dc571a93da2b6db5e8007eb6990f53c
</t>
  </si>
  <si>
    <t xml:space="preserve">10.17235/reed.2019.5744/2019
</t>
  </si>
  <si>
    <t xml:space="preserve">SupPoRtive Exercise Programmes for Accelerating REcovery after major ABdominal Cancer surgery trial (PREPARE-ABC): Study protocol for a multicentre randomized controlled trial
</t>
  </si>
  <si>
    <t>Hernon, J.; Saxton, J. M.; Jones, M.; Howard, G.; Swart, A. M.; Clark, A.; Stirling, S.; Turner, D.; Murdoch, J.; Nortje, J.; Bach, S.; Fearnhead, N.; Din, F.; Stephens, A.; Lund, J.; Tou, S.; Kelly, S.; Ziprin, P.; Dennis, R.; Smart, N.; Roxburgh, C.; Simpson, A.; Mishra, A.; Knight, K.; Dresser, K.; Wordley, A.; Thomas, L.; Pond, M.; Colles, A.; West, C.; Goodall, K.; Kirk, R.; Harden, G.; Dresser, K.; Varley, A.; McCulloch, J.; Naisby, J.; Baker, K.; the, Prepare- A. B. C. Trial Collaborative</t>
  </si>
  <si>
    <t xml:space="preserve">https://www.scopus.com/inward/record.uri?eid=2-s2.0-85114496407&amp;doi=10.1111%2fcodi.15805&amp;partnerID=40&amp;md5=57ca650082862c07c1a5e0f6e534d118
</t>
  </si>
  <si>
    <t>10.1111/codi.15805</t>
  </si>
  <si>
    <t xml:space="preserve">Conditionally Essential Amino Acid Supplementation Reduces Postoperative Complications and Muscle Wasting After Fracture Fixation: A Randomized Controlled Trial
</t>
  </si>
  <si>
    <t>Hendrickson, N. R.; Davison, J.; Glass, N. A.; Wilson, E. S.; Miller, A.; Leary, S.; Lorentzen, W.; Karam, M. D.; Hogue, M.; Marsh, J. L.; Willey, M. C.</t>
  </si>
  <si>
    <t xml:space="preserve">Journal of Bone and Joint Surgery
</t>
  </si>
  <si>
    <t xml:space="preserve">https://www.scopus.com/inward/record.uri?eid=2-s2.0-85129996549&amp;doi=10.2106%2fJBJS.21.01014&amp;partnerID=40&amp;md5=abc11653ba691af54171f88b871b4943
</t>
  </si>
  <si>
    <t>10.2106/JBJS.21.01014</t>
  </si>
  <si>
    <t xml:space="preserve">Adjuvant gemcitabine versus NEOadjuvant gemcitabine/oxaliplatin plus adjuvant gemcitabine in resectable pancreatic cancer: A randomized multicenter phase III study (NEOPAC study)
</t>
  </si>
  <si>
    <t>Heinrich, S.; Pestalozzi, B.; Lesurtel, M.; Berrevoet, F.; Laurent, S.; Delpero, J. R.; Raoul, J. L.; Bachellier, P.; Dufour, P.; Moehler, M.; Weber, A.; Lang, H.; Rogiers, X.; Clavien, P.</t>
  </si>
  <si>
    <t xml:space="preserve">https://www.scopus.com/inward/record.uri?eid=2-s2.0-81155158875&amp;doi=10.1186%2f1471-2407-11-346&amp;partnerID=40&amp;md5=b33886ad5c896fbd0d1cf4e62917b24f
</t>
  </si>
  <si>
    <t>10.1186/1471-2407-11-346</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</si>
  <si>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</si>
  <si>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</si>
  <si>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</si>
  <si>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</si>
  <si>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Conventional partial pancreatoduodenectomy versus an extended pancreatoduodenectomy (triangle operation) for pancreatic head cancers—study protocol for the randomised controlled TRIANGLE trial
</t>
  </si>
  <si>
    <t>Heger, P.; Hackert, T.; Diener, M. K.; Feißt, M.; Klose, C.; Dörr-Harim, C.; Möhlenbrock, F.; Büchler, M. W.; Mihaljevic, A. L.</t>
  </si>
  <si>
    <t xml:space="preserve">https://www.scopus.com/inward/record.uri?eid=2-s2.0-85160601784&amp;doi=10.1186%2fs13063-023-07337-6&amp;partnerID=40&amp;md5=3699fb89e452583ec2492867d6d1d921
</t>
  </si>
  <si>
    <t>10.1186/s13063-023-07337-6</t>
  </si>
  <si>
    <t xml:space="preserve">Hernia reduction following laparotomy using small stitch abdominal wall closure with and without mesh augmentation (the HULC trial): Study protocol for a randomized controlled trial
</t>
  </si>
  <si>
    <t>Heger, P.; Feißt, M.; Krisam, J.; Klose, C.; Dörr-Harim, C.; Tenckhoff, S.; Büchler, M. W.; Diener, M. K.; Mihaljevic, A. L.</t>
  </si>
  <si>
    <t xml:space="preserve">https://www.scopus.com/inward/record.uri?eid=2-s2.0-85076685600&amp;doi=10.1186%2fs13063-019-3921-3&amp;partnerID=40&amp;md5=65aedcd86fd7bd4a2e74b81b53d96507
</t>
  </si>
  <si>
    <t>10.1186/s13063-019-3921-3</t>
  </si>
  <si>
    <t xml:space="preserve">Photodynamic versus white-light-guided resection of first-diagnosis non-muscleinvasive bladder cancer: PHOTO RCT
</t>
  </si>
  <si>
    <t>Heer, R.; Lewis, R.; Duncan, A.; Penegar, S.; Vadiveloo, T.; Clark, E.; Yu, G.; Mariappan, P.; Cresswell, J.; McGrath, J.; N’Dow, J.; Nabi, G.; Mostafid, H.; Kelly, J.; Ramsay, C.; Lazarowicz, H.; Allan, A.; Breckons, M.; Campbell, K.; Campbell, L.; Feber, A.; McDonald, A.; Norrie, J.; Orozco-Leal, G.; Rice, S.; Tandogdu, Z.; Taylor, E.; Wilson, L.; Vale, L.; MacLennan, G.; Hall, E.</t>
  </si>
  <si>
    <t xml:space="preserve">https://www.scopus.com/inward/record.uri?eid=2-s2.0-85140933265&amp;doi=10.3310%2fPLPU1526&amp;partnerID=40&amp;md5=dc5baee2185775f703551ee4d1961703
</t>
  </si>
  <si>
    <t>10.3310/PLPU1526</t>
  </si>
  <si>
    <t xml:space="preserve">Sacral neuromodulation versus personalized conservative treatment in patients with idiopathic slow-transit constipation: study protocol of the No.2-trial, a multicenter open-label randomized controlled trial and cost-effectiveness analysis
</t>
  </si>
  <si>
    <t>Heemskerk, S. C. M.; Rotteveel, A. H.; Benninga, M. A.; Baeten, C. I. M.; Masclee, A. A. M.; Melenhorst, J.; van Kuijk, S. M. J.; Dirksen, C. D.; Breukink, S. O.</t>
  </si>
  <si>
    <t xml:space="preserve">https://www.scopus.com/inward/record.uri?eid=2-s2.0-85042386564&amp;doi=10.1007%2fs00384-018-2978-x&amp;partnerID=40&amp;md5=77a879ba568ac6446f1fe6b99e44a7ca
</t>
  </si>
  <si>
    <t>10.1007/s00384-018-2978-x</t>
  </si>
  <si>
    <t xml:space="preserve">BEST: Bypass equipoise sleeve trial; rationale and design of a randomized, registry-based, multicenter trial comparing Roux-en-Y gastric bypass with sleeve gastrectomy
</t>
  </si>
  <si>
    <t>Hedberg, S.; Olbers, T.; Peltonen, M.; Österberg, J.; Wirén, M.; Ottosson, J.; Thorell, A.</t>
  </si>
  <si>
    <t xml:space="preserve">84
</t>
  </si>
  <si>
    <t>10.1016/j.cct.2019.07.001</t>
  </si>
  <si>
    <t xml:space="preserve">Does Prolonged Enteral Feeding with Supplemental Omega-3 Fatty Acids Impact on Recovery Post-esophagectomy
</t>
  </si>
  <si>
    <t>Healy, L. A.; Ryan, A.; Doyle, S. L.; Ní Bhuachalla, É B.; Cushen, S.; Segurado, R.; Murphy, T.; Ravi, N.; Donohoe, C. L.; Reynolds, J. V.</t>
  </si>
  <si>
    <t xml:space="preserve">https://www.scopus.com/inward/record.uri?eid=2-s2.0-85025809891&amp;doi=10.1097%2fSLA.0000000000002390&amp;partnerID=40&amp;md5=f3ddb0e2384f51ec3ea2b30ec3170a0d
</t>
  </si>
  <si>
    <t>10.1097/SLA.0000000000002390</t>
  </si>
  <si>
    <t xml:space="preserve">Effects of irrigation fluid temperature during flexible ureteroscopic holmium laser lithotripsy on postoperative fever and shivering: a randomized controlled trial
</t>
  </si>
  <si>
    <t>He, Y.; Feng, Y. G.; He, J.; Liang, B.; Jiang, M. D.; Liu, J.; Kang, Y. M.; Ma, L. P.; Zhang, Q.; Peng, Q. J.; Yang, T.; Liu, Y.; Luo, L.; Zhang, M.</t>
  </si>
  <si>
    <t xml:space="preserve">https://www.scopus.com/inward/record.uri?eid=2-s2.0-85105112780&amp;doi=10.1186%2fs12894-021-00841-4&amp;partnerID=40&amp;md5=d86c4c8c23eae06743b3c6c9096c2911
</t>
  </si>
  <si>
    <t>10.1186/s12894-021-00841-4</t>
  </si>
  <si>
    <t xml:space="preserve">Efficacy of lymph node dissection on stage IIICr of cervical cancer before CCRT: study protocol for a phase III, randomized controlled clinical trial (CQGOG0103)
</t>
  </si>
  <si>
    <t>He, M.; Guo, M.; Zhou, Q.; Tang, Y.; Zhong, L.; Liu, Q.; Fan, X.; Zhao, X.; Zhang, X.; Chen, G.; Shen, Y.; Xu, Q.; Chen, X.; Li, Y.; Zou, D.</t>
  </si>
  <si>
    <t xml:space="preserve">Journal of Gynecologic Oncology
</t>
  </si>
  <si>
    <t xml:space="preserve">https://www.scopus.com/inward/record.uri?eid=2-s2.0-85159541374&amp;doi=10.3802%2fjgo.2023.34.e55&amp;partnerID=40&amp;md5=567af01e2d6eda0f42b762dd54a4fbd0
</t>
  </si>
  <si>
    <t>10.3802/jgo.2023.34.e55</t>
  </si>
  <si>
    <t xml:space="preserve">Intraperitoneal ropivacaine reduces time interval to initiation of chemotherapy after surgery for advanced ovarian cancer: randomised controlled double-blind pilot study
</t>
  </si>
  <si>
    <t>Hayden, J. M.; Oras, J.; Block, L.; Thörn, S. E.; Palmqvist, C.; Salehi, S.; Nordstrom, J. L.; Gupta, A.</t>
  </si>
  <si>
    <t xml:space="preserve">https://www.scopus.com/inward/record.uri?eid=2-s2.0-85081668847&amp;doi=10.1016%2fj.bja.2020.01.026&amp;partnerID=40&amp;md5=a7f9dea11a96965e59b51cdc49d3f511
</t>
  </si>
  <si>
    <t>10.1016/j.bja.2020.01.026</t>
  </si>
  <si>
    <t xml:space="preserve">Circular stapling versus triangulating stapling for the cervical esophagogastric anastomosis after esophagectomy in patients with thoracic esophageal cancer: A prospective, randomized, controlled trial
</t>
  </si>
  <si>
    <t>Hayata, K.; Nakamori, M.; Nakamura, M.; Ojima, T.; Iwahashi, M.; Katsuda, M.; Tsuji, T.; Kato, T.; Kitadani, J.; Takeuchi, A.; Tabata, H.; Yamaue, H.</t>
  </si>
  <si>
    <t xml:space="preserve">https://www.scopus.com/inward/record.uri?eid=2-s2.0-85015071781&amp;doi=10.1016%2fj.surg.2017.01.013&amp;partnerID=40&amp;md5=92c48585e16cd85f88db9f30062aec7d
</t>
  </si>
  <si>
    <t>10.1016/j.surg.2017.01.013</t>
  </si>
  <si>
    <t xml:space="preserve">Low creatinine clearance is a risk factor for D2 gastrectomy after neoadjuvant chemotherapy
</t>
  </si>
  <si>
    <t>Hayashi, T.; Aoyama, T.; Tanabe, K.; Nishikawa, K.; Ito, Y.; Ogata, T.; Cho, H.; Morita, S.; Miyashita, Y.; Tsuburaya, A.; Sakamoto, J.; Yoshikawa, T.</t>
  </si>
  <si>
    <t xml:space="preserve">https://www.scopus.com/inward/record.uri?eid=2-s2.0-84906215477&amp;doi=10.1245%2fs10434-014-3670-1&amp;partnerID=40&amp;md5=875ea5023561eebbaa605f7327ff3478
</t>
  </si>
  <si>
    <t>10.1245/s10434-014-3670-1</t>
  </si>
  <si>
    <t xml:space="preserve">Laparoscopic versus open gastrectomy for gastric cancer, a multicenter prospectively randomized controlled trial (LOGICA-trial)
</t>
  </si>
  <si>
    <t>Haverkamp, L.; Brenkman, H. J. F.; Seesing, M. F. J.; Gisbertz, S. S.; van Berge Henegouwen, M. I.; Luyer, M. D. P.; Nieuwenhuijzen, G. A. P.; Wijnhoven, B. P. L.; van Lanschot, J. J. B.; de Steur, W. O.; Hartgrink, H. H.; Stoot, J. H. M. B.; Hulsewé, K. W. E.; Spillenaar Bilgen, E. J.; Rütter, J. E.; Kouwenhoven, E. A.; van Det, M. J.; van der Peet, D. L.; Daams, F.; Draaisma, W. A.; Broeders, I. A. M. J.; van Stel, H. F.; Lacle, M. M.; Ruurda, J. P.; van Hillegersberg, R.; group, Logica study</t>
  </si>
  <si>
    <t xml:space="preserve">https://www.scopus.com/inward/record.uri?eid=2-s2.0-84938216826&amp;doi=10.1186%2fs12885-015-1551-z&amp;partnerID=40&amp;md5=e174d92b49fcb7cc8712fadff35131ea
</t>
  </si>
  <si>
    <t>10.1186/s12885-015-1551-z</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</si>
  <si>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</si>
  <si>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</si>
  <si>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</si>
  <si>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</si>
  <si>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Randomized clinical trial of the impact of insulin therapy on liver function in patients undergoing major liver resection
</t>
  </si>
  <si>
    <t>Hassanain, M.; Metrakos, P.; Fisette, A.; Doi, S. A. R.; Schricker, T.; Lattermann, R.; Carvalho, G.; Wykes, L.; Molla, H.; Cianflone, K.</t>
  </si>
  <si>
    <t xml:space="preserve">https://www.scopus.com/inward/record.uri?eid=2-s2.0-84874609900&amp;doi=10.1002%2fbjs.9034&amp;partnerID=40&amp;md5=d2c074cf291a7fc429c1a896e16721ac
</t>
  </si>
  <si>
    <t>10.1002/bjs.9034</t>
  </si>
  <si>
    <t xml:space="preserve">Thulium laser transurethral vaporesection of the prostate versus transurethral resection of the prostate for men with lower urinary tract symptoms or urinary retention (UNBLOCS): a randomised controlled trial
</t>
  </si>
  <si>
    <t>Hashim, H.; Worthington, J.; Abrams, P.; Young, G.; Taylor, H.; Noble, S. M.; Brookes, S. T.; Cotterill, N.; Page, T.; Swami, K. S.; Lane, J. A.; Beck, R.; Blake, C.; Davenport, K.; Kayes, O.; Sullivan, J.; Cohen, N.; Murugesan, M.; Timoney, A.; Johnson, L.; Adams, B.; Allan, A.; Brain, C.; Hammonds, F.; Henderson, J.; Hilltout, P.; Kilbane, B.; Morrison, L.; Robson, W.; Wiseman, L.; Zinyemba, V.; Metcalfe, C.; Khan, R.; Uren, A.; Ahern, A.; Moure Fernandez, A.; Warnes, B.; Steuart-Feilding, T.; Pawsey, C.; Plant, J.; Baquedano, M.; Carmichael, D.</t>
  </si>
  <si>
    <t xml:space="preserve">10243
</t>
  </si>
  <si>
    <t xml:space="preserve">https://www.scopus.com/inward/record.uri?eid=2-s2.0-85087133525&amp;doi=10.1016%2fS0140-6736%2820%2930537-7&amp;partnerID=40&amp;md5=fa8e95e8f773538f94414ddd2f5b4fe6
</t>
  </si>
  <si>
    <t>10.1016/S0140-6736(20)30537-7</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</si>
  <si>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</si>
  <si>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</si>
  <si>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</si>
  <si>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</si>
  <si>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Incisional hernia following colorectal cancer surgery according to suture technique: Hughes Abdominal Repair Randomized Trial (HART)
</t>
  </si>
  <si>
    <t>Harries, R.; O'Connell, S.; Knight, L.; Islam, S.; Bashir, N.; Watkins, A.; Fegan, G.; Cornish, J.; Rutter, C.; Rees, B.; Cole, H.; Jarvis, H.; Jones, S.; Russell, I.; Bosanquet, D.; Cleves, A.; Sewell, B.; Farr, A.; Zbrzyzna, N.; Fiera, N.; Ellis-Owen, R.; Hilton, Z.; Parry, C.; Bradbury, A.; Rockall, T.; Windsor, A.; Allgar, V.; Hollingworth, W.; Lovell-Smith, C.; Hepburn, J.; Gudgeon, M.; Gabe, R.; Thomson, C.; Wall, P.; Hill, J.; Winter, D.; Cocks, K.; Harris, D.; Hilton, J.; Vakis, S.; Hanratty, D.; Rajagopal, R.; Akbar, F.; Ben-Sassi, A.; Francis, N.; Jones, L.; Williamson, M.; Lindsey, I.; West, R.; Smart, C.; Ziprin, P.; Agarwal, T.; Faulkner, G.; Pinkney, T.; Vimalachandran, D.; Lawes, D.; Faiz, O.; Nisar, P.; Smart, N.; Wilson, T.; Myers, A.; Lund, J.; Smolarek, S.; Acheson, A.; Horwood, J.; Ansell, J.; Phillips, S.; Davies, M.; Davies, L.; Bird, S.; Palmer, N.; Williams, M.; Galanopoulos, G.; Dhruva Rao, P.; Jones, D.; Barnett, R.; Tate, S.; Wheat, J.; Patel, N.; Rahmani, S.; Toynton, E.; Smith, L.; Reeves, N.; Kealaher, E.; Williams, G.; Sekaran, C.; Evans, M.; Beynon, J.; Egan, R.; Qasem, E.; Khot, U.; Ather, S.; Mummigati, P.; Taylor, G.; Williamson, J.; Lim, J.; Powell, A.; Nageswaran, H.; Williams, A.; Padmanabhan, J.; Phillips, K.; Ford, T.; Edwards, J.; Varney, N.; Hicks, L.; Greenway, C.; Chesters, K.; Jones, H.; Blake, P.; Brown, C.; Roche, L.; Jones, D.; Feeney, M.; Shah, P.; McGrath, C.; Curtis, N.; Pippard, L.; Perry, J.; Allison, J.; Ockrim, J.; Dalton, R.; Allison, A.; Rendell, J.; Howard, L.; Beesley, K.; Dennison, G.; Burton, J.; Bowen, G.; Duberley, S.; Richards, L.; Giles, J.; Katebe, J.; Dalton, S.; Wood, J.; Courtney, E.; Hompes, R.; Poole, A.; Ward, S.; Wilkinson, L.; Hardstaff, L.; Bogden, M.; Al-Rashedy, M.; Fensom, C.; Lunt, N.; McCurrie, M.; Peacock, R.; Malik, K.; Burns, H.; Townley, B.; Hill, P.; Sadat, M.; Khan, U.; Wignall, C.; Murati, D.; Dhanaratne, M.; Quaid, S.; Gurram, S.; Smith, D.; Harris, P.; Pollard, J.; DiBenedetto, G.; Chadwick, J.; Hull, R.; Bach, S.; Morton, D.; Hollier, K.; Hardy, V.; Ghods, M.; Tyrrell, D.; Ashraf, S.; Glasbey, J.; Ashraf, M.; Garner, S.; Whitehouse, A.; Yeung, D.; Noor Mohamed, S.; Wilkin, R.; Suggett, N.; Lee, C.; Bagul, A.; McNeill, C.; Eardley, N.; Mahapatra, R.; Gabriel, C.; Datt, P.; Mahmud, S.; Daniels, I.; McDermott, F.; Nodolsk, M.; Park, L.; Scott, H.; Trickett, J.; Bearn, P.; Trivedi, P.; Frost, V.; Gray, C.; Croft, M.; Beral, D.; Osborne, J.; Pugh, R.; Herdman, G.; George, R.; Howell, A. M.; Al-Shahaby, S.; Narendrakumar, B.; Mohsen, Y.; Ijaz, S.; Nasseri, M.; Herrod, P.; Brear, T.; Reilly, J. J.; Sohal, A.; Otieno, C.; Lai, W.; Coleman, M.; Platt, E.; Patrick, A.; Pitman, C.; Balasubramanya, S.; Dickson, E.; Warman, R.; Newton, C.; Tani, S.; Simpson, J.; Banerjee, A.; Siddika, A.; Campion, D.; Humes, D.; Randhawa, N.; Saunders, J.; Bharathan, B.; Hay, O.; Torkington, J.; Collaborative, Hart</t>
  </si>
  <si>
    <t xml:space="preserve">https://www.scopus.com/inward/record.uri?eid=2-s2.0-85138457613&amp;doi=10.1093%2fbjs%2fznac198&amp;partnerID=40&amp;md5=72ac1593c9cea3118c00b9bfdf1ebf8d
</t>
  </si>
  <si>
    <t>10.1093/bjs/znac198</t>
  </si>
  <si>
    <t xml:space="preserve">Single Versus Maintenance Intravesical Chemotherapy for the Prevention of Bladder Recurrence after Radical Nephroureterectomy for Upper Tract Urothelial Carcinoma: A Randomized Clinical Trial
</t>
  </si>
  <si>
    <t>Harraz, A. M.; El-Shabrawy, M.; El-Nahas, A. R.; El-Kappany, H.; Osman, Y.</t>
  </si>
  <si>
    <t xml:space="preserve">https://www.scopus.com/inward/record.uri?eid=2-s2.0-85072838009&amp;doi=10.1016%2fj.clgc.2019.07.019&amp;partnerID=40&amp;md5=c78402f0a3f1519d11308c21095a38a3
</t>
  </si>
  <si>
    <t>10.1016/j.clgc.2019.07.019</t>
  </si>
  <si>
    <t xml:space="preserve">Long-term outcomes of two-stage, immediate and delayed breast reconstruction with polyurethane-covered versus textured implants: Protocol of a prospective, multicentre randomised controlled trial (TIPI trial)
</t>
  </si>
  <si>
    <t>Harmeling, J. X.; Cinca, K. P.; Andrinopoulou, E. R.; Corten, E. M. L.; Mureau, M. A.</t>
  </si>
  <si>
    <t xml:space="preserve">https://www.scopus.com/inward/record.uri?eid=2-s2.0-85107227262&amp;doi=10.1136%2fbmjopen-2020-044219&amp;partnerID=40&amp;md5=d444a44fd6451f73a20401cb30666c53
</t>
  </si>
  <si>
    <t>10.1136/bmjopen-2020-044219</t>
  </si>
  <si>
    <t xml:space="preserve">Fluorescence-supported lymphography and extended pelvic lymph node dissection in robot-assisted radical prostatectomy: a prospective, randomized trial
</t>
  </si>
  <si>
    <t>Harke, N. N.; Godes, M.; Wagner, C.; Addali, M.; Fangmeyer, B.; Urbanova, K.; Hadaschik, B.; Witt, J. H.</t>
  </si>
  <si>
    <t xml:space="preserve">https://www.scopus.com/inward/record.uri?eid=2-s2.0-85047153788&amp;doi=10.1007%2fs00345-018-2330-7&amp;partnerID=40&amp;md5=54926e3f6068a4a43f050bf7fe70007e
</t>
  </si>
  <si>
    <t>10.1007/s00345-018-2330-7</t>
  </si>
  <si>
    <t xml:space="preserve">Postoperative patient comfort in suprapubic drainage versus transurethral catheterization following robot-assisted radical prostatectomy: a prospective randomized clinical trial
</t>
  </si>
  <si>
    <t>Harke, N.; Godes, M.; Habibzada, J.; Urbanova, K.; Wagner, C.; Zecha, H.; Addali, M.; Witt, J. H.</t>
  </si>
  <si>
    <t xml:space="preserve">https://www.scopus.com/inward/record.uri?eid=2-s2.0-84975498550&amp;doi=10.1007%2fs00345-016-1883-6&amp;partnerID=40&amp;md5=a9a22e7f14e8242e712a411d3d0139a7
</t>
  </si>
  <si>
    <t>10.1007/s00345-016-1883-6</t>
  </si>
  <si>
    <t xml:space="preserve">Laparoscopic bowel resection combined with infliximab treatment (LaRIC) versus infliximab for terminal ileitis in Crohn's disease: A randomised, controlled, open-label trial
</t>
  </si>
  <si>
    <t>Hao, X.; Feng, T.; Yang, Y.; Shi, Y.; Jing, R.; Liu, S.; Luo, Y.; Qiao, Y.; Zhong, M.; Yu, M.</t>
  </si>
  <si>
    <t xml:space="preserve">https://www.scopus.com/inward/record.uri?eid=2-s2.0-85096265459&amp;doi=10.1136%2fbmjopen-2020-038429&amp;partnerID=40&amp;md5=aa9e323244616b6e50ad1e19c2ac3055
</t>
  </si>
  <si>
    <t>10.1136/bmjopen-2020-038429</t>
  </si>
  <si>
    <t xml:space="preserve">A prospective randomized controlled trial: Comparison of two different methods of hepatectomy
</t>
  </si>
  <si>
    <t>Hanyong, S.; Wanyee, L.; Siyuan, F.; Hui, L.; Yuan, Y.; Chuan, L.; Weiping, Z.; Mengchao, W.</t>
  </si>
  <si>
    <t xml:space="preserve">https://www.scopus.com/inward/record.uri?eid=2-s2.0-84921509439&amp;doi=10.1016%2fj.ejso.2014.10.057&amp;partnerID=40&amp;md5=c3f95358106fc2e065e7170d758f2bed
</t>
  </si>
  <si>
    <t>10.1016/j.ejso.2014.10.057</t>
  </si>
  <si>
    <t xml:space="preserve">Prospective randomized investigation implementing immunonutritional therapy using a nutritional supplement with a high blend ratio of ω-3 fatty acids during the perioperative period for head and neck carcinomas
</t>
  </si>
  <si>
    <t>Hanai, N.; Terada, H.; Hirakawa, H.; Suzuki, H.; Nishikawa, D.; Beppu, S.; Hasegawa, Y.</t>
  </si>
  <si>
    <t xml:space="preserve">https://www.scopus.com/inward/record.uri?eid=2-s2.0-85045507343&amp;doi=10.1093%2fjjco%2fhyy008&amp;partnerID=40&amp;md5=2c48676e7e45c760c2a87d5c97c01357
</t>
  </si>
  <si>
    <t>10.1093/jjco/hyy008</t>
  </si>
  <si>
    <t xml:space="preserve">Comparison of surgical outcomes between 3-dimensional and 2-dimensional laparoscopy of ovarian cyst (LOOC): a randomised controlled trial
</t>
  </si>
  <si>
    <t>Han, Y. G.; Lim, K. M.; Song, T.</t>
  </si>
  <si>
    <t xml:space="preserve">Journal of Obstetrics and Gynaecology
</t>
  </si>
  <si>
    <t xml:space="preserve">https://www.scopus.com/inward/record.uri?eid=2-s2.0-85121713498&amp;doi=10.1080%2f01443615.2021.1990231&amp;partnerID=40&amp;md5=761264e055ed8a5e41e0b091c918ec2b
</t>
  </si>
  <si>
    <t>10.1080/01443615.2021.1990231</t>
  </si>
  <si>
    <t xml:space="preserve">Comparison of the impact of propofol versus sevoflurane on early postoperative recovery in living donors after laparoscopic donor nephrectomy: a prospective randomized controlled study
</t>
  </si>
  <si>
    <t>Han, S.; Park, J.; Hong, S. H.; Lim, S.; Park, Y. H.; Chae, M. S.</t>
  </si>
  <si>
    <t xml:space="preserve">https://www.scopus.com/inward/record.uri?eid=2-s2.0-85094135434&amp;doi=10.1186%2fs12871-020-01190-9&amp;partnerID=40&amp;md5=de85960d651ee73390744f4c6ffa82a9
</t>
  </si>
  <si>
    <t>10.1186/s12871-020-01190-9</t>
  </si>
  <si>
    <t xml:space="preserve">Efficacy of Liposomal Bupivacaine and Bupivacaine Hydrochloride vs Bupivacaine Hydrochloride Alone as a Periarticular Anesthetic for Patients Undergoing Knee Replacement: A Randomized Clinical Trial
</t>
  </si>
  <si>
    <t>Hamilton, T. W.; Knight, R.; Stokes, J. R.; Rombach, I.; Cooper, C.; Davies, L.; Dutton, S. J.; Barker, K. L.; Cook, J.; Lamb, S. E.; Murray, D. W.; Poulton, L.; Wang, A.; Strickland, L. H.; Van Duren, B. H.; Leal, J.; Beard, D.; Pandit, H. G.</t>
  </si>
  <si>
    <t xml:space="preserve">https://www.scopus.com/inward/record.uri?eid=2-s2.0-85128345729&amp;doi=10.1001%2fjamasurg.2022.0713&amp;partnerID=40&amp;md5=feef2709c2c09b1a1d78fbea0ec1fd19
</t>
  </si>
  <si>
    <t>10.1001/jamasurg.2022.0713</t>
  </si>
  <si>
    <t xml:space="preserve">Intraperitoneal Local Anesthetic for Laparoscopic Appendectomy in Children: A Randomized Controlled Trial
</t>
  </si>
  <si>
    <t>Hamill, J. K.; Liley, A.; Hill, A. G.</t>
  </si>
  <si>
    <t xml:space="preserve">https://www.scopus.com/inward/record.uri?eid=2-s2.0-84983070792&amp;doi=10.1097%2fSLA.0000000000001882&amp;partnerID=40&amp;md5=a4f1a2f7fa30b1ef988649feed7e1e79
</t>
  </si>
  <si>
    <t>10.1097/SLA.0000000000001882</t>
  </si>
  <si>
    <t xml:space="preserve">Rectus sheath block for laparoscopic appendicectomy: A randomized clinical trial
</t>
  </si>
  <si>
    <t xml:space="preserve">85
</t>
  </si>
  <si>
    <t xml:space="preserve">https://www.scopus.com/inward/record.uri?eid=2-s2.0-84983573824&amp;doi=10.1111%2fans.12950&amp;partnerID=40&amp;md5=8b5e9e38b884167eb5bc8fd25ddda9bc
</t>
  </si>
  <si>
    <t>10.1111/ans.12950</t>
  </si>
  <si>
    <t xml:space="preserve">PANasta Trial; Cattell Warren versus Blumgart techniques of panreatico-jejunostomy following pancreato-duodenectomy: Study protocol for a randomized controlled trial
</t>
  </si>
  <si>
    <t>Halloran, C. M.; Platt, K.; Gerard, A.; Polydoros, F.; O'Reilly, D. A.; Gomez, D.; Smith, A.; Neoptolemos, J. P.; Soonwalla, Z.; Taylor, M.; Blazeby, J. M.; Ghaneh, P.</t>
  </si>
  <si>
    <t xml:space="preserve">https://www.scopus.com/inward/record.uri?eid=2-s2.0-84954322114&amp;doi=10.1186%2fs13063-015-1144-9&amp;partnerID=40&amp;md5=75c2885fe84ff99501903efe0ecaa053
</t>
  </si>
  <si>
    <t>10.1186/s13063-015-1144-9</t>
  </si>
  <si>
    <t xml:space="preserve">Appendectomy versus non-operative treatment for acute uncomplicated appendicitis in children: Study protocol for a multicentre, open-label, non-inferiority, randomised controlled trial
</t>
  </si>
  <si>
    <t>Hall, N. J.; Eaton, S.; Abbo, O.; Arnaud, A. P.; Beaudin, M.; Brindle, M.; Bütter, A.; Davies, D.; Jancelewicz, T.; Johnson, K.; Keijzer, R.; Lapidus-Krol, E.; Offringa, M.; Piché, N.; Rintala, R.; Skarsgard, E.; Svensson, J. F.; Ungar, W. J.; Wester, T.; Willan, A. R.; Zani, A.; St Peter, S. D.; Pierro, A.</t>
  </si>
  <si>
    <t xml:space="preserve">BMJ Paediatrics Open
</t>
  </si>
  <si>
    <t xml:space="preserve">https://www.scopus.com/inward/record.uri?eid=2-s2.0-85034598685&amp;doi=10.1136%2fbmjpo-2017-000028&amp;partnerID=40&amp;md5=fe7aaa0ecb88d7dfb7ef33a2bb924b6f
</t>
  </si>
  <si>
    <t>10.1136/bmjpo-2017-000028</t>
  </si>
  <si>
    <t xml:space="preserve">Study Protocol of the PreFiPS Study: Prevention of Postoperative Pancreatic Fistula by Somatostatin Compared With Octreotide, a Prospective Randomized Controlled Trial
</t>
  </si>
  <si>
    <t>Hain, E.; Challine, A.; Tzedakis, S.; Mare, A.; Martinino, A.; Fuks, D.; Adham, M.; Piessen, G.; Regimbeau, J. M.; Buc, E.; Barbier, L.; Vaillant, J. C.; Jeune, F.; Sulpice, L.; Muscari, F.; Schwarz, L.; Deguelte, S.; Sa Cunha, A.; Truant, S.; Dousset, B.; Sauvanet, A.; Gaujoux, S.</t>
  </si>
  <si>
    <t xml:space="preserve">https://www.scopus.com/inward/record.uri?eid=2-s2.0-85100101287&amp;doi=10.3389%2ffmed.2020.00488&amp;partnerID=40&amp;md5=1103b15d7892d2a4ff1421878428482b
</t>
  </si>
  <si>
    <t>10.3389/fmed.2020.00488</t>
  </si>
  <si>
    <t xml:space="preserve">Use of the surgical Apgar score to guide postoperative care
</t>
  </si>
  <si>
    <t>Haddow, J. B.; Adwan, H.; Clark, S. E.; Tayeh, S.; Antonowicz, S. S.; Jayia, P.; Chicken, D. W.; Wiggins, T.; Davenport, R.; Kaptanis, S.; Fakhry, M.; Knowles, C. H.; Elmetwally, A. S.; Geddoa, E.; Nair, M. S.; Naeem, I.; Adegbola, S.; Muirhead, L. J.</t>
  </si>
  <si>
    <t xml:space="preserve">Annals of the Royal College of Surgeons of England
</t>
  </si>
  <si>
    <t>10.1308/003588414X13946184900840</t>
  </si>
  <si>
    <t xml:space="preserve">Pylorus Resection Does Not Reduce Delayed Gastric Emptying after Partial Pancreatoduodenectomy A Blinded Randomized Controlled Trial (PROPP Study, DRKS00004191)
</t>
  </si>
  <si>
    <t>Hackert, T.; Probst, P.; Knebel, P.; Doerr-Harim, C.; Bruckner, T.; Klaiber, U.; Werner, J.; Schneider, L.; Michalski, C. W.; Strobel, O.; Ulrich, A.; Diener, M. K.; Büchler, M. W.</t>
  </si>
  <si>
    <t xml:space="preserve">https://www.scopus.com/inward/record.uri?eid=2-s2.0-85048338350&amp;doi=10.1097%2fSLA.0000000000002480&amp;partnerID=40&amp;md5=71117b0e639ae9bebd11eaa0e7ee0a66
</t>
  </si>
  <si>
    <t>10.1097/SLA.0000000000002480</t>
  </si>
  <si>
    <t xml:space="preserve">Sleeve Gastrectomy and Cholecystectomy are Safe in Obese Patients with Asymptomatic Cholelithiasis. A Multicenter Randomized Trial
</t>
  </si>
  <si>
    <t>Habeeb, T. A. A. M.; Kermansaravi, M.; Giménez, M. E.; Manangi, M. N.; Elghadban, H.; Abdelsalam, S. A.; Metwalli, A. E. M.; Baghdadi, M. A.; Sarhan, A. A.; Moursi, A. M.; El-Taher, A. K.</t>
  </si>
  <si>
    <t xml:space="preserve">https://www.scopus.com/inward/record.uri?eid=2-s2.0-85127789657&amp;doi=10.1007%2fs00268-022-06557-2&amp;partnerID=40&amp;md5=a75cfd25580d683dfcc10b4323cee7aa
</t>
  </si>
  <si>
    <t>10.1007/s00268-022-06557-2</t>
  </si>
  <si>
    <t xml:space="preserve">Robot-assisted versus three-dimensional laparoscopic radical prostatectomy: 12-month outcomes of a randomised controlled trial
</t>
  </si>
  <si>
    <t>Haapiainen, H.; Murtola, T. J.; Koskimäki, J.; Riikonen, J.; Pakarainen, T.; Haney, C. M.; Raitanen, M.; Kaipia, A.</t>
  </si>
  <si>
    <t xml:space="preserve">https://www.scopus.com/inward/record.uri?eid=2-s2.0-85165623020&amp;doi=10.1111%2fbju.16132&amp;partnerID=40&amp;md5=d0e7465c76ea815253453e404f17fb1e
</t>
  </si>
  <si>
    <t>10.1111/bju.16132</t>
  </si>
  <si>
    <t xml:space="preserve">Three-year outcomes of vaginal mesh for prolapse a randomized controlled trial
</t>
  </si>
  <si>
    <t>Gutman, R. E.; Nosti, P. A.; Sokol, A. I.; Sokol, E. R.; Peterson, J. L.; Wang, H.; Iglesia, C. B.</t>
  </si>
  <si>
    <t xml:space="preserve">https://www.scopus.com/inward/record.uri?eid=2-s2.0-84889774643&amp;doi=10.1097%2fAOG.0b013e3182a49dac&amp;partnerID=40&amp;md5=959300b35ca1a12c3ff62b10fd708c59
</t>
  </si>
  <si>
    <t>10.1097/AOG.0b013e3182a49dac</t>
  </si>
  <si>
    <t xml:space="preserve">Randomized control trial on perioperative antibiotic prophylaxis in live liver donors: Are three doses enough?
</t>
  </si>
  <si>
    <t>Gupta, S.; Sinha, P. K.; Patil, N. S.; Mohapatra, N.; Sindwani, G.; Garg, N.; Khillan, V.; Pamecha, V.</t>
  </si>
  <si>
    <t xml:space="preserve">https://www.scopus.com/inward/record.uri?eid=2-s2.0-85117272778&amp;doi=10.1002%2fjhbp.1053&amp;partnerID=40&amp;md5=4a13dfda0f7f7e3d3318ce34162956f3
</t>
  </si>
  <si>
    <t>10.1002/jhbp.1053</t>
  </si>
  <si>
    <t xml:space="preserve">Comparison of clinical outcome and anal manometry following laparoscopic-assisted anorectoplasty and posterior sagittal anorectoplasty in patients with high and intermediate anorectal malformation: A randomised controlled trial
</t>
  </si>
  <si>
    <t>Gupta, C. R.; Bhoy, T.; Mohta, A.; Sengar, M.; Khan, N. A.; Manchanda, V.; Kumar, P.</t>
  </si>
  <si>
    <t xml:space="preserve">African Journal of Paediatric Surgery
</t>
  </si>
  <si>
    <t xml:space="preserve">https://www.scopus.com/inward/record.uri?eid=2-s2.0-85133289566&amp;doi=10.4103%2fajps.AJPS_176_20&amp;partnerID=40&amp;md5=e2f5886c4e21255cd7fbb673b037a851
</t>
  </si>
  <si>
    <t>10.4103/ajps.AJPS_176_20</t>
  </si>
  <si>
    <t xml:space="preserve">Candy cane compared with boot stirrups in vaginal surgery: A randomized controlled trial
</t>
  </si>
  <si>
    <t>Gupta, A.; Meriwether, K.; Tuller, M.; Sekula, M.; Gaskins, J.; Stewart, J. R.; Hobson, D.; Cardenas-Trowers, O.; Francis, S.</t>
  </si>
  <si>
    <t xml:space="preserve">https://www.scopus.com/inward/record.uri?eid=2-s2.0-85089126024&amp;doi=10.1097%2fAOG.0000000000003954&amp;partnerID=40&amp;md5=11136589514bf245ce63391721343217
</t>
  </si>
  <si>
    <t>10.1097/AOG.0000000000003954</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</si>
  <si>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</si>
  <si>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</si>
  <si>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</si>
  <si>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</si>
  <si>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Safety and efficiency of laparoscopic femoral hernia repair with preserved uterine round ligament
</t>
  </si>
  <si>
    <t>Guo, M.; Chen, D.; Zhang, H.; Lu, C.</t>
  </si>
  <si>
    <t xml:space="preserve">https://www.scopus.com/inward/record.uri?eid=2-s2.0-85072746033&amp;doi=10.29271%2fjcpsp.2019.10.932&amp;partnerID=40&amp;md5=bba305a7b36b3df4603f42f92e88ee07
</t>
  </si>
  <si>
    <t>10.29271/jcpsp.2019.10.932</t>
  </si>
  <si>
    <t xml:space="preserve">Combined Surgery and Extensive Intraoperative Peritoneal Lavage vs Surgery Alone for Treatment of Locally Advanced Gastric Cancer: The SEIPLUS Randomized Clinical Trial
</t>
  </si>
  <si>
    <t>Guo, J.; Xu, A.; Sun, X.; Zhao, X.; Xia, Y.; Rao, H.; Zhang, Y.; Zhang, R.; Chen, L.; Zhang, T.; Li, G.; Xu, H.; Xu, D.</t>
  </si>
  <si>
    <t xml:space="preserve">https://www.scopus.com/inward/record.uri?eid=2-s2.0-85063563372&amp;doi=10.1001%2fjamasurg.2019.0153&amp;partnerID=40&amp;md5=1bab641389efaae914f3145658585c52
</t>
  </si>
  <si>
    <t>10.1001/jamasurg.2019.0153</t>
  </si>
  <si>
    <t xml:space="preserve">Randomized controlled trial of monopolar cautery versus clips for staple line bleeding control in Roux-en-Y gastric bypass
</t>
  </si>
  <si>
    <t>Gundogan, E.; Kayaalp, C.; Aktas, A.; Saglam, K.; Sansal, M.; Uylas, U.; Gokler, C.; Cicek, E.; Sumer, F.</t>
  </si>
  <si>
    <t xml:space="preserve">58
</t>
  </si>
  <si>
    <t xml:space="preserve">https://www.scopus.com/inward/record.uri?eid=2-s2.0-85053807979&amp;doi=10.1016%2fj.ijsu.2018.09.007&amp;partnerID=40&amp;md5=90fdca0dce1e8663dd9dde551d5285b2
</t>
  </si>
  <si>
    <t>10.1016/j.ijsu.2018.09.007</t>
  </si>
  <si>
    <t xml:space="preserve">A Prospective, Randomized Trial Comparing the Outcomes of Open vs Laparoscopic Partial Nephrectomy
</t>
  </si>
  <si>
    <t>Guglielmetti, G. B.; Dos Anjos, G. C.; Sawczyn, G.; Rodrigues, G.; Cardili, L.; Cordeiro, M. D.; Neves, L. C. O.; Pontes Junior, J.; Fazoli, A.; Coelho, R. F.; Srougi, M.; Nahas, W. C.</t>
  </si>
  <si>
    <t xml:space="preserve">208
</t>
  </si>
  <si>
    <t xml:space="preserve">https://www.scopus.com/inward/record.uri?eid=2-s2.0-85134313762&amp;doi=10.1097%2fJU.0000000000002695&amp;partnerID=40&amp;md5=737df4fe0f3c6d33c9a28e269ecd8f94
</t>
  </si>
  <si>
    <t>10.1097/JU.0000000000002695</t>
  </si>
  <si>
    <t xml:space="preserve">A Multicentric Randomized Trial to Evaluate the ROle of Uterine MANipulator on Laparoscopic/Robotic HYsterectomy for the Treatment of Early-Stage Endometrial Cancer: The ROMANHY Trial
</t>
  </si>
  <si>
    <t>Gueli Alletti, S.; Perrone, E.; Fedele, C.; Cianci, S.; Pasciuto, T.; Chiantera, V.; Uccella, S.; Ercoli, A.; Vizzielli, G.; Fagotti, A.; Gallotta, V.; Cosentino, F.; Costantini, B.; Restaino, S.; Monterossi, G.; Rosati, A.; Turco, L. C.; Capozzi, V. A.; Fanfani, F.; Scambia, G.</t>
  </si>
  <si>
    <t xml:space="preserve">https://www.scopus.com/inward/record.uri?eid=2-s2.0-85115725479&amp;doi=10.3389%2ffonc.2021.720894&amp;partnerID=40&amp;md5=707e140537e694bafd0fd0d21ec4356d
</t>
  </si>
  <si>
    <t>10.3389/fonc.2021.720894</t>
  </si>
  <si>
    <t xml:space="preserve">Microwave ablation versus partial nephrectomy for small renal tumors: Intermediate-term results
</t>
  </si>
  <si>
    <t>Guan, W.; Bai, J.; Liu, J.; Wang, S.; Zhuang, Q.; Ye, Z.; Hu, Z.</t>
  </si>
  <si>
    <t xml:space="preserve">https://www.scopus.com/inward/record.uri?eid=2-s2.0-84864684335&amp;doi=10.1002%2fjso.23071&amp;partnerID=40&amp;md5=3b61d08991eb032bd1f60157b135fdef
</t>
  </si>
  <si>
    <t>10.1002/jso.23071</t>
  </si>
  <si>
    <t xml:space="preserve">Sentinel lymph node mapping versus systematic pelvic lymphadenectomy on the prognosis for patients with intermediate-high-risk endometrial cancer confined to the uterus before surgery: Trial protocol for a non-inferiority randomized controlled trial (snec trial)
</t>
  </si>
  <si>
    <t>Guan, J.; Xue, Y.; Zang, R. Y.; Liu, J. H.; Zhu, J. Q.; Zheng, Y.; Wang, B.; Wang, H. Y.; Chen, X. J.</t>
  </si>
  <si>
    <t xml:space="preserve">https://www.scopus.com/inward/record.uri?eid=2-s2.0-85107648419&amp;doi=10.3802%2fjgo.2021.32.e60&amp;partnerID=40&amp;md5=23823262d2492fd633fa4f2386a0f50d
</t>
  </si>
  <si>
    <t>10.3802/jgo.2021.32.e60</t>
  </si>
  <si>
    <t xml:space="preserve">Ultrasound-Guided Anterior Quadratus Lumborum Block at Lateral Supra-Arcuate Ligament vs Thoracic Epidural Analgesia after Open Liver Surgery: A Randomized, Controlled, Noninferiority Trial
</t>
  </si>
  <si>
    <t>Gu, B.; Zhou, H.; Lian, Y.; Zhou, Y.; He, S.; Xie, K.; Jiang, H.</t>
  </si>
  <si>
    <t xml:space="preserve">235
</t>
  </si>
  <si>
    <t xml:space="preserve">https://www.scopus.com/inward/record.uri?eid=2-s2.0-85142401093&amp;doi=10.1097%2fXCS.0000000000000354&amp;partnerID=40&amp;md5=2160147caacad470473a7d373c46e8c2
</t>
  </si>
  <si>
    <t>10.1097/XCS.0000000000000354</t>
  </si>
  <si>
    <t xml:space="preserve">Extended Versus Limited Lymph Node Dissection in Bladder Cancer Patients Undergoing Radical Cystectomy: Survival Results from a Prospective, Randomized Trial(Figure presented.)
</t>
  </si>
  <si>
    <t>Gschwend, J. E.; Heck, M. M.; Lehmann, J.; Rübben, H.; Albers, P.; Wolff, J. M.; Frohneberg, D.; de Geeter, P.; Heidenreich, A.; Kälble, T.; Stöckle, M.; Schnöller, T.; Stenzl, A.; Müller, M.; Truss, M.; Roth, S.; Liehr, U. B.; Leißner, J.; Bregenzer, T.; Retz, M.</t>
  </si>
  <si>
    <t xml:space="preserve">https://www.scopus.com/inward/record.uri?eid=2-s2.0-85054724078&amp;doi=10.1016%2fj.eururo.2018.09.047&amp;partnerID=40&amp;md5=1ee2c4fa7e47ddc9f42874e832ec4628
</t>
  </si>
  <si>
    <t>10.1016/j.eururo.2018.09.047</t>
  </si>
  <si>
    <t xml:space="preserve">Use of paracervical block before laparoscopic supracervical hysterectomy
</t>
  </si>
  <si>
    <t>Grzesh, R. L. B.; Treszezamsky, A. D.; Fenske, S. S.; Rascoff, L. G.; Moshier, E. L.; Ascher-Walsh, C.</t>
  </si>
  <si>
    <t xml:space="preserve">Journal of the Society of Laparoendoscopic Surgeons
</t>
  </si>
  <si>
    <t xml:space="preserve">https://www.scopus.com/inward/record.uri?eid=2-s2.0-85055599229&amp;doi=10.4293%2fJSLS.2018.00023&amp;partnerID=40&amp;md5=770f5c164a0eef241b8ee77f3d38c999
</t>
  </si>
  <si>
    <t>10.4293/JSLS.2018.00023</t>
  </si>
  <si>
    <t xml:space="preserve">Enteral versus parenteral nutrition in the conservative treatment of upper gastrointestinal fistula after surgery: A multicenter, randomized, parallel-group, open-label, phase III study (NUTRILEAK study)
</t>
  </si>
  <si>
    <t>Gronnier, C.; Chambrier, C.; Duhamel, A.; Dervaux, B.; Collet, D.; Vaudoyer, D.; Régimbeau, J. M.; Jougon, J.; Théréaux, J.; Lebreton, G.; Veziant, J.; Valverde, A.; Ortega-Deballon, P.; Pattou, F.; Mathonnet, M.; Perinel, J.; Beyer-Berjot, L.; Fuks, D.; Rouanet, P.; Lefevre, J. H.; Cattan, P.; Deguelte, S.; Meunier, B.; Tuech, J. J.; Pessaux, P.; Carrere, N.; Salame, E.; Benaim, E.; Dousset, B.; Msika, S.; Mariette, C.; Piessen, G.</t>
  </si>
  <si>
    <t xml:space="preserve">https://www.scopus.com/inward/record.uri?eid=2-s2.0-85085908532&amp;doi=10.1186%2fs13063-020-04366-3&amp;partnerID=40&amp;md5=c67ab0344223064d2c818ba9a771c05e
</t>
  </si>
  <si>
    <t>10.1186/s13063-020-04366-3</t>
  </si>
  <si>
    <t xml:space="preserve">Sublingual Sufentanil versus Standard-of-Care (Patient-Controlled Analgesia with Epidural Ropivacaine/Sufentanil or Intravenous Morphine) for Postoperative Pain Following Pancreatoduodenectomy: A Randomized Trial
</t>
  </si>
  <si>
    <t>Groen, J. V.; Boon, S. C.; Minderhoud, M. W.; Bonsing, B. A.; Martini, C. H.; Putter, H.; Vahrmeijer, A. L.; van Velzen, M.; Vuijk, J.; Mieog, J. S. D.; Dahan, A.</t>
  </si>
  <si>
    <t xml:space="preserve">https://www.scopus.com/inward/record.uri?eid=2-s2.0-85133184849&amp;doi=10.2147%2fJPR.S363545&amp;partnerID=40&amp;md5=f6098c8693a3efe812bdf8cfe87262e3
</t>
  </si>
  <si>
    <t>10.2147/JPR.S363545</t>
  </si>
  <si>
    <t xml:space="preserve">Robot-assisted versus laparoscopic single-incision cholecystectomy: results of a randomized controlled trial
</t>
  </si>
  <si>
    <t>Grochola, L. F.; Soll, C.; Zehnder, A.; Wyss, R.; Herzog, P.; Breitenstein, S.</t>
  </si>
  <si>
    <t xml:space="preserve">https://www.scopus.com/inward/record.uri?eid=2-s2.0-85053453207&amp;doi=10.1007%2fs00464-018-6430-7&amp;partnerID=40&amp;md5=58299220ae89fea479716a3c24ae293a
</t>
  </si>
  <si>
    <t>10.1007/s00464-018-6430-7</t>
  </si>
  <si>
    <t xml:space="preserve">Postponed or immediate drainage of infected necrotizing pancreatitis (POINTER trial): Study protocol for a randomized controlled trial
</t>
  </si>
  <si>
    <t>Grinsven, J. V.; Van Dijk, S. M.; Dijkgraaf, M. G.; Boermeester, M. A.; Bollen, T. L.; Bruno, M. J.; Van Brunschot, S.; Dejong, C. H.; Van Eijck, C. H.; Van Lienden, K. P.; Boerma, D.; Van Duijvendijk, P.; Hadithi, M.; Haveman, J. W.; Van Der Hulst, R. W.; Jansen, J. M.; Lips, D. J.; Manusama, E. R.; Molenaar, I. Q.; Van Der Peet, D. L.; Poen, A. C.; Quispel, R.; Schaapherder, A. F.; Schoon, E. J.; Schwartz, M. P.; Seerden, T. C.; Spanier, B. W. M.; Straathof, J. W.; Venneman, N. G.; Van De Vrie, W.; Witteman, B. J.; Van Goor, H.; Fockens, P.; Van Santvoort, H. C.; Besselink, M. G.; the Dutch Pancreatitis Study, Group</t>
  </si>
  <si>
    <t xml:space="preserve">https://www.scopus.com/inward/record.uri?eid=2-s2.0-85064979060&amp;doi=10.1186%2fs13063-019-3315-6&amp;partnerID=40&amp;md5=90cfac3a8378993cbc1f0dda20a72f55
</t>
  </si>
  <si>
    <t>10.1186/s13063-019-3315-6</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</si>
  <si>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</si>
  <si>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</si>
  <si>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</si>
  <si>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</si>
  <si>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Double-scope per oral endoscopic myotomy (POEM): a prospective randomized controlled trial
</t>
  </si>
  <si>
    <t>Grimes, K. L.; Inoue, H.; Onimaru, M.; Ikeda, H.; Tansawet, A.; Bechara, R.; Tanaka, S.</t>
  </si>
  <si>
    <t xml:space="preserve">https://www.scopus.com/inward/record.uri?eid=2-s2.0-84961843678&amp;doi=10.1007%2fs00464-015-4396-2&amp;partnerID=40&amp;md5=2dda4368f11bcea489e7eb01df4aba91
</t>
  </si>
  <si>
    <t>10.1007/s00464-015-4396-2</t>
  </si>
  <si>
    <t xml:space="preserve">In search of the best reconstructive technique after pancreaticoduodenectomy: Pancreaticojejunostomy versus pancreaticogastrostomy
</t>
  </si>
  <si>
    <t>Grendar, J.; Ouellet, J. F.; Sutherland, F. R.; Bathe, O. F.; Ball, C. G.; Dixon, E.</t>
  </si>
  <si>
    <t xml:space="preserve">Canadian Journal of Surgery
</t>
  </si>
  <si>
    <t xml:space="preserve">https://www.scopus.com/inward/record.uri?eid=2-s2.0-84937213817&amp;doi=10.1503%2fcjs.010014&amp;partnerID=40&amp;md5=5e25dc9eff8da5f956eaeffcf7674aca
</t>
  </si>
  <si>
    <t>10.1503/cjs.010014</t>
  </si>
  <si>
    <t xml:space="preserve">Effect of N-acetylcysteine on liver recovery after resection: A randomized clinical trial
</t>
  </si>
  <si>
    <t>Grendar, J.; Ouellet, J. F.; McKay, A.; Sutherland, F. R.; Bathe, O. F.; Ball, C. G.; Dixon, E.</t>
  </si>
  <si>
    <t xml:space="preserve">114
</t>
  </si>
  <si>
    <t xml:space="preserve">https://www.scopus.com/inward/record.uri?eid=2-s2.0-84990248150&amp;doi=10.1002%2fjso.24312&amp;partnerID=40&amp;md5=cece05acdf0503f14e1f63d6c1ad9f01
</t>
  </si>
  <si>
    <t>10.1002/jso.24312</t>
  </si>
  <si>
    <t xml:space="preserve">Prehabilitation sessions can be provided more frequently in a shortened regimen with similar or better efficacy in people with non-small cell lung cancer: a randomised trial
</t>
  </si>
  <si>
    <t>Gravier, F. E.; Smondack, P.; Boujibar, F.; Prieur, G.; Medrinal, C.; Combret, Y.; Muir, J. F.; Baste, J. M.; Cuvelier, A.; Debeaumont, D.; Bonnevie, T.</t>
  </si>
  <si>
    <t xml:space="preserve">Journal of Physiotherapy
</t>
  </si>
  <si>
    <t>10.1016/j.jphys.2021.12.010</t>
  </si>
  <si>
    <t xml:space="preserve">Effects of continuous use of probiotics before liver transplantation: A randomized, double-blind, placebo-controlled trial
</t>
  </si>
  <si>
    <t>Grąt, M.; Wronka, K. M.; Lewandowski, Z.; Grąt, K.; Krasnodębski, M.; Stypułkowski, J.; Hołówko, W.; Masior, Ł; Kosińska, I.; Wasilewicz, M.; Raszeja-Wyszomirska, J.; Rejowski, S.; Bik, E.; Patkowski, W.; Krawczyk, M.</t>
  </si>
  <si>
    <t xml:space="preserve">https://www.scopus.com/inward/record.uri?eid=2-s2.0-85018901967&amp;doi=10.1016%2fj.clnu.2017.04.021&amp;partnerID=40&amp;md5=fa2f8a5d07dc90e5fa9ace2a3c2696ba
</t>
  </si>
  <si>
    <t>10.1016/j.clnu.2017.04.021</t>
  </si>
  <si>
    <t xml:space="preserve">Incisional Surgical Site Infections After Mass and Layered Closure of Upper Abdominal Transverse Incisions: First Results of a Randomized Controlled Trial
</t>
  </si>
  <si>
    <t>Grąt, M.; Morawski, M.; Krasnodȩbski, M.; Borkowski, J.; Krawczyk, P.; Grąt, K.; Stypułkowski, J.; Maczkowski, B.; Figiel, W.; Lewandowski, Z.; Kobryń, K.; Patkowski, W.; Krawczyk, M.; Wróblewski, T.; Otto, Wł; Paluszkiewicz, R.; Zieniewicz, K.</t>
  </si>
  <si>
    <t xml:space="preserve">https://www.scopus.com/inward/record.uri?eid=2-s2.0-85118283246&amp;doi=10.1097%2fSLA.0000000000005128&amp;partnerID=40&amp;md5=6577857005aed36824792b77ec604fc2
</t>
  </si>
  <si>
    <t>10.1097/SLA.0000000000005128</t>
  </si>
  <si>
    <t xml:space="preserve">Preoperative nutritional screening by the specialist instead of the nutritional risk score might prevent excess nutrition: A multivariate analysis of nutritional risk factors
</t>
  </si>
  <si>
    <t>Grass, F.; Hübner, M.; Schäfer, M.; Ballabeni, P.; Cerantola, Y.; Demartines, N.; Pralong, F. P.; Bertrand, P. C.</t>
  </si>
  <si>
    <t xml:space="preserve">Nutrition Journal
</t>
  </si>
  <si>
    <t xml:space="preserve">https://www.scopus.com/inward/record.uri?eid=2-s2.0-84928017095&amp;doi=10.1186%2fs12937-015-0024-1&amp;partnerID=40&amp;md5=41a1260a7343768b6feedbb247c19774
</t>
  </si>
  <si>
    <t>10.1186/s12937-015-0024-1</t>
  </si>
  <si>
    <t xml:space="preserve">Prospective randomized controlled trial of liberal vs restricted perioperative fluid management in patients undergoing pancreatectomy
</t>
  </si>
  <si>
    <t>Grant, F.; Brennan, M. F.; Allen, P. J.; DeMatteo, R. P.; Kingham, T. P.; D'Angelica, M.; Fischer, M. E.; Gonen, M.; Zhang, H.; Jarnagin, W. R.</t>
  </si>
  <si>
    <t xml:space="preserve">https://www.scopus.com/inward/record.uri?eid=2-s2.0-84976412175&amp;doi=10.1097%2fSLA.0000000000001846&amp;partnerID=40&amp;md5=13d4e4155b5e735980a2a8e87bf07946
</t>
  </si>
  <si>
    <t>10.1097/SLA.0000000000001846</t>
  </si>
  <si>
    <t xml:space="preserve">Impact of energy devices during liver parenchymal transection: A multicenter randomized controlled trial
</t>
  </si>
  <si>
    <t>Gotohda, N.; Yamanaka, T.; Saiura, A.; Uesaka, K.; Hashimoto, M.; Konishi, M.; Shimada, K.</t>
  </si>
  <si>
    <t xml:space="preserve">https://www.scopus.com/inward/record.uri?eid=2-s2.0-84940004177&amp;doi=10.1007%2fs00268-015-2967-y&amp;partnerID=40&amp;md5=8274b2583bac958e9f9df54233151351
</t>
  </si>
  <si>
    <t>10.1007/s00268-015-2967-y</t>
  </si>
  <si>
    <t xml:space="preserve">Comparison of two intraductal brush cytology devices for suspected malignant biliary strictures: randomized controlled trial
</t>
  </si>
  <si>
    <t>Gorris, M.; van Huijgevoort, N. C. M.; Fockens, P.; Meijer, S. L.; Verheij, J.; Voermans, R. P.; van Wanrooij, R. L. J.; Lekkerkerker, S. J.; van Hooft, J. E.</t>
  </si>
  <si>
    <t xml:space="preserve">https://www.scopus.com/inward/record.uri?eid=2-s2.0-85148954658&amp;doi=10.1007%2fs00464-023-09916-9&amp;partnerID=40&amp;md5=56a78f809ad5b9778a8cde1d98d0ea04
</t>
  </si>
  <si>
    <t>10.1007/s00464-023-09916-9</t>
  </si>
  <si>
    <t xml:space="preserve">Safety and Feasibility of Additional Tumor Debulking to First-Line Palliative Combination Chemotherapy for Patients with Multiorgan Metastatic Colorectal Cancer
</t>
  </si>
  <si>
    <t>Gootjes, E. C.; van der Stok, E. P.; Buffart, T. E.; Bakkerus, L.; Labots, M.; Zonderhuis, B. M.; Tuynman, J. B.; Meijerink, M. R.; van de Ven, P. M.; Haasbeek, C. J. A.; ten Tije, A. J.; de Groot, J. W. B.; Hendriks, M. P.; van Meerten, E.; Nuyttens, J. J. M. E.; Grunhagen, D. J.; Verhoef, C.; Verheul, H. M. W.</t>
  </si>
  <si>
    <t xml:space="preserve">Oncologist
</t>
  </si>
  <si>
    <t xml:space="preserve">https://www.scopus.com/inward/record.uri?eid=2-s2.0-85087841852&amp;doi=10.1634%2ftheoncologist.2019-0693&amp;partnerID=40&amp;md5=b6782c9ce301726bb23371dd0d0cc548
</t>
  </si>
  <si>
    <t>10.1634/theoncologist.2019-0693</t>
  </si>
  <si>
    <t xml:space="preserve">Randomised clinical trial: Prucalopride, a colonic pro-motility agent, reduces the duration of post-operative ileus after elective gastrointestinal surgery
</t>
  </si>
  <si>
    <t>Gong, J.; Xie, Z.; Zhang, T.; Gu, L.; Yao, W.; Guo, Z.; Li, Y.; Lu, N.; Zhu, W.; Li, N.; Li, J.</t>
  </si>
  <si>
    <t xml:space="preserve">Alimentary Pharmacology and Therapeutics
</t>
  </si>
  <si>
    <t xml:space="preserve">https://www.scopus.com/inward/record.uri?eid=2-s2.0-84959490515&amp;doi=10.1111%2fapt.13557&amp;partnerID=40&amp;md5=af9241cb653928c99d1f7e0d87be1841
</t>
  </si>
  <si>
    <t>10.1111/apt.13557</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</si>
  <si>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</si>
  <si>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</si>
  <si>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</si>
  <si>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</si>
  <si>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PREventive effect of FENestration with and without clipping on post-kidney transplantation lymphatic complications (PREFEN): Study protocol for a randomised controlled trial
</t>
  </si>
  <si>
    <t>Golriz, M.; Sabagh, M.; Mohammadi, S.; Ghamarnejad, O.; Khajeh, E.; Mieth, M.; Al-Saeedi, M.; Diener, M. K.; Mihaljevic, A. L.; Morath, C.; Zeier, M.; Kulu, Y.; Mehrabi, A.</t>
  </si>
  <si>
    <t xml:space="preserve">https://www.scopus.com/inward/record.uri?eid=2-s2.0-85092887158&amp;doi=10.1136%2fbmjopen-2019-032286&amp;partnerID=40&amp;md5=1968cec26288f122b3fbbf9557df43d2
</t>
  </si>
  <si>
    <t>10.1136/bmjopen-2019-032286</t>
  </si>
  <si>
    <t xml:space="preserve">Neoadjuvant chemoradiation therapy with gemcitabine/cisplatin and surgery versus immediate surgery in resectable pancreatic cancer: Results of the first prospective randomized phase II trial
</t>
  </si>
  <si>
    <t>Golcher, H.; Brunner, T. B.; Witzigmann, H.; Marti, L.; Bechstein, W. O.; Bruns, C.; Jungnickel, H.; Schreiber, S.; Grabenbauer, G. G.; Meyer, T.; Merkel, S.; Fietkau, R.; Hohenberger, W.</t>
  </si>
  <si>
    <t xml:space="preserve">Strahlentherapie und Onkologie
</t>
  </si>
  <si>
    <t xml:space="preserve">https://www.scopus.com/inward/record.uri?eid=2-s2.0-84922003057&amp;doi=10.1007%2fs00066-014-0737-7&amp;partnerID=40&amp;md5=898c61c1b115cd2631df6b28b4da2e4f
</t>
  </si>
  <si>
    <t>10.1007/s00066-014-0737-7</t>
  </si>
  <si>
    <t xml:space="preserve">Treatment of gastric peritoneal carcinomatosis by combining complete surgical resection of lesions and intraperitoneal immunotherapy using catumaxomab
</t>
  </si>
  <si>
    <t>Goéré, D.; Gras-Chaput, N.; Aupérin, A.; Flament, C.; Mariette, C.; Glehen, O.; Zitvogel, L.; Elias, D.</t>
  </si>
  <si>
    <t xml:space="preserve">https://www.scopus.com/inward/record.uri?eid=2-s2.0-84898597551&amp;doi=10.1186%2f1471-2407-14-148&amp;partnerID=40&amp;md5=8a05cd06694b0b3cd2be5cf7a453b4b9
</t>
  </si>
  <si>
    <t>10.1186/1471-2407-14-148</t>
  </si>
  <si>
    <t xml:space="preserve">Cost analysis of robot-assisted versus open transthoracic esophagectomy for resectable esophageal cancer. Results of the ROBOT randomized clinical trial
</t>
  </si>
  <si>
    <t>Goense, L.; van der Sluis, P. C.; van der Horst, S.; Tagkalos, E.; Grimminger, P. P.; van Dijk, W.; Ruurda, J. P.; van Hillegersberg, R.</t>
  </si>
  <si>
    <t xml:space="preserve">https://www.scopus.com/inward/record.uri?eid=2-s2.0-85164596302&amp;doi=10.1016%2fj.ejso.2023.06.020&amp;partnerID=40&amp;md5=5a1fb7883484b394ddad44e42b253922
</t>
  </si>
  <si>
    <t>10.1016/j.ejso.2023.06.020</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</si>
  <si>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</si>
  <si>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</si>
  <si>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</si>
  <si>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</si>
  <si>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Bilateral Peritoneal Flaps Reduce Incidence and Complications of Lymphoceles after Robotic Radical Prostatectomy with Pelvic Lymph Node Dissection - Results of the Prospective Randomized Multicenter Trial ProLy
</t>
  </si>
  <si>
    <t>Gloger, S.; Ubrig, B.; Boy, A.; Leyh-Bannurah, S. R.; Siemer, S.; Arndt, M.; Stolzenburg, J. U.; Franz, T.; Oelke, M.; Witt, J. H.</t>
  </si>
  <si>
    <t xml:space="preserve">https://www.scopus.com/inward/record.uri?eid=2-s2.0-85134299342&amp;doi=10.1097%2fJU.0000000000002693&amp;partnerID=40&amp;md5=fc8154a8544928050b7b256d9cf4f1f7
</t>
  </si>
  <si>
    <t>10.1097/JU.0000000000002693</t>
  </si>
  <si>
    <t xml:space="preserve">Preoperative Pelvic Floor Injections with Bupivacaine and Dexamethasone for Pain Control after Vaginal Prolapse Repair: A Randomized Controlled Trial
</t>
  </si>
  <si>
    <t>Giugale, L. E.; Baranski, L. A.; Meyn, L. A.; Schott, N. J.; Emerick, T. D.; Moalli, P. A.</t>
  </si>
  <si>
    <t xml:space="preserve">137
</t>
  </si>
  <si>
    <t xml:space="preserve">https://www.scopus.com/inward/record.uri?eid=2-s2.0-85099428211&amp;doi=10.1097%2fAOG.0000000000004205&amp;partnerID=40&amp;md5=a2b8f54024b329086ff2cfc93c24af0f
</t>
  </si>
  <si>
    <t>10.1097/AOG.0000000000004205</t>
  </si>
  <si>
    <t xml:space="preserve">Prehabilitation with Whey Protein Supplementation on Perioperative Functional Exercise Capacity in Patients Undergoing Colorectal Resection for Cancer: A Pilot Double-Blinded Randomized Placebo-Controlled Trial
</t>
  </si>
  <si>
    <t>Gillis, C.; Loiselle, S. E.; Fiore, J. F.; Awasthi, R.; Wykes, L.; Liberman, A. S.; Stein, B.; Charlebois, P.; Carli, F.</t>
  </si>
  <si>
    <t xml:space="preserve">Journal of the Academy of Nutrition and Dietetics
</t>
  </si>
  <si>
    <t xml:space="preserve">https://www.scopus.com/inward/record.uri?eid=2-s2.0-84937611622&amp;doi=10.1016%2fj.jand.2015.06.007&amp;partnerID=40&amp;md5=e4ec44cae19adc5ef42efe84d68160b3
</t>
  </si>
  <si>
    <t>10.1016/j.jand.2015.06.007</t>
  </si>
  <si>
    <t xml:space="preserve">Prehabilitation versus rehabilitation: A randomized control trial in patients undergoing colorectal resection for cancer
</t>
  </si>
  <si>
    <t>Gillis, C.; Li, C.; Lee, L.; Awasthi, R.; Augustin, B.; Gamsa, A.; Liberman, A. S.; Stein, B.; Charlebois, P.; Feldman, L. S.; Carli, F.</t>
  </si>
  <si>
    <t xml:space="preserve">https://www.scopus.com/inward/record.uri?eid=2-s2.0-84914164117&amp;doi=10.1097%2fALN.0000000000000393&amp;partnerID=40&amp;md5=0905d0ad921b9c689c06d4fea6199854
</t>
  </si>
  <si>
    <t>10.1097/ALN.0000000000000393</t>
  </si>
  <si>
    <t xml:space="preserve">Older frail prehabilitated patients who cannot attain a 400 m 6-min walking distance before colorectal surgery suffer more postoperative complications
</t>
  </si>
  <si>
    <t>Gillis, C.; Fenton, T. R.; Gramlich, L.; Sajobi, T. T.; Culos-Reed, S. N.; Bousquet-Dion, G.; Elsherbini, N.; Fiore Jr, J. F.; Minnella, E. M.; Awasthi, R.; Liberman, A. S.; Boutros, M.; Carli, F.</t>
  </si>
  <si>
    <t xml:space="preserve">https://www.scopus.com/inward/record.uri?eid=2-s2.0-85092221183&amp;doi=10.1016%2fj.ejso.2020.09.041&amp;partnerID=40&amp;md5=152a1d8e11384dcf9d78c9a0a0bbc4af
</t>
  </si>
  <si>
    <t>10.1016/j.ejso.2020.09.041</t>
  </si>
  <si>
    <t xml:space="preserve">WATER: A Double-Blind, Randomized, Controlled Trial of Aquablation® vs Transurethral Resection of the Prostate in Benign Prostatic Hyperplasia
</t>
  </si>
  <si>
    <t>Gilling, P.; Barber, N.; Bidair, M.; Anderson, P.; Sutton, M.; Aho, T.; Kramolowsky, E.; Thomas, A.; Cowan, B.; Kaufman, R. P., Jr.; Trainer, A.; Arther, A.; Badlani, G.; Plante, M.; Desai, M.; Doumanian, L.; Te, A. E.; DeGuenther, M.; Roehrborn, C.</t>
  </si>
  <si>
    <t xml:space="preserve">https://www.scopus.com/inward/record.uri?eid=2-s2.0-85044360002&amp;doi=10.1016%2fj.juro.2017.12.065&amp;partnerID=40&amp;md5=9a5dd7b93796c29f433a902220399216
</t>
  </si>
  <si>
    <t>10.1016/j.juro.2017.12.065</t>
  </si>
  <si>
    <t xml:space="preserve">Impact of a geriatric intervention to improve screening and management of undernutrition in older patients undergoing surgery for colorectal cancer: Results of the anc stepped-wedge trial
</t>
  </si>
  <si>
    <t>Gilbert, T.; Bernard, L.; Alexandre, M.; Bin-Dorel, S.; Villeneuve, L.; Decullier, E.; Bonnefoy, M.</t>
  </si>
  <si>
    <t xml:space="preserve">https://www.scopus.com/inward/record.uri?eid=2-s2.0-85109324054&amp;doi=10.3390%2fnu13072347&amp;partnerID=40&amp;md5=8018e2e63efb62c5045fc2ecc2cf59a1
</t>
  </si>
  <si>
    <t>10.3390/nu13072347</t>
  </si>
  <si>
    <t xml:space="preserve">Transanal Hemorrhoidal Dearterialization Versus Stapled Hemorrhoidopexy: Long-Term Follow-up of a Prospective Randomized Study
</t>
  </si>
  <si>
    <t>Giarratano, G.; Toscana, E.; Toscana, C.; Petrella, G.; Shalaby, M.; Sileri, P.</t>
  </si>
  <si>
    <t xml:space="preserve">Surgical Innovation
</t>
  </si>
  <si>
    <t xml:space="preserve">https://www.scopus.com/inward/record.uri?eid=2-s2.0-85047485641&amp;doi=10.1177%2f1553350618761757&amp;partnerID=40&amp;md5=3f2364619579cbbd4a81795a4b1eac1f
</t>
  </si>
  <si>
    <t>10.1177/1553350618761757</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</si>
  <si>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</si>
  <si>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</si>
  <si>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</si>
  <si>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</si>
  <si>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</si>
  <si>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Preoperative Oral Carbohydrate Load Versus Placebo in Major Elective Abdominal Surgery (PROCY)
</t>
  </si>
  <si>
    <t>Gianotti, L.; Biffi, R.; Sandini, M.; Marrelli, D.; Vignali, A.; Caccialanza, R.; Viganò, J.; Sabbatini, A.; Di Mare, G.; Alessiani, M.; Antomarchi, F.; Valsecchi, M. G.; Bernasconi, D. P.</t>
  </si>
  <si>
    <t xml:space="preserve">https://www.scopus.com/inward/record.uri?eid=2-s2.0-85020172753&amp;doi=10.1097%2fSLA.0000000000002325&amp;partnerID=40&amp;md5=6f2babec15db752a3f7af1ff557b409b
</t>
  </si>
  <si>
    <t>10.1097/SLA.0000000000002325</t>
  </si>
  <si>
    <t xml:space="preserve">Pilot, Open, Randomized, Prospective Trial for Normothermic Machine Perfusion Evaluation in Liver Transplantation From Older Donors
</t>
  </si>
  <si>
    <t>Ghinolfi, D.; Rreka, E.; De Tata, V.; Franzini, M.; Pezzati, D.; Fierabracci, V.; Masini, M.; Cacciatoinsilla, A.; Bindi, M. L.; Marselli, L.; Mazzotti, V.; Morganti, R.; Marchetti, P.; Biancofiore, G.; Campani, D.; Paolicchi, A.; De Simone, P.</t>
  </si>
  <si>
    <t xml:space="preserve">https://www.scopus.com/inward/record.uri?eid=2-s2.0-85062239967&amp;doi=10.1002%2flt.25362&amp;partnerID=40&amp;md5=b2aec001704ee17e9b3ead705570ef38
</t>
  </si>
  <si>
    <t>10.1002/lt.25362</t>
  </si>
  <si>
    <t xml:space="preserve">Immediate surgery compared with short-course neoadjuvant gemcitabine plus capecitabine, FOLFIRINOX, or chemoradiotherapy in patients with borderline resectable pancreatic cancer (ESPAC5): a four-arm, multicentre, randomised, phase 2 trial
</t>
  </si>
  <si>
    <t>Ghaneh, P.; Palmer, D.; Cicconi, S.; Jackson, R.; Halloran, C. M.; Rawcliffe, C.; Sripadam, R.; Mukherjee, S.; Soonawalla, Z.; Wadsley, J.; Al-Mukhtar, A.; Dickson, E.; Graham, J.; Jiao, L.; Wasan, H. S.; Tait, I. S.; Prachalias, A.; Ross, P.; Valle, J. W.; O'Reilly, D. A.; Al-Sarireh, B.; Gwynne, S.; Ahmed, I.; Connolly, K.; Yim, K. L.; Cunningham, D.; Armstrong, T.; Archer, C.; Roberts, K.; Ma, Y. T.; Springfeld, C.; Tjaden, C.; Hackert, T.; Büchler, M. W.; Neoptolemos, J. P.; European Study Group for Pancreatic, Cancer</t>
  </si>
  <si>
    <t xml:space="preserve">https://www.scopus.com/inward/record.uri?eid=2-s2.0-85145954711&amp;doi=10.1016%2fS2468-1253%2822%2900348-X&amp;partnerID=40&amp;md5=b5c2fcec02657c22210f5ed3bfd10984
</t>
  </si>
  <si>
    <t>10.1016/S2468-1253(22)00348-X</t>
  </si>
  <si>
    <t xml:space="preserve">Randomized clinical trial of an enhanced recovery after surgery programme versus conventional care in laparoscopic Roux-en-Y gastric bypass surgery
</t>
  </si>
  <si>
    <t>Geubbels, N.; Evren, I.; Acherman, Y. I. Z.; Bruin, S. C.; van de Laar, A. W. J. M.; Hoen, M. B.; de Brauw, L. M.</t>
  </si>
  <si>
    <t xml:space="preserve">https://www.scopus.com/inward/record.uri?eid=2-s2.0-85080035045&amp;doi=10.1002%2fbjs5.50143&amp;partnerID=40&amp;md5=03587ec92666ec0651251c3baa310b4d
</t>
  </si>
  <si>
    <t>10.1002/bjs5.50143</t>
  </si>
  <si>
    <t xml:space="preserve">Protocol for a Randomized Phase II Trial for Mesh Optimization by Autologous Plasma Coating in Prolapse Repair: IDEAL Stage 3
</t>
  </si>
  <si>
    <t>Gerullis, H.; Barski, D.; Georgas, E.; Borós, M.; Ramon, A.; Ecke, T. H.; Selinski, S.; Luedders, D.; Kramer, M. W.; Winter, A.; Wawroschek, F.; Otto, T.</t>
  </si>
  <si>
    <t xml:space="preserve">Advances in Therapy
</t>
  </si>
  <si>
    <t xml:space="preserve">https://www.scopus.com/inward/record.uri?eid=2-s2.0-85013631293&amp;doi=10.1007%2fs12325-017-0493-z&amp;partnerID=40&amp;md5=ebf05cf12b922f726f84de3b3b70bd29
</t>
  </si>
  <si>
    <t>10.1007/s12325-017-0493-z</t>
  </si>
  <si>
    <t xml:space="preserve">Neoadjuvant chemoradiotherapy with radiation dose escalation with contact x-ray brachytherapy boost or external beam radiotherapy boost for organ preservation in early cT2–cT3 rectal adenocarcinoma (OPERA): a phase 3, randomised controlled trial
</t>
  </si>
  <si>
    <t>Gerard, J. P.; Barbet, N.; Schiappa, R.; Magné, N.; Martel, I.; Mineur, L.; Deberne, M.; Zilli, T.; Dhadda, A.; Myint, A. S.; group, Icone</t>
  </si>
  <si>
    <t xml:space="preserve">https://www.scopus.com/inward/record.uri?eid=2-s2.0-85149692033&amp;doi=10.1016%2fS2468-1253%2822%2900392-2&amp;partnerID=40&amp;md5=5d10d49d7a9a61003719916fc40c1ca0
</t>
  </si>
  <si>
    <t>10.1016/S2468-1253(22)00392-2</t>
  </si>
  <si>
    <t xml:space="preserve">Sexual Function after Minimally Invasive Total Hysterectomy and Sacrocolpopexy
</t>
  </si>
  <si>
    <t>Geller, E. J.; Bretschneider, C. E.; Wu, J. M.; Kenton, K.; Matthews, C. A.</t>
  </si>
  <si>
    <t xml:space="preserve">https://www.scopus.com/inward/record.uri?eid=2-s2.0-85101693307&amp;doi=10.1016%2fj.jmig.2021.01.021&amp;partnerID=40&amp;md5=32251525e556fb7f29f5300b8d8d508c
</t>
  </si>
  <si>
    <t>10.1016/j.jmig.2021.01.021</t>
  </si>
  <si>
    <t xml:space="preserve">Influence of gum-chewing on postoperative bowel activity after laparoscopic surgery for gastric cancer: A randomized controlled trial
</t>
  </si>
  <si>
    <t>Ge, B.; Zhao, H.; Lin, R.; Wang, J.; Chen, Q.; Liu, L.; Huang, Q.</t>
  </si>
  <si>
    <t xml:space="preserve">https://www.scopus.com/inward/record.uri?eid=2-s2.0-85016923594&amp;doi=10.1097%2fMD.0000000000006501&amp;partnerID=40&amp;md5=457fd065b0344334cb7442792486b07f
</t>
  </si>
  <si>
    <t>10.1097/MD.0000000000006501</t>
  </si>
  <si>
    <t xml:space="preserve">“Ultra” E.R.A.S. in laparoscopic colectomy for cancer: discharge after the first flatus? A prospective, randomized trial
</t>
  </si>
  <si>
    <t>Garulli, G.; Lucchi, A.; Berti, P.; Gabbianelli, C.; Siani, L. M.</t>
  </si>
  <si>
    <t xml:space="preserve">https://www.scopus.com/inward/record.uri?eid=2-s2.0-84982162281&amp;doi=10.1007%2fs00464-016-5177-2&amp;partnerID=40&amp;md5=c2ec8aa7c53ae9a5492ab238f19123af
</t>
  </si>
  <si>
    <t>10.1007/s00464-016-5177-2</t>
  </si>
  <si>
    <t xml:space="preserve">Endoscopic versus laparoscopic drainage of pseudocyst and walled-off necrosis following acute pancreatitis: a randomized trial
</t>
  </si>
  <si>
    <t>Garg, P. K.; Meena, D.; Babu, D.; Padhan, R. K.; Dhingra, R.; Krishna, A.; Kumar, S.; Misra, M. C.; Bansal, V. K.</t>
  </si>
  <si>
    <t xml:space="preserve">https://www.scopus.com/inward/record.uri?eid=2-s2.0-85066636954&amp;doi=10.1007%2fs00464-019-06866-z&amp;partnerID=40&amp;md5=d64f32e89ead0093dab4a6c551fd19db
</t>
  </si>
  <si>
    <t>10.1007/s00464-019-06866-z</t>
  </si>
  <si>
    <t xml:space="preserve">Prehabilitation for bariatric surgery: A randomized, controlled trial protocol and pilot study
</t>
  </si>
  <si>
    <t>García-Delgado, Y.; López-Madrazo-hernández, M. J.; Alvarado-Martel, D.; Miranda-Calderín, G.; Ugarte-Lopetegui, A.; González-Medina, R. A.; Hernández-Lázaro, A.; Zamora, G.; Pérez-Martín, N.; Sánchez-Hernández, R. M.; Ibarra-González, A.; Bengoa-Dolón, M.; Mendoza-Vega, C. T.; Appelvik-González, S. M.; Caballero-Díaz, Y.; Hernández-Hernández, J. R.; Wägner, A. M.</t>
  </si>
  <si>
    <t xml:space="preserve">https://www.scopus.com/inward/record.uri?eid=2-s2.0-85113737585&amp;doi=10.3390%2fnu13092903&amp;partnerID=40&amp;md5=e3ea1daf1ae27796c821d92189261c33
</t>
  </si>
  <si>
    <t>10.3390/nu13092903</t>
  </si>
  <si>
    <t xml:space="preserve">Efficacy and safety of anastomotic leak testing in gastric cancer: a randomized controlled trial
</t>
  </si>
  <si>
    <t>Gao, Z.; Luo, H.; Ma, L.; Bai, D.; Qin, X.; Bautista, M.; Gong, L.; Peng, Y.; Hu, J.; Tian, Y.</t>
  </si>
  <si>
    <t xml:space="preserve">https://www.scopus.com/inward/record.uri?eid=2-s2.0-85150974757&amp;doi=10.1007%2fs00464-023-10025-w&amp;partnerID=40&amp;md5=5114e3e4a1bf84c101df767fbfebf645
</t>
  </si>
  <si>
    <t>10.1007/s00464-023-10025-w</t>
  </si>
  <si>
    <t xml:space="preserve">Benign Prostatic hyperplasia: Prostatic arterial embolization versus transurethral resection of the prostate-a prospective, randomized, and controlled clinical trial
</t>
  </si>
  <si>
    <t>Gao, Y. A.; Huang, Y.; Zhang, R.; Yang, Y. D.; Zhang, Q.; Hou, M.; Wang, Y.</t>
  </si>
  <si>
    <t xml:space="preserve">https://www.scopus.com/inward/record.uri?eid=2-s2.0-84895501414&amp;doi=10.1148%2fradiol.13122803&amp;partnerID=40&amp;md5=d0744d24b9e50b76ac92d63da2a2c502
</t>
  </si>
  <si>
    <t>10.1148/radiol.13122803</t>
  </si>
  <si>
    <t xml:space="preserve">Prospective randomized controlled trial comparing laser lithotripsy with pneumatic lithotripsy in miniperc for renal calculi
</t>
  </si>
  <si>
    <t>Ganesamoni, R.; Sabnis, R. B.; Mishra, S.; Parekh, N.; Ganpule, A.; Vyas, J. B.; Jagtap, J.; Desai, M.</t>
  </si>
  <si>
    <t xml:space="preserve">https://www.scopus.com/inward/record.uri?eid=2-s2.0-84890507514&amp;doi=10.1089%2fend.2013.0177&amp;partnerID=40&amp;md5=3e040386cc7ab69b9b5036e6153f24e3
</t>
  </si>
  <si>
    <t>10.1089/end.2013.0177</t>
  </si>
  <si>
    <t xml:space="preserve">Modified versus standard D2 lymphadenectomy in total gastrectomy for nonjunctional gastric carcinoma with lymph node metastasis
</t>
  </si>
  <si>
    <t>Galizia, G.; Lieto, E.; De Vita, F.; Castellano, P.; Ferraraccio, F.; Zamboli, A.; Mabilia, A.; Auricchio, A.; De Sena, G.; De Stefano, L.; Cardella, F.; Barbarisi, A.; Orditura, M.</t>
  </si>
  <si>
    <t xml:space="preserve">https://www.scopus.com/inward/record.uri?eid=2-s2.0-84921433631&amp;doi=10.1016%2fj.surg.2014.09.012&amp;partnerID=40&amp;md5=5bd7ecae80b5ff7b1d7bca81cdd15bdf
</t>
  </si>
  <si>
    <t>10.1016/j.surg.2014.09.012</t>
  </si>
  <si>
    <t xml:space="preserve">Transurethral en bloc submucosal hydrodissection vs conventional resection for resection of non-muscle-invasive bladder cancer (HYBRIDBLUE): a randomised, multicentre trial
</t>
  </si>
  <si>
    <t>Gakis, G.; Karl, A.; Bertz, S.; Burger, M.; Fritsche, H. M.; Hartmann, A.; Jokisch, F.; Kempkensteffen, C.; Miller, K.; Mundhenk, J.; Schneevoigt, B. S.; Schubert, T.; Schwentner, C.; Wullich, B.; Stenzl, A.</t>
  </si>
  <si>
    <t xml:space="preserve">https://www.scopus.com/inward/record.uri?eid=2-s2.0-85089135427&amp;doi=10.1111%2fbju.15150&amp;partnerID=40&amp;md5=847156caa39637f73109efc45043aa6a
</t>
  </si>
  <si>
    <t>10.1111/bju.15150</t>
  </si>
  <si>
    <t xml:space="preserve">Impact of the calibration bougie diametre during laparoscopic sleeve gastrectomy on the rate of postoperative staple-line leak (BOUST): study protocol for a multicentre randomized prospective trial
</t>
  </si>
  <si>
    <t>Gaillard, M.; Lainas, P.; Agostini, H.; Dagher, I.; Tranchart, H.</t>
  </si>
  <si>
    <t xml:space="preserve">https://www.scopus.com/inward/record.uri?eid=2-s2.0-85119077175&amp;doi=10.1186%2fs13063-021-05734-3&amp;partnerID=40&amp;md5=5c6fdd74dc88126169305f32e331bdf9
</t>
  </si>
  <si>
    <t>10.1186/s13063-021-05734-3</t>
  </si>
  <si>
    <t xml:space="preserve">Study protocol of the DUCATI-study: A randomized controlled trial investigating the optimal common channel length in laparoscopic gastric bypass for morbid obese patients
</t>
  </si>
  <si>
    <t>Gadiot, R. P. M.; Grotenhuis, B. A.; Ulas Biter, L.; Dunkelgrun, M.; Zengerink, H. J. J.; Feskens, P. B. G. M.; Mannaerts, G. H. H.</t>
  </si>
  <si>
    <t xml:space="preserve">BMC Obesity
</t>
  </si>
  <si>
    <t xml:space="preserve">https://www.scopus.com/inward/record.uri?eid=2-s2.0-85011428428&amp;doi=10.1186%2fs40608-015-0059-z&amp;partnerID=40&amp;md5=98f1fba3b554d6c53057a0d83bae9616
</t>
  </si>
  <si>
    <t>10.1186/s40608-015-0059-z</t>
  </si>
  <si>
    <t xml:space="preserve">Effect of oral antimicrobial prophylaxis on surgical site infection after elective colorectal surgery: Multicentre, randomised, double blind, placebo controlled trial
</t>
  </si>
  <si>
    <t>Futier, E.; Jaber, S.; Garot, M.; Vignaud, M.; Panis, Y.; Slim, K.; Lucet, J. C.; Lebuffe, G.; Ouattara, A.; El Amine, Y.; Couderc, P.; Dupré, A.; De Jong, A.; Lasocki, S.; Leone, M.; Pottecher, J.; Pereira, B.; Paugam-Burtz, C.</t>
  </si>
  <si>
    <t xml:space="preserve">The BMJ
</t>
  </si>
  <si>
    <t xml:space="preserve">https://www.scopus.com/inward/record.uri?eid=2-s2.0-85141248033&amp;doi=10.1136%2fbmj-2022-071476&amp;partnerID=40&amp;md5=91d970a37ad63eadc96d779327c97140
</t>
  </si>
  <si>
    <t>10.1136/bmj-2022-071476</t>
  </si>
  <si>
    <t xml:space="preserve">A trial of intraoperative low-tidal-volume ventilation in abdominal surgery
</t>
  </si>
  <si>
    <t>Futier, E.; Constantin, J. M.; Paugam-Burtz, C.; Pascal, J.; Eurin, M.; Neuschwander, A.; Marret, E.; Beaussier, M.; Gutton, C.; Lefrant, J. Y.; Allaouchiche, B.; Verzilli, D.; Leone, M.; De Jong, A.; Bazin, J. E.; Pereira, B.; Jaber, S.</t>
  </si>
  <si>
    <t xml:space="preserve">369
</t>
  </si>
  <si>
    <t xml:space="preserve">https://www.scopus.com/inward/record.uri?eid=2-s2.0-84880866675&amp;doi=10.1056%2fNEJMoa1301082&amp;partnerID=40&amp;md5=36656233b5d35ac6c4d578297982fede
</t>
  </si>
  <si>
    <t>10.1056/NEJMoa1301082</t>
  </si>
  <si>
    <t xml:space="preserve">Holmium laser enucleation of prostate versus minimally invasive simple prostatectomy for large volume (≥120 mL) prostate glands: A prospective multicenter randomized study
</t>
  </si>
  <si>
    <t>Fuschi, A.; Al Salhi, Y.; Velotti, G.; Capone, L.; Martoccia, A.; Suraci, P. P.; Scalzo, S.; Annino, F.; Khorrami, S.; Asimakopoulos, A.; Bozzini, G.; Falsaperla, M.; Carbone, A.; Pastore, A. L.</t>
  </si>
  <si>
    <t xml:space="preserve">Minerva Urology and Nephrology
</t>
  </si>
  <si>
    <t xml:space="preserve">https://www.scopus.com/inward/record.uri?eid=2-s2.0-85121242725&amp;doi=10.23736%2fS2724-6051.20.04043-6&amp;partnerID=40&amp;md5=6ed0c370210457c5a1d73bf22006f3ac
</t>
  </si>
  <si>
    <t>10.23736/S2724-6051.20.04043-6</t>
  </si>
  <si>
    <t xml:space="preserve">Perioperative changes in haemoglobin and ferritin concentrations from preoperative intravenous iron isomaltoside for iron deficiency anaemia in patients with colorectal cancer: A pilot randomised controlled trial
</t>
  </si>
  <si>
    <t>Fung, P. L. P.; Lau, V. N. M.; Ng, F. F.; Leung, W. W.; Mak, T. W. C.; Lee, A.</t>
  </si>
  <si>
    <t xml:space="preserve">6 June
</t>
  </si>
  <si>
    <t xml:space="preserve">https://www.scopus.com/inward/record.uri?eid=2-s2.0-85133388607&amp;doi=10.1371%2fjournal.pone.0270640&amp;partnerID=40&amp;md5=6905523a2c6619e02ac9f1fb770c5368
</t>
  </si>
  <si>
    <t>10.1371/journal.pone.0270640</t>
  </si>
  <si>
    <t xml:space="preserve">The effect of trimodal prehabilitation on the physical and psychological health of patients undergoing colorectal surgery: a randomised clinical trial
</t>
  </si>
  <si>
    <t>Fulop, A.; Lakatos, L.; Susztak, N.; Szijarto, A.; Banky, B.</t>
  </si>
  <si>
    <t xml:space="preserve">76
</t>
  </si>
  <si>
    <t xml:space="preserve">https://www.scopus.com/inward/record.uri?eid=2-s2.0-85088963769&amp;doi=10.1111%2fanae.15215&amp;partnerID=40&amp;md5=26650f2b94b1d6f3b7e32db930a06be0
</t>
  </si>
  <si>
    <t>10.1111/anae.15215</t>
  </si>
  <si>
    <t xml:space="preserve">Umbilical closure using 2-octyl cyanoacrylate in transumbilical laparoscopic adrenalectomy: A randomized controlled trial
</t>
  </si>
  <si>
    <t>Fukumoto, K.; Miyajima, A.; Matsumoto, K.; Kobayashi, H.; Niwa, N.; Hongo, H.; Kurihara, I.; Kikuchi, E.; Oya, M.</t>
  </si>
  <si>
    <t xml:space="preserve">https://www.scopus.com/inward/record.uri?eid=2-s2.0-85085685140&amp;doi=10.1111%2fiju.14270&amp;partnerID=40&amp;md5=bf2fa285028eaa77ec07911de0e61273
</t>
  </si>
  <si>
    <t>10.1111/iju.14270</t>
  </si>
  <si>
    <t xml:space="preserve">Short-term results of a randomized study between laparoscopic and open surgery in elderly colorectal cancer patients
</t>
  </si>
  <si>
    <t>Fujii, S.; Ishibe, A.; Ota, M.; Yamagishi, S.; Watanabe, K.; Watanabe, J.; Kanazawa, A.; Ichikawa, Y.; Oba, M.; Morita, S.; Hashiguchi, Y.; Kunisaki, C.; Endo, I.</t>
  </si>
  <si>
    <t xml:space="preserve">https://www.scopus.com/inward/record.uri?eid=2-s2.0-84899103351&amp;doi=10.1007%2fs00464-013-3223-x&amp;partnerID=40&amp;md5=561c55677de84f2e557a8da343a563a1
</t>
  </si>
  <si>
    <t>10.1007/s00464-013-3223-x</t>
  </si>
  <si>
    <t xml:space="preserve">Does Braun Anastomosis Have an Impact on the Incidence of Delayed Gastric Emptying and the Extent of Intragastric Bile Reflux Following Pancreatoduodenectomy?-A Randomized Controlled Study
</t>
  </si>
  <si>
    <t>Fujieda, H.; Yokoyama, Y.; Hirata, A.; Usui, H.; Sakatoku, Y.; Fukaya, M.; Nagino, M.</t>
  </si>
  <si>
    <t xml:space="preserve">https://www.scopus.com/inward/record.uri?eid=2-s2.0-85011655311&amp;doi=10.1159%2f000455334&amp;partnerID=40&amp;md5=cce27af9ae9c2f640d1f0a86c862efc4
</t>
  </si>
  <si>
    <t>10.1159/000455334</t>
  </si>
  <si>
    <t xml:space="preserve">Longitudinal Evaluation of Perineogenital Pain and Postoperative Complications After One-stage Buccal Mucosal Graft Urethroplasty: A Secondary Analysis of a Randomized Controlled Trial
</t>
  </si>
  <si>
    <t>Fuehner, C.; Vetterlein, M. W.; Lesske, J.; Rink, M.; Riechardt, S.; König, F.; Gild, P.; Pinnschmidt, H. O.; Meyer, C. P.; Ludwig, T. A.; Engel, O.; Fisch, M.; Dahlem, R.; Soave, A.</t>
  </si>
  <si>
    <t xml:space="preserve">https://www.scopus.com/inward/record.uri?eid=2-s2.0-85092648085&amp;doi=10.1016%2fj.euf.2020.09.018&amp;partnerID=40&amp;md5=e2d19ae745b99e87870df2129b22a3de
</t>
  </si>
  <si>
    <t>10.1016/j.euf.2020.09.018</t>
  </si>
  <si>
    <t xml:space="preserve">Deep neuromuscular blockade improves surgical conditions during gastric bypass surgery for morbid obesity: A randomised controlled trial
</t>
  </si>
  <si>
    <t>Fuchs-Buder, T.; Schmartz, D.; Baumann, C.; Hilt, L.; Nomine-Criqui, C.; Meistelman, C.; Brunaud, L.</t>
  </si>
  <si>
    <t xml:space="preserve">https://www.scopus.com/inward/record.uri?eid=2-s2.0-85074573983&amp;doi=10.1097%2fEJA.0000000000000996&amp;partnerID=40&amp;md5=5cb77f23a572372b2cd097836f31df8d
</t>
  </si>
  <si>
    <t>10.1097/EJA.0000000000000996</t>
  </si>
  <si>
    <t xml:space="preserve">Effect of music on clinical outcome after hip fracture operations (MCHOPIN): Study protocol of a multicentre randomised controlled trial
</t>
  </si>
  <si>
    <t>Fu, V. X.; Jeekel, J.; Van Lieshout, E. M. M.; Van Der Velde, D.; Slegers, L. J. P.; Haverlag, R.; Haumann, J.; Poley, M. J.; Verhofstad, M. H. J.</t>
  </si>
  <si>
    <t xml:space="preserve">https://www.scopus.com/inward/record.uri?eid=2-s2.0-85122334148&amp;doi=10.1136%2fbmjopen-2021-049706&amp;partnerID=40&amp;md5=ddb4950db087e7f9306457acf542374c
</t>
  </si>
  <si>
    <t>10.1136/bmjopen-2021-049706</t>
  </si>
  <si>
    <t xml:space="preserve">The effect of prophylactic Transpapillary pancreatic stent insertion on clinically significant leak rate following distal pancreatectomy: Results of a prospective controlled clinical trial
</t>
  </si>
  <si>
    <t>Frozanpor, F.; Lundell, L.; Segersvärd, R.; Arnelo, U.</t>
  </si>
  <si>
    <t xml:space="preserve">255
</t>
  </si>
  <si>
    <t xml:space="preserve">https://www.scopus.com/inward/record.uri?eid=2-s2.0-84861381287&amp;doi=10.1097%2fSLA.0b013e318251610f&amp;partnerID=40&amp;md5=58b14bd1656c56f48da5a8617c106183
</t>
  </si>
  <si>
    <t>10.1097/SLA.0b013e318251610f</t>
  </si>
  <si>
    <t xml:space="preserve">Cardiac output Optimisation following Liver Transplant (COLT) trial: Study protocol for a feasibility randomised controlled trial
</t>
  </si>
  <si>
    <t>Froghi, F.; Koti, R.; Gurusamy, K.; Mallett, S.; Thorburn, D.; Selves, L.; James, S.; Singh, J.; Pinto, M.; Eastgate, C.; McNeil, M.; Filipe, H.; Jichi, F.; Schofield, N.; Martin, D.; Davidson, B.</t>
  </si>
  <si>
    <t xml:space="preserve">https://www.scopus.com/inward/record.uri?eid=2-s2.0-85043401680&amp;doi=10.1186%2fs13063-018-2488-8&amp;partnerID=40&amp;md5=d46e453ff301028acb9db4e9c5d38233
</t>
  </si>
  <si>
    <t>10.1186/s13063-018-2488-8</t>
  </si>
  <si>
    <t xml:space="preserve">Randomized clinical trial of stapler hepatectomy versus LigaSure™ transection in elective hepatic resection
</t>
  </si>
  <si>
    <t>Fritzmann, J.; Kirchberg, J.; Sturm, D.; Ulrich, A. B.; Knebel, P.; Mehrabi, A.; Büchler, M. W.; Weitz, J.; Reissfelder, C.; Rahbari, N. N.</t>
  </si>
  <si>
    <t xml:space="preserve">https://www.scopus.com/inward/record.uri?eid=2-s2.0-85049808385&amp;doi=10.1002%2fbjs.10902&amp;partnerID=40&amp;md5=325d93953f98dc4d25be5bf7c2705e0f
</t>
  </si>
  <si>
    <t>10.1002/bjs.10902</t>
  </si>
  <si>
    <t xml:space="preserve">Open radiofrequency ablation as upfront treatment for locally advanced pancreatic cancer: Requiem from a randomized controlled trial
</t>
  </si>
  <si>
    <t>Frigerio, I.; Paiella, S.; Barbi, E.; Bianco, R.; Boz, G.; Butturini, G.; Cantore, M.; Cardarelli, N.; Mirko, D. O.; Fiorentini, G.; Giardino, A.; Lionetto, G.; Malleo, G.; Mambrini, A.; Milella, M.; Passardi, A.; Regi, P.; Salvia, R.; Scopelliti, F.; Viviani, E.; Bassi, C.; Girelli, R.</t>
  </si>
  <si>
    <t xml:space="preserve">Pancreatology
</t>
  </si>
  <si>
    <t xml:space="preserve">https://www.scopus.com/inward/record.uri?eid=2-s2.0-85108947040&amp;doi=10.1016%2fj.pan.2021.06.005&amp;partnerID=40&amp;md5=4a002790780557b487a640b28a470085
</t>
  </si>
  <si>
    <t>10.1016/j.pan.2021.06.005</t>
  </si>
  <si>
    <t xml:space="preserve">Randomized Study of Wound Drainage on Early Complications After Lymph Node Dissection for Melanoma
</t>
  </si>
  <si>
    <t>Frich, L.; Hermann, R.; Berentzen, Å; Ryder, T.</t>
  </si>
  <si>
    <t xml:space="preserve">https://www.scopus.com/inward/record.uri?eid=2-s2.0-85109189801&amp;doi=10.1016%2fj.jss.2021.05.005&amp;partnerID=40&amp;md5=48b9ffe69654010762e59d826eb0f866
</t>
  </si>
  <si>
    <t>10.1016/j.jss.2021.05.005</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</si>
  <si>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</si>
  <si>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</si>
  <si>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</si>
  <si>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</si>
  <si>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</si>
  <si>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</si>
  <si>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</si>
  <si>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</si>
  <si>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Effects of omega-3 fatty acids supplementation on perioperative blood loss and complications after radical prostatectomy
</t>
  </si>
  <si>
    <t>Fradet, S.; Pelletier, J. F.; Singbo, N.; Lacombe, L.; Toren, P.; Lodde, M.; Dujardin, T.; Tiguert, R.; Fradet, Y.; Robitaille, K.; Fradet, V.</t>
  </si>
  <si>
    <t xml:space="preserve">Clinical Nutrition ESPEN
</t>
  </si>
  <si>
    <t xml:space="preserve">https://www.scopus.com/inward/record.uri?eid=2-s2.0-85121697624&amp;doi=10.1016%2fj.clnesp.2021.12.011&amp;partnerID=40&amp;md5=1599813e3f3b94b47406e54dc2f59836
</t>
  </si>
  <si>
    <t>10.1016/j.clnesp.2021.12.011</t>
  </si>
  <si>
    <t xml:space="preserve">Surgical timing after chemoradiotherapy for rectal cancer, analysis of technique (STARRCAT): results of a feasibility multi-centre randomized controlled trial
</t>
  </si>
  <si>
    <t>Foster, J. D.; Ewings, P.; Falk, S.; Cooper, E. J.; Roach, H.; West, N. P.; Williams-Yesson, B. A.; Hanna, G. B.; Francis, N. K.; Ockrim, P. A. T. R. D. R. A. J.</t>
  </si>
  <si>
    <t xml:space="preserve">https://www.scopus.com/inward/record.uri?eid=2-s2.0-84981288198&amp;doi=10.1007%2fs10151-016-1514-7&amp;partnerID=40&amp;md5=3a53014eda201e22b2c4fe5b3b69b699
</t>
  </si>
  <si>
    <t>10.1007/s10151-016-1514-7</t>
  </si>
  <si>
    <t xml:space="preserve">Compliance with enhanced recovery after surgery criteria and preoperative and postoperative counselling reduces length of hospital stay in colorectal surgery: Results of a randomized controlled trial
</t>
  </si>
  <si>
    <t>Forsmo, H. M.; Pfeffer, F.; Rasdal, A.; Østgaard, G.; Mohn, A. C.; Körner, H.; Erichsen, C.</t>
  </si>
  <si>
    <t xml:space="preserve">https://www.scopus.com/inward/record.uri?eid=2-s2.0-85011356885&amp;doi=10.1111%2fcodi.13253&amp;partnerID=40&amp;md5=898119136dfa665d99dfa4722bcd63dd
</t>
  </si>
  <si>
    <t>10.1111/codi.13253</t>
  </si>
  <si>
    <t xml:space="preserve">Shorter Total Length of Stay After Intraperitoneal Fosfomycin, Metronidazole, and Molgramostim for Complicated Appendicitis: A Pivotal Quasi-Randomized Controlled Trial
</t>
  </si>
  <si>
    <t>Fonnes, S.; Roepstorff, S.; Holzknecht, B. J.; Olesen, C. S.; Olsen, J. H. H.; Schmidt, L.; Alder, R.; Gamborg, S.; Rasmussen, T.; Arpi, M.; Jørgensen, L. N.; Rosenberg, J.</t>
  </si>
  <si>
    <t xml:space="preserve">Frontiers in Surgery
</t>
  </si>
  <si>
    <t>10.3389/fsurg.2020.00025</t>
  </si>
  <si>
    <t xml:space="preserve">Randomized phase II trial of chemoradiotherapy plus induction or consolidation chemotherapy as total neoadjuvant therapy for locally advanced rectal cancer: CAO/ArO/AIO-12
</t>
  </si>
  <si>
    <t>Fokas, E.; Allgäuer, M.; Polat, B.; Klautke, G.; Grabenbauer, G. G.; Fietkau, R.; Kuhnt, T.; Staib, L.; Brunner, T.; Grosu, A. L.; Schmiegel, W.; Jacobasch, L.; Weitz, J.; Folprecht, G.; Schlenska-Lange, A.; Flentje, M.; Germer, C. T.; Grützmann, R.; Schwarzbach, M.; Paolucci, V.; Bechstein, W. O.; Friede, T.; Ghadimi, M.; Hofheinz, R. D.; Rödel, C.</t>
  </si>
  <si>
    <t xml:space="preserve">https://www.scopus.com/inward/record.uri?eid=2-s2.0-85071830849&amp;doi=10.1200%2fJCO.19.00308&amp;partnerID=40&amp;md5=bf715040ab046dd12eb7cd9a8eebb6c4
</t>
  </si>
  <si>
    <t>10.1200/JCO.19.00308</t>
  </si>
  <si>
    <t xml:space="preserve">Effect of laparoscopic-assisted resection vs open resection of stage II or III rectal cancer on pathologic outcomes the ACOSOG Z6051 randomized clinical trial
</t>
  </si>
  <si>
    <t>Fleshman, J.; Branda, M.; Sargent, D. J.; Boller, A. M.; George, V.; Abbas, M.; Peters, W. R., Jr.; Maun, D.; Chang, G.; Herline, A.; Fichera, A.; Mutch, M.; Wexner, S.; Whiteford, M.; Marks, J.; Birnbaum, E.; Margolin, D.; Larson, D.; Marcello, P.; Posner, M.; Read, T.; Monson, J.; Wren, S. M.; Pisters, P. W. T.; Nelson, H.</t>
  </si>
  <si>
    <t xml:space="preserve">https://www.scopus.com/inward/record.uri?eid=2-s2.0-84943421456&amp;doi=10.1001%2fjama.2015.10529&amp;partnerID=40&amp;md5=61b9c65c6fff81626f8d93292819c0e6
</t>
  </si>
  <si>
    <t>10.1001/jama.2015.10529</t>
  </si>
  <si>
    <t xml:space="preserve">Is low inferior mesenteric artery ligation worthwhile to prevent urinary and sexual dysfunction after total mesorectal excision for rectal cancer?
</t>
  </si>
  <si>
    <t>Fiori, E.; Crocetti, D.; Lamazza, A.; De Felice, F.; Sterpetti, A. V.; Irace, L.; Mingoli, A.; Sapienza, P.; De Toma, G.</t>
  </si>
  <si>
    <t xml:space="preserve">https://www.scopus.com/inward/record.uri?eid=2-s2.0-85088851141&amp;doi=10.21873%2fanticanres.14423&amp;partnerID=40&amp;md5=f8962e446312dcff09cea22334311d17
</t>
  </si>
  <si>
    <t>10.21873/anticanres.14423</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</si>
  <si>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</si>
  <si>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</si>
  <si>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</si>
  <si>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</si>
  <si>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</si>
  <si>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</si>
  <si>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</si>
  <si>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</si>
  <si>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</si>
  <si>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</si>
  <si>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</si>
  <si>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</si>
  <si>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</si>
  <si>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Impact of preoperative patient education on prevention of postoperative complications after major visceral surgery: Study protocol for a randomized controlled trial (PEDUCAT trial)
</t>
  </si>
  <si>
    <t>Fink, C.; Diener, M. K.; Bruckner, T.; Müller, G.; Paulsen, L.; Keller, M.; Büchler, M. W.; Knebel, P.</t>
  </si>
  <si>
    <t xml:space="preserve">https://www.scopus.com/inward/record.uri?eid=2-s2.0-84882936977&amp;doi=10.1186%2f1745-6215-14-271&amp;partnerID=40&amp;md5=68d65eed272990408b328b51305fb4c6
</t>
  </si>
  <si>
    <t>10.1186/1745-6215-14-271</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</si>
  <si>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</si>
  <si>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</si>
  <si>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BMC Medicine
</t>
  </si>
  <si>
    <t xml:space="preserve">https://www.scopus.com/inward/record.uri?eid=2-s2.0-85147970721&amp;doi=10.1186%2fs12916-023-02741-w&amp;partnerID=40&amp;md5=c29275674cd7b9424edba4a5c54686d5
</t>
  </si>
  <si>
    <t>10.1186/s12916-023-02741-w</t>
  </si>
  <si>
    <t xml:space="preserve">Neoadjuvant chemotherapy with or without nintedanib for advanced epithelial ovarian cancer: Lessons from the GINECO double-blind randomized phase II CHIVA trial
</t>
  </si>
  <si>
    <t>Ferron, G.; De Rauglaudre, G.; Becourt, S.; Delanoy, N.; Joly, F.; Lortholary, A.; You, B.; Bouchaert, P.; Malaurie, E.; Gouy, S.; Kaminsky, M. C.; Meunier, J.; Alexandre, J.; Berton, D.; Dohollou, N.; Dubot, C.; Floquet, A.; Favier, L.; Venat-Bouvet, L.; Fabbro, M.; Louvet, C.; Lotz, J. P.; Abadie-Lacourtoisie, S.; Desauw, C.; Del Piano, F.; Leheurteur, M.; Bonichon-Lamichhane, N.; Rastkhah, M.; Follana, P.; Gantzer, J.; Ray-Coquard, I.; Pujade-Lauraine, E.</t>
  </si>
  <si>
    <t xml:space="preserve">https://www.scopus.com/inward/record.uri?eid=2-s2.0-85146682174&amp;doi=10.1016%2fj.ygyno.2023.01.008&amp;partnerID=40&amp;md5=72ca12def3b7686bbeda8bd684eaa626
</t>
  </si>
  <si>
    <t>10.1016/j.ygyno.2023.01.008</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</si>
  <si>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</si>
  <si>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</si>
  <si>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</si>
  <si>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</si>
  <si>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Robotic versus laparoscopic surgery for middle and low rectal cancer (REAL): short-term outcomes of a multicentre randomised controlled trial
</t>
  </si>
  <si>
    <t>Feng, Q.; Yuan, W.; Li, T.; Tang, B.; Jia, B.; Zhou, Y.; Zhang, W.; Zhao, R.; Zhang, C.; Cheng, L.; Zhang, X.; Liang, F.; He, G.; Wei, Y.; Xu, J.; Sun, Z.; Gao, L.; Li, P.; Liu, X.; Lou, Z.; Zhang, T.; Li, D.; Chi, Z.; Yang, G.; Group, Real Study</t>
  </si>
  <si>
    <t xml:space="preserve">https://www.scopus.com/inward/record.uri?eid=2-s2.0-85138936242&amp;doi=10.1016%2fS2468-1253%2822%2900248-5&amp;partnerID=40&amp;md5=5e4ba3ef0374ba561c357f52f4b0602b
</t>
  </si>
  <si>
    <t>10.1016/S2468-1253(22)00248-5</t>
  </si>
  <si>
    <t xml:space="preserve">Robotic versus laparoscopic abdominoperineal resections for low rectal cancer: A single-center randomized controlled trial
</t>
  </si>
  <si>
    <t>Feng, Q.; Tang, W.; Zhang, Z.; Wei, Y.; Ren, L.; Chang, W.; Zhu, D.; Liang, F.; He, G.; Xu, J.</t>
  </si>
  <si>
    <t xml:space="preserve">https://www.scopus.com/inward/record.uri?eid=2-s2.0-85136625057&amp;doi=10.1002%2fjso.27076&amp;partnerID=40&amp;md5=1e0d30b3e8c903e0a01449b8a5ce656d
</t>
  </si>
  <si>
    <t>10.1002/jso.27076</t>
  </si>
  <si>
    <t xml:space="preserve">Effects of preoperative oral carbohydrate administration combined with postoperative early oral intake in elderly patients undergoing hepatectomy with acute-phase inflammation and subjective symptom burden: A prospective randomized controlled study
</t>
  </si>
  <si>
    <t>Feng, J.; Xu, R.; Li, K.; Li, F.; Gao, M.; Han, Q.; Feng, H.; Ye, H.</t>
  </si>
  <si>
    <t xml:space="preserve">https://www.scopus.com/inward/record.uri?eid=2-s2.0-85111903564&amp;doi=10.1016%2fj.asjsur.2021.06.042&amp;partnerID=40&amp;md5=366e80650a568a916146ec190b5cde58
</t>
  </si>
  <si>
    <t>10.1016/j.asjsur.2021.06.042</t>
  </si>
  <si>
    <t xml:space="preserve">Effect of goal-directed fluid therapy based on plasma colloid osmotic pressure on the postoperative pulmonary complications of older patients undergoing major abdominal surgery
</t>
  </si>
  <si>
    <t>Feng, A.; Lu, P.; Yang, Y.; Liu, Y.; Ma, L.; Lv, J.</t>
  </si>
  <si>
    <t xml:space="preserve">https://www.scopus.com/inward/record.uri?eid=2-s2.0-85148969149&amp;doi=10.1186%2fs12957-023-02955-5&amp;partnerID=40&amp;md5=9fda6b9e5d039f38f59cc2c0c54191fb
</t>
  </si>
  <si>
    <t>10.1186/s12957-023-02955-5</t>
  </si>
  <si>
    <t xml:space="preserve">Haemodynamic optimization by oesophageal doppler and pulse power wave analysis in liver surgery: A randomised controlled trial
</t>
  </si>
  <si>
    <t>Feldheiser, A.; Pavlova, V.; Weimann, K.; Hunsicker, O.; Stockmann, M.; Koch, M.; Giebels, A.; Wernecke, K. D.; Spies, C. D.</t>
  </si>
  <si>
    <t xml:space="preserve">https://www.scopus.com/inward/record.uri?eid=2-s2.0-84940838936&amp;doi=10.1371%2fjournal.pone.0132715&amp;partnerID=40&amp;md5=e6abf369a0df31cd5413e56e173e2a48
</t>
  </si>
  <si>
    <t>10.1371/journal.pone.0132715</t>
  </si>
  <si>
    <t xml:space="preserve">Balanced crystalloid compared with balanced colloid solution using a goal-directed haemodynamic algorithm
</t>
  </si>
  <si>
    <t>Feldheiser, A.; Pavlova, V.; Bonomo, T.; Jones, A.; Fotopoulou, C.; Sehouli, J.; Wernecke, K. D.; Spies, C.</t>
  </si>
  <si>
    <t xml:space="preserve">https://www.scopus.com/inward/record.uri?eid=2-s2.0-84872733971&amp;doi=10.1093%2fbja%2faes377&amp;partnerID=40&amp;md5=a43ad90f2bedbf87e5f4bf9c2183a898
</t>
  </si>
  <si>
    <t>10.1093/bja/aes377</t>
  </si>
  <si>
    <t xml:space="preserve">Fast-Track protocols in devascularization for cirrhotic portal hypertension
</t>
  </si>
  <si>
    <t>Fei, Y.; Zong, G. Q.; Chen, J.; Liu, R. M.</t>
  </si>
  <si>
    <t xml:space="preserve">Revista da Associacao Medica Brasileira
</t>
  </si>
  <si>
    <t xml:space="preserve">https://www.scopus.com/inward/record.uri?eid=2-s2.0-84946061137&amp;doi=10.1590%2f1806-9282.61.03.250&amp;partnerID=40&amp;md5=d9ee2294d375c6dff51cefb2c53cd026
</t>
  </si>
  <si>
    <t>10.1590/1806-9282.61.03.250</t>
  </si>
  <si>
    <t xml:space="preserve">Transvaginal cholecystectomy: Results of a randomized study
</t>
  </si>
  <si>
    <t>Federlein, M.; Müller, V. A.; Fritze-Büttner, F.; Burghardt, J.; Gräber, S.; Gellert, K.; Borchert, D. H.</t>
  </si>
  <si>
    <t xml:space="preserve">Chirurg
</t>
  </si>
  <si>
    <t xml:space="preserve">https://www.scopus.com/inward/record.uri?eid=2-s2.0-84908139274&amp;doi=10.1007%2fs00104-014-2852-5&amp;partnerID=40&amp;md5=10ec81a468ab03ed2252fccae2d84199
</t>
  </si>
  <si>
    <t>10.1007/s00104-014-2852-5</t>
  </si>
  <si>
    <t xml:space="preserve">Retrograde intrarenal surgery versus percutaneous nephrolithotomy for treatment of renal pelvic stone more than 2 centimeters: a prospective randomized controlled trial
</t>
  </si>
  <si>
    <t>Fayad, M. K.; Fahmy, O.; Abulazayem, K. M.; Salama, N. M.</t>
  </si>
  <si>
    <t xml:space="preserve">https://www.scopus.com/inward/record.uri?eid=2-s2.0-85119680562&amp;doi=10.1007%2fs00240-021-01289-9&amp;partnerID=40&amp;md5=4620d895bafc11874730477384cd3c76
</t>
  </si>
  <si>
    <t>10.1007/s00240-021-01289-9</t>
  </si>
  <si>
    <t xml:space="preserve">Effectiveness of Flexible Ureterorenoscopy Versus Extracorporeal Shock Wave Lithotripsy for Renal Calculi of 5–15 mm: Results of a Randomized Controlled Trial
</t>
  </si>
  <si>
    <t>Fankhauser, C. D.; Weber, D.; Müntener, M.; Poyet, C.; Sulser, T.; Hermanns, T.</t>
  </si>
  <si>
    <t xml:space="preserve">https://www.scopus.com/inward/record.uri?eid=2-s2.0-85100232416&amp;doi=10.1016%2fj.euros.2021.01.001&amp;partnerID=40&amp;md5=73cf958901e126ea99461f0e3f56ba5b
</t>
  </si>
  <si>
    <t>10.1016/j.euros.2021.01.001</t>
  </si>
  <si>
    <t xml:space="preserve">How Technology Can Impact Surgeon Performance: A Randomized Trial Comparing 3-Dimensional versus 2-Dimensional Laparoscopy in Gynecology Oncology
</t>
  </si>
  <si>
    <t>Fanfani, F.; Rossitto, C.; Restaino, S.; Ercoli, A.; Chiantera, V.; Monterossi, G.; Barbati, G.; Scambia, G.</t>
  </si>
  <si>
    <t xml:space="preserve">https://www.scopus.com/inward/record.uri?eid=2-s2.0-84964643026&amp;doi=10.1016%2fj.jmig.2016.03.020&amp;partnerID=40&amp;md5=5068ec189434f226a767492fe316cad2
</t>
  </si>
  <si>
    <t>10.1016/j.jmig.2016.03.020</t>
  </si>
  <si>
    <t xml:space="preserve">Embolization of the Superior Rectal Arteries versus Closed Hemorrhoidectomy (Ferguson Technique) in the Treatment of Hemorrhoidal Disease: A Randomized Clinical Trial
</t>
  </si>
  <si>
    <t>Falsarella, P. M.; Nasser, F.; Affonso, B. B.; Galastri, F. L.; Motta-Leal-Filho, J. M. D.; Valle, L. G. M.; Cunha, M. J. S.; Araújo, S. E. A.; Garcia, R. G.; Katz, M.</t>
  </si>
  <si>
    <t xml:space="preserve">https://www.scopus.com/inward/record.uri?eid=2-s2.0-85150071542&amp;doi=10.1016%2fj.jvir.2023.01.022&amp;partnerID=40&amp;md5=afc92180c810939f457591a153505ad8
</t>
  </si>
  <si>
    <t>10.1016/j.jvir.2023.01.022</t>
  </si>
  <si>
    <t xml:space="preserve">Robot-assisted approach to cervical cancer (RACC): An international multi-center, open-label randomized controlled trial
</t>
  </si>
  <si>
    <t>Falconer, H.; Palsdottir, K.; Stalberg, K.; Dahm-Kähler, P.; Ottander, U.; Lundin, E. S.; Wijk, L.; Kimmig, R.; Jensen, P. T.; Eriksson, A. G. Z.; Mäenpää, J.; Persson, J.; Salehi, S.</t>
  </si>
  <si>
    <t xml:space="preserve">https://www.scopus.com/inward/record.uri?eid=2-s2.0-85068344066&amp;doi=10.1136%2fijgc-2019-000558&amp;partnerID=40&amp;md5=0cdfc8037bc310e343da8b40c74e5b8f
</t>
  </si>
  <si>
    <t>10.1136/ijgc-2019-000558</t>
  </si>
  <si>
    <t xml:space="preserve">Single step track dilatation for percutaneous nephrolithotomy in children
</t>
  </si>
  <si>
    <t>Fahmy, A.; Mahfouz, W.; Elbadry, M.; Moussa, A.</t>
  </si>
  <si>
    <t xml:space="preserve">54
</t>
  </si>
  <si>
    <t xml:space="preserve">https://www.scopus.com/inward/record.uri?eid=2-s2.0-85135576286&amp;doi=10.1007%2fs11255-022-03314-1&amp;partnerID=40&amp;md5=480dc1ec0007f4261d0a7f6458daec96
</t>
  </si>
  <si>
    <t>10.1007/s11255-022-03314-1</t>
  </si>
  <si>
    <t xml:space="preserve">Randomized study comparing use of THUNDERBEAT technology vs standard electrosurgery during laparoscopic radical hysterectomy and pelvic lymphadenectomy for gynecologic cancer
</t>
  </si>
  <si>
    <t>Fagotti, A.; Vizzielli, G.; Fanfani, F.; Gallotta, V.; Rossitto, C.; Costantini, B.; Gueli-Alletti, S.; Avenia, N.; Iodice, R.; Scambia, G.</t>
  </si>
  <si>
    <t xml:space="preserve">https://www.scopus.com/inward/record.uri?eid=2-s2.0-84899629149&amp;doi=10.1016%2fj.jmig.2013.12.001&amp;partnerID=40&amp;md5=a24dc43f267264556e670b71b21034e7
</t>
  </si>
  <si>
    <t>10.1016/j.jmig.2013.12.001</t>
  </si>
  <si>
    <t xml:space="preserve">Individualised non-contrast MRI-based risk estimation and shared decision-making in men with a suspicion of prostate cancer: Protocol for multicentre randomised controlled trial (multi-IMPROD V.2.0)
</t>
  </si>
  <si>
    <t>Ettala, O.; Jambor, I.; Montoya Perez, I.; Seppänen, M.; Kaipia, A.; Seikkula, H.; Syvänen, K. T.; Taimen, P.; Verho, J.; Steiner, A.; Saunavaara, J.; Saukko, E.; Löyttyniemi, E.; Sjoberg, D. D.; Vickers, A.; Aronen, H.; Boström, P.</t>
  </si>
  <si>
    <t xml:space="preserve">https://www.scopus.com/inward/record.uri?eid=2-s2.0-85128488277&amp;doi=10.1136%2fbmjopen-2021-053118&amp;partnerID=40&amp;md5=ab1228322d6133634baea4ab5aff183c
</t>
  </si>
  <si>
    <t>10.1136/bmjopen-2021-053118</t>
  </si>
  <si>
    <t xml:space="preserve">Evaluation of efficacy of oxygen-enriched oil-based gel dressing in patients who underwent surgical repair of distal hypospadias: a prospective randomised clinical trial
</t>
  </si>
  <si>
    <t>Esposito, C.; Del Conte, F.; Cerulo, M.; Coppola, V.; Esposito, G.; Ricciardi, E.; Crocetto, F.; Castagnetti, M.; Calignano, A.; Escolino, M.</t>
  </si>
  <si>
    <t xml:space="preserve">https://www.scopus.com/inward/record.uri?eid=2-s2.0-85089908744&amp;doi=10.1007%2fs00345-020-03419-1&amp;partnerID=40&amp;md5=5532e01155e8d23cfdb6c6edd59c8a80
</t>
  </si>
  <si>
    <t>10.1007/s00345-020-03419-1</t>
  </si>
  <si>
    <t xml:space="preserve">Preoperative oral antibiotics and surgical-site infections in colon surgery (ORALEV): a multicentre, single-blind, pragmatic, randomised controlled trial
</t>
  </si>
  <si>
    <t>Espin Basany, E.; Solís-Peña, A.; Pellino, G.; Kreisler, E.; Fraccalvieri, D.; Muinelo-Lorenzo, M.; Maseda-Díaz, O.; García-González, J. M.; Santamaría-Olabarrieta, M.; Codina-Cazador, A.; Biondo, S.</t>
  </si>
  <si>
    <t xml:space="preserve">https://www.scopus.com/inward/record.uri?eid=2-s2.0-85087633713&amp;doi=10.1016%2fS2468-1253%2820%2930075-3&amp;partnerID=40&amp;md5=a61cbcc5ee94a484b4b3f4b4afc357b8
</t>
  </si>
  <si>
    <t>10.1016/S2468-1253(20)30075-3</t>
  </si>
  <si>
    <t xml:space="preserve">Gastric emptying and quality of life after pancreatoduodenectomy with retrocolic or antecolic gastroenteric anastomosis
</t>
  </si>
  <si>
    <t>Eshuis, W. J.; De Bree, K.; Sprangers, M. A. G.; Bennink, R. J.; Van Gulik, T. M.; Busch, O. R. C.; Gouma, D. J.</t>
  </si>
  <si>
    <t xml:space="preserve">https://www.scopus.com/inward/record.uri?eid=2-s2.0-84937024035&amp;doi=10.1002%2fbjs.9812&amp;partnerID=40&amp;md5=287f1924fa58aaccf07e0575983bf632
</t>
  </si>
  <si>
    <t>10.1002/bjs.9812</t>
  </si>
  <si>
    <t xml:space="preserve">A phase III randomised clinical trial of perioperative therapy (neoadjuvant chemotherapy versus chemoradiotherapy) in locally advanced gallbladder cancers (POLCAGB): Study protocol
</t>
  </si>
  <si>
    <t>Engineer, R.; Patkar, S.; Lewis, S. C.; Sharma, A. D.; Shetty, N.; Ostwal, V.; Ramaswamy, A.; Chopra, S.; Agrawal, A.; Patil, P.; Mehta, S.; Goel, M.</t>
  </si>
  <si>
    <t xml:space="preserve">https://www.scopus.com/inward/record.uri?eid=2-s2.0-85068841616&amp;doi=10.1136%2fbmjopen-2018-028147&amp;partnerID=40&amp;md5=9694bd6419612b233cb295d28e92aba0
</t>
  </si>
  <si>
    <t>10.1136/bmjopen-2018-028147</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</si>
  <si>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</si>
  <si>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</si>
  <si>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</si>
  <si>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</si>
  <si>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</si>
  <si>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</si>
  <si>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</si>
  <si>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</si>
  <si>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</si>
  <si>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The value of immediate postoperative intravesical epirubicin instillation as an adjunct to standard adjuvant treatment in intermediate and high-risk non–muscle-invasive bladder cancer: A preliminary results of randomized controlled trial
</t>
  </si>
  <si>
    <t>Elsawy, A. A.; El-Assmy, A. M.; Bazeed, M. A.; Ali-El-Dein, B.</t>
  </si>
  <si>
    <t xml:space="preserve">https://www.scopus.com/inward/record.uri?eid=2-s2.0-85056510321&amp;doi=10.1016%2fj.urolonc.2018.10.019&amp;partnerID=40&amp;md5=54b4f1c906a0aeb8f5ba8c624767753e
</t>
  </si>
  <si>
    <t>10.1016/j.urolonc.2018.10.019</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</si>
  <si>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</si>
  <si>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</si>
  <si>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</si>
  <si>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</si>
  <si>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 xml:space="preserve">Bulbospongiosus Muscle Sparing Urethroplasty Versus Standard Urethroplasty: A Comparative Study
</t>
  </si>
  <si>
    <t>Elkady, E.; Dawod, T.; Teleb, M.; Shabana, W.</t>
  </si>
  <si>
    <t xml:space="preserve">https://www.scopus.com/inward/record.uri?eid=2-s2.0-85059695229&amp;doi=10.1016%2fj.urology.2018.12.028&amp;partnerID=40&amp;md5=1bf9dce3cd2c2545cb2e6a9ed2fea06f
</t>
  </si>
  <si>
    <t>10.1016/j.urology.2018.12.028</t>
  </si>
  <si>
    <t xml:space="preserve">The effect of residual gastric antrum size on the outcome of laparoscopic sleeve gastrectomy: A prospective randomized trial
</t>
  </si>
  <si>
    <t>Elgeidie, A.; Elhemaly, M.; Hamdy, E.; El Sorogy, M.; Abdelgawad, M.; Gadelhak, N.</t>
  </si>
  <si>
    <t xml:space="preserve">https://www.scopus.com/inward/record.uri?eid=2-s2.0-84952873044&amp;doi=10.1016%2fj.soard.2014.12.025&amp;partnerID=40&amp;md5=bb30537aaddadb716dd24a3de8151199
</t>
  </si>
  <si>
    <t>10.1016/j.soard.2014.12.025</t>
  </si>
  <si>
    <t xml:space="preserve">Complete Ultrasound-guided Percutaneous Nephrolithotomy in Prone and Supine Positions: A Randomized Controlled Study
</t>
  </si>
  <si>
    <t>El-Shaer, W.; kandeel, W.; Abdel-Lateef, S.; Torky, A.; Elshaer, A.</t>
  </si>
  <si>
    <t xml:space="preserve">https://www.scopus.com/inward/record.uri?eid=2-s2.0-85064215813&amp;doi=10.1016%2fj.urology.2019.03.004&amp;partnerID=40&amp;md5=5d19b4d8105f61b52b63c1af91c9b176
</t>
  </si>
  <si>
    <t>10.1016/j.urology.2019.03.004</t>
  </si>
  <si>
    <t xml:space="preserve">A Critical Analysis of Stented and Unstented Tubularized Incised Plate Urethroplasty Through a Prospective Randomized Study and Assessment of Factors Influencing the Functional and Cosmetic Outcomes
</t>
  </si>
  <si>
    <t>El-Karamany, T. M.; Al-Adl, A. M.; Omar, R. G.; Abdel Aal, A. M.; Eldakhakhny, A. S.; Abdelbaki, S. A.</t>
  </si>
  <si>
    <t xml:space="preserve">https://www.scopus.com/inward/record.uri?eid=2-s2.0-85024479883&amp;doi=10.1016%2fj.urology.2017.04.056&amp;partnerID=40&amp;md5=bf505b43198e249689aac6109eaf8cdc
</t>
  </si>
  <si>
    <t>10.1016/j.urology.2017.04.056</t>
  </si>
  <si>
    <t xml:space="preserve">TOT for treatment of stress urinary incontinence: How should we assess its equivalence with TVT?
</t>
  </si>
  <si>
    <t>El-Hefnawy, A. S.; Wadie, B. S.; El Mekresh, M.; Nabeeh, A.; Bazeed, M. A.</t>
  </si>
  <si>
    <t xml:space="preserve">https://www.scopus.com/inward/record.uri?eid=2-s2.0-77956462389&amp;doi=10.1007%2fs00192-010-1138-9&amp;partnerID=40&amp;md5=3981e80d4f3607e35d28c5425fdf53f7
</t>
  </si>
  <si>
    <t>10.1007/s00192-010-1138-9</t>
  </si>
  <si>
    <t xml:space="preserve">Endoscopic versus percutaneous biliary drainage for resectable pancreatic head cancer with hyperbilirubinemia and impact on pancreaticoduodenectomy: A randomized controlled study
</t>
  </si>
  <si>
    <t>El-Haddad, H. M.; Sabry, A. A.; Shehata, G. M.</t>
  </si>
  <si>
    <t xml:space="preserve">https://www.scopus.com/inward/record.uri?eid=2-s2.0-85112081854&amp;doi=10.1016%2fj.ijsu.2021.106043&amp;partnerID=40&amp;md5=2fa909dabd4cce1878047a1df17a66ac
</t>
  </si>
  <si>
    <t>10.1016/j.ijsu.2021.106043</t>
  </si>
  <si>
    <t xml:space="preserve">The Role of Prophylactic Endoscopic Sphincterotomy for Prevention of Postoperative Bile Leak in Hydatid Liver Disease: A Randomized Controlled Study
</t>
  </si>
  <si>
    <t>El-Gendi, A. M.; El-Shafei, M.; Bedewy, E.</t>
  </si>
  <si>
    <t xml:space="preserve">https://www.scopus.com/inward/record.uri?eid=2-s2.0-85051523265&amp;doi=10.1089%2flap.2017.0674&amp;partnerID=40&amp;md5=a02e3cc4efc55b46e6f7d1c2df270e00
</t>
  </si>
  <si>
    <t>10.1089/lap.2017.0674</t>
  </si>
  <si>
    <t xml:space="preserve">Laparoscopic versus open hepatic resection for solitary hepatocellular carcinoma less than 5 cm in cirrhotic patients: A randomized controlled study
</t>
  </si>
  <si>
    <t>El-Gendi, A.; El-Shafei, M.; El-Gendi, S.; Shawky, A.</t>
  </si>
  <si>
    <t xml:space="preserve">https://www.scopus.com/inward/record.uri?eid=2-s2.0-85045618915&amp;doi=10.1089%2flap.2017.0518&amp;partnerID=40&amp;md5=a08acd10b20cab55f5b6bd3a44911079
</t>
  </si>
  <si>
    <t>10.1089/lap.2017.0518</t>
  </si>
  <si>
    <t xml:space="preserve">Efficacy of octreotide in the prevention of complications after pancreaticoduodenectomy in patients with soft pancreas and non-dilated pancreatic duct: A prospective randomized trial
</t>
  </si>
  <si>
    <t>El Nakeeb, A.; ElGawalby, A.; A. Ali, M.; Shehta, A.; Hamed, H.; El Refea, M.; Moneer, A.; Abd El Rafee, A.</t>
  </si>
  <si>
    <t xml:space="preserve">Hepatobiliary and Pancreatic Diseases International
</t>
  </si>
  <si>
    <t xml:space="preserve">https://www.scopus.com/inward/record.uri?eid=2-s2.0-85041589765&amp;doi=10.1016%2fj.hbpd.2018.01.015&amp;partnerID=40&amp;md5=28dcf4a2e1e0744cd41975feb0fa1bd5
</t>
  </si>
  <si>
    <t>10.1016/j.hbpd.2018.01.015</t>
  </si>
  <si>
    <t xml:space="preserve">Economic Evaluation of Pharmacologic Pre- and Postconditioning with Sevoflurane Compared with Total Intravenous Anesthesia in Liver Surgery: A Cost Analysis
</t>
  </si>
  <si>
    <t>Eichler, K.; Urner, M.; Twerenbold, C.; Kern, S.; Brügger, U.; Spahn, D. R.; Beck-Schimmer, B.; Ganter, M. T.</t>
  </si>
  <si>
    <t xml:space="preserve">https://www.scopus.com/inward/record.uri?eid=2-s2.0-85008600496&amp;doi=10.1213%2fANE.0000000000001814&amp;partnerID=40&amp;md5=280a334c0441594ddc2d4b5f0f06835a
</t>
  </si>
  <si>
    <t>10.1213/ANE.0000000000001814</t>
  </si>
  <si>
    <t>cave. Pooled analysis of 2 RCTs</t>
  </si>
  <si>
    <t xml:space="preserve">Randomized clinical trial of pancreaticogastrostomy versus pancreaticojejunostomy regarding incidence of delayed gastric emptying after pancreaticoduodenectomy
</t>
  </si>
  <si>
    <t>Eguchi, H.; Iwagami, Y.; Matsushita, K.; Tomimaru, Y.; Akita, H.; Noda, T.; Gotoh, K.; Kobayashi, S.; Nagano, H.; Mori, M.; Doki, Y.</t>
  </si>
  <si>
    <t xml:space="preserve">https://www.scopus.com/inward/record.uri?eid=2-s2.0-85090457606&amp;doi=10.1007%2fs00423-020-01982-0&amp;partnerID=40&amp;md5=d457b70048e2bb70cdaef91cd5d73bff
</t>
  </si>
  <si>
    <t>10.1007/s00423-020-01982-0</t>
  </si>
  <si>
    <t xml:space="preserve">Minor effect of patient education for alcohol cessation intervention on outcomes after acute fracture surgery: a randomized trial of 70 patients
</t>
  </si>
  <si>
    <t>Egholm, J. W. M.; Pedersen, B.; Oppedal, K.; Madsen, B. L.; Lauritzen, J. B.; Rasmussen, M.; Helander, A.; Adami, J.; Tønnesen, H.</t>
  </si>
  <si>
    <t xml:space="preserve">Acta Orthopaedica
</t>
  </si>
  <si>
    <t xml:space="preserve">https://www.scopus.com/inward/record.uri?eid=2-s2.0-85128117121&amp;doi=10.2340%2f17453674.2022.2482&amp;partnerID=40&amp;md5=bf793de833fb60f8e7526555167db237
</t>
  </si>
  <si>
    <t>10.2340/17453674.2022.2482</t>
  </si>
  <si>
    <t xml:space="preserve">Does rapid mobilisation as part of an enhanced recovery pathway improve length of stay, return to function and patient experience post primary total hip replacement? A randomised controlled trial feasibility study
</t>
  </si>
  <si>
    <t>Efford, C. M.; Samuel, D.</t>
  </si>
  <si>
    <t xml:space="preserve">Disability and Rehabilitation
</t>
  </si>
  <si>
    <t xml:space="preserve">https://www.scopus.com/inward/record.uri?eid=2-s2.0-85142657916&amp;doi=10.1080%2f09638288.2022.2148298&amp;partnerID=40&amp;md5=ce9289ac6d72b4b25e7e80cfc3c179f1
</t>
  </si>
  <si>
    <t>10.1080/09638288.2022.2148298</t>
  </si>
  <si>
    <t>feasibility study</t>
  </si>
  <si>
    <t xml:space="preserve">Conventional laparoscopic appendectomy versus single-port laparoscopic appendectomy, a multicenter randomized control trial: A feasible and safe alternative to standard laparoscopy
</t>
  </si>
  <si>
    <t>Duza, G.; Davrieux, C. F.; Palermo, M.; Khiangte, E.; Azfar, M.; Rizvi, S. A. A.; Trelles, N.; Zorraquin, C.; Sbai-Idrissi, M.; Le Brian Alban, Z.</t>
  </si>
  <si>
    <t xml:space="preserve">https://www.scopus.com/inward/record.uri?eid=2-s2.0-85076329731&amp;doi=10.1089%2flap.2019.0460&amp;partnerID=40&amp;md5=0721f60cdf01c479bf6e421490375f61
</t>
  </si>
  <si>
    <t>10.1089/lap.2019.0460</t>
  </si>
  <si>
    <t xml:space="preserve">Outcomes and Costs Following Mini-percutaneous Nephrolithotomy or Flexible Ureteroscopic Lithotripsy for 1-2-cm Renal Stones: Data from a Prospective, Randomized Clinical Trial
</t>
  </si>
  <si>
    <t>Dutta, R.; Mithal, P.; Klein, I.; Patel, M.; Gutierrez-Aceves, J.</t>
  </si>
  <si>
    <t xml:space="preserve">https://www.scopus.com/inward/record.uri?eid=2-s2.0-85158074329&amp;doi=10.1097%2fJU.0000000000003397&amp;partnerID=40&amp;md5=4a1013949ac7b4eb03430e767aea7e73
</t>
  </si>
  <si>
    <t>10.1097/JU.0000000000003397</t>
  </si>
  <si>
    <t xml:space="preserve">Use of bioresorbable membranes to reduce abdominal and perihepatic adhesions in 2-stage hepatectomy of liver metastases from colorectal cancer: Results of a prospective, randomized controlled phase II trial
</t>
  </si>
  <si>
    <t>Dupré, A.; Lefranc, A.; Buc, E.; Delpero, J. R.; Quenet, F.; Passot, G.; Evrard, S.; Rivoire, M.</t>
  </si>
  <si>
    <t xml:space="preserve">https://www.scopus.com/inward/record.uri?eid=2-s2.0-84879110863&amp;doi=10.1097%2fSLA.0b013e3182854949&amp;partnerID=40&amp;md5=2818686da45e79b52b4c1889ee5d1190
</t>
  </si>
  <si>
    <t>10.1097/SLA.0b013e3182854949</t>
  </si>
  <si>
    <t xml:space="preserve">Intraperitoneal local anesthetic instillation and postoperative infusion improves functional recovery following colectomy: A randomized controlled trial
</t>
  </si>
  <si>
    <t>Duffield, J. A.; Thomas, M. L.; Moore, J. W.; Andrew Hunter, R.; Wood, C.; Gentili, S.; Dip Biostat, G.; Lewis, M.</t>
  </si>
  <si>
    <t xml:space="preserve">https://www.scopus.com/inward/record.uri?eid=2-s2.0-85053353715&amp;doi=10.1097%2fDCR.0000000000001177&amp;partnerID=40&amp;md5=63af32efe05c882c99d5a620d37a7bea
</t>
  </si>
  <si>
    <t>10.1097/DCR.0000000000001177</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</si>
  <si>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</si>
  <si>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</si>
  <si>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</si>
  <si>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</si>
  <si>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Effect of monitoring surgical outcomes using control charts to reduce major adverse events in patients: Cluster randomised trial
</t>
  </si>
  <si>
    <t>Duclos, A.; Chollet, F.; Pascal, L.; Ormando, H.; Carty, M. J.; Polazzi, S.; Lifante, J. C.</t>
  </si>
  <si>
    <t xml:space="preserve">371
</t>
  </si>
  <si>
    <t xml:space="preserve">https://www.scopus.com/inward/record.uri?eid=2-s2.0-85095677298&amp;doi=10.1136%2fbmj.m3840&amp;partnerID=40&amp;md5=b6788b906e0f668d7cadb53f17cb67f1
</t>
  </si>
  <si>
    <t>10.1136/bmj.m3840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</si>
  <si>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</si>
  <si>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</si>
  <si>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</si>
  <si>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</si>
  <si>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Diagnostic Assessment of Lower Urinary Tract Symptoms in Men Considering Prostate Surgery: A Noninferiority Randomised Controlled Trial of Urodynamics in 26 Hospitals
</t>
  </si>
  <si>
    <t>Drake, M. J.; Lewis, A. L.; Young, G. J.; Abrams, P.; Blair, P. S.; Chapple, C.; Glazener, C. M. A.; Horwood, J.; McGrath, J. S.; Noble, S.; Taylor, G. T.; Lane, J. A.</t>
  </si>
  <si>
    <t xml:space="preserve">https://www.scopus.com/inward/record.uri?eid=2-s2.0-85087208729&amp;doi=10.1016%2fj.eururo.2020.06.004&amp;partnerID=40&amp;md5=c249f972a6cd62228e0e7e911aadf610
</t>
  </si>
  <si>
    <t>10.1016/j.eururo.2020.06.004</t>
  </si>
  <si>
    <t xml:space="preserve">Trial of remote continuous versus intermittent NEWS monitoring after major surgery (TRaCINg): a feasibility randomised controlled trial
</t>
  </si>
  <si>
    <t>Downey, C. L.; Croft, J.; Ainsworth, G.; Buckley, H.; Shinkins, B.; Randell, R.; Brown, J. M.; Jayne, D. G.</t>
  </si>
  <si>
    <t xml:space="preserve">https://www.scopus.com/inward/record.uri?eid=2-s2.0-85096441461&amp;doi=10.1186%2fs40814-020-00709-8&amp;partnerID=40&amp;md5=ead5c6ebab90d9d372f890a08b3c70cf
</t>
  </si>
  <si>
    <t>10.1186/s40814-020-00709-8</t>
  </si>
  <si>
    <t xml:space="preserve">Impact of Oocyte Extract Supplement on Quality of Life after Hepatectomy for Liver Tumours: A Prospective, Multicentre, Double-Blind Randomized Clinical Trial
</t>
  </si>
  <si>
    <t>Donadon, M.; Palmisano, A.; Bizzarri, M.; Ceriani, R.; Veneroni, L.; Donati, G.; Tassinari, D.; Viola, M. G.; Tamburini, E.; Torzilli, G.</t>
  </si>
  <si>
    <t xml:space="preserve">https://www.scopus.com/inward/record.uri?eid=2-s2.0-85160611393&amp;doi=10.3390%2fcancers15102809&amp;partnerID=40&amp;md5=f431fba0a9d0e937e55152a056a37ee8
</t>
  </si>
  <si>
    <t>10.3390/cancers15102809</t>
  </si>
  <si>
    <t xml:space="preserve">Pharmacological Modulation of Ischemic-Reperfusion Injury during Pringle Maneuver in Hepatic Surgery. A Prospective Randomized Pilot Study
</t>
  </si>
  <si>
    <t>Donadon, M.; Molinari, A. F.; Corazzi, F.; Rocchi, L.; Zito, P.; Cimino, M.; Costa, G.; Raimondi, F.; Torzilli, G.</t>
  </si>
  <si>
    <t xml:space="preserve">https://www.scopus.com/inward/record.uri?eid=2-s2.0-84964402830&amp;doi=10.1007%2fs00268-016-3506-1&amp;partnerID=40&amp;md5=2c59920436a945faae9bdc81aacfd892
</t>
  </si>
  <si>
    <t>10.1007/s00268-016-3506-1</t>
  </si>
  <si>
    <t xml:space="preserve">Effect of ureterointestinal anastomosis on renal function and morbidity in intestinal urinary diversion
</t>
  </si>
  <si>
    <t>Doležel, J.; Čapák, I.; Valík, D.; Miklánek, D.; Macík, D.; Pacal, M.; Staník, M.; Jarkovský, J.</t>
  </si>
  <si>
    <t xml:space="preserve">https://www.scopus.com/inward/record.uri?eid=2-s2.0-84880377372&amp;doi=10.3109%2f00365599.2012.732110&amp;partnerID=40&amp;md5=ba9323280e415e93b4fa9ed2db8ee5ca
</t>
  </si>
  <si>
    <t>10.3109/00365599.2012.732110</t>
  </si>
  <si>
    <t xml:space="preserve">Intracorporeal Versus Extracorporeal Anastomosis in Robotic Right Colectomy A Multicenter, Triple-blind, Randomized Clinical Trial
</t>
  </si>
  <si>
    <t>Dohrn, N.; Yikilmaz, H.; Laursen, M.; Khesrawi, F.; Clausen, F. B.; Sørensen, F.; Jakobsen, H. L.; Brisling, S.; Lykke, J.; Eriksen, J. R.; Klein, M. F.; Gögenur, I.</t>
  </si>
  <si>
    <t xml:space="preserve">https://www.scopus.com/inward/record.uri?eid=2-s2.0-85139123889&amp;doi=10.1097%2fSLA.0000000000005254&amp;partnerID=40&amp;md5=8a7c0a7b8597e88d4edd6943c590f638
</t>
  </si>
  <si>
    <t>10.1097/SLA.0000000000005254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</si>
  <si>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</si>
  <si>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</si>
  <si>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</si>
  <si>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</si>
  <si>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Hysteroscopic versus cervical injection for sentinel node detection in endometrial cancer: A multicenter prospective randomised controlled trial from the Multicenter Italian Trials in Ovarian cancer (MITO) study group
</t>
  </si>
  <si>
    <t>Ditto, A.; Casarin, I.; Perrone, A. M.; Scollo, P.; Martinelli, F.; Bogani, G.; Maggiore, U. L. R.; Signorelli, M.; Chiappa, V.; Giorda, G.; Scibilia, G.; De Iaco, P.; Evangelista, M.; Ghezzi, F.; Paolini, B.; Lo Vullo, S.; Mariani, L.; Montone, R.; Raspagliesi, F.</t>
  </si>
  <si>
    <t xml:space="preserve">140
</t>
  </si>
  <si>
    <t xml:space="preserve">https://www.scopus.com/inward/record.uri?eid=2-s2.0-85091964417&amp;doi=10.1016%2fj.ejca.2020.08.030&amp;partnerID=40&amp;md5=13171c4d90dfc63bbb2c82ae8aa6256a
</t>
  </si>
  <si>
    <t>10.1016/j.ejca.2020.08.030</t>
  </si>
  <si>
    <t xml:space="preserve">NeuroSAFE robot-assisted laparoscopic prostatectomy versus standard robot-assisted laparoscopic prostatectomy for men with localised prostate cancer (NeuroSAFE PROOF): Protocol for a randomised controlled feasibility study
</t>
  </si>
  <si>
    <t>Dinneen, E.; Haider, A.; Allen, C.; Freeman, A.; Briggs, T.; Nathan, S.; Brew-Graves, C.; Grierson, J.; Williams, N. R.; Persad, R.; Oakley, N.; Adshead, J. M.; Huland, H.; Haese, A.; Shaw, G.</t>
  </si>
  <si>
    <t xml:space="preserve">https://www.scopus.com/inward/record.uri?eid=2-s2.0-85067263606&amp;doi=10.1136%2fbmjopen-2018-028132&amp;partnerID=40&amp;md5=89634ab5bcca790aace04506425afc62
</t>
  </si>
  <si>
    <t>10.1136/bmjopen-2018-028132</t>
  </si>
  <si>
    <t xml:space="preserve">Protocol for the MobiMD trial: A randomized controlled trial to evaluate the effect of a self-monitoring mobile app on hospital readmissions for complex surgical patients
</t>
  </si>
  <si>
    <t>Diehl, T. M.; Barrett, J. R.; Abbott, D. E.; Cherney Stafford, L. M.; Hanlon, B. M.; Yang, Q.; Van Doorn, R.; Weber, S. M.; Voils, C. I.</t>
  </si>
  <si>
    <t xml:space="preserve">https://www.scopus.com/inward/record.uri?eid=2-s2.0-85121783439&amp;doi=10.1016%2fj.cct.2021.106658&amp;partnerID=40&amp;md5=ffcc27e052c7708742eeed9d97d96a71
</t>
  </si>
  <si>
    <t>10.1016/j.cct.2021.106658</t>
  </si>
  <si>
    <t xml:space="preserve">Prospective Randomized Trial Comparing Transperitoneal Versus Extraperitoneal Laparoscopic Aortic Lymphadenectomy for Surgical Staging of Endometrial and Ovarian Cancer: The STELLA Trial
</t>
  </si>
  <si>
    <t>Díaz-Feijoo, B.; Correa-Paris, A.; Pérez-Benavente, A.; Franco-Camps, S.; Sánchez-Iglesias, J. L.; Cabrera, S.; de la Torre, J.; Centeno, C.; Puig, O. P.; Gil-Ibañez, B.; Colas, E.; Magrina, J.; Gil-Moreno, A.</t>
  </si>
  <si>
    <t xml:space="preserve">https://www.scopus.com/inward/record.uri?eid=2-s2.0-84964316523&amp;doi=10.1245%2fs10434-016-5229-9&amp;partnerID=40&amp;md5=f94385bffd8d9e82b6877f877ff34c33
</t>
  </si>
  <si>
    <t>10.1245/s10434-016-5229-9</t>
  </si>
  <si>
    <t xml:space="preserve">Surgical complications comparing extraperitoneal vs transperitoneal laparoscopic aortic staging in early stage ovarian and endometrial cancer
</t>
  </si>
  <si>
    <t>Díaz-Feijoo, B.; Bebia, V.; Hernández, A.; Gilabert-Estalles, J.; Franco-Camps, S.; de la Torre, J.; Segrist, J.; Chipirliu, A.; Cabrera, S.; Pérez-Benavente, A.; Gil-Moreno, A.</t>
  </si>
  <si>
    <t xml:space="preserve">https://www.scopus.com/inward/record.uri?eid=2-s2.0-85095740520&amp;doi=10.1016%2fj.ygyno.2020.10.038&amp;partnerID=40&amp;md5=712f500a6317689bf1ba2880fb4a1d45
</t>
  </si>
  <si>
    <t>10.1016/j.ygyno.2020.10.038</t>
  </si>
  <si>
    <t xml:space="preserve">Goal-directed hemodynamic therapy versus restrictive normovolemic therapy in major open abdominal surgery: A randomized controlled trial
</t>
  </si>
  <si>
    <t>Diaper, J.; Schiffer, E.; Barcelos, G. K.; Luise, S.; Schorer, R.; Ellenberger, C.; Licker, M.</t>
  </si>
  <si>
    <t xml:space="preserve">169
</t>
  </si>
  <si>
    <t xml:space="preserve">https://www.scopus.com/inward/record.uri?eid=2-s2.0-85095756180&amp;doi=10.1016%2fj.surg.2020.09.035&amp;partnerID=40&amp;md5=efbb6480f7aa4cccc81b4b51f762bd09
</t>
  </si>
  <si>
    <t>10.1016/j.surg.2020.09.035</t>
  </si>
  <si>
    <t xml:space="preserve">Surgical wound infection prevention using topical negative pressure therapy on closed abdominal incisions – the ‘SWIPE IT’ randomized clinical trial
</t>
  </si>
  <si>
    <t>Di Re, A. M.; Wright, D.; Toh, J. W. T.; El-Khoury, T.; Pathma-nathan, N.; Gosselink, M. P.; Khanijaun, S.; Raman, S.; Ctercteko, G.</t>
  </si>
  <si>
    <t xml:space="preserve">https://www.scopus.com/inward/record.uri?eid=2-s2.0-85101358426&amp;doi=10.1016%2fj.jhin.2021.01.013&amp;partnerID=40&amp;md5=022428ad259f79f3b09a7e45a5de4468
</t>
  </si>
  <si>
    <t>10.1016/j.jhin.2021.01.013</t>
  </si>
  <si>
    <t xml:space="preserve">Feasibility and Safety of Laparoscopic Complete Mesocolic Excision (CME) for Right-sided Colon Cancer: Short-term Outcomes. A Randomized Clinical Study
</t>
  </si>
  <si>
    <t>Di Buono, G.; Buscemi, S.; Cocorullo, G.; Sorce, V.; Amato, G.; Bonventre, G.; Maienza, E.; Galia, M.; Gulotta, L.; Romano, G.; Agrusa, A.</t>
  </si>
  <si>
    <t xml:space="preserve">https://www.scopus.com/inward/record.uri?eid=2-s2.0-85103681053&amp;doi=10.1097%2fSLA.0000000000004557&amp;partnerID=40&amp;md5=7052565565e969e9449532072d7ef4b3
</t>
  </si>
  <si>
    <t>10.1097/SLA.0000000000004557</t>
  </si>
  <si>
    <t xml:space="preserve">To drain or not to drain infraperitoneal anastomosis after rectal excision for cancer
</t>
  </si>
  <si>
    <t>Denost, Q.; Rouanet, P.; Faucheron, J. L.; Panis, Y.; Meunier, B.; Cotte, E.; Meurette, G.; Kirzin, S.; Sabbagh, C.; Loriau, J.; Benoist, S.; Mariette, C.; Sielezneff, I.; Lelong, B.; Mauvais, F.; Romain, B.; Barussaud, M. L.; Germain, C.; Picat, M. Q.; Rullier, E.; Laurent, C.</t>
  </si>
  <si>
    <t xml:space="preserve">https://www.scopus.com/inward/record.uri?eid=2-s2.0-84987881483&amp;doi=10.1097%2fSLA.0000000000001991&amp;partnerID=40&amp;md5=ba8cc9fa0ae88abf658276789b07c050
</t>
  </si>
  <si>
    <t>10.1097/SLA.0000000000001991</t>
  </si>
  <si>
    <t xml:space="preserve">Perineal transanal approach: A new standard for laparoscopic sphincter-saving resection in low rectal cancer, a randomized trial
</t>
  </si>
  <si>
    <t>Denost, Q.; Adam, J. P.; Rullier, A.; Buscail, E.; Laurent, C.; Rullier, E.</t>
  </si>
  <si>
    <t xml:space="preserve">260
</t>
  </si>
  <si>
    <t xml:space="preserve">https://www.scopus.com/inward/record.uri?eid=2-s2.0-84922311212&amp;doi=10.1097%2fSLA.0000000000000766&amp;partnerID=40&amp;md5=cf616025cd50ef53fe5a309e44b8fbdc
</t>
  </si>
  <si>
    <t>10.1097/SLA.0000000000000766</t>
  </si>
  <si>
    <t xml:space="preserve">Early nutritional intervention does not prevent long-term adverse events in women with breast cancer: A pilot study
</t>
  </si>
  <si>
    <t>Denise de Lima Bezerra, A.; Matias de Sousa, I.; Silva de Souza, A. P.; Miranda de Carvalho, A. L.; Trussardi Fayh, A. P.</t>
  </si>
  <si>
    <t xml:space="preserve">https://www.scopus.com/inward/record.uri?eid=2-s2.0-85145828463&amp;doi=10.1016%2fj.clnesp.2022.12.013&amp;partnerID=40&amp;md5=a815239dee9fcf45bbc824bb31339632
</t>
  </si>
  <si>
    <t>10.1016/j.clnesp.2022.12.013</t>
  </si>
  <si>
    <t xml:space="preserve">Effect of intraoperative remimazolam on postoperative sleep quality in elderly patients after total joint arthroplasty: a randomized control trial
</t>
  </si>
  <si>
    <t>Deng, C. M.; Meng, Z. T.; Yang, J.; Zhang, C. J.; Lu, M.; Wang, Y. X.; Mu, D. L.</t>
  </si>
  <si>
    <t xml:space="preserve">https://www.scopus.com/inward/record.uri?eid=2-s2.0-85152647610&amp;doi=10.1007%2fs00540-023-03193-5&amp;partnerID=40&amp;md5=8307b65bf79faadd5eb0d8148cfe0dbc
</t>
  </si>
  <si>
    <t>10.1007/s00540-023-03193-5</t>
  </si>
  <si>
    <t xml:space="preserve">Personalised electronic health programme for recovery after major abdominal surgery: a multicentre, single-blind, randomised, placebo-controlled trial
</t>
  </si>
  <si>
    <t>den Bakker, C. M.; Schaafsma, F. G.; Consten, E. C. J.; Schraffordt Koops, S. E.; van der Meij, E.; van de Ven, P. M.; Bonjer, H. J.; Huirne, J. A. F.; Anema, J. R.</t>
  </si>
  <si>
    <t xml:space="preserve">The Lancet Digital Health
</t>
  </si>
  <si>
    <t xml:space="preserve">https://www.scopus.com/inward/record.uri?eid=2-s2.0-85165704474&amp;doi=10.1016%2fS2589-7500%2823%2900084-5&amp;partnerID=40&amp;md5=d5dfe32a472c82d14289e2bd7aa6f89a
</t>
  </si>
  <si>
    <t>10.1016/S2589-7500(23)00084-5</t>
  </si>
  <si>
    <t xml:space="preserve">Which should be preferred for moderate-size kidney stones? Ultramini percutaneous nephrolithotomy or retrograde intrarenal surgery?
</t>
  </si>
  <si>
    <t>Demirbas, A.; Resorlu, B.; Sunay, M. M.; Karakan, T.; Karagöz, M. A.; Doluoglu, O. G.</t>
  </si>
  <si>
    <t xml:space="preserve">https://www.scopus.com/inward/record.uri?eid=2-s2.0-85002251390&amp;doi=10.1089%2fend.2016.0370&amp;partnerID=40&amp;md5=6ed19adef8f2ad95862ab7184b903c20
</t>
  </si>
  <si>
    <t>10.1089/end.2016.0370</t>
  </si>
  <si>
    <t xml:space="preserve">Early removal of intraperitoneal drainage after pancreatoduodenectomy in patients without postoperative fistula at POD3: Results of a randomized clinical trial
</t>
  </si>
  <si>
    <t>Dembinski, J.; Mariette, C.; Tuech, J. J.; Mauvais, F.; Piessen, G.; Fuks, D.; Schwarz, L.; Truant, S.; Cosse, C.; Pruvot, F. R.; Regimbeau, J. M.</t>
  </si>
  <si>
    <t xml:space="preserve">Journal of Visceral Surgery
</t>
  </si>
  <si>
    <t xml:space="preserve">https://www.scopus.com/inward/record.uri?eid=2-s2.0-85060767923&amp;doi=10.1016%2fj.jviscsurg.2018.06.006&amp;partnerID=40&amp;md5=ecf552b5259910415b3662c4207d054a
</t>
  </si>
  <si>
    <t>10.1016/j.jviscsurg.2018.06.006</t>
  </si>
  <si>
    <t xml:space="preserve">Oncological safety and quality of life in men undergoing simultaneous transurethral resection of bladder tumor and prostate: results from a randomized controlled trial
</t>
  </si>
  <si>
    <t>Dellabella, M.; Branchi, A.; Gasparri, L.; Claudini, R.; Castellani, D.</t>
  </si>
  <si>
    <t xml:space="preserve">https://www.scopus.com/inward/record.uri?eid=2-s2.0-85046484723&amp;doi=10.1007%2fs00345-018-2317-4&amp;partnerID=40&amp;md5=6be5921ea62beb338ae73683f1948f78
</t>
  </si>
  <si>
    <t>10.1007/s00345-018-2317-4</t>
  </si>
  <si>
    <t xml:space="preserve">Risk factors for postoperative pain after cystocele repair with mesh
</t>
  </si>
  <si>
    <t>Declas, E.; Verdun, S.; Fauconnier, A.; Lucot, J. P.</t>
  </si>
  <si>
    <t xml:space="preserve">https://www.scopus.com/inward/record.uri?eid=2-s2.0-85137523580&amp;doi=10.1007%2fs00192-022-05285-4&amp;partnerID=40&amp;md5=e3a973d741d2f60342cf2e15a7f1fbc9
</t>
  </si>
  <si>
    <t>10.1007/s00192-022-05285-4</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</si>
  <si>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</si>
  <si>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</si>
  <si>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</si>
  <si>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</si>
  <si>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</si>
  <si>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</si>
  <si>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Extended antibiotic therapy versus placebo after laparoscopic cholecystectomy for mild and moderate acute calculous cholecystitis: A randomized double-blind clinical trial
</t>
  </si>
  <si>
    <t>de Santibañes, M.; Glinka, J.; Pelegrini, P.; Alvarez, F. A.; Elizondo, C.; Giunta, D.; Barcan, L.; Simoncini, L.; Dominguez, N. C.; Ardiles, V.; Mazza, O.; Claria, R. S.; de Santibañes, E.; Pekolj, J.</t>
  </si>
  <si>
    <t xml:space="preserve">https://www.scopus.com/inward/record.uri?eid=2-s2.0-85042656873&amp;doi=10.1016%2fj.surg.2018.01.014&amp;partnerID=40&amp;md5=7712bd21d283e782633939e5e1d685df
</t>
  </si>
  <si>
    <t>10.1016/j.surg.2018.01.014</t>
  </si>
  <si>
    <t xml:space="preserve">Minimally invasive versus open pancreatoduodenectomy (LEOPARD-2): Study protocol for a randomized controlled trial
</t>
  </si>
  <si>
    <t>de Rooij, T.; van Hilst, J.; Bosscha, K.; Dijkgraaf, M. G.; Gerhards, M. F.; Koerkamp, B. G.; Hagendoorn, J.; de Hingh, I. H.; Karsten, T. M.; Lips, D. J.; Luyer, M. D.; Molenaar, I. Q.; van Santvoort, H. C.; Tran, T. C. K.; Busch, O. R.; Festen, S.; Besselink, M. G.; for the Dutch Pancreatic Cancer, Group</t>
  </si>
  <si>
    <t xml:space="preserve">https://www.scopus.com/inward/record.uri?eid=2-s2.0-85042465709&amp;doi=10.1186%2fs13063-017-2423-4&amp;partnerID=40&amp;md5=751cb022d9427e610b58ed891920e426
</t>
  </si>
  <si>
    <t>10.1186/s13063-017-2423-4</t>
  </si>
  <si>
    <t xml:space="preserve">Tourniquet Does Not Affect Long-Term Outcomes in Minor Hand Surgery: A Randomized Controlled Trial
</t>
  </si>
  <si>
    <t>De Roo, S. F.; Teunissen, J. S.; Rutten, M. J. C. M.; Van Der Heijden, B. E. P. A.</t>
  </si>
  <si>
    <t xml:space="preserve">Plastic and Reconstructive Surgery - Global Open
</t>
  </si>
  <si>
    <t xml:space="preserve">https://www.scopus.com/inward/record.uri?eid=2-s2.0-85137413519&amp;doi=10.1097%2fGOX.0000000000004495&amp;partnerID=40&amp;md5=63c29c12cbf11958dfb81d449c01fc87
</t>
  </si>
  <si>
    <t>10.1097/GOX.0000000000004495</t>
  </si>
  <si>
    <t xml:space="preserve">Conditions associated with worse acceptance of a simplified accelerated recovery after surgery protocol in laparoscopic colorectal surgery
</t>
  </si>
  <si>
    <t>de Queiroz, F. L.; Lacerda-Filho, A.; Alves, A. C.; de Oliveira, F. H.; Neto, P. R. F.; de Almeida Paiva, R.</t>
  </si>
  <si>
    <t xml:space="preserve">https://www.scopus.com/inward/record.uri?eid=2-s2.0-85104966843&amp;doi=10.1186%2fs12893-021-01206-2&amp;partnerID=40&amp;md5=f5b91c9ca092f82ef69031a5854bfccf
</t>
  </si>
  <si>
    <t>10.1186/s12893-021-01206-2</t>
  </si>
  <si>
    <t xml:space="preserve">Use of an intraoperative wound protector to prevent surgical-site infection after pancreatoduodenectomy: randomized clinical trial
</t>
  </si>
  <si>
    <t>De Pastena, M.; Marchegiani, G.; Paiella, S.; Fontana, M.; Esposito, A.; Casetti, L.; Secchettin, E.; Manzini, G.; Bassi, C.; Salvia, R.</t>
  </si>
  <si>
    <t xml:space="preserve">https://www.scopus.com/inward/record.uri?eid=2-s2.0-85081726294&amp;doi=10.1002%2fbjs.11527&amp;partnerID=40&amp;md5=61c3722b7d64c1c9f8bba0d8e3527cd5
</t>
  </si>
  <si>
    <t>10.1002/bjs.11527</t>
  </si>
  <si>
    <t xml:space="preserve">Transrectal-ultrasound prostatic biopsy preparation: Rectal enema vs. mechanical bowel preparation
</t>
  </si>
  <si>
    <t>De Nunzio, C.; Lombardo, R.; Presicce, F.; Bellangino, M.; Agro, E. F.; Gambrosier, M. B.; Trucchi, A.; Petta, S.; Tubaro, A.</t>
  </si>
  <si>
    <t xml:space="preserve">Central European Journal of Urology
</t>
  </si>
  <si>
    <t xml:space="preserve">https://www.scopus.com/inward/record.uri?eid=2-s2.0-84931835335&amp;doi=10.5173%2fceju.2015.608&amp;partnerID=40&amp;md5=6c9f493b277d38973c13310d081aa210
</t>
  </si>
  <si>
    <t>10.5173/ceju.2015.608</t>
  </si>
  <si>
    <t xml:space="preserve">Intraoperative angiography with indocyanine green to assess anastomosis perfusion in patients undergoing laparoscopic colorectal resection: results of a multicenter randomized controlled trial
</t>
  </si>
  <si>
    <t>De Nardi, P.; Elmore, U.; Maggi, G.; Maggiore, R.; Boni, L.; Cassinotti, E.; Fumagalli, U.; Gardani, M.; De Pascale, S.; Parise, P.; Vignali, A.; Rosati, R.</t>
  </si>
  <si>
    <t xml:space="preserve">https://www.scopus.com/inward/record.uri?eid=2-s2.0-85064079567&amp;doi=10.1007%2fs00464-019-06730-0&amp;partnerID=40&amp;md5=c2e9a4f1674fd5f8b1c41c13244e2de7
</t>
  </si>
  <si>
    <t>10.1007/s00464-019-06730-0</t>
  </si>
  <si>
    <t xml:space="preserve">Peroral endoscopic myotomy vs laparoscopic myotomy and partial fundoplication for esophageal achalasia: A single-center randomized controlled trial
</t>
  </si>
  <si>
    <t>de Moura, E. T. H.; Jukemura, J.; Ribeiro, I. B.; Farias, G. F. A.; de Almeida Delgado, A. A.; Coutinho, L. M. A.; de Moura, D. T. H.; Sallum, R. A. A.; Nasi, A.; Sánchez-Luna, S. A.; Sakai, P.; de Moura, E. G. H.</t>
  </si>
  <si>
    <t xml:space="preserve">https://www.scopus.com/inward/record.uri?eid=2-s2.0-85138666641&amp;doi=10.3748%2fwjg.v28.i33.4875&amp;partnerID=40&amp;md5=c5fc09cb3ad147bc7c0cc1e9cc5ecaff
</t>
  </si>
  <si>
    <t>10.3748/wjg.v28.i33.4875</t>
  </si>
  <si>
    <t xml:space="preserve">Multicentre randomized clinical trial of the effect of chewing gum after abdominal surgery
</t>
  </si>
  <si>
    <t>de Leede, E. M.; van Leersum, N. J.; Kroon, H. M.; van Weel, V.; van der Sijp, J. R. M.; Bonsing, B. A.; Woltz, S.; Tromp, M.; Neijenhuis, P. A.; Maaijen, R. C. L. A.; Steup, W. H.; Schepers, A.; Guicherit, O. R.; Huurman, V. A. L.; Karsten, T. M.; van de Pool, A.; Boerma, D.; Deroose, J. P.; Beek, M.; Wijsman, J. H.; Derksen, W. J. M.; Festen, S.; de Nes, L. C. F.; the Kauwgomstudie, Consortium</t>
  </si>
  <si>
    <t xml:space="preserve">https://www.scopus.com/inward/record.uri?eid=2-s2.0-85046902649&amp;doi=10.1002%2fbjs.10828&amp;partnerID=40&amp;md5=2d62072be9ad09537755ad7449027b15
</t>
  </si>
  <si>
    <t>10.1002/bjs.10828</t>
  </si>
  <si>
    <t xml:space="preserve">Conventional white light imaging-assisted transurethral resection of bladder tumour (TURBT) versus IMAGE1S-assisted TURBT in non-muscle-invasive bladder cancer patients: trial protocol and 18 months results
</t>
  </si>
  <si>
    <t>de la Rosette, J.; Martov, A.; Hurle, R.; Favre, G.; Mamoulakis, C.; Castanheira de Oliveira, M.; Stenzl, A.; Linares-Espinós, E.; Trelles Guzmán, C. R.; Gravas, S.; Knoll, T.; Boz, M. Y.; Herrmann, T.; Laguna, P.</t>
  </si>
  <si>
    <t xml:space="preserve">https://www.scopus.com/inward/record.uri?eid=2-s2.0-85118561774&amp;doi=10.1007%2fs00345-021-03866-4&amp;partnerID=40&amp;md5=0b3e2fea3fa06a2a022202181c243ce7
</t>
  </si>
  <si>
    <t>10.1007/s00345-021-03866-4</t>
  </si>
  <si>
    <t xml:space="preserve">Postoperative pulmonary complications, pulmonary and systemic inflammatory responses after lung resection surgery with prolonged one-lung ventilation. Randomized controlled trial comparing intravenous and inhalational anaesthesia
</t>
  </si>
  <si>
    <t>De La Gala, F.; Piñeiro, P.; Reyes, A.; Vara, E.; Olmedilla, L.; Cruz, P.; Garutti, I.; Casanova, J.; Duque, P.; Simon, C.; Contributors</t>
  </si>
  <si>
    <t xml:space="preserve">https://www.scopus.com/inward/record.uri?eid=2-s2.0-85032863102&amp;doi=10.1093%2fbja%2faex230&amp;partnerID=40&amp;md5=4b59f3f84c9fbf2db74b6ed6b4367927
</t>
  </si>
  <si>
    <t>10.1093/bja/aex230</t>
  </si>
  <si>
    <t xml:space="preserve">Effect of intraoperative paravertebral or intravenous lidocaine versus control during lung resection surgery on postoperative complications: A randomized controlled trial
</t>
  </si>
  <si>
    <t>De La Gala, F.; Piñeiro, P.; Reyes, A.; Simón, C.; Vara, E.; Rancan, L.; Huerta, L. J.; Gonzalez, G.; Benito, C.; Muñoz, M.; Grande, P.; Paredes, S. D.; Aznar, P. T.; Perez, A.; Martinez, D.; Higuero, F.; Sanz, D.; De Miguel, J. P.; Cruz, P.; Olmedilla, L.; Lopez Gil, E.; Duque, P.; Sanchez-Pedrosa, G.; Valle, M.; Garutti, I.</t>
  </si>
  <si>
    <t xml:space="preserve">https://www.scopus.com/inward/record.uri?eid=2-s2.0-85074623820&amp;doi=10.1186%2fs13063-019-3677-9&amp;partnerID=40&amp;md5=cf28a32dc5786ad57256a57b3b4cb8e3
</t>
  </si>
  <si>
    <t>10.1186/s13063-019-3677-9</t>
  </si>
  <si>
    <t xml:space="preserve">Enhanced PeriOperative Care and Health protection programme for the prevention of surgical site infections after elective abdominal surgery (EPO2CH): statistical analysis plan of a randomised controlled multicentre superiority trial
</t>
  </si>
  <si>
    <t>de Jonge, S. W.; Wolfhagen, N.; Zwinderman, A. H.; Hollmann, M. W.; Boermeester, M. A.; Dijkgraaf, M. G. W.; Boldingh, Q. J. J.; Bom, W. J.; Demirkiran, A.; van Geffen, O. E.; Hendriks, E. R.; Hering, J. P.; van der Hoeven, J. A. B.; Kluyver, E. B.; van der Leeuw, B. M. F.; van Lonkhuijzen, L. R. C. W.; Posthuma, L. M.; Sonneveld, D. J. A.; Scheijmans, J. C. G.; for the, E. P. O. C. H. study group</t>
  </si>
  <si>
    <t xml:space="preserve">https://www.scopus.com/inward/record.uri?eid=2-s2.0-85104774978&amp;doi=10.1186%2fs13063-021-05202-y&amp;partnerID=40&amp;md5=2b920df5db6d20077baba40797b79937
</t>
  </si>
  <si>
    <t>10.1186/s13063-021-05202-y</t>
  </si>
  <si>
    <t>statistical plan</t>
  </si>
  <si>
    <t xml:space="preserve">Preoperative Fasting Abbreviation With Whey Protein Reduces the Occurrence of Postoperative Complications in Patients With Head and Neck Cancer: A Randomized Clinical Trial
</t>
  </si>
  <si>
    <t>de Carvalho, C. S.; Silva, T. H.; André, J. C. S.; de Barros, L. A. S.; Ferreira, A. A.; Murad, L. B.; Peres, W. A. F.</t>
  </si>
  <si>
    <t xml:space="preserve">Nutrition in Clinical Practice
</t>
  </si>
  <si>
    <t xml:space="preserve">https://www.scopus.com/inward/record.uri?eid=2-s2.0-85098257883&amp;doi=10.1002%2fncp.10624&amp;partnerID=40&amp;md5=9a2e03a5ee40677ff4683991658c3965
</t>
  </si>
  <si>
    <t>10.1002/ncp.10624</t>
  </si>
  <si>
    <t xml:space="preserve">Fibrin sealant for prevention of resection surface-related complications after liver resection: A randomized controlled trial
</t>
  </si>
  <si>
    <t>De Boer, M. T.; Klaase, J. M.; Verhoef, C.; Van Dam, R. M.; Van Gulik, T. M.; Molenaar, I. Q.; Bosscha, K.; Dejong, C. H. C.; Van Der Jagt, E. J.; Porte, R. J.</t>
  </si>
  <si>
    <t xml:space="preserve">256
</t>
  </si>
  <si>
    <t xml:space="preserve">https://www.scopus.com/inward/record.uri?eid=2-s2.0-84860190237&amp;doi=10.1097%2fSLA.0b013e3182602819&amp;partnerID=40&amp;md5=516645c3f5ba7b162e9a77d58cd2c805
</t>
  </si>
  <si>
    <t>10.1097/SLA.0b013e3182602819</t>
  </si>
  <si>
    <t xml:space="preserve">Abbreviated preoperative fasting favours postoperative oral intake at lower hospital admission costs for cancer patients
</t>
  </si>
  <si>
    <t>De Abreu Reis, P. G.; Polakowski, C.; Lopes, M.; Bussyguin, D. S.; Ferreira, R. P.; Preti, V. B.; Tomasich, F. D. S.</t>
  </si>
  <si>
    <t xml:space="preserve">Revista do Colegio Brasileiro de Cirurgioes
</t>
  </si>
  <si>
    <t xml:space="preserve">https://www.scopus.com/inward/record.uri?eid=2-s2.0-85071197835&amp;doi=10.1590%2f0100-6991e-20192175&amp;partnerID=40&amp;md5=3aa906c8adc8bbf7959ab7d1067cd26f
</t>
  </si>
  <si>
    <t>10.1590/0100-6991e-20192175</t>
  </si>
  <si>
    <t xml:space="preserve">Efficacy and safety of cilostazol-nimodipine combined therapy on delayed cerebral ischaemia after aneurysmal subarachnoid haemorrhage: A prospective, randomised, double-blinded, placebo-controlled trial protocol
</t>
  </si>
  <si>
    <t>Dawley, T.; Claus, C. F.; Tong, D.; Rajamand, S.; Sigler, D.; Bahoura, M.; Garmo, L.; Soo, T. M.; Kelkar, P.; Richards, B.</t>
  </si>
  <si>
    <t xml:space="preserve">https://www.scopus.com/inward/record.uri?eid=2-s2.0-85092645117&amp;doi=10.1136%2fbmjopen-2019-036217&amp;partnerID=40&amp;md5=dd7310f1e46864c9959e2a7f4fb734ab
</t>
  </si>
  <si>
    <t>10.1136/bmjopen-2019-036217</t>
  </si>
  <si>
    <t xml:space="preserve">Optimizing cholecystectomy time in moderate acute biliary pancreatitis: A randomized clinical trial study
</t>
  </si>
  <si>
    <t>Davoodabadi, A.; Beigmohammadi, E.; Gilasi, H.; Arj, A.; Taheri nassaj, H.</t>
  </si>
  <si>
    <t xml:space="preserve">Heliyon
</t>
  </si>
  <si>
    <t xml:space="preserve">https://www.scopus.com/inward/record.uri?eid=2-s2.0-85079374887&amp;doi=10.1016%2fj.heliyon.2020.e03388&amp;partnerID=40&amp;md5=223dc5ecff9c992d41c84ea53f4114f6
</t>
  </si>
  <si>
    <t>10.1016/j.heliyon.2020.e03388</t>
  </si>
  <si>
    <t xml:space="preserve">Prevalence of Surgical Site Infections Following Orthognathic Surgery: A Double-Blind, Randomized Controlled Trial on a 3-Day Versus 1-Day Postoperative Antibiotic Regimen
</t>
  </si>
  <si>
    <t>Davis, C. M.; Gregoire, C. E.; Davis, I.; Steeves, T. W.</t>
  </si>
  <si>
    <t xml:space="preserve">https://www.scopus.com/inward/record.uri?eid=2-s2.0-85006482159&amp;doi=10.1016%2fj.joms.2016.09.038&amp;partnerID=40&amp;md5=e82c97126ee04fa5df3db2c113ee0fb9
</t>
  </si>
  <si>
    <t>10.1016/j.joms.2016.09.038</t>
  </si>
  <si>
    <t xml:space="preserve">Ultramini-percutaneous nephrolithotomy versus retrograde intrarenal surgery in the treatment of 10–30 mm calculi: a randomized controlled trial
</t>
  </si>
  <si>
    <t>Datta, S. N.; Chalokia, R. S.; Wing, K. W.; Patel, K.; Solanki, R.; Desai, J.</t>
  </si>
  <si>
    <t xml:space="preserve">https://www.scopus.com/inward/record.uri?eid=2-s2.0-85124084805&amp;doi=10.1007%2fs00240-022-01304-7&amp;partnerID=40&amp;md5=664688dab2c75c0fda17ea938aef6c12
</t>
  </si>
  <si>
    <t>10.1007/s00240-022-01304-7</t>
  </si>
  <si>
    <t xml:space="preserve">Randomized trial of laparoscopically assisted versus open colorectal resection for endometriosis: Morbidity, symptoms, quality of life, and fertility
</t>
  </si>
  <si>
    <t>Daraï, E.; Dubernard, G.; Coutant, C.; Frey, C.; Rouzier, R.; Ballester, M.</t>
  </si>
  <si>
    <t xml:space="preserve">https://www.scopus.com/inward/record.uri?eid=2-s2.0-77953028053&amp;doi=10.1097%2fSLA.0b013e3181d9691d&amp;partnerID=40&amp;md5=b910f4a94bee5ef4f39f28ad42fab581
</t>
  </si>
  <si>
    <t>10.1097/SLA.0b013e3181d9691d</t>
  </si>
  <si>
    <t xml:space="preserve">Extended pelvic lymphadenectomy and various radical prostatectomy techniques: Is pelvic drainage necessary?
</t>
  </si>
  <si>
    <t>Danuser, H.; Di Pierro, G. B.; Stucki, P.; Mattei, A.</t>
  </si>
  <si>
    <t xml:space="preserve">https://www.scopus.com/inward/record.uri?eid=2-s2.0-84876901309&amp;doi=10.1111%2fj.1464-410X.2012.11681.x&amp;partnerID=40&amp;md5=f2e2dc1b5d1ca6dbe236f31a896896d8
</t>
  </si>
  <si>
    <t>10.1111/j.1464-410X.2012.11681.x</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</si>
  <si>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</si>
  <si>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</si>
  <si>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</si>
  <si>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</si>
  <si>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Anesthesiologic effects of transperitoneal versus extraperitoneal approach during robot-assisted radical prostatectomy: Results of a prospective randomized study
</t>
  </si>
  <si>
    <t>Dal Moro, F.; Crestani, A.; Valotto, C.; Guttilla, A.; Soncin, R.; Mangano, A.; Zattoni, F.</t>
  </si>
  <si>
    <t xml:space="preserve">International Braz J Urol
</t>
  </si>
  <si>
    <t xml:space="preserve">https://www.scopus.com/inward/record.uri?eid=2-s2.0-84940387887&amp;doi=10.1590%2fS1677-5538.IBJU.2014.0199&amp;partnerID=40&amp;md5=b45a0e5c983e9d6553ecdbaa22225039
</t>
  </si>
  <si>
    <t>10.1590/S1677-5538.IBJU.2014.0199</t>
  </si>
  <si>
    <t xml:space="preserve">Patient-Reported Outcome-Based Symptom Management Versus Usual Care After Lung Cancer Surgery: A Multicenter Randomized Controlled Trial
</t>
  </si>
  <si>
    <t>Dai, W.; Feng, W.; Zhang, Y.; Wang, X. S.; Liu, Y.; Pompili, C.; Xu, W.; Xie, S.; Wang, Y.; Liao, J.; Wei, X.; Xiang, R.; Hu, B.; Tian, B.; Yang, X.; Wang, X.; Xiao, P.; Lai, Q.; Wang, X.; Cao, B.; Wang, Q.; Liu, F.; Liu, X.; Xie, T.; Yang, X.; Zhuang, X.; Wu, Z.; Che, G.; Li, Q.; Shi, Q.</t>
  </si>
  <si>
    <t xml:space="preserve">https://www.scopus.com/inward/record.uri?eid=2-s2.0-85126653447&amp;doi=10.1200%2fJCO.21.01344&amp;partnerID=40&amp;md5=b8b5bafe06f1fea52851c247170c6575
</t>
  </si>
  <si>
    <t>10.1200/JCO.21.01344</t>
  </si>
  <si>
    <t xml:space="preserve">The effect of minimally invasive or open radical antegrade modular pancreatosplenectomy on pancreatic cancer: A multicenter randomized clinical trial protocol
</t>
  </si>
  <si>
    <t>Dai, M.; Zhang, H.; Yang, Y.; Xiu, D.; Peng, B.; Sun, B.; Cao, F.; Wu, Z.; Wang, L.; Yuan, C.; Chen, H.; Wang, Z.; Tian, X.; Wang, H.; Liu, W.; Xu, J.; Liu, Q.; Zhao, Y.</t>
  </si>
  <si>
    <t xml:space="preserve">https://www.scopus.com/inward/record.uri?eid=2-s2.0-85139052540&amp;doi=10.3389%2ffonc.2022.965508&amp;partnerID=40&amp;md5=8637005ecdfc7fb2dd1aa04584c367db
</t>
  </si>
  <si>
    <t>10.3389/fonc.2022.965508</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</si>
  <si>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</si>
  <si>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</si>
  <si>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</si>
  <si>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</si>
  <si>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Early drain removal after major pancreatectomy reduces postoperative complications: A single-center, randomized, controlled trial
</t>
  </si>
  <si>
    <t>Dai, M.; Liu, Q.; Xing, C.; Kleeff, J.; Liao, Q.; Guo, J.; Han, X.; Xu, Q.; Wang, S.</t>
  </si>
  <si>
    <t xml:space="preserve">Journal of Pancreatology
</t>
  </si>
  <si>
    <t xml:space="preserve">https://www.scopus.com/inward/record.uri?eid=2-s2.0-85106572343&amp;doi=10.1097%2fJP9.0000000000000049&amp;partnerID=40&amp;md5=42eb94ea3507fc9937aafd85dc1017c5
</t>
  </si>
  <si>
    <t>10.1097/JP9.0000000000000049</t>
  </si>
  <si>
    <t xml:space="preserve">Closed-Incision Negative-Pressure Wound Therapy after Resection of Soft-Tissue Tumors Reduces Wound Complications: Results of a Randomized Trial
</t>
  </si>
  <si>
    <t>Dadras, M.; Ufton, D.; Sogorski, A.; Wallner, C.; Wagner, J. M.; Lehnhardt, M.; Harati, K.; Behr, B.</t>
  </si>
  <si>
    <t xml:space="preserve">149
</t>
  </si>
  <si>
    <t xml:space="preserve">https://www.scopus.com/inward/record.uri?eid=2-s2.0-85129251809&amp;doi=10.1097%2fPRS.0000000000009023&amp;partnerID=40&amp;md5=86fdd78cad4c78ae8810383324352f75
</t>
  </si>
  <si>
    <t>10.1097/PRS.0000000000009023</t>
  </si>
  <si>
    <t xml:space="preserve">Oropharyngeal and nasopharyngeal decontamination with chlorhexidine gluconate in lung cancer surgery: a randomized clinical trial
</t>
  </si>
  <si>
    <t>D’Journo, X. B.; Falcoz, P. E.; Alifano, M.; Le Rochais, J. P.; D’Annoville, T.; Massard, G.; Regnard, J. F.; Icard, P.; Marty-Ane, C.; Trousse, D.; Doddoli, C.; Orsini, B.; Edouard, S.; Million, M.; Lesavre, N.; Loundou, A.; Baumstarck, K.; Peyron, F.; Honoré, S.; Dizier, S.; Charvet, A.; Leone, M.; Raoult, D.; Papazian, L.; Thomas, P. A.</t>
  </si>
  <si>
    <t xml:space="preserve">Intensive Care Medicine
</t>
  </si>
  <si>
    <t xml:space="preserve">https://www.scopus.com/inward/record.uri?eid=2-s2.0-85045688520&amp;doi=10.1007%2fs00134-018-5156-2&amp;partnerID=40&amp;md5=3a622f68f6a321c05da6aef007e2d558
</t>
  </si>
  <si>
    <t>10.1007/s00134-018-5156-2</t>
  </si>
  <si>
    <t xml:space="preserve">Efficacy and Safety of Two Fosfomycin Regimens as Antimicrobial Prophylaxis for Transrectal Prostate Biopsy: A Randomised Study
</t>
  </si>
  <si>
    <t>D'Elia, C.; Mian, C.; Hanspeter, E.; Ladurner, C.; Palermo, S. M.; Pycha, S.; Saleh, O.; Cai, T.; Spoladore, G.; Kafka, M.; Pycha, A.; Trenti, E.</t>
  </si>
  <si>
    <t xml:space="preserve">https://www.scopus.com/inward/record.uri?eid=2-s2.0-85074506008&amp;doi=10.1159%2f000502851&amp;partnerID=40&amp;md5=a70a466cef9bc1ada750e8fa18c691d2
</t>
  </si>
  <si>
    <t>10.1159/000502851</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</si>
  <si>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</si>
  <si>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</si>
  <si>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</si>
  <si>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</si>
  <si>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The impact of different infusion solutions on postoperative recovery following colorectal cancer surgery
</t>
  </si>
  <si>
    <t>Cvetkovic, A.; Kalezic, N.; Milicic, B.; Nikolic, S.; Zegarac, M.; Gavrilovic, D.; Stojiljkovic, D.</t>
  </si>
  <si>
    <t xml:space="preserve">Journal of B.U.ON.
</t>
  </si>
  <si>
    <t xml:space="preserve">https://www.scopus.com/inward/record.uri?eid=2-s2.0-85053274934&amp;partnerID=40&amp;md5=4770331f85e0d9b4d30f1ab557329457
</t>
  </si>
  <si>
    <t xml:space="preserve">Clinical Evaluation of Intraoperative Near Misses in Laparoscopic Rectal Cancer Surgery
</t>
  </si>
  <si>
    <t>Curtis, N. J.; Dennison, G.; Brown, C. S. B.; Hewett, P. J.; Hanna, G. B.; Stevenson, A. R. L.; Francis, N. K.</t>
  </si>
  <si>
    <t xml:space="preserve">https://www.scopus.com/inward/record.uri?eid=2-s2.0-85102964581&amp;doi=10.1097%2fSLA.0000000000003452&amp;partnerID=40&amp;md5=cee371bc7caca6972f84f959a54bbc3f
</t>
  </si>
  <si>
    <t>10.1097/SLA.0000000000003452</t>
  </si>
  <si>
    <t>pooled analysis of 2 RCT</t>
  </si>
  <si>
    <t xml:space="preserve">2D versus 3D laparoscopic total mesorectal excision: a developmental multicentre randomised controlled trial
</t>
  </si>
  <si>
    <t>Curtis, N. J.; Conti, J. A.; Dalton, R.; Rockall, T. A.; Allison, A. S.; Ockrim, J. B.; Jourdan, I. C.; Torkington, J.; Phillips, S.; Allison, J.; Hanna, G. B.; Francis, N. K.</t>
  </si>
  <si>
    <t xml:space="preserve">https://www.scopus.com/inward/record.uri?eid=2-s2.0-85060226811&amp;doi=10.1007%2fs00464-018-06630-9&amp;partnerID=40&amp;md5=10592dd03bf26f80f145c9afd71a209e
</t>
  </si>
  <si>
    <t>10.1007/s00464-018-06630-9</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</si>
  <si>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</si>
  <si>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</si>
  <si>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</si>
  <si>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</si>
  <si>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Diagnostic role of the white test' with lipidic solution in the early intraoperative identification of open bile ducts for the prevention of bile leakage after liver resection: Study protocol for a randomised controlled multicentric superiority trial (BiLe-Trial)
</t>
  </si>
  <si>
    <t>Cristaudi, A.; Tarantino, I.; Scheiwiller, A.; Wiencierz, A.; Majno-Hurst, P.; Schmied, B. M.; Metzger, J.; Hartel, M.; Kremer, M.; Manzini, G.</t>
  </si>
  <si>
    <t xml:space="preserve">https://www.scopus.com/inward/record.uri?eid=2-s2.0-85112641478&amp;doi=10.1136%2fbmjopen-2021-049449&amp;partnerID=40&amp;md5=1f92988d9bceb3aaecba57f6429104d6
</t>
  </si>
  <si>
    <t>10.1136/bmjopen-2021-049449</t>
  </si>
  <si>
    <t xml:space="preserve">Study protocol for a multicenter randomized controlled trial to compare radiofrequency ablation with surgical resection for treatment of pancreatic insulinoma
</t>
  </si>
  <si>
    <t>Crinò, S. F.; Partelli, S.; Napoleon, B.; Conti Bellocchi, M. C.; Facciorusso, A.; Salvia, R.; Forti, E.; Cintolo, M.; Mazzola, M.; Ferrari, G.; Carrara, S.; Repici, A.; Zerbi, A.; Lania, A.; Tacelli, M.; Arcidiacono, P. G.; Falconi, M.; Larghi, A.; Rizzatti, G.; Alfieri, S.; Panzuto, F.; Hindryckx, P.; Berrevoet, F.; Lapauw, B.; Lakhtakia, S.; Sundaram, S.; Samanta, J.; Rastogi, A.; Landoni, L.</t>
  </si>
  <si>
    <t xml:space="preserve">Digestive and Liver Disease
</t>
  </si>
  <si>
    <t xml:space="preserve">https://www.scopus.com/inward/record.uri?eid=2-s2.0-85164682510&amp;doi=10.1016%2fj.dld.2023.06.021&amp;partnerID=40&amp;md5=f2c4589431ddba39e8da7c30886d0488
</t>
  </si>
  <si>
    <t>10.1016/j.dld.2023.06.021</t>
  </si>
  <si>
    <t xml:space="preserve">Randomized open-label phase II study comparing oxycodone–naloxone with oxycodone in early return of gastrointestinal function after laparoscopic colorectal surgery
</t>
  </si>
  <si>
    <t>Creamer, F.; Balfour, A.; Nimmo, S.; Foo, I.; Norrie, J. D.; Williams, L. J.; Fearon, K. C.; Paterson, H. M.</t>
  </si>
  <si>
    <t xml:space="preserve">https://www.scopus.com/inward/record.uri?eid=2-s2.0-84995549434&amp;doi=10.1002%2fbjs.10322&amp;partnerID=40&amp;md5=80b0a29add810fc250365347dae2b73a
</t>
  </si>
  <si>
    <t>10.1002/bjs.10322</t>
  </si>
  <si>
    <t>CDC cited, not applied</t>
  </si>
  <si>
    <t xml:space="preserve">GRECCAR 8: Impact on survival of the primary tumor resection in rectal cancer with unresectable synchronous metastasis: A randomized multicentre study
</t>
  </si>
  <si>
    <t>Cotte, E.; Villeneuve, L.; Passot, G.; Boschetti, G.; Bin-Dorel, S.; Francois, Y.; Glehen, O.; Rullier, E.; Rouanet, P.; Panis, Y.; Tuech, J. J.; De Chaisemartin, C.; Sielezneff, I.; Kirzin, S.; Faucheron, J. l; Pezet, D.; Mariette, C.; Regimbeau, J. M.; Rivoire, M.; Lefevre, J.; Meunier, B.; Deplanque, G.; Porcheron, J.; Ortega-Deballon, P.; Pocard, M.; Bereder, J. M.; Baranger, B.; Evrard, S.; Paineau, J.; Kianmanesh, R.; Tougeron, D.</t>
  </si>
  <si>
    <t xml:space="preserve">https://www.scopus.com/inward/record.uri?eid=2-s2.0-84924064758&amp;doi=10.1186%2fs12885-015-1060-0&amp;partnerID=40&amp;md5=92cb44b71450feceb25d319b8e565f6d
</t>
  </si>
  <si>
    <t>10.1186/s12885-015-1060-0</t>
  </si>
  <si>
    <t xml:space="preserve">Laparoscopic Versus Abdominal Sacrocolpopexy: A Randomized, Controlled Trial
</t>
  </si>
  <si>
    <t>Costantini, E.; Mearini, L.; Lazzeri, M.; Bini, V.; Nunzi, E.; di Biase, M.; Porena, M.</t>
  </si>
  <si>
    <t xml:space="preserve">196
</t>
  </si>
  <si>
    <t xml:space="preserve">https://www.scopus.com/inward/record.uri?eid=2-s2.0-84969506238&amp;doi=10.1016%2fj.juro.2015.12.089&amp;partnerID=40&amp;md5=e9d5894a1185a0f6de1e89e231fd1569
</t>
  </si>
  <si>
    <t>10.1016/j.juro.2015.12.089</t>
  </si>
  <si>
    <t xml:space="preserve">Simple radiologic assessment of visceral obesity and prediction of surgical morbidity in endometrial cancer patients undergoing laparoscopic aortic lymphadenectomy: A reliability and accuracy study
</t>
  </si>
  <si>
    <t>Correa-Paris, A.; Gorraiz Ochoa, V.; Hernandez Gutiérrez, A.; Gilabert Estellés, J.; Díaz-Feijoo, B.; Gil-Moreno, A.</t>
  </si>
  <si>
    <t xml:space="preserve">Journal of Obstetrics and Gynaecology Research
</t>
  </si>
  <si>
    <t>10.1111/jog.15528</t>
  </si>
  <si>
    <t>retrospective analysis from STELLA-2 Trial</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</si>
  <si>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</si>
  <si>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</si>
  <si>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</si>
  <si>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</si>
  <si>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Randomized clinical trial on the use of a colon-occlusion device to assist rectal washout
</t>
  </si>
  <si>
    <t>Cordewener, C.; Zürcher, M.; Müller, P. C.; Müller-Stich, B. P.; Zerz, A.; Linke, G. R.; Steinemann, D. C.</t>
  </si>
  <si>
    <t xml:space="preserve">https://www.scopus.com/inward/record.uri?eid=2-s2.0-85091357674&amp;doi=10.1007%2fs00464-020-07992-9&amp;partnerID=40&amp;md5=dbaddf4d60937b6b087555c98efcefb3
</t>
  </si>
  <si>
    <t>10.1007/s00464-020-07992-9</t>
  </si>
  <si>
    <t xml:space="preserve">Perioperative ADministration of Dexamethasone And blood Glucose concentrations in patients undergoing elective non-cardiac surgery - the randomised controlled PADDAG trial
</t>
  </si>
  <si>
    <t>Corcoran, T. B.; O'Loughlin, E.; Chan, M. T. V.; Ho, K. M.</t>
  </si>
  <si>
    <t xml:space="preserve">https://www.scopus.com/inward/record.uri?eid=2-s2.0-85114383962&amp;doi=10.1097%2fEJA.0000000000001294&amp;partnerID=40&amp;md5=23a25cbc3700013432ed501202c63268
</t>
  </si>
  <si>
    <t>10.1097/EJA.0000000000001294</t>
  </si>
  <si>
    <t xml:space="preserve">Cardiac output-based fluid optimization for kidney transplant recipients: a proof-of-concept trial
</t>
  </si>
  <si>
    <t>Corbella, D.; Toppin, P. J.; Ghanekar, A.; Ayach, N.; Schiff, J.; Van Rensburg, A.; McCluskey, S. A.</t>
  </si>
  <si>
    <t xml:space="preserve">https://www.scopus.com/inward/record.uri?eid=2-s2.0-85045153582&amp;doi=10.1007%2fs12630-018-1118-y&amp;partnerID=40&amp;md5=9bcaa1dcae6899cf41ef335edb4c0e65
</t>
  </si>
  <si>
    <t>10.1007/s12630-018-1118-y</t>
  </si>
  <si>
    <t xml:space="preserve">Randomized Clinical Trial: Impact of Oral Administration of Saccharomyces boulardii on Gene Expression of Intestinal Cytokines in Patients Undergoing Colon Resection
</t>
  </si>
  <si>
    <t>Consoli, M. L. D.; Da Silva, R. S.; Nicoli, J. R.; Bruña-Romero, O.; Da Silva, R. G.; De Vasconcelos Generoso, S.; Correia, M. I. T. D.</t>
  </si>
  <si>
    <t xml:space="preserve">https://www.scopus.com/inward/record.uri?eid=2-s2.0-84995467524&amp;doi=10.1177%2f0148607115584387&amp;partnerID=40&amp;md5=23f6c1a53c6353f9e0dc7d31aa5da863
</t>
  </si>
  <si>
    <t>10.1177/0148607115584387</t>
  </si>
  <si>
    <t xml:space="preserve">Effect of Gastric Bypass vs Best Medical Treatment on Early-Stage Chronic Kidney Disease in Patients with Type 2 Diabetes and Obesity: A Randomized Clinical Trial
</t>
  </si>
  <si>
    <t>Cohen, R. V.; Pereira, T. V.; Aboud, C. M.; Petry, T. B. Z.; Lopes Correa, J. L.; Schiavon, C. A.; Pompílio, C. E.; Pechy, F. N. Q.; Da Costa Silva, A. C. C.; De Melo, F. L. G.; Cunha Da Silveira, L. P.; De Paris Caravatto, P. P.; Halpern, H.; Monteiro, F. D. L. J.; Da Costa Martins, B.; Kuga, R.; Palumbo, T. M. S.; Docherty, N. G.; Le Roux, C. W.</t>
  </si>
  <si>
    <t xml:space="preserve">https://www.scopus.com/inward/record.uri?eid=2-s2.0-85086850327&amp;doi=10.1001%2fjamasurg.2020.0420&amp;partnerID=40&amp;md5=597d499695639c1bae637fb990ce4e60
</t>
  </si>
  <si>
    <t>10.1001/jamasurg.2020.0420</t>
  </si>
  <si>
    <t xml:space="preserve">Renal artery embolization before radical nephrectomy for complex renal tumour: Which are the true advantages?
</t>
  </si>
  <si>
    <t>Cochetti, G.; Del Zingaro, M.; Boni, A.; Allegritti, M.; De Vermandois, J. A. R.; Paladini, A.; Egidi, M. G.; Poli, G.; Ursi, P.; Cirocchi, R.; Mearini, E.</t>
  </si>
  <si>
    <t xml:space="preserve">Open Medicine (Poland)
</t>
  </si>
  <si>
    <t xml:space="preserve">https://www.scopus.com/inward/record.uri?eid=2-s2.0-85084430555&amp;doi=10.1515%2fmed-2019-0095&amp;partnerID=40&amp;md5=92391f0617d3144f21e14ca96c5b8e77
</t>
  </si>
  <si>
    <t>10.1515/med-2019-0095</t>
  </si>
  <si>
    <t xml:space="preserve">Multimodal prehabilitation as strategy for reduction of postoperative complications after cardiac surgery: A randomised controlled trial protocol
</t>
  </si>
  <si>
    <t>Coca-Martinez, M.; Lopez-Hernandez, A.; Montane-Muntane, M.; Arguis, M. J.; Gimeno-Santos, E.; Navarro-Ripoll, R.; Perdomo, J.; Lopez-Baamonde, M.; Rios, J.; Moises, J.; Sanz De La Garza, M.; Sandoval, E.; Romano, B.; Sebio, R.; Dana, F.; Martinez-Palli, G.</t>
  </si>
  <si>
    <t xml:space="preserve">https://www.scopus.com/inward/record.uri?eid=2-s2.0-85098125264&amp;doi=10.1136%2fbmjopen-2020-039885&amp;partnerID=40&amp;md5=f2be7fddd0994cc2a9bb2130e686424a
</t>
  </si>
  <si>
    <t>10.1136/bmjopen-2020-039885</t>
  </si>
  <si>
    <t xml:space="preserve">Superior Hypogastric Plexus Block to Reduce Pain after Laparoscopic Hysterectomy: A Randomized Controlled Trial
</t>
  </si>
  <si>
    <t>Clark, N. V.; Moore, K.; Maghsoudlou, P.; North, A.; Ajao, M. O.; Einarsson, J. I.; Louie, M.; Schiff, L.; Moawad, G.; Cohen, S. L.; Carey, E. T.</t>
  </si>
  <si>
    <t xml:space="preserve">https://www.scopus.com/inward/record.uri?eid=2-s2.0-85103607024&amp;doi=10.1097%2fAOG.0000000000004329&amp;partnerID=40&amp;md5=3a8f30b808da58d1f189c3f859c900ea
</t>
  </si>
  <si>
    <t>10.1097/AOG.0000000000004329</t>
  </si>
  <si>
    <t xml:space="preserve">Prostate biopsy quality is independent of needle size: A randomized single-center prospective study
</t>
  </si>
  <si>
    <t>Cicione, A.; Cantiello, F.; De Nunzio, C.; Tubaro, A.; Damiano, R.</t>
  </si>
  <si>
    <t xml:space="preserve">89
</t>
  </si>
  <si>
    <t xml:space="preserve">https://www.scopus.com/inward/record.uri?eid=2-s2.0-84864625001&amp;doi=10.1159%2f000339250&amp;partnerID=40&amp;md5=fff03ee289fe2f3ec28453e11f9ae14b
</t>
  </si>
  <si>
    <t>10.1159/000339250</t>
  </si>
  <si>
    <t xml:space="preserve">Surgical outcomes of diaphragmatic resection during cytoreductive surgery for advanced gynecological ovarian neoplasia: A randomized single center clinical trial - DRAGON
</t>
  </si>
  <si>
    <t>Cianci, S.; Fedele, C.; Vizzielli, G.; Pasciuto, T.; Gueli Alletti, S.; Cosentino, F.; Chiantera, V.; Fagotti, A.; Scambia, G.</t>
  </si>
  <si>
    <t xml:space="preserve">https://www.scopus.com/inward/record.uri?eid=2-s2.0-85120172802&amp;doi=10.1016%2fj.ygyno.2021.11.012&amp;partnerID=40&amp;md5=a744f3dfedf1b41479e86583a0a1e57c
</t>
  </si>
  <si>
    <t>10.1016/j.ygyno.2021.11.012</t>
  </si>
  <si>
    <t xml:space="preserve">Interest of preoperative immunonutrition in liver resection for cancer: Study protocol of the PROPILS trial, a multicenter randomized controlled phase IV trial
</t>
  </si>
  <si>
    <t>Ciacio, O.; Voron, T.; Pittau, G.; Lewin, M.; Vibert, E.; Adam, R.; Sa Cunha, A.; Cherqui, D.; Schielke, A.; Soubrane, O.; Scatton, O.; Salloum, C.; Azoulay, D.; Benoist, S.; Goyer, P.; Vaillant, J. C.; Hannoun, L.; Boleslawski, E.; Agostini, H.; Samuel, D.; Castaing, D.</t>
  </si>
  <si>
    <t xml:space="preserve">https://www.scopus.com/inward/record.uri?eid=2-s2.0-84924739507&amp;doi=10.1186%2f1471-2407-14-980&amp;partnerID=40&amp;md5=5f8b3e10082e78477a6fc325bfd83675
</t>
  </si>
  <si>
    <t>10.1186/1471-2407-14-980</t>
  </si>
  <si>
    <t xml:space="preserve">Liposomal Bupivacaine Local Infiltration for Buccal Mucosal Graft Harvest Site Pain Control: A Single-blinded Randomized Controlled Trial
</t>
  </si>
  <si>
    <t>Chua, M. E.; Zuckerman, J. M.; Strehlow, R. Vi; Virasoro, R.; DeLong, J. M.; Tonkin, J.; McCammon, K. A.</t>
  </si>
  <si>
    <t xml:space="preserve">https://www.scopus.com/inward/record.uri?eid=2-s2.0-85090489547&amp;doi=10.1016%2fj.urology.2020.06.067&amp;partnerID=40&amp;md5=6d84e42e0f3ac38f007dedf9f4b9c662
</t>
  </si>
  <si>
    <t>10.1016/j.urology.2020.06.067</t>
  </si>
  <si>
    <t xml:space="preserve">The transgluteal approach to shockwave lithotripsy to treat distal ureter stones: a prospective, randomized, and multicenter study
</t>
  </si>
  <si>
    <t>Choo, M. S.; Han, J. H.; Kim, J. K.; Shin, T. Y.; Lee, W. K.; Lee, S. K.; Lee, S. H.</t>
  </si>
  <si>
    <t xml:space="preserve">https://www.scopus.com/inward/record.uri?eid=2-s2.0-85044035497&amp;doi=10.1007%2fs00345-018-2244-4&amp;partnerID=40&amp;md5=dd5a54825271cdf7833f9f6afbcbac27
</t>
  </si>
  <si>
    <t>10.1007/s00345-018-2244-4</t>
  </si>
  <si>
    <t xml:space="preserve">Chewing gum has a stimulatory effect on bowel motility in patients after open or robotic radical cystectomy for bladder cancer: A prospective randomized comparative study
</t>
  </si>
  <si>
    <t>Choi, H.; Kang, S. H.; Yoon, D. K.; Kang, S. G.; Ko, H. Y.; Moon, D. G.; Park, J. Y.; Joo, K. J.; Cheon, J.</t>
  </si>
  <si>
    <t xml:space="preserve">https://www.scopus.com/inward/record.uri?eid=2-s2.0-79953838353&amp;doi=10.1016%2fj.urology.2010.06.042&amp;partnerID=40&amp;md5=2cfb97d5fe8cac0a2c71c58638436190
</t>
  </si>
  <si>
    <t>10.1016/j.urology.2010.06.042</t>
  </si>
  <si>
    <t xml:space="preserve">Ultrasonic versus monopolar energy-based surgical devices in terms of surgical smoke and lateral thermal damage (ULMOST): a randomized controlled trial
</t>
  </si>
  <si>
    <t>Choi, C.; Do, I. G.; Song, T.</t>
  </si>
  <si>
    <t xml:space="preserve">https://www.scopus.com/inward/record.uri?eid=2-s2.0-85045078842&amp;doi=10.1007%2fs00464-018-6183-3&amp;partnerID=40&amp;md5=be9b083cc424531bc7b30b72f6fd0c60
</t>
  </si>
  <si>
    <t>10.1007/s00464-018-6183-3</t>
  </si>
  <si>
    <t xml:space="preserve">A multicenter prospective randomized controlled trial for preoperative biliary drainage with uncovered metal versus plastic stents for resectable periampullary cancer
</t>
  </si>
  <si>
    <t>Cho, J. H.; Yoon, Y. S.; Kim, E. J.; Kim, Y. S.; Cho, J. Y.; Han, H. S.; Park, Y. H.; Shin, D. W.; Lee, J. C.; Hwang, J. H.; Kim, J.</t>
  </si>
  <si>
    <t xml:space="preserve">https://www.scopus.com/inward/record.uri?eid=2-s2.0-85089444845&amp;doi=10.1002%2fjhbp.811&amp;partnerID=40&amp;md5=06a16714c2a4c9316cb6dfffc3de7301
</t>
  </si>
  <si>
    <t>10.1002/jhbp.811</t>
  </si>
  <si>
    <t>CDC cited but not applied</t>
  </si>
  <si>
    <t xml:space="preserve">Cold polypectomy for colorectal polyps: Prospective randomized trial
</t>
  </si>
  <si>
    <t>Chernyshov, S. V.; Toporkova, O. S.; Veselov, V. V.; Vaganov, Y. E.; Nagudov, M. A.; Majnovskaya, O. A.</t>
  </si>
  <si>
    <t xml:space="preserve">https://www.scopus.com/inward/record.uri?eid=2-s2.0-85125603092&amp;doi=10.33878%2f2073-7556-2021-20-2-65-73&amp;partnerID=40&amp;md5=11b818ecf759b66e46037dc04906e361
</t>
  </si>
  <si>
    <t>10.33878/2073-7556-2021-20-2-65-73</t>
  </si>
  <si>
    <t xml:space="preserve">Prospective randomised non-inferiority trial of pelvic drain placement vs no pelvic drain placement after robot-assisted radical prostatectomy
</t>
  </si>
  <si>
    <t>Chenam, A.; Yuh, B.; Zhumkhawala, A.; Ruel, N.; Chu, W.; Lau, C.; Chan, K.; Wilson, T.; Yamzon, J.</t>
  </si>
  <si>
    <t xml:space="preserve">https://www.scopus.com/inward/record.uri?eid=2-s2.0-85030178706&amp;doi=10.1111%2fbju.14010&amp;partnerID=40&amp;md5=e39daf44bcc20a0a657f5c789957efd0
</t>
  </si>
  <si>
    <t>10.1111/bju.14010</t>
  </si>
  <si>
    <t xml:space="preserve">Prevention of variceal rebleeding in cirrhotic patients with advanced hepatocellular carcinoma receiving molecularly targeted therapy: a randomized pilot study of transjugular intrahepatic portosystemic shunt versus endoscopic plus β-blocker
</t>
  </si>
  <si>
    <t>Chen, Y.; Ma, X.; Zhang, X.; Luo, J.; An, L.; Zhang, Y.; Chang, X.; Dong, Z.; Zhang, W.; Kong, H.; Zhao, J.; Ding, H.; Liu, F.; Yang, Y.</t>
  </si>
  <si>
    <t xml:space="preserve">Hepatology International
</t>
  </si>
  <si>
    <t xml:space="preserve">https://www.scopus.com/inward/record.uri?eid=2-s2.0-85140134205&amp;doi=10.1007%2fs12072-022-10388-7&amp;partnerID=40&amp;md5=d171202eea130a40590da90875a4e13c
</t>
  </si>
  <si>
    <t>10.1007/s12072-022-10388-7</t>
  </si>
  <si>
    <t xml:space="preserve">Dexamethasone for Postoperative Nausea and Vomiting in Papillary Thyroid Carcinoma Patients: A Randomized Clinical Trial
</t>
  </si>
  <si>
    <t>Chen, W.; Li, G.; Jiang, K.; Song, J.; Du, R.; Yang, H.; Gou, J.; Li, Z.; Zhu, J.; Lei, J.</t>
  </si>
  <si>
    <t xml:space="preserve">https://www.scopus.com/inward/record.uri?eid=2-s2.0-85136039099&amp;doi=10.1097%2fXCS.0000000000000309&amp;partnerID=40&amp;md5=a536a91818b6e50a1adbe66e10abc643
</t>
  </si>
  <si>
    <t>10.1097/XCS.0000000000000309</t>
  </si>
  <si>
    <t xml:space="preserve">Plasmakinetic enucleation of the prostate compared with open prostatectomy for prostates larger than 100 grams: A randomized noninferiority controlled trial with long-term results at 6 years
</t>
  </si>
  <si>
    <t>Chen, S.; Zhu, L.; Cai, J.; Zheng, Z.; Ge, R.; Wu, M.; Deng, Z.; Zhou, H.; Yang, S.; Wu, W.; Liao, L.; Tan, J.</t>
  </si>
  <si>
    <t xml:space="preserve">https://www.scopus.com/inward/record.uri?eid=2-s2.0-84904062589&amp;doi=10.1016%2fj.eururo.2014.01.010&amp;partnerID=40&amp;md5=8e9db2e0421c84779be28dc748d481f0
</t>
  </si>
  <si>
    <t>10.1016/j.eururo.2014.01.010</t>
  </si>
  <si>
    <t xml:space="preserve">Robot-assisted laparoscopic versus open middle pancreatectomy: short-term results of a randomized controlled trial
</t>
  </si>
  <si>
    <t>Chen, S.; Zhan, Q.; Jin, J. B.; Wu, Z. C.; Shi, Y.; Cheng, D. F.; Chen, H.; Deng, X. X.; Shen, B. Y.; Peng, C. H.; Li, H. W.</t>
  </si>
  <si>
    <t xml:space="preserve">https://www.scopus.com/inward/record.uri?eid=2-s2.0-84978066587&amp;doi=10.1007%2fs00464-016-5046-z&amp;partnerID=40&amp;md5=9c430829fe3a2a82e47913021187a5d0
</t>
  </si>
  <si>
    <t>10.1007/s00464-016-5046-z</t>
  </si>
  <si>
    <t xml:space="preserve">Comparison of submucosal and subserosal approaches toward optimized indocyanine green tracer-guided laparoscopic lymphadenectomy for patients with gastric cancer (FUGES-019): a randomized controlled trial
</t>
  </si>
  <si>
    <t>Chen, Q. Y.; Zhong, Q.; Li, P.; Xie, J. W.; Liu, Z. Y.; Huang, X. B.; Lin, G. T.; Wang, J. B.; Lin, J. X.; Lu, J.; Cao, L. L.; Lin, M.; Zheng, Q. L.; Tu, R. H.; Huang, Z. N.; Zheng, C. H.; Huang, C. M.</t>
  </si>
  <si>
    <t xml:space="preserve">https://www.scopus.com/inward/record.uri?eid=2-s2.0-85118260593&amp;doi=10.1186%2fs12916-021-02125-y&amp;partnerID=40&amp;md5=416bdf599d7a3463cfecf458608ff222
</t>
  </si>
  <si>
    <t>10.1186/s12916-021-02125-y</t>
  </si>
  <si>
    <t xml:space="preserve">Safety and Efficacy of Indocyanine Green Tracer-Guided Lymph Node Dissection during Laparoscopic Radical Gastrectomy in Patients with Gastric Cancer: A Randomized Clinical Trial
</t>
  </si>
  <si>
    <t>Chen, Q. Y.; Xie, J. W.; Zhong, Q.; Wang, J. B.; Lin, J. X.; Lu, J.; Cao, L. L.; Lin, M.; Tu, R. H.; Huang, Z. N.; Lin, J. L.; Zheng, H. L.; Li, P.; Zheng, C. H.; Huang, C. M.</t>
  </si>
  <si>
    <t xml:space="preserve">https://www.scopus.com/inward/record.uri?eid=2-s2.0-85080935146&amp;doi=10.1001%2fjamasurg.2019.6033&amp;partnerID=40&amp;md5=01c762658a536630ee3c73752df0d5c9
</t>
  </si>
  <si>
    <t>10.1001/jamasurg.2019.6033</t>
  </si>
  <si>
    <t xml:space="preserve">T-tube drainage versus choledochojejunostomy in hepatolithiasis patients with sphincter of Oddi laxity: Study protocol for a randomized controlled trial
</t>
  </si>
  <si>
    <t>Chen, J. M.; Yan, X. Y.; Zhu, T.; Chen, Z. X.; Zhao, Y. J.; Xie, K.; Liu, F. B.; Geng, X. P.</t>
  </si>
  <si>
    <t xml:space="preserve">https://www.scopus.com/inward/record.uri?eid=2-s2.0-85087385999&amp;doi=10.1186%2fs13063-020-04483-z&amp;partnerID=40&amp;md5=1a2825d13a2445d2a178cd44f3ce0dc7
</t>
  </si>
  <si>
    <t>10.1186/s13063-020-04483-z</t>
  </si>
  <si>
    <t xml:space="preserve">BiClamp® forcep liver transection versus clamp crushing technique for liver resection: Study protocol for a randomized controlled trial
</t>
  </si>
  <si>
    <t>Chen, J. M.; Geng, W.; Liu, F. B.; Zhao, H. C.; Xie, S. X.; Hou, H.; Zhao, Y. J.; Wang, G. B.; Geng, X. P.</t>
  </si>
  <si>
    <t xml:space="preserve">https://www.scopus.com/inward/record.uri?eid=2-s2.0-84934985316&amp;doi=10.1186%2fs13063-015-0722-1&amp;partnerID=40&amp;md5=1757a4f15fd64cf1361463cda0a2d64c
</t>
  </si>
  <si>
    <t>10.1186/s13063-015-0722-1</t>
  </si>
  <si>
    <t xml:space="preserve">Effectiveness of Self-cut vs Mesh-Kit Titanium-Coated Polypropylene Mesh for Transvaginal Treatment of Severe Pelvic Organ Prolapse: A Multicenter Randomized Noninferiority Clinical Trial
</t>
  </si>
  <si>
    <t>Chen, J.; Yu, J.; Morse, A.; Tao, G.; Gong, J.; Wang, B.; Wang, Y.; Ababaikeli, G.; Jiang, X.; Liu, P.; Zhang, X.; Nisier, H.; Wang, P.; Fünfgeld, C.; Huang, K.; Zhang, H.; Sun, X.; Zhu, L.</t>
  </si>
  <si>
    <t xml:space="preserve">https://www.scopus.com/inward/record.uri?eid=2-s2.0-85138454957&amp;doi=10.1001%2fjamanetworkopen.2022.31869&amp;partnerID=40&amp;md5=f3fda37aa8580f7561d6f3f5410410af
</t>
  </si>
  <si>
    <t>10.1001/jamanetworkopen.2022.31869</t>
  </si>
  <si>
    <t xml:space="preserve">Preliminary Experience of Fast-Track Surgery Combined with Laparoscopy-Assisted Radical Distal Gastrectomy for Gastric Cancer
</t>
  </si>
  <si>
    <t>chen Hu, J.; xin Jiang, L.; Cai, L.; tao Zheng, H.; yuan Hu, S.; bing Chen, H.; chang Wu, G.; fei Zhang, Y.; chuan Lv, Z.</t>
  </si>
  <si>
    <t xml:space="preserve">https://www.scopus.com/inward/record.uri?eid=2-s2.0-84866539176&amp;doi=10.1007%2fs11605-012-1969-4&amp;partnerID=40&amp;md5=9ff81e1fba7415d37581ed64f5758e51
</t>
  </si>
  <si>
    <t>10.1007/s11605-012-1969-4</t>
  </si>
  <si>
    <t xml:space="preserve">Periarticular injection in knee arthroplasty improves quadriceps function knee
</t>
  </si>
  <si>
    <t>Chaumeron, A.; Audy, D.; Drolet, P.; Lavigne, M.; Vendittoli, P. A.</t>
  </si>
  <si>
    <t xml:space="preserve">https://www.scopus.com/inward/record.uri?eid=2-s2.0-84879112325&amp;doi=10.1007%2fs11999-013-2928-4&amp;partnerID=40&amp;md5=dc49c04e132d4c1bb43e5e39f466d7da
</t>
  </si>
  <si>
    <t>10.1007/s11999-013-2928-4</t>
  </si>
  <si>
    <t xml:space="preserve">Prospective Phase II Open-Label Randomized Controlled Trial to Compare Mandibular Preservation in Upfront Surgery With Neoadjuvant Chemotherapy Followed by Surgery in Operable Oral Cavity Cancer
</t>
  </si>
  <si>
    <t>Chaukar, D.; Prabash, K.; Rane, P.; Patil, V. M.; Thiagarajan, S.; Ghosh-Laskar, S.; Sharma, S.; Pai, P. S.; Chaturvedi, P.; Pantvaidya, G.; Deshmukh, A.; Nair, D.; Nair, S.; Vaish, R.; Noronha, V.; Patil, A.; Arya, S.; D’Cruz, A.</t>
  </si>
  <si>
    <t xml:space="preserve">https://www.scopus.com/inward/record.uri?eid=2-s2.0-85123813130&amp;doi=10.1200%2fJCO.21.00179&amp;partnerID=40&amp;md5=ce64400f2e61bfdc7120891377e2e65e
</t>
  </si>
  <si>
    <t>10.1200/JCO.21.00179</t>
  </si>
  <si>
    <t xml:space="preserve">Implementation of a Surgical Safety Checklist and Postoperative Outcomes: a Prospective Randomized Controlled Study
</t>
  </si>
  <si>
    <t>Chaudhary, N.; Varma, V.; Kapoor, S.; Mehta, N.; Kumaran, V.; Nundy, S.</t>
  </si>
  <si>
    <t xml:space="preserve">https://www.scopus.com/inward/record.uri?eid=2-s2.0-84939933793&amp;doi=10.1007%2fs11605-015-2772-9&amp;partnerID=40&amp;md5=13e05bf2bc91930ea1b0c84d7cca8226
</t>
  </si>
  <si>
    <t>10.1007/s11605-015-2772-9</t>
  </si>
  <si>
    <t xml:space="preserve">Preoperative predictors and a prediction score for perception of improvement after mesh prolapse surgery
</t>
  </si>
  <si>
    <t>Chattot, C.; Deffieux, X.; Lucot, J. P.; Fritel, X.; Fauconnier, A.</t>
  </si>
  <si>
    <t xml:space="preserve">https://www.scopus.com/inward/record.uri?eid=2-s2.0-85066121644&amp;doi=10.1007%2fs00192-019-03953-6&amp;partnerID=40&amp;md5=7e67585023324ff1660e7d01e4d931eb
</t>
  </si>
  <si>
    <t>10.1007/s00192-019-03953-6</t>
  </si>
  <si>
    <t>secondary analysis of PROSPERE trial</t>
  </si>
  <si>
    <t xml:space="preserve">Stopping or maintaining oral anticoagulation in patients undergoing photoselective vaporization of the prostate (SOAP) surgery for benign prostate obstruction: Study protocol for a multicentre randomized controlled trial
</t>
  </si>
  <si>
    <t>Charbonneau, H.; Pasquié, M.; Peyronnet, B.; Descazeaud, A.; Barry-Delongchamps, N.; Della Negra, E.; Mathieu, R.; Karsenty, G.; Long, J. A.; Ballereau, C.; Azzouzi, A. R.; Pradère, B.; Bruyère, F.; Fournier, G.; Lebdai, S.; Calves, J.; Corbel, L.; Vincendeau, S.; Fiard, G.; Thuillier, C.; Descotes, J. L.; Colin, P.; Culty, T.; Hesbois, A.; Fuzier, V.; Savy, N.; Pathak, A.; Albaladejo, P.; Samama, C. M.; Guerrero, F.; Misraï, V.</t>
  </si>
  <si>
    <t xml:space="preserve">https://www.scopus.com/inward/record.uri?eid=2-s2.0-85059244448&amp;doi=10.1186%2fs13063-018-3066-9&amp;partnerID=40&amp;md5=bafcd829ff12481eea1e5154dbdd3ece
</t>
  </si>
  <si>
    <t>10.1186/s13063-018-3066-9</t>
  </si>
  <si>
    <t xml:space="preserve">Noninvasive vagus nerve stimulation to reduce ileus after major colorectal surgery: early development study
</t>
  </si>
  <si>
    <t>Chapman, S. J.; Helliwell, J. A.; Naylor, M.; Tassinari, C.; Corrigan, N.; Jayne, D. G.</t>
  </si>
  <si>
    <t xml:space="preserve">https://www.scopus.com/inward/record.uri?eid=2-s2.0-85101293967&amp;doi=10.1111%2fcodi.15561&amp;partnerID=40&amp;md5=15825878c5693c27e42940ac9b18efb7
</t>
  </si>
  <si>
    <t>10.1111/codi.15561</t>
  </si>
  <si>
    <t xml:space="preserve">Robotic-assisted Esophagectomy vs Video-Assisted Thoracoscopic Esophagectomy (REVATE): Study protocol for a randomized controlled trial
</t>
  </si>
  <si>
    <t>Chao, Y. K.; Li, Z. G.; Wen, Y. W.; Kim, D. J.; Park, S. Y.; Chang, Y. L.; Van Der Sluis, P. C.; Ruurda, J. P.; Van Hillegersberg, R.</t>
  </si>
  <si>
    <t xml:space="preserve">https://www.scopus.com/inward/record.uri?eid=2-s2.0-85067201612&amp;doi=10.1186%2fs13063-019-3441-1&amp;partnerID=40&amp;md5=12d389872bc252abf8914c53f3a89fed
</t>
  </si>
  <si>
    <t>10.1186/s13063-019-3441-1</t>
  </si>
  <si>
    <t xml:space="preserve">Totally tubeless percutaneous nephrolithotomy: A prospective randomized controlled study
</t>
  </si>
  <si>
    <t>Chang, C. H.; Wang, C. J.; Huang, S. W.</t>
  </si>
  <si>
    <t xml:space="preserve">https://www.scopus.com/inward/record.uri?eid=2-s2.0-83655202742&amp;doi=10.1007%2fs00240-011-0363-0&amp;partnerID=40&amp;md5=7d0bde2678c14a95ca204edc666a8774
</t>
  </si>
  <si>
    <t>10.1007/s00240-011-0363-0</t>
  </si>
  <si>
    <t xml:space="preserve">Randomized controlled trial of intraoperative goal-directed fluid therapy in aerobically fit and unfit patients having major colorectal surgery
</t>
  </si>
  <si>
    <t>Challand, C.; Struthers, R.; Sneyd, J. R.; Erasmus, P. D.; Mellor, N.; Hosie, K. B.; Minto, G.</t>
  </si>
  <si>
    <t xml:space="preserve">https://www.scopus.com/inward/record.uri?eid=2-s2.0-84055188824&amp;doi=10.1093%2fbja%2faer273&amp;partnerID=40&amp;md5=e2010d3ce72d670b81001266116a2a54
</t>
  </si>
  <si>
    <t>10.1093/bja/aer273</t>
  </si>
  <si>
    <t xml:space="preserve">Preoperative liver shrinking diet for bariatric surgery may impact wound healing: a randomized controlled trial
</t>
  </si>
  <si>
    <t>Chakravartty, S.; Vivian, G.; Mullholland, N.; Shaikh, H.; McGrath, J.; Sidhu, P. S.; Jaffer, O.; Patel, A. G.</t>
  </si>
  <si>
    <t xml:space="preserve">https://www.scopus.com/inward/record.uri?eid=2-s2.0-85056838273&amp;doi=10.1016%2fj.soard.2018.10.001&amp;partnerID=40&amp;md5=64e2287ea2d1b956910aa5fa6e5124b6
</t>
  </si>
  <si>
    <t>10.1016/j.soard.2018.10.001</t>
  </si>
  <si>
    <t xml:space="preserve">Short-course radiotherapy with consolidation chemotherapy versus conventionally fractionated long-course chemoradiotherapy for locally advanced rectal cancer: Randomized clinical trial
</t>
  </si>
  <si>
    <t>Chakrabarti, D.; Rajan, S.; Akhtar, N.; Qayoom, S.; Gupta, S.; Verma, M.; Srivastava, K.; Kumar, V.; Bhatt, M. L. B.; Gupta, R.</t>
  </si>
  <si>
    <t xml:space="preserve">https://www.scopus.com/inward/record.uri?eid=2-s2.0-85100497833&amp;doi=10.1093%2fbjs%2fznab020&amp;partnerID=40&amp;md5=e5a69c87b8d62c2ed23e2aa0f35449e8
</t>
  </si>
  <si>
    <t>10.1093/bjs/znab020</t>
  </si>
  <si>
    <t xml:space="preserve">Preemptive intravenous iron therapy versus autologous whole blood therapy for early postoperative hemoglobin level in patients undergoing bimaxillary orthognathic surgery: a prospective randomized noninferiority trial
</t>
  </si>
  <si>
    <t>Chae, M. S.; Lee, M.; Choi, M. H.; Park, J. U.; Park, M.; Kim, Y. H.; Choi, H.; Joo, J.; Moon, Y. E.</t>
  </si>
  <si>
    <t xml:space="preserve">BMC Oral Health
</t>
  </si>
  <si>
    <t xml:space="preserve">https://www.scopus.com/inward/record.uri?eid=2-s2.0-85098876928&amp;doi=10.1186%2fs12903-020-01359-1&amp;partnerID=40&amp;md5=d169d4e5ac05cf0c5def595a4d7a61aa
</t>
  </si>
  <si>
    <t>10.1186/s12903-020-01359-1</t>
  </si>
  <si>
    <t xml:space="preserve">Simple vs six-branches autologous suburethral sling during robot-assisted radical prostatectomy to improve early urinary continence recovery: prospective randomized study
</t>
  </si>
  <si>
    <t>Cestari, A.; Ferrari, M.; Sangalli, M.; Zanoni, M.; Ghezzi, M.; Fabbri, F.; Sozzi, F.; Lolli, C.; Dell’Acqua, V.; Rigatti, P.</t>
  </si>
  <si>
    <t xml:space="preserve">https://www.scopus.com/inward/record.uri?eid=2-s2.0-85009285182&amp;doi=10.1007%2fs11701-017-0672-6&amp;partnerID=40&amp;md5=4e0b9da814ea80c384a317b762c5eeff
</t>
  </si>
  <si>
    <t>10.1007/s11701-017-0672-6</t>
  </si>
  <si>
    <t xml:space="preserve">Low-pressure versus standard pressure laparoscopic colorectal surgery (PAROS trial): A phase III randomized controlled trial
</t>
  </si>
  <si>
    <t>Celarier, S.; Monziols, S.; Célérier, B.; Assenat, V.; Carles, P.; Napolitano, G.; Laclau-Lacrouts, M.; Rullier, E.; Ouattara, A.; Denost, Q.</t>
  </si>
  <si>
    <t xml:space="preserve">https://www.scopus.com/inward/record.uri?eid=2-s2.0-85116173358&amp;doi=10.1093%2fbjs%2fznab069&amp;partnerID=40&amp;md5=9ff32eaf610052c0dc9d7563f48223b8
</t>
  </si>
  <si>
    <t>10.1093/bjs/znab069</t>
  </si>
  <si>
    <t xml:space="preserve">Results of a randomized controlled trial comparing closed-suction drains versus passive gravity drains after pancreatic resection
</t>
  </si>
  <si>
    <t>Čečka, F.; Jon, B.; Skalický, P.; Čermáková, E.; Neoral, Č; Loveček, M.</t>
  </si>
  <si>
    <t xml:space="preserve">https://www.scopus.com/inward/record.uri?eid=2-s2.0-85050943235&amp;doi=10.1016%2fj.surg.2018.05.030&amp;partnerID=40&amp;md5=39d2db65a307be929d58b7d7405974e1
</t>
  </si>
  <si>
    <t>10.1016/j.surg.2018.05.030</t>
  </si>
  <si>
    <t xml:space="preserve">Effect of Robot-Assisted Radical Cystectomy with Intracorporeal Urinary Diversion vs Open Radical Cystectomy on 90-Day Morbidity and Mortality among Patients with Bladder Cancer: A Randomized Clinical Trial
</t>
  </si>
  <si>
    <t>Catto, J. W. F.; Khetrapal, P.; Ricciardi, F.; Ambler, G.; Williams, N. R.; Al-Hammouri, T.; Khan, M. S.; Thurairaja, R.; Nair, R.; Feber, A.; Dixon, S.; Nathan, S.; Briggs, T.; Sridhar, A.; Ahmad, I.; Bhatt, J.; Charlesworth, P.; Blick, C.; Cumberbatch, M. G.; Hussain, S. A.; Kotwal, S.; Koupparis, A.; McGrath, J.; Noon, A. P.; Rowe, E.; Vasdev, N.; Hanchanale, V.; Hagan, D.; Brew-Graves, C.; Kelly, J. D.</t>
  </si>
  <si>
    <t xml:space="preserve">327
</t>
  </si>
  <si>
    <t xml:space="preserve">https://www.scopus.com/inward/record.uri?eid=2-s2.0-85130391723&amp;doi=10.1001%2fjama.2022.7393&amp;partnerID=40&amp;md5=c1e98e4c0723aff90cea2e8ac5bb6920
</t>
  </si>
  <si>
    <t>10.1001/jama.2022.7393</t>
  </si>
  <si>
    <t xml:space="preserve">Pancreatic enzyme supplementation after gastrectomy for gastric cancer: a randomized controlled trial
</t>
  </si>
  <si>
    <t>Catarci, M.; Berlanda, M.; Grassi, G. B.; Masedu, F.; Guadagni, S.</t>
  </si>
  <si>
    <t xml:space="preserve">https://www.scopus.com/inward/record.uri?eid=2-s2.0-85028523878&amp;doi=10.1007%2fs10120-017-0757-y&amp;partnerID=40&amp;md5=d514d8b53375267945d551abf0b4f03c
</t>
  </si>
  <si>
    <t>10.1007/s10120-017-0757-y</t>
  </si>
  <si>
    <t xml:space="preserve">The Impact of Thoracic Epidural Analgesia Versus Four Quadrant Transversus Abdominis Plane Block on Quality of Recovery After Cytoreductive Surgery with Hyperthermic Intraperitoneal Chemotherapy Surgery: A Single-Center, Noninferiority, Randomized, Controlled Trial
</t>
  </si>
  <si>
    <t>Cata, J. P.; Fournier, K.; Corrales, G.; Owusu-Agyemang, P.; Soliz, J.; Bravo, M.; Wilks, J.; Van Meter, A.; Hernandez, M.; Gottumukkala, V.; On behalf of the, Hipec study group</t>
  </si>
  <si>
    <t xml:space="preserve">https://www.scopus.com/inward/record.uri?eid=2-s2.0-85100470715&amp;doi=10.1245%2fs10434-021-09622-7&amp;partnerID=40&amp;md5=a47864830dc605cb3e198b794f647f2d
</t>
  </si>
  <si>
    <t>10.1245/s10434-021-09622-7</t>
  </si>
  <si>
    <t xml:space="preserve">Music Therapy for Preoperative Anxiety Reduction in Women Undergoing Total Laparoscopic Hysterectomy: A Randomized Controlled Trial
</t>
  </si>
  <si>
    <t>Casarin, J.; Cromi, A.; Sgobbi, B.; Di Siena, A.; Serati, M.; Bolis, M. E.; Ghezzi, F.</t>
  </si>
  <si>
    <t xml:space="preserve">https://www.scopus.com/inward/record.uri?eid=2-s2.0-85101372548&amp;doi=10.1016%2fj.jmig.2021.02.002&amp;partnerID=40&amp;md5=bc8de7f23270e95af302d28251ba2ea4
</t>
  </si>
  <si>
    <t>10.1016/j.jmig.2021.02.002</t>
  </si>
  <si>
    <t xml:space="preserve">Influence of postoperative complications on long-term outcome after oncologic lung resection surgery. Substudy of a randomized control trial
</t>
  </si>
  <si>
    <t>Casanova Barea, J.; De la Gala, F.; Piñeiro, P.; Reyes, A.; Simón, C.; Rancan, L.; Vara, E.; Paredes, S.; Bellón, J. M.; Garutti Martinez, I.</t>
  </si>
  <si>
    <t xml:space="preserve">https://www.scopus.com/inward/record.uri?eid=2-s2.0-85089383316&amp;doi=10.1007%2fs10877-020-00580-1&amp;partnerID=40&amp;md5=b585892cf7034bacfc23b0e338dfd5a4
</t>
  </si>
  <si>
    <t>10.1007/s10877-020-00580-1</t>
  </si>
  <si>
    <t xml:space="preserve">secondary analysis </t>
  </si>
  <si>
    <t xml:space="preserve">The Role of Intraperitoneal Intraoperative Chemotherapy with Paclitaxel in the Surgical Treatment of Peritoneal Carcinomatosis from Ovarian Cancer—Hyperthermia versus Normothermia: A Randomized Controlled Trial
</t>
  </si>
  <si>
    <t>Casado-Adam, A.; Rodriguez-Ortiz, L.; Rufian-Peña, S.; Muñoz-Casares, C.; Caro-Cuenca, T.; Ortega-Salas, R.; Fernandez-Peralbo, M. A.; Luque-de-Castro, M. D.; Sanchez-Hidalgo, J. M.; Hervas-Martinez, C.; Romero-Ruiz, A.; Briceño, J.; Arjona-Sánchez, Á</t>
  </si>
  <si>
    <t xml:space="preserve">https://www.scopus.com/inward/record.uri?eid=2-s2.0-85139744507&amp;doi=10.3390%2fjcm11195785&amp;partnerID=40&amp;md5=907f0d0f53bb16086260f2bad0cd6133
</t>
  </si>
  <si>
    <t>10.3390/jcm11195785</t>
  </si>
  <si>
    <t xml:space="preserve">Neoadjuvant Chemoradiotherapy and Surgery Versus Surgery Alone in Resectable Pancreatic Cancer: A Single-Center Prospective, Randomized, Controlled Trial Which Failed to Achieve Accrual Targets
</t>
  </si>
  <si>
    <t>Casadei, R.; Di Marco, M.; Ricci, C.; Santini, D.; Serra, C.; Calculli, L.; D’Ambra, M.; Guido, A.; Morselli-Labate, A. M.; Minni, F.</t>
  </si>
  <si>
    <t xml:space="preserve">https://www.scopus.com/inward/record.uri?eid=2-s2.0-84942501370&amp;doi=10.1007%2fs11605-015-2890-4&amp;partnerID=40&amp;md5=0e0709285ecb1f6f65e275ec0a046f4b
</t>
  </si>
  <si>
    <t>10.1007/s11605-015-2890-4</t>
  </si>
  <si>
    <t xml:space="preserve">Estimated oxygen extraction versus dynamic parameters of fluid-responsiveness for perioperative hemodynamic optimization of patients undergoing non-cardiac surgery: A non-inferiority randomized controlled trial
</t>
  </si>
  <si>
    <t>Carsetti, A.; Amici, M.; Bernacconi, T.; Brancaleoni, P.; Cerutti, E.; Chiarello, M.; Cingolani, D.; Cola, L.; Corsi, D.; Forlini, G.; Giampieri, M.; Iuorio, S.; Principi, T.; Tappatà, G.; Tempesta, M.; Adrario, E.; Donati, A.</t>
  </si>
  <si>
    <t xml:space="preserve">https://www.scopus.com/inward/record.uri?eid=2-s2.0-85083812046&amp;doi=10.1186%2fs12871-020-01011-z&amp;partnerID=40&amp;md5=261d1da670634d0772708f121cdd515a
</t>
  </si>
  <si>
    <t>10.1186/s12871-020-01011-z</t>
  </si>
  <si>
    <t xml:space="preserve">The benefit of a neoadjuvant instillation of chemotherapy in non-muscle invasive bladder cancer: Interim analysis of the PRECAVE randomized clinical trial
</t>
  </si>
  <si>
    <t>Carrión, D. M.; Rivas, J. G.; Bazán, A. A.; Ruiz, C. B.; Álvarez-Maestro, M.; González, E. R.; Martínez-Piñeiro, L.</t>
  </si>
  <si>
    <t xml:space="preserve">https://www.scopus.com/inward/record.uri?eid=2-s2.0-85121476223&amp;partnerID=40&amp;md5=7dd7d3e1e8cb5498edf98c5c669f5a78
</t>
  </si>
  <si>
    <t>10.37554/en-j.arch.esp.urol-20210704-3511-30</t>
  </si>
  <si>
    <t>interim analysis</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</si>
  <si>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</si>
  <si>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</si>
  <si>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</si>
  <si>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</si>
  <si>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 xml:space="preserve">Open suprapubic versus retropubic prostatectomy in the treatment of benign prostatic hyperplasia during resident's learning curve: A randomized controlled trial
</t>
  </si>
  <si>
    <t>Carneiro, A.; Sakuramoto, P.; Wroclawski, M. L.; Forseto, P. H.; Julio, A. D.; Bautzer, C. R. D.; Lins, L. M. M.; Kataguiri, A.; Yamada, F. B.; Teixeira, G. K.; Tobias-Machado, M.; Pompeo, A. C. L.</t>
  </si>
  <si>
    <t xml:space="preserve">https://www.scopus.com/inward/record.uri?eid=2-s2.0-84969920226&amp;doi=10.1590%2fS1677-5538.IBJU.2014.0517&amp;partnerID=40&amp;md5=3b1bf7d4d269f5ec56d5752378ac50e7
</t>
  </si>
  <si>
    <t>10.1590/S1677-5538.IBJU.2014.0517</t>
  </si>
  <si>
    <t xml:space="preserve">Randomized clinical trial of prehabilitation in colorectal surgery
</t>
  </si>
  <si>
    <t>Carli, F.; Charlebois, P.; Stein, B.; Feldman, L.; Zavorsky, G.; Kim, D. J.; Scott, S.; Mayo, N. E.</t>
  </si>
  <si>
    <t xml:space="preserve">https://www.scopus.com/inward/record.uri?eid=2-s2.0-77955224245&amp;doi=10.1002%2fbjs.7102&amp;partnerID=40&amp;md5=0745cf514ecc826f2beae50d2542d5fa
</t>
  </si>
  <si>
    <t>10.1002/bjs.7102</t>
  </si>
  <si>
    <t xml:space="preserve">Effect of Multimodal Prehabilitation vs Postoperative Rehabilitation on 30-Day Postoperative Complications for Frail Patients Undergoing Resection of Colorectal Cancer: A Randomized Clinical Trial
</t>
  </si>
  <si>
    <t>Carli, F.; Bousquet-Dion, G.; Awasthi, R.; Elsherbini, N.; Liberman, S.; Boutros, M.; Stein, B.; Charlebois, P.; Ghitulescu, G.; Morin, N.; Jagoe, T.; Scheede-Bergdahl, C.; Minnella, E. M.; Fiore, J. F., Jr.</t>
  </si>
  <si>
    <t xml:space="preserve">https://www.scopus.com/inward/record.uri?eid=2-s2.0-85078340663&amp;doi=10.1001%2fjamasurg.2019.5474&amp;partnerID=40&amp;md5=7a6a74917bbb4d94e3168494cf4cbf1d
</t>
  </si>
  <si>
    <t>10.1001/jamasurg.2019.5474</t>
  </si>
  <si>
    <t xml:space="preserve">Prostatic Artery Embolization Versus Transurethral Resection of the Prostate: A Post Hoc Cost Analysis of a Randomized Controlled Clinical Trial
</t>
  </si>
  <si>
    <t>Capdevila, F.; Insausti, I.; Galbete, A.; Sanchez-Iriso, E.; Montesino, M.</t>
  </si>
  <si>
    <t xml:space="preserve">CardioVascular and Interventional Radiology
</t>
  </si>
  <si>
    <t xml:space="preserve">https://www.scopus.com/inward/record.uri?eid=2-s2.0-85111071240&amp;doi=10.1007%2fs00270-021-02920-3&amp;partnerID=40&amp;md5=1cd0643bf470d8fc88204d1c2ae97d8b
</t>
  </si>
  <si>
    <t>10.1007/s00270-021-02920-3</t>
  </si>
  <si>
    <t xml:space="preserve">Delirium in older patients given propofol or sevoflurane anaesthesia for major cancer surgery: a multicentre randomised trial
</t>
  </si>
  <si>
    <t>Cao, S. J.; Zhang, Y.; Zhang, Y. X.; Zhao, W.; Pan, L. H.; Sun, X. D.; Jia, Z.; Ouyang, W.; Ye, Q. S.; Zhang, F. X.; Guo, Y. Q.; Ai, Y. Q.; Zhao, B. J.; Yu, J. B.; Liu, Z. H.; Yin, N.; Li, X. Y.; Ma, J. H.; Li, H. J.; Wang, M. R.; Sessler, D. I.; Ma, D.; Wang, D. X.; the First Study of Perioperative Organ Protection, investigators</t>
  </si>
  <si>
    <t xml:space="preserve">https://www.scopus.com/inward/record.uri?eid=2-s2.0-85162861382&amp;doi=10.1016%2fj.bja.2023.04.024&amp;partnerID=40&amp;md5=edeef6283357268ba7418833b36ad254
</t>
  </si>
  <si>
    <t>10.1016/j.bja.2023.04.024</t>
  </si>
  <si>
    <t xml:space="preserve">Enhanced Recovery after Surgery in Elderly Gastric Cancer Patients Undergoing Laparoscopic Total Gastrectomy
</t>
  </si>
  <si>
    <t>Cao, S.; Zheng, T.; Wang, H.; Niu, Z.; Chen, D.; Zhang, J.; Lv, L.; Zhou, Y.</t>
  </si>
  <si>
    <t xml:space="preserve">https://www.scopus.com/inward/record.uri?eid=2-s2.0-85090556584&amp;doi=10.1016%2fj.jss.2020.07.037&amp;partnerID=40&amp;md5=71555986e5fcae03b120ccc25ed89e95
</t>
  </si>
  <si>
    <t>10.1016/j.jss.2020.07.037</t>
  </si>
  <si>
    <t xml:space="preserve">A new approach to supracervical hysterectomy during laparoscopic sacral colpopexy for pelvic organ prolapse: A randomized clinical trial
</t>
  </si>
  <si>
    <t>Campagna, G.; Morciano, A.; Rossitto, C.; Panico, G.; Naldini, A.; Ercoli, A.; Cervigni, M.; Scambia, G.</t>
  </si>
  <si>
    <t xml:space="preserve">https://www.scopus.com/inward/record.uri?eid=2-s2.0-85015878476&amp;doi=10.1002%2fnau.23030&amp;partnerID=40&amp;md5=c4910028c47135d0f667e45c01236b70
</t>
  </si>
  <si>
    <t>10.1002/nau.23030</t>
  </si>
  <si>
    <t xml:space="preserve">Comparison of Retrograde Intrarenal Surgery and Percutaneous Nephrolithotomy Used in the Treatment of 2-4 cm Kidney Stones in Terms of Pain and Need for Additional Analgesics: A Prospective Randomized Study
</t>
  </si>
  <si>
    <t>Çaklcl, M. Ç; Karakoyunlu, N.; Sari, S.; Ozok, H. U.; Selmi, V.; Kartal, I. G.; Nalbant, I.; Sagnak, L.; Ersoy, H.</t>
  </si>
  <si>
    <t xml:space="preserve">https://www.scopus.com/inward/record.uri?eid=2-s2.0-85097578317&amp;doi=10.1089%2flap.2020.0179&amp;partnerID=40&amp;md5=21197fe673b25844ab9a105006dc60a9
</t>
  </si>
  <si>
    <t>10.1089/lap.2020.0179</t>
  </si>
  <si>
    <t xml:space="preserve">Comparison of general anesthesia and combined spinal-epidural anesthesia for retrograde intrarenal surgery
</t>
  </si>
  <si>
    <t>Çakici, M. Ç; Özok, H. U.; Erol, D.; Çatalca, S.; Sari, S.; Özdemir, H.; Selmi, V.; Kartal, I. G.; Karakoyunlu, N.</t>
  </si>
  <si>
    <t xml:space="preserve">Minerva Urologica e Nefrologica
</t>
  </si>
  <si>
    <t xml:space="preserve">https://www.scopus.com/inward/record.uri?eid=2-s2.0-85076876627&amp;doi=10.23736%2fS0393-2249.19.03481-7&amp;partnerID=40&amp;md5=fa74f7b520d5b52acdaaa9520b99e00d
</t>
  </si>
  <si>
    <t>10.23736/S0393-2249.19.03481-7</t>
  </si>
  <si>
    <t xml:space="preserve">Efficacy and safety of the duodeno-jejunal bypass liner in patients with metabolic syndrome a multicenter randomized controlled trial (EnDoMETAB)
</t>
  </si>
  <si>
    <t>Caiazzo, R.; Branche, J.; Raverdy, V.; Czernichow, S.; Carette, C.; Robert, M.; Disse, E.; Barthet, M.; Cariou, B.; Msika, S.; Behal, H.; Denies, F.; Dervaux, B.; Duhamel, A.; Verkindt, H.; Pattou, F.</t>
  </si>
  <si>
    <t xml:space="preserve">https://www.scopus.com/inward/record.uri?eid=2-s2.0-85092944909&amp;doi=10.1097%2fSLA.0000000000004339&amp;partnerID=40&amp;md5=d37bf9b5403a74bf478e7e519172aecc
</t>
  </si>
  <si>
    <t>10.1097/SLA.0000000000004339</t>
  </si>
  <si>
    <t xml:space="preserve">Pancreaticojejunostomy without pancreatic duct stent after laparoscopic pancreatoduodenectomy: preliminary outcomes from a prospective randomized controlled trial
</t>
  </si>
  <si>
    <t>Cai, H.; Lu, F.; Zhang, M.; Cai, Y.; Wang, X.; Li, Y.; Meng, L.; Gao, P.; Peng, B.</t>
  </si>
  <si>
    <t xml:space="preserve">https://www.scopus.com/inward/record.uri?eid=2-s2.0-85122320206&amp;doi=10.1007%2fs00464-021-08909-w&amp;partnerID=40&amp;md5=d3ea4b448737e5389464e5b1dfd417d9
</t>
  </si>
  <si>
    <t>10.1007/s00464-021-08909-w</t>
  </si>
  <si>
    <t xml:space="preserve">The role of peri-hepatic drain placement in liver surgery: A prospective analysis
</t>
  </si>
  <si>
    <t>Butte, J. M.; Grendar, J.; Bathe, O.; Sutherland, F.; Grondin, S.; Ball, C. G.; Dixon, E.</t>
  </si>
  <si>
    <t xml:space="preserve">https://www.scopus.com/inward/record.uri?eid=2-s2.0-84927788687&amp;doi=10.1111%2fhpb.12310&amp;partnerID=40&amp;md5=0afc01e3811929cbea29c5a642b662a7
</t>
  </si>
  <si>
    <t>10.1111/hpb.12310</t>
  </si>
  <si>
    <t xml:space="preserve">Delayed gastric emptying after classical Whipple or pylorus-preserving pancreatoduodenectomy: a randomized clinical trial (QUANUPAD)
</t>
  </si>
  <si>
    <t>Busquets, J.; Martín, S.; Secanella, L.; Sorribas, M.; Cornellà, N.; Altet, J.; Peláez, N.; Bajen, M.; Carnaval, T.; Videla, S.; Fabregat, J.</t>
  </si>
  <si>
    <t xml:space="preserve">https://www.scopus.com/inward/record.uri?eid=2-s2.0-85133441114&amp;doi=10.1007%2fs00423-022-02583-9&amp;partnerID=40&amp;md5=b7d395e8c87a2d2c12e5ded2973deae8
</t>
  </si>
  <si>
    <t>10.1007/s00423-022-02583-9</t>
  </si>
  <si>
    <t xml:space="preserve">Randomized trial of two types of gastrojejunostomy after pancreatoduodenectomy and risk of delayed gastric emptying (PAUDA trial)
</t>
  </si>
  <si>
    <t>Busquets, J.; Martín, S.; Fabregat, J.; Secanella, L.; Pelaez, N.; Ramos, E.</t>
  </si>
  <si>
    <t xml:space="preserve">https://www.scopus.com/inward/record.uri?eid=2-s2.0-85058026781&amp;doi=10.1002%2fbjs.11023&amp;partnerID=40&amp;md5=7f45921b120e4d4200c3b0fa64fe4b3d
</t>
  </si>
  <si>
    <t>10.1002/bjs.11023</t>
  </si>
  <si>
    <t xml:space="preserve">Randomised clinical trial for the cost-utility evaluation of two strategies of perineal reconstruction after abdominoperineal resection in the context of anorectal carcinoma: Biological mesh repair versus primary perineal wound closure, study protocol for the GRECCAR 9 Study
</t>
  </si>
  <si>
    <t>Buscail, E.; Canivet, C.; Ghouti, L.; Kirzin, S.; Carrere, N.; Molinier, L.; Rosillo, A.; Lauwers-Cances, V.; Costa, N.</t>
  </si>
  <si>
    <t xml:space="preserve">https://www.scopus.com/inward/record.uri?eid=2-s2.0-85103703826&amp;doi=10.1136%2fbmjopen-2020-043333&amp;partnerID=40&amp;md5=a576c76f51012e63e6698b94bb9b4b7f
</t>
  </si>
  <si>
    <t>10.1136/bmjopen-2020-043333</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</si>
  <si>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</si>
  <si>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</si>
  <si>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</si>
  <si>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</si>
  <si>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</si>
  <si>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Transvaginal/transumbilical hybrid-NOTES-versus 3-trocar needlescopic cholecystectomy: Short-term results of a randomized clinical trial
</t>
  </si>
  <si>
    <t>Bulian, D. R.; Knuth, J.; Cerasani, N.; Sauerwald, A.; Lefering, R.; Heiss, M. M.</t>
  </si>
  <si>
    <t xml:space="preserve">https://www.scopus.com/inward/record.uri?eid=2-s2.0-84927047251&amp;doi=10.1097%2fSLA.0000000000000218&amp;partnerID=40&amp;md5=0d56cd051b71afe43187aef706bc3277
</t>
  </si>
  <si>
    <t>10.1097/SLA.0000000000000218</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</si>
  <si>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</si>
  <si>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</si>
  <si>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</si>
  <si>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</si>
  <si>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Peritoneal flap in robot-assisted radical prostatectomy: Results of a multicenter, randomized, single-blind study (PIANOFORTE) of the efficacy in reducing postoperative lymphocele
</t>
  </si>
  <si>
    <t>Bründl, J.; Lenart, S.; Stojanoski, G.; Gilfrich, C.; Rosenhammer, B.; Stolzlechner, M.; Ponholzer, A.; Dreissig, C.; Weikert, S.; Burger, M.; May, M.</t>
  </si>
  <si>
    <t xml:space="preserve">Deutsches Arzteblatt International
</t>
  </si>
  <si>
    <t xml:space="preserve">https://www.scopus.com/inward/record.uri?eid=2-s2.0-85085427008&amp;doi=10.3238%2farztebl.2020.0243&amp;partnerID=40&amp;md5=b1e851c5b571cb99484248a8bf9b5ae3
</t>
  </si>
  <si>
    <t>10.3238/arztebl.2020.0243</t>
  </si>
  <si>
    <t xml:space="preserve">Efficacy of profound versus moderate neuromuscular blockade in enhancing postoperative recovery after laparoscopic donor nephrectomy: A randomised controlled trial
</t>
  </si>
  <si>
    <t>Bruintjes, M. H. D.; Krijtenburg, P.; Martini, C. H.; Poyck, P. P.; D'Ancona, F. C. H.; Huurman, V. A. L.; Van Der Jagt, M.; Langenhuijsen, J. F.; Nijboer, W. N.; Van Laarhoven, C. J. H. M.; Dahan, A.; Warlé, M. C.</t>
  </si>
  <si>
    <t xml:space="preserve">https://www.scopus.com/inward/record.uri?eid=2-s2.0-85074579073&amp;doi=10.1097%2fEJA.0000000000000992&amp;partnerID=40&amp;md5=0be87bf6011b5574c79b9e5b88cee81a
</t>
  </si>
  <si>
    <t>10.1097/EJA.0000000000000992</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</si>
  <si>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</si>
  <si>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</si>
  <si>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</si>
  <si>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</si>
  <si>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Laparoscopically assisted versus open oesophagectomy for patients with oesophageal cancer - The Randomised Oesophagectomy: Minimally Invasive or Open (ROMIO) study: Protocol for a randomised controlled trial (RCT)
</t>
  </si>
  <si>
    <t>Brierley, R. C.; Gaunt, D.; Metcalfe, C.; Blazeby, J. M.; Blencowe, N. S.; Jepson, M.; Berrisford, R. G.; Avery, K. N. L.; Hollingworth, W.; Rice, C. T.; Moure-Fernandez, A.; Wong, N.; Nicklin, J.; Skilton, A.; Boddy, A.; Byrne, J. P.; Underwood, T.; Vohra, R.; Catton, J. A.; Pursnani, K.; Melhado, R.; Alkhaffaf, B.; Krysztopik, R.; Lamb, P.; Culliford, L.; Rogers, C.; Howes, B.; Chalmers, K.; Cousins, S.; Elliott, J.; Donovan, J.; Heys, R.; Wickens, R. A.; Wilkerson, P.; Hollowood, A.; Streets, C.; Titcomb, D.; Humphreys, M. L.; Wheatley, T.; Sanders, G.; Ariyarathenam, A.; Kelly, J.; Noble, F.; Couper, G.; Skipworth, R. J. E.; Deans, C.; Ubhi, S.; Williams, R.; Bowrey, D.; Exon, D.; Turner, P.; Daya Shetty, V.; Chaparala, R.; Akhtar, K.; Farooq, N.; Parsons, S. L.; Welch, N. T.; Houlihan, R. J.; Smith, J.; Schranz, R.; Rea, N.; Cooke, J.; Williams, A.; Hindmarsh, C.; Maitland, S.; Howie, L.; Barham, C. P.</t>
  </si>
  <si>
    <t xml:space="preserve">https://www.scopus.com/inward/record.uri?eid=2-s2.0-85075313264&amp;doi=10.1136%2fbmjopen-2019-030907&amp;partnerID=40&amp;md5=8d8d0270a160c5b43c273b89323c8fbb
</t>
  </si>
  <si>
    <t>10.1136/bmjopen-2019-030907</t>
  </si>
  <si>
    <t xml:space="preserve">Hartmann's Procedure or Primary Anastomosis for Generalized Peritonitis due to Perforated Diverticulitis: A Prospective Multicenter Randomized Trial (DIVERTI)
</t>
  </si>
  <si>
    <t>Bridoux, V.; Regimbeau, J. M.; Ouaissi, M.; Mathonnet, M.; Mauvais, F.; Houivet, E.; Schwarz, L.; Mege, D.; Sielezneff, I.; Sabbagh, C.; Tuech, J. J.</t>
  </si>
  <si>
    <t xml:space="preserve">225
</t>
  </si>
  <si>
    <t xml:space="preserve">https://www.scopus.com/inward/record.uri?eid=2-s2.0-85030756952&amp;doi=10.1016%2fj.jamcollsurg.2017.09.004&amp;partnerID=40&amp;md5=fd54fc8ab71ecb2161b7de24390b03f4
</t>
  </si>
  <si>
    <t>10.1016/j.jamcollsurg.2017.09.004</t>
  </si>
  <si>
    <t xml:space="preserve">Rectal cancer surgery with or without bowel preparation: The french greccar III multicenter single-blinded randomized trial
</t>
  </si>
  <si>
    <t>Bretagnol, F.; Panis, Y.; Rullier, E.; Rouanet, P.; Berdah, S.; Dousset, B.; Portier, G.; Benoist, S.; Chipponi, J.; Vicaut, E.</t>
  </si>
  <si>
    <t xml:space="preserve">https://www.scopus.com/inward/record.uri?eid=2-s2.0-78349257823&amp;doi=10.1097%2fSLA.0b013e3181fd8ea9&amp;partnerID=40&amp;md5=ca14c51b62f6336384a75d1bb979d966
</t>
  </si>
  <si>
    <t>10.1097/SLA.0b013e3181fd8ea9</t>
  </si>
  <si>
    <t xml:space="preserve">Healing of stoma orifices: Multicenter, prospective, randomized study comparing calcium alginate mesh and polyvidone iodine mesh
</t>
  </si>
  <si>
    <t>Brehant, O.; Pessaux, P.; Regenet, N.; Tuech, J. J.; Panaro, F.; Mantion, G.; Tassetti, V.; Lehur, P. A.; Arnaud, J. P.</t>
  </si>
  <si>
    <t xml:space="preserve">https://www.scopus.com/inward/record.uri?eid=2-s2.0-69049113940&amp;doi=10.1007%2fs00268-009-0106-3&amp;partnerID=40&amp;md5=60b7834fb09dc09eb903bdd07163be05
</t>
  </si>
  <si>
    <t>10.1007/s00268-009-0106-3</t>
  </si>
  <si>
    <t xml:space="preserve">Impact of Early Dorsal Venous Complex Ligation on Urinary Continence Recovery after Robot-assisted Radical Prostatectomy: Results from a Phase 3 Randomized Controlled Trial
</t>
  </si>
  <si>
    <t>Bravi, C. A.; Gandaglia, G.; Mazzone, E.; Fossati, N.; Gallina, A.; Stabile, A.; Scuderi, S.; Barletta, F.; Nocera, L.; Rosiello, G.; Martini, A.; Pellegrino, F.; Cucchiara, V.; Dehò, F.; Capitanio, U.; Scattoni, V.; Salonia, A.; Briganti, A.; Montorsi, F.</t>
  </si>
  <si>
    <t xml:space="preserve">https://www.scopus.com/inward/record.uri?eid=2-s2.0-85139217340&amp;doi=10.1016%2fj.euf.2022.09.003&amp;partnerID=40&amp;md5=ee433f42b2383c126c5f3dd322b9fa42
</t>
  </si>
  <si>
    <t>10.1016/j.euf.2022.09.003</t>
  </si>
  <si>
    <t xml:space="preserve">Disposable versus reusable ureteroscopes: A prospective multicenter randomized comparison
</t>
  </si>
  <si>
    <t>Bozzini, G.; Filippi, B.; Alriyalat, S.; Calori, A.; Besana, U.; Mueller, A.; Pushkar, D.; Romero-Otero, J.; Pastore, A.; Sighinolfi, M. C.; Micali, S.; Buizza, C.; Rocco, B.</t>
  </si>
  <si>
    <t xml:space="preserve">Research and Reports in Urology
</t>
  </si>
  <si>
    <t xml:space="preserve">https://www.scopus.com/inward/record.uri?eid=2-s2.0-85100897464&amp;doi=10.2147%2fRRU.S277049&amp;partnerID=40&amp;md5=0f648682e5602effd99547de41f21643
</t>
  </si>
  <si>
    <t>10.2147/RRU.S277049</t>
  </si>
  <si>
    <t xml:space="preserve">Thulium: YAG vs continuous-wave thulium fiber laser enucleation of the prostate: do potential advantages of thulium fiber lasers translate into relevant clinical differences?
</t>
  </si>
  <si>
    <t>Bozzini, G.; Berti, L.; Maltagliati, M.; Besana, U.; Micali, S.; Roche, J. B.; Romero-Otero, J.; Pacchetti, A.; Perri, D.; Morini, E.; Saredi, G.; Mazzoleni, F.; Sighinolfi, M. C.; Buizza, C.; Rocco, B.</t>
  </si>
  <si>
    <t xml:space="preserve">https://www.scopus.com/inward/record.uri?eid=2-s2.0-85141738599&amp;doi=10.1007%2fs00345-022-04201-1&amp;partnerID=40&amp;md5=a0e1ebffe25326decb827d4310af11ea
</t>
  </si>
  <si>
    <t>10.1007/s00345-022-04201-1</t>
  </si>
  <si>
    <t xml:space="preserve">A comparison among PCNL, Miniperc and Ultraminiperc for lower calyceal stones between 1 and 2 cm: A prospective, comparative, multicenter and randomised study
</t>
  </si>
  <si>
    <t>Bozzini, G.; Aydogan, T. B.; Müller, A.; Sighinolfi, M. C.; Besana, U.; Calori, A.; Lorenzo, B.; Govorov, A.; Pushkar, D. Y.; Pini, G.; Pastore, A. L.; Romero-Otero, J.; Rocco, B.; Buizza, C.</t>
  </si>
  <si>
    <t xml:space="preserve">https://www.scopus.com/inward/record.uri?eid=2-s2.0-85086356349&amp;doi=10.1186%2fs12894-020-00636-z&amp;partnerID=40&amp;md5=d248ceab91736e5a8eb4e8f85cccdd6e
</t>
  </si>
  <si>
    <t>10.1186/s12894-020-00636-z</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</si>
  <si>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</si>
  <si>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</si>
  <si>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</si>
  <si>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</si>
  <si>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</si>
  <si>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 xml:space="preserve">A randomised controlled trial of six weeks of home enteral nutrition versus standard care after oesophagectomy or total gastrectomy for cancer: Report on a pilot and feasibility study
</t>
  </si>
  <si>
    <t>Bowrey, D. J.; Baker, M.; Halliday, V.; Thomas, A. L.; Pulikottil-Jacob, R.; Smith, K.; Morris, T.; Ring, A.</t>
  </si>
  <si>
    <t xml:space="preserve">https://www.scopus.com/inward/record.uri?eid=2-s2.0-84947777442&amp;doi=10.1186%2fs13063-015-1053-y&amp;partnerID=40&amp;md5=82c2c6e9494dbecbeb22ed0794db6436
</t>
  </si>
  <si>
    <t>10.1186/s13063-015-1053-y</t>
  </si>
  <si>
    <t>pilot</t>
  </si>
  <si>
    <t xml:space="preserve">Evaluation of supervised multimodal prehabilitation programme in cancer patients undergoing colorectal resection: a randomized control trial
</t>
  </si>
  <si>
    <t>Bousquet-Dion, G.; Awasthi, R.; Loiselle, S. È; Minnella, E. M.; Agnihotram, R. V.; Bergdahl, A.; Carli, F.; Scheede-Bergdahl, C.</t>
  </si>
  <si>
    <t xml:space="preserve">57
</t>
  </si>
  <si>
    <t xml:space="preserve">Acta Oncologica
</t>
  </si>
  <si>
    <t xml:space="preserve">https://www.scopus.com/inward/record.uri?eid=2-s2.0-85041116363&amp;doi=10.1080%2f0284186X.2017.1423180&amp;partnerID=40&amp;md5=c64cfcdacb7f661b0d8220a62ef8092a
</t>
  </si>
  <si>
    <t>10.1080/0284186X.2017.1423180</t>
  </si>
  <si>
    <t xml:space="preserve">MEDIASTinal staging of non-small cell lung cancer by endobronchial and endoscopic ultrasonography with or without additional surgical mediastinoscopy (MEDIASTrial): Study protocol of a multicenter randomised controlled trial
</t>
  </si>
  <si>
    <t>Bousema, J. E.; Dijkgraaf, M. G. W.; Papen-Botterhuis, N. E.; Schreurs, H. W.; Maessen, J. G.; Van Der Heijden, E. H.; Steup, W. H.; Braun, J.; Noyez, V. J. J. M.; Hoeijmakers, F.; Beck, N.; Van Dorp, M.; Claessens, N. J. M.; Hiddinga, B. I.; Daniels, J. M. A.; Heineman, D. J.; Zandbergen, H. R.; Verhagen, A. F. T. M.; Van Schil, P. E.; Annema, J. T.; Van Den Broek, F. J. C.; Youssef-El Soud, M.; Van Boven, W. J.; Horn, T.; Brocken, P.; Ramai, R. R. S.; Barlo, N. P.; Dingemans, A. M. C.; Lardenoije, J. W.; Van Der Wekken, A. J.; Van De Wauwer, C.; Kortekaas, R. T. J.; Hanselaar, W. E.; Rijna, H.; Bard, M. P.; Van Vollenhoven, F. H. M.; Murrmann, G. B.; Bootsma, G. P.; Vissers, Y.; Veen, E. J.; Van Der Leest, C. H.; Citgez, E.; Van Duyn, E. B.; Marres, G. M. H.; Van Thiel, E. R.; Zhang, X. H.; Barendregt, W. B.; Janssen, J. P.; Smakman, N.; Van Der Meer, F.; Saboerali, M. D.</t>
  </si>
  <si>
    <t xml:space="preserve">https://www.scopus.com/inward/record.uri?eid=2-s2.0-85047203268&amp;doi=10.1186%2fs12893-018-0359-6&amp;partnerID=40&amp;md5=1eb3ca8013f9c3a1170cabe797fb686b
</t>
  </si>
  <si>
    <t>10.1186/s12893-018-0359-6</t>
  </si>
  <si>
    <t xml:space="preserve">Feasibility study of analgesia via epidural versus continuous wound infusion after laparoscopic colorectal resection
</t>
  </si>
  <si>
    <t>Boulind, C. E.; Ewings, P.; Bulley, S. H.; Reid, J. M.; Jenkins, J. T.; Blazeby, J. M.; Francis, N. K.</t>
  </si>
  <si>
    <t xml:space="preserve">https://www.scopus.com/inward/record.uri?eid=2-s2.0-84872186230&amp;doi=10.1002%2fbjs.8999&amp;partnerID=40&amp;md5=8930b96650759845078e03b1731b5ea4
</t>
  </si>
  <si>
    <t>10.1002/bjs.8999</t>
  </si>
  <si>
    <t xml:space="preserve">Simultaneous versus delayed resection for initially resectable synchronous colorectal cancer liver metastases: A prospective, open-label, randomized, controlled trial
</t>
  </si>
  <si>
    <t>Boudjema, K.; Locher, C.; Sabbagh, C.; Ortega-Deballon, P.; Heyd, B.; Bachellier, P.; Métairie, S.; Paye, F.; Bourlier, P.; Adam, R.; Merdrignac, A.; Tual, C.; Le Pabic, E.; Sulpice, L.; Meunier, B.; Regimbeau, J. M.; Bellissant, E.; group, Metasync Study</t>
  </si>
  <si>
    <t xml:space="preserve">https://www.scopus.com/inward/record.uri?eid=2-s2.0-85092013890&amp;doi=10.1097%2fSLA.0000000000003848&amp;partnerID=40&amp;md5=96f160d0af63ee4a12c050f2befe25eb
</t>
  </si>
  <si>
    <t>10.1097/SLA.0000000000003848</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</si>
  <si>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</si>
  <si>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</si>
  <si>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</si>
  <si>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</si>
  <si>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Multicentre randomized controlled trial comparing ferric(III)carboxymaltose infusion with oral iron supplementation in the treatment of preoperative anaemia in colorectal cancer patients
</t>
  </si>
  <si>
    <t>Borstlap, W. A. A.; Buskens, C. J.; Tytgat, K. M. A. J.; Tuynman, J. B.; Consten, E. C. J.; Tolboom, R. C.; Heuff, G.; Van Geloven, N.; Van Wagensveld, B. A.; Wientjes, C. A. C. A.; Gerhards, M. F.; De Castro, S. M. M.; Jansen, J.; Van Der Ven, A. W. H.; Van Der Zaag, E.; Omloo, J. M.; Van Westreenen, H. L.; Winter, D. C.; Kennelly, R. P.; Dijkgraaf, M. G. W.; Tanis, P. J.; Bemelman, W. A.</t>
  </si>
  <si>
    <t xml:space="preserve">https://www.scopus.com/inward/record.uri?eid=2-s2.0-84933518251&amp;doi=10.1186%2fs12893-015-0065-6&amp;partnerID=40&amp;md5=473019fe75e003f0f78bc7d62090e48e
</t>
  </si>
  <si>
    <t>10.1186/s12893-015-0065-6</t>
  </si>
  <si>
    <t xml:space="preserve">Clinical outcomes and inflammatory response to single-incision laparoscopic (SIL) colorectal surgery: a single-blinded randomized controlled pilot study
</t>
  </si>
  <si>
    <t>Borowski, D. W.; Baker, E. A.; Wilson, D.; Garg, D. K.; Gill, T. S.</t>
  </si>
  <si>
    <t xml:space="preserve">https://www.scopus.com/inward/record.uri?eid=2-s2.0-85054928619&amp;doi=10.1111%2fcodi.14435&amp;partnerID=40&amp;md5=9d8d5407be40a2fd293797ce11189993
</t>
  </si>
  <si>
    <t>10.1111/codi.14435</t>
  </si>
  <si>
    <t xml:space="preserve">Patient expectations shape convalescence after major liver surgery – A prospective, randomized study
</t>
  </si>
  <si>
    <t>Börner, N.; Weniger, M.; Nossek, J.; Kuonath, A.; Schoenberg, M.; Bösch, F.; Angele, M.; Frey, D.; Werner, J.; Guba, M.</t>
  </si>
  <si>
    <t xml:space="preserve">https://www.scopus.com/inward/record.uri?eid=2-s2.0-85116019423&amp;doi=10.1016%2fj.ijsu.2021.106128&amp;partnerID=40&amp;md5=b97bd1f2e0fb43ccbcca987f75d1d16b
</t>
  </si>
  <si>
    <t>10.1016/j.ijsu.2021.106128</t>
  </si>
  <si>
    <t xml:space="preserve">Blood loss in cemented THA is not reduced with postoperative versus preoperative start of thromboprophylaxis hip
</t>
  </si>
  <si>
    <t>Borgen, P. O.; Dahl, O. E.; Reikerås, O.</t>
  </si>
  <si>
    <t xml:space="preserve">470
</t>
  </si>
  <si>
    <t xml:space="preserve">https://www.scopus.com/inward/record.uri?eid=2-s2.0-84866434735&amp;doi=10.1007%2fs11999-012-2320-9&amp;partnerID=40&amp;md5=2c865f8c86c03b0d5f1b0480a397c3f5
</t>
  </si>
  <si>
    <t>10.1007/s11999-012-2320-9</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</si>
  <si>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</si>
  <si>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</si>
  <si>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</si>
  <si>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</si>
  <si>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</si>
  <si>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Preoperative radiotherapy plus surgery versus surgery alone for patients with primary retroperitoneal sarcoma (EORTC-62092: STRASS): a multicentre, open-label, randomised, phase 3 trial
</t>
  </si>
  <si>
    <t>Bonvalot, S.; Gronchi, A.; Le Péchoux, C.; Swallow, C. J.; Strauss, D.; Meeus, P.; van Coevorden, F.; Stoldt, S.; Stoeckle, E.; Rutkowski, P.; Rastrelli, M.; Raut, C. P.; Hompes, D.; De Paoli, A.; Sangalli, C.; Honoré, C.; Chung, P.; Miah, A.; Blay, J. Y.; Fiore, M.; Stelmes, J. J.; Dei Tos, A. P.; Baldini, E. H.; Litière, S.; Marreaud, S.; Gelderblom, H.; Haas, R. L.</t>
  </si>
  <si>
    <t xml:space="preserve">https://www.scopus.com/inward/record.uri?eid=2-s2.0-85091659289&amp;doi=10.1016%2fS1470-2045%2820%2930446-0&amp;partnerID=40&amp;md5=0e06f656d719b6b8d1e23cb2272e0f31
</t>
  </si>
  <si>
    <t>10.1016/S1470-2045(20)30446-0</t>
  </si>
  <si>
    <t xml:space="preserve">Laparoscopic roux-en-Y gastric bypass versus sleeve gastrectomy for teenagers with severe obesity - TEEN-BEST: Study protocol of a multicenter randomized controlled trial
</t>
  </si>
  <si>
    <t>Bonouvrie, D. S.; Beamish, A. J.; Leclercq, W. K. G.; Van Mil, E. G. A. H.; Luijten, A. A. P. M.; Hazebroek, E. J.; Vreugdenhil, A. C. E.; Olbers, T.; Van Dielen, F. M. H.</t>
  </si>
  <si>
    <t xml:space="preserve">https://www.scopus.com/inward/record.uri?eid=2-s2.0-85085979682&amp;doi=10.1186%2fs12893-020-00778-9&amp;partnerID=40&amp;md5=284e683b6415364fd816b85ad6e5427b
</t>
  </si>
  <si>
    <t>10.1186/s12893-020-00778-9</t>
  </si>
  <si>
    <t xml:space="preserve">First-line systemic treatment strategies in patients with initially unresectable colorectal cancer liver metastases (CAIRO5): an open-label, multicentre, randomised, controlled, phase 3 study from the Dutch Colorectal Cancer Group
</t>
  </si>
  <si>
    <t>Bond, M. J. G.; Bolhuis, K.; Loosveld, O. J. L.; de Groot, J. W. B.; Droogendijk, H.; Helgason, H. H.; Hendriks, M. P.; Klaase, J. M.; Kazemier, G.; Liem, M. S. L.; Rijken, A. M.; Verhoef, C.; de Wilt, J. H. W.; de Jong, K. P.; Gerhards, M. F.; van Amerongen, M. J.; Engelbrecht, M. R. W.; van Lienden, K. P.; Molenaar, I. Q.; de Valk, B.; Haberkorn, B. C. M.; Kerver, E. D.; Erdkamp, F.; van Alphen, R. J.; Mathijssen-van Stein, D.; Komurcu, A.; Lopez-Yurda, M.; Swijnenburg, R. J.; Punt, C. J. A.; Van Gulik, T.; Huiskens, J.; Van Tinteren, H.; Dejong, C. H. C.; Grünhagen, D. J.; Patijn, G. A.; Ruers, T. J. M.; Chapelle, T.; Hermans, J. J.; Leclercq, W. K. G.; Valkenburg-van Iersel, L. B. J.; Grootscholten, C.; Van Dodewaard-de Jong, J. M.; Vincent, J.; Houtsma, D.; Los, M.; Den Boer, M.; Trajkovic-Vidakovic, M.; Van Voorthuizen, T.; Koopman, M.; Vestjens, J. H. M. J. V.; Torrenga, H.; Mekenkamp, L. J.; Veldhuis, G. J.; Polee, M. B.; Dohmen, S. E.; Schut, H.; Vulink, A. J. E.; Van Halteren, H. K.; Oulad Hadj, J.; Schiphorst, P. P. J. B. M.; Hoekstra, R.; Dutch Colorectal Cancer Study, Group</t>
  </si>
  <si>
    <t xml:space="preserve">https://www.scopus.com/inward/record.uri?eid=2-s2.0-85163525764&amp;doi=10.1016%2fS1470-2045%2823%2900219-X&amp;partnerID=40&amp;md5=a48d6012fdb6a90735e1a7203a487004
</t>
  </si>
  <si>
    <t>10.1016/S1470-2045(23)00219-X</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</si>
  <si>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</si>
  <si>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</si>
  <si>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</si>
  <si>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</si>
  <si>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Reduction of postoperative ileus by early enteral nutrition in patients undergoing major rectal surgery: Prospective, randomized, controlled trial
</t>
  </si>
  <si>
    <t>Boelens, P. G.; Heesakkers, F. F. B. M.; Luyer, M. D. P.; Van Barneveld, K. W. Y.; De Hingh, I. H. J. T.; Nieuwenhuijzen, G. A. P.; Roos, A. N.; Rutten, H. J. T.</t>
  </si>
  <si>
    <t xml:space="preserve">https://www.scopus.com/inward/record.uri?eid=2-s2.0-84895929226&amp;doi=10.1097%2fSLA.0000000000000288&amp;partnerID=40&amp;md5=18514e06852e744f2072c97a041dc0ce
</t>
  </si>
  <si>
    <t>10.1097/SLA.0000000000000288</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</si>
  <si>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</si>
  <si>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</si>
  <si>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</si>
  <si>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</si>
  <si>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Comparison of the duration of hospital stay after laparoscopic or open distal pancreatectomy: randomized controlled trial
</t>
  </si>
  <si>
    <t>Björnsson, B.; Larsson, A. L.; Hjalmarsson, C.; Gasslander, T.; Sandström, P.</t>
  </si>
  <si>
    <t xml:space="preserve">https://www.scopus.com/inward/record.uri?eid=2-s2.0-85083109234&amp;doi=10.1002%2fbjs.11554&amp;partnerID=40&amp;md5=4a415e7f5026a1e5ee94e726e1917653
</t>
  </si>
  <si>
    <t>10.1002/bjs.11554</t>
  </si>
  <si>
    <t xml:space="preserve">Effect of omega 3 fatty acids as immunoregulator and reductor of complications in surgery patients
</t>
  </si>
  <si>
    <t>Bizueto-Monroy, J. L.; León-Mayorga, Y.; González-Espinosa, I.; López-Gil, J.; Linares-Segovia, B.</t>
  </si>
  <si>
    <t xml:space="preserve">Medicina Interna de Mexico
</t>
  </si>
  <si>
    <t xml:space="preserve">https://www.scopus.com/inward/record.uri?eid=2-s2.0-85105952340&amp;doi=10.24245%2fmim.v37i2.3710&amp;partnerID=40&amp;md5=e1415bfa85a77ac065b15941920d8ada
</t>
  </si>
  <si>
    <t>10.24245/mim.v37i2.3710</t>
  </si>
  <si>
    <t xml:space="preserve">Quality of Life 1 Year After Laparoscopic Sleeve Gastrectomy Versus Laparoscopic Roux-en-Y Gastric Bypass: a Randomized Controlled Trial Focusing on Gastroesophageal Reflux Disease
</t>
  </si>
  <si>
    <t>Biter, L. U.; van Buuren, M. M. A.; Mannaerts, G. H. H.; Apers, J. A.; Dunkelgrün, M.; Vijgen, G. H. E. J.</t>
  </si>
  <si>
    <t xml:space="preserve">https://www.scopus.com/inward/record.uri?eid=2-s2.0-85018742254&amp;doi=10.1007%2fs11695-017-2688-4&amp;partnerID=40&amp;md5=c4d9973c7c41c1e4348fce71a100fde9
</t>
  </si>
  <si>
    <t>10.1007/s11695-017-2688-4</t>
  </si>
  <si>
    <t>long term analysis</t>
  </si>
  <si>
    <t xml:space="preserve">Goal-directed therapy with bolus albumin 5% is not superior to bolus ringer acetate in maintaining systemic and mesenteric oxygen delivery in major upper abdominal surgery: A randomised controlled trial
</t>
  </si>
  <si>
    <t>Bisgaard, J.; Madsen, R.; Dybdal, L. L.; Lauridsen, Jø T.; Mortensen, M. B.; Jensen, A. G.</t>
  </si>
  <si>
    <t xml:space="preserve">https://www.scopus.com/inward/record.uri?eid=2-s2.0-85084380017&amp;doi=10.1097%2fEJA.0000000000001151&amp;partnerID=40&amp;md5=82ab6a2158e0dbafc60e8c657798c2c5
</t>
  </si>
  <si>
    <t>10.1097/EJA.0000000000001151</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</si>
  <si>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</si>
  <si>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</si>
  <si>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</si>
  <si>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</si>
  <si>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</si>
  <si>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</si>
  <si>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</si>
  <si>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</si>
  <si>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</si>
  <si>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Two-Stage Turnbull-Cutait Pull-Through Coloanal Anastomosis for Low Rectal Cancer: A Randomized Clinical Trial
</t>
  </si>
  <si>
    <t>Biondo, S.; Trenti, L.; Espin, E.; Bianco, F.; Barrios, O.; Falato, A.; De Franciscis, S.; Solis, A.; Kreisler, E.</t>
  </si>
  <si>
    <t xml:space="preserve">https://www.scopus.com/inward/record.uri?eid=2-s2.0-85086878347&amp;doi=10.1001%2fjamasurg.2020.1625&amp;partnerID=40&amp;md5=518b9e1a08c6c48412bd56a3bb141116
</t>
  </si>
  <si>
    <t>10.1001/jamasurg.2020.1625</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</si>
  <si>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</si>
  <si>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</si>
  <si>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</si>
  <si>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Is diverting loop ileostomy necessary for completion proctectomy with ileal pouch-anal anastomosis? A multicenter randomized trial of the GETAID Chirurgie group (IDEAL trial): Rationale and design (NCT03872271)
</t>
  </si>
  <si>
    <t>Beyer-Berjot, L.; Baumstarck, K.; Loubière, S.; Vicaut, E.; Berdah, S. V.; Benoist, S.; Lefèvre, J. H.; Panis, Y.; Maggiori, L.; Rullier, E.; Denost, Q.; Zerbib, P.; Cotte, E.; Germain, A.; Lakkis, Z.; Bridoux, V.; Tuech, J. J.; Ouaissi, M.; Meurette, G.; Corte, H.; Desfourneaux, V.; Duffas, J. P.; Brouquet, A.; Parc, Y.; Chafai, N.; Debove, C.; group, Getaid Chirurgie</t>
  </si>
  <si>
    <t xml:space="preserve">https://www.scopus.com/inward/record.uri?eid=2-s2.0-85076500194&amp;doi=10.1186%2fs12893-019-0657-7&amp;partnerID=40&amp;md5=b247342556c4f16f0509cb78fbc8791d
</t>
  </si>
  <si>
    <t>10.1186/s12893-019-0657-7</t>
  </si>
  <si>
    <t>protocol NCT03872271</t>
  </si>
  <si>
    <t xml:space="preserve">Ejaculatory function following transperineal laser ablation vs TURP for benign prostatic obstruction: a randomized trial
</t>
  </si>
  <si>
    <t>Bertolo, R.; Iacovelli, V.; Cipriani, C.; Carilli, M.; Vittori, M.; Antonucci, M.; Maiorino, F.; Signoretti, M.; Petta, F.; Travaglia, S.; Panei, M.; Bove, P.</t>
  </si>
  <si>
    <t xml:space="preserve">https://www.scopus.com/inward/record.uri?eid=2-s2.0-85152092121&amp;doi=10.1111%2fbju.16008&amp;partnerID=40&amp;md5=ed5dd4d05bb9053cd8a96865ec5ef9a7
</t>
  </si>
  <si>
    <t>10.1111/bju.16008</t>
  </si>
  <si>
    <t xml:space="preserve">The efficacy of a suppository based on Phenolmicin P3 and Bosexil (Mictalase®) in control of irritative symptoms in patients undergoing thulium laser enucleation of prostate: a single-center, randomized, controlled, open label, phase III study
</t>
  </si>
  <si>
    <t>Bertolo, R.; Cipriani, C.; Vittori, M.; Carilli, M.; Maiorino, F.; Iacovelli, V.; Ganini, C.; Antonucci, M.; Signoretti, M.; Petta, F.; Panei, M.; Bove, P.</t>
  </si>
  <si>
    <t xml:space="preserve">https://www.scopus.com/inward/record.uri?eid=2-s2.0-85124592961&amp;doi=10.1186%2fs12894-022-00974-0&amp;partnerID=40&amp;md5=9b88ed522c1dd7d484f912402604f6f3
</t>
  </si>
  <si>
    <t>10.1186/s12894-022-00974-0</t>
  </si>
  <si>
    <t xml:space="preserve">Randomized Clinical Trial Comparing On-clamp Versus Off-clamp Laparoscopic Partial Nephrectomy for Small Renal Masses (CLOCK II Laparoscopic Study): A Intention-to-treat Analysis of Perioperative Outcomes
</t>
  </si>
  <si>
    <t>Bertolo, R.; Bove, P.; Sandri, M.; Celia, A.; Cindolo, L.; Cipriani, C.; Falsaperla, M.; Leonardo, C.; Mari, A.; Parma, P.; Veccia, A.; Veneziano, D.; Minervini, A.; Antonelli, A.; Group, Agile</t>
  </si>
  <si>
    <t xml:space="preserve">https://www.scopus.com/inward/record.uri?eid=2-s2.0-85140593786&amp;doi=10.1016%2fj.euros.2022.10.007&amp;partnerID=40&amp;md5=d443389f3670e7c3f7569fadb09c4d9f
</t>
  </si>
  <si>
    <t>10.1016/j.euros.2022.10.007</t>
  </si>
  <si>
    <t xml:space="preserve">Comparison of oral polyethylene glycol plus a large volume glycerine enema with a large volume glycerine enema alone in patients undergoing colorectal surgery for malignancy: A randomized clinical trial
</t>
  </si>
  <si>
    <t>Bertani, E.; Chiappa, A.; Biffi, R.; Bianchi, P. P.; Radice, D.; Branchi, V.; Spampatti, S.; Vetrano, I.; Andreoni, B.</t>
  </si>
  <si>
    <t xml:space="preserve">https://www.scopus.com/inward/record.uri?eid=2-s2.0-80053055930&amp;doi=10.1111%2fj.1463-1318.2011.02689.x&amp;partnerID=40&amp;md5=12b2d1e50ef24ad91917786e1e41fcc7
</t>
  </si>
  <si>
    <t>10.1111/j.1463-1318.2011.02689.x</t>
  </si>
  <si>
    <t xml:space="preserve">Direct Oral Feeding Following Minimally Invasive Esophagectomy (NUTRIENT II trial): An International, Multicenter, Open-label Randomized Controlled Trial
</t>
  </si>
  <si>
    <t>Berkelmans, G. H. K.; Fransen, L. F. C.; Dolmans-Zwartjes, A. C. P.; Kouwenhoven, E. A.; Van Det, M. J.; Nilsson, M.; Nieuwenhuijzen, G. A. P.; Luyer, M. D. P.</t>
  </si>
  <si>
    <t xml:space="preserve">https://www.scopus.com/inward/record.uri?eid=2-s2.0-85077106449&amp;doi=10.1097%2fSLA.0000000000003278&amp;partnerID=40&amp;md5=e25bfd9e5b6855c4ee1aa4cc859826d3
</t>
  </si>
  <si>
    <t>10.1097/SLA.0000000000003278</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</si>
  <si>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</si>
  <si>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</si>
  <si>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</si>
  <si>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</si>
  <si>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Does Type of Pancreaticojejunostomy after Pancreaticoduodenectomy Decrease Rate of Pancreatic Fistula? A Randomized, Prospective, Dual-Institution Trial
</t>
  </si>
  <si>
    <t>Berger, A. C.; Howard, T. J.; Kennedy, E. P.; Sauter, P. K.; Bower-Cherry, M.; Dutkevitch, S.; Hyslop, T.; Schmidt, C. M.; Rosato, E. L.; Lavu, H.; Nakeeb, A.; Pitt, H. A.; Lillemoe, K. D.; Yeo, C. J.</t>
  </si>
  <si>
    <t xml:space="preserve">https://www.scopus.com/inward/record.uri?eid=2-s2.0-65249145982&amp;doi=10.1016%2fj.jamcollsurg.2008.12.031&amp;partnerID=40&amp;md5=cf91a1cf2458cf3f1d41436845705795
</t>
  </si>
  <si>
    <t>10.1016/j.jamcollsurg.2008.12.031</t>
  </si>
  <si>
    <t xml:space="preserve">Inbag Morcellation Applied to the Laparoscopic Surgery of Leiomyoma: A Randomized Controlled Trial
</t>
  </si>
  <si>
    <t>Bensouda-Miguet, C.; Nohuz, E.; Cerruto, E.; Buenerd, A.; Nadaud, B.; Moret, S.; Chene, G.</t>
  </si>
  <si>
    <t xml:space="preserve">BioMed Research International
</t>
  </si>
  <si>
    <t xml:space="preserve">https://www.scopus.com/inward/record.uri?eid=2-s2.0-85107697911&amp;doi=10.1155%2f2021%2f6611448&amp;partnerID=40&amp;md5=2f6da81ac7425916e803568291278368
</t>
  </si>
  <si>
    <t>10.1155/2021/6611448</t>
  </si>
  <si>
    <t xml:space="preserve">Postoperative Diet with an Oligomeric Hyperproteic Normocaloric Supplement versus a Supplement with Immunonutrients in Colorectal Cancer Surgery: Results of a Multicenter, Double-Blind, Randomized Clinical Trial
</t>
  </si>
  <si>
    <t>Benavides-Buleje, J. A.; Fernández-Fernández, P. V.; Ruiz-Úcar, E.; Solana-Bueno, A.; Parra-Baños, P. A.; Martínez-Torres, B.; Lozoya-Trujillo, R.; Ruiz-Carmona, M. D.; Alarcón-Iranzo, M.; Rentero-Redondo, L.; Peña-Ros, E.; Muñoz-Camarena, J. M.; Carrasco-Prats, M.; Ramírez-Faraco, M.; Portillo-Ortega, P.; Albarracín-Marín-Blázquez, A.</t>
  </si>
  <si>
    <t xml:space="preserve">https://www.scopus.com/inward/record.uri?eid=2-s2.0-85135104156&amp;doi=10.3390%2fnu14153062&amp;partnerID=40&amp;md5=610a9aebe3cb86bfc578d7cc3e084ce9
</t>
  </si>
  <si>
    <t>10.3390/nu14153062</t>
  </si>
  <si>
    <t xml:space="preserve">Topical use of hyperoxygenated fatty acids decreases surgical site infection in patients following laparoscopic cholecystectomy. A randomized controlled trial
</t>
  </si>
  <si>
    <t>Bellón López de Antón Bueno, M.; Murcia López, A.; Galiana Cabrera, A.; García Gómez, J. A.; Calero Amaro, A.; Díaz Lara, C.; Arroyo Sebastián, A.; Lacueva Gómez, F. J.; Armañanzas Ruiz, L.</t>
  </si>
  <si>
    <t xml:space="preserve">https://www.scopus.com/inward/record.uri?eid=2-s2.0-85125481409&amp;doi=10.1016%2fj.ijsu.2022.106253&amp;partnerID=40&amp;md5=d42bc6e6d540424ffd249fd3a58e3b2b
</t>
  </si>
  <si>
    <t>10.1016/j.ijsu.2022.106253</t>
  </si>
  <si>
    <t xml:space="preserve">A Randomized Controlled Trial Comparing Epidural Analgesia Versus Continuous Local Anesthetic Infiltration Via Abdominal Wound Catheter in Open Liver Resection
</t>
  </si>
  <si>
    <t>Bell, R.; Ward, D.; Jeffery, J.; Toogood, G. J.; Lodge, J. A.; Rao, K.; Lotia, S.; Hidalgo, E.</t>
  </si>
  <si>
    <t xml:space="preserve">269
</t>
  </si>
  <si>
    <t xml:space="preserve">https://www.scopus.com/inward/record.uri?eid=2-s2.0-85060857708&amp;doi=10.1097%2fSLA.0000000000002988&amp;partnerID=40&amp;md5=e6a282536ce208579aaeaa68ebb9e7db
</t>
  </si>
  <si>
    <t>10.1097/SLA.0000000000002988</t>
  </si>
  <si>
    <t xml:space="preserve">The Effect of Intraoperative N-Acetylcysteine on Hepatocellular Injury During Laparoscopic Bariatric Surgery. A Randomised Controlled Trial
</t>
  </si>
  <si>
    <t>Belgaumkar, A. P.; Carswell, K. A.; Hughes, R. D.; Quaglia, A.; Dhawan, A.; Mitry, R. R.; Patel, A. G.</t>
  </si>
  <si>
    <t xml:space="preserve">https://www.scopus.com/inward/record.uri?eid=2-s2.0-84944691982&amp;doi=10.1007%2fs11695-015-1904-3&amp;partnerID=40&amp;md5=374b0d1bdee72154fc4ba2e29c02b01d
</t>
  </si>
  <si>
    <t>10.1007/s11695-015-1904-3</t>
  </si>
  <si>
    <t xml:space="preserve">Randomized controlled trial comparing botulinum vs surgery for drooling in neurodisabilities
</t>
  </si>
  <si>
    <t>Bekkers, S.; Delsing, C. P.; Kok, S. E.; Van Hulst, K.; Erasmus, C. E.; Scheffer, A. R. T.; Van Den Hoogen, F. J. A.</t>
  </si>
  <si>
    <t xml:space="preserve">Neurology
</t>
  </si>
  <si>
    <t xml:space="preserve">https://www.scopus.com/inward/record.uri?eid=2-s2.0-85062820831&amp;doi=10.1212%2fWNL.0000000000007081&amp;partnerID=40&amp;md5=70245d85d220b790092e1c5e045602a8
</t>
  </si>
  <si>
    <t>10.1212/WNL.0000000000007081</t>
  </si>
  <si>
    <t>CD cited but not applied correctly</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</si>
  <si>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</si>
  <si>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</si>
  <si>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</si>
  <si>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</si>
  <si>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Prophylactic HIPEC with radical D2 gastrectomy improves survival and peritoneal recurrence rates for locally advanced gastric cancer: Personal experience from a randomized case control study
</t>
  </si>
  <si>
    <t>Beeharry, M. K.; Zhu, Z. L.; Liu, W. T.; Yao, X. X.; Yan, M.; Zhu, Z. G.</t>
  </si>
  <si>
    <t xml:space="preserve">https://www.scopus.com/inward/record.uri?eid=2-s2.0-85072396652&amp;doi=10.1186%2fs12885-019-6125-z&amp;partnerID=40&amp;md5=b6a9aa31c314cee7fb479a2363737628
</t>
  </si>
  <si>
    <t>10.1186/s12885-019-6125-z</t>
  </si>
  <si>
    <t xml:space="preserve">Randomized clinical trial of accelerated enhanced recovery after minimally invasive colorectal cancer surgery (RecoverMI trial)
</t>
  </si>
  <si>
    <t>Bednarski, B. K.; Nickerson, T. P.; You, Y. N.; Messick, C. A.; Speer, B.; Gottumukkala, V.; Manandhar, M.; Weldon, M.; Dean, E. M.; Qiao, W.; Wang, X.; Chang, G. J.</t>
  </si>
  <si>
    <t xml:space="preserve">https://www.scopus.com/inward/record.uri?eid=2-s2.0-85067842025&amp;doi=10.1002%2fbjs.11223&amp;partnerID=40&amp;md5=0e73a5f53c00b7fb75bf08eeeb567aed
</t>
  </si>
  <si>
    <t>10.1002/bjs.11223</t>
  </si>
  <si>
    <t>CD mentioned in Methods, not in Results</t>
  </si>
  <si>
    <t xml:space="preserve">Perioperative rifaximin is not associated with enhanced functional and volumetric recovery after major liver resection
</t>
  </si>
  <si>
    <t>Bednarsch, J.; Czigany, Z.; Loosen, S. H.; Heij, L.; Ruckgaber, L.; Maes, H.; Krause, J. P.; Reen, M.; Toteva, B.; Vosdellen, T.; Bruners, P.; Lang, S. A.; Ulmer, T. F.; Roderburg, C.; Luedde, T.; Neumann, U. P.</t>
  </si>
  <si>
    <t xml:space="preserve">https://www.scopus.com/inward/record.uri?eid=2-s2.0-85114704053&amp;doi=10.1038%2fs41598-021-97442-w&amp;partnerID=40&amp;md5=5fcfc69105c1ae21bed3b5355e740aec
</t>
  </si>
  <si>
    <t>10.1038/s41598-021-97442-w</t>
  </si>
  <si>
    <t xml:space="preserve">A randomized controlled trial on pharmacological preconditioning in liver surgery using a volatile anesthetic
</t>
  </si>
  <si>
    <t>Beck-Schimmer, B.; Breitenstein, S.; Urech, S.; Conno, E. D.; Wittlinger, M.; Puhan, M.; Jochum, W.; Spahn, D. R.; Graf, R.; Clavien, P. A.</t>
  </si>
  <si>
    <t xml:space="preserve">248
</t>
  </si>
  <si>
    <t xml:space="preserve">https://www.scopus.com/inward/record.uri?eid=2-s2.0-58149388742&amp;doi=10.1097%2fSLA.0b013e31818f3dda&amp;partnerID=40&amp;md5=307a36d80b9da27da1754b96aba6951b
</t>
  </si>
  <si>
    <t>10.1097/SLA.0b013e31818f3dda</t>
  </si>
  <si>
    <t xml:space="preserve">Conditioning with sevoflurane in liver transplantation: Results of a multicenter randomized controlled trial
</t>
  </si>
  <si>
    <t>Beck-Schimmer, B.; Bonvini, J. M.; Schadde, E.; Dutkowski, P.; Oberkofler, C. E.; Lesurtel, M.; DeOliveira, M. L.; Figueira, E. R. R.; Filho, J. A. R.; Auler, J. O. C., Jr.; D'Albuquerque, L. A. C.; Reyntjens, K.; Wouters, P.; Rogiers, X.; Debaerdemaeker, L.; Ganter, M. T.; Weber, A.; Puhan, M. A.; Clavien, P. A.; Breitenstein, S.</t>
  </si>
  <si>
    <t xml:space="preserve">https://www.scopus.com/inward/record.uri?eid=2-s2.0-84942416899&amp;doi=10.1097%2fTP.0000000000000644&amp;partnerID=40&amp;md5=11d51fc3cf5f13d08a1c8e15e8ff30d2
</t>
  </si>
  <si>
    <t>10.1097/TP.0000000000000644</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</si>
  <si>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</si>
  <si>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</si>
  <si>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</si>
  <si>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</si>
  <si>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Preoperative exercise induces endothelial progenitor cell mobilisation in patients undergoing major surgery – A prospective randomised controlled clinical proof-of-concept trial
</t>
  </si>
  <si>
    <t>Bauer, C. J.; Findlay, M.; Koliamitra, C.; Zimmer, P.; Schick, V.; Ludwig, S.; Gurtner, G. C.; Riedel, B.; Schier, R.</t>
  </si>
  <si>
    <t xml:space="preserve">https://www.scopus.com/inward/record.uri?eid=2-s2.0-85138786907&amp;doi=10.1016%2fj.heliyon.2022.e10705&amp;partnerID=40&amp;md5=d89e0b483a1da851c00eefab537f285d
</t>
  </si>
  <si>
    <t>10.1016/j.heliyon.2022.e10705</t>
  </si>
  <si>
    <t xml:space="preserve">Comparison of safety and efficacy of laparoscopic pyelolithotomy versus percutaneous nephrolithotomy in patients with renal pelvic stones: A randomized clinical trial
</t>
  </si>
  <si>
    <t>Basiri, A.; Tabibi, A.; Nouralizadeh, A.; Arab, D.; Rezaeetalab, G. H.; Sharifi, S. H. H.; Soltani, M. H.</t>
  </si>
  <si>
    <t xml:space="preserve">https://www.scopus.com/inward/record.uri?eid=2-s2.0-84916204386&amp;partnerID=40&amp;md5=1dbba0dac42938f8b7c1f1e6bd681ce2
</t>
  </si>
  <si>
    <t xml:space="preserve">Short-term Preoperative Diet Decreases Bleeding after Partial Hepatectomy: Results from a Multi-institutional Randomized Controlled Trial
</t>
  </si>
  <si>
    <t>Barth, R. J., Jr.; Mills, J. B.; Suriawinata, A. A.; Putra, J.; Tosteson, T. D.; Axelrod, D.; Freeman, R.; Whalen, G. F.; LaFemina, J.; Tarczewski, S. M.; Kinlaw, W. B.</t>
  </si>
  <si>
    <t xml:space="preserve">https://www.scopus.com/inward/record.uri?eid=2-s2.0-85058887978&amp;doi=10.1097%2fSLA.0000000000002709&amp;partnerID=40&amp;md5=3c409bcb40aba36423b68f4476908223
</t>
  </si>
  <si>
    <t>10.1097/SLA.0000000000002709</t>
  </si>
  <si>
    <t xml:space="preserve">Short-term morbidity and quality of life from a randomized clinical trial of close rectal dissection and total mesorectal excision in ileal pouch-anal anastomosis
</t>
  </si>
  <si>
    <t>Bartels, S. A. L.; Gardenbroek, T. J.; Aarts, M.; Ponsioen, C. Y.; Tanis, P. J.; Buskens, C. J.; Bemelman, W. A.</t>
  </si>
  <si>
    <t xml:space="preserve">https://www.scopus.com/inward/record.uri?eid=2-s2.0-84923008741&amp;doi=10.1002%2fbjs.9701&amp;partnerID=40&amp;md5=9f78eb6173610f5c6a498ee75961d0be
</t>
  </si>
  <si>
    <t>10.1002/bjs.9701</t>
  </si>
  <si>
    <t xml:space="preserve">Application of Dried Human Amnion Graft to Improve Post-Prostatectomy Incontinence and Potency: A Randomized Exploration Study Protocol
</t>
  </si>
  <si>
    <t>Barski, D.; Gerullis, H.; Ecke, T.; Boros, M.; Brune, J.; Beutner, U.; Tsaur, I.; Ramon, A.; Otto, T.</t>
  </si>
  <si>
    <t xml:space="preserve">https://www.scopus.com/inward/record.uri?eid=2-s2.0-85075857362&amp;doi=10.1007%2fs12325-019-01158-3&amp;partnerID=40&amp;md5=9de7250648aa19721e38610d7514b0e6
</t>
  </si>
  <si>
    <t>10.1007/s12325-019-01158-3</t>
  </si>
  <si>
    <t xml:space="preserve">Randomized trial of laparoscopic donor nephrectomy with and without hand assistance
</t>
  </si>
  <si>
    <t>Bargman, V.; Sundaram, C. P.; Bernie, J.; Goggins, W.</t>
  </si>
  <si>
    <t xml:space="preserve">https://www.scopus.com/inward/record.uri?eid=2-s2.0-33745188723&amp;doi=10.1089%2fend.2006.20.717&amp;partnerID=40&amp;md5=dbe6a9b9695e6c9c31ddb9ee80d005f9
</t>
  </si>
  <si>
    <t>10.1089/end.2006.20.717</t>
  </si>
  <si>
    <t xml:space="preserve">Randomised controlled trial of transanal endoscopic microsurgery versus endoscopic mucosal resection for large rectal adenomas (TREND Study)
</t>
  </si>
  <si>
    <t>Barendse, R. M.; Musters, G. D.; De Graaf, E. J. R.; Van Den Broek, F. J. C.; Consten, E. C. J.; Doornebosch, P. G.; Hardwick, J. C.; De Hingh, I. H. J. T.; Hoff, C.; Jansen, J. M.; Van Milligen De Wit, A. W. M.; Van Der Schelling, G. P.; Schoon, E. J.; Schwartz, M. P.; Weusten, B. L. A. M.; Dijkgraaf, M. G.; Fockens, P.; Bemelman, W. A.; Dekker, E.; group, Trend Study</t>
  </si>
  <si>
    <t xml:space="preserve">https://www.scopus.com/inward/record.uri?eid=2-s2.0-85026665792&amp;doi=10.1136%2fgutjnl-2016-313101&amp;partnerID=40&amp;md5=8496aaf1758fb9f87c09c1f79fcbf50c
</t>
  </si>
  <si>
    <t>10.1136/gutjnl-2016-313101</t>
  </si>
  <si>
    <t xml:space="preserve">Randomized clinical trial of posterior retroperitoneoscopic adrenalectomy versus lateral transperitoneal laparoscopic adrenalectomy with a 5-year follow-up
</t>
  </si>
  <si>
    <t>Barczyński, M.; Konturek, A.; Nowak, W.</t>
  </si>
  <si>
    <t xml:space="preserve">https://www.scopus.com/inward/record.uri?eid=2-s2.0-84927172058&amp;doi=10.1097%2fSLA.0000000000000982&amp;partnerID=40&amp;md5=b78e6eea9be509cff555fb47c251532e
</t>
  </si>
  <si>
    <t>10.1097/SLA.0000000000000982</t>
  </si>
  <si>
    <t xml:space="preserve">Personalised Prehabilitation in High-risk Patients Undergoing Elective Major Abdominal Surgery : A Randomized Blinded Controlled Trial
</t>
  </si>
  <si>
    <t>Barberan-Garcia, A.; Ubré, M.; Roca, J.; Lacy, A. M.; Burgos, F.; Risco, R.; Momblán, D.; Balust, J.; Blanco, I.; Martínez-Pallí, G.</t>
  </si>
  <si>
    <t xml:space="preserve">https://www.scopus.com/inward/record.uri?eid=2-s2.0-85039860517&amp;doi=10.1097%2fSLA.0000000000002293&amp;partnerID=40&amp;md5=3aa26982c70c2d1500a80b4a6e4dbfea
</t>
  </si>
  <si>
    <t>10.1097/SLA.0000000000002293</t>
  </si>
  <si>
    <t xml:space="preserve">Cost-effectiveness of a technology-supported multimodal prehabilitation program in moderate-to-high risk patients undergoing lung cancer resection: Randomized controlled trial protocol
</t>
  </si>
  <si>
    <t>Barberan-Garcia, A.; Navarro-Ripoll, R.; Sánchez-Lorente, D.; Moisés-Lafuente, J.; Boada, M.; Messaggi-Sartor, M.; González-Vallespí, L.; Montané-Muntané, M.; Alsina-Restoy, X.; Campero, B.; Lopez-Baamonde, M.; Romano-Andrioni, B.; Guzmán, R.; López, A.; Arguis, M. J.; Roca, J.; Martinez-Palli, G.</t>
  </si>
  <si>
    <t xml:space="preserve">https://www.scopus.com/inward/record.uri?eid=2-s2.0-85081921905&amp;doi=10.1186%2fs12913-020-05078-9&amp;partnerID=40&amp;md5=394253d9938813c94a5de696a2caa544
</t>
  </si>
  <si>
    <t>10.1186/s12913-020-05078-9</t>
  </si>
  <si>
    <t xml:space="preserve">Comparison of 2 transvaginal surgical approaches and perioperative behavioral therapy for apical vaginal prolapse: The OPTIMAL randomized trial
</t>
  </si>
  <si>
    <t>Barber, M. D.; Brubaker, L.; Burgio, K. L.; Richter, H. E.; Nygaard, I.; Weidner, A. C.; Menefee, S. A.; Lukacz, E. S.; Norton, P.; Schaffer, J.; Nguyen, J. N.; Borello-France, D.; Goode, P. S.; Jakus-Waldman, S.; Spino, C.; Warren, L. K.; Gantz, M. G.; Meikle, S. F.</t>
  </si>
  <si>
    <t xml:space="preserve">311
</t>
  </si>
  <si>
    <t xml:space="preserve">https://www.scopus.com/inward/record.uri?eid=2-s2.0-84896754265&amp;doi=10.1001%2fjama.2014.1719&amp;partnerID=40&amp;md5=fa6ef6184082d910a6840f04ea7d3a5a
</t>
  </si>
  <si>
    <t>10.1001/jama.2014.1719</t>
  </si>
  <si>
    <t xml:space="preserve">The impact of anastomotic leak on long-term oncological outcomes after low anterior resection for mid-low rectal cancer: extended follow-up of a randomised controlled trial
</t>
  </si>
  <si>
    <t>Bao, Q. R.; Pellino, G.; Spolverato, G.; Restivo, A.; Deidda, S.; Capelli, G.; Ruffolo, C.; Bianco, F.; Cuicchi, D.; Jovine, E.; Lombardi, R.; Belluco, C.; Amato, A.; La Torre, F.; Asteria, C.; Infantino, A.; Contardo, T.; Del Bianco, P.; Delrio, P.; Pucciarelli, S.</t>
  </si>
  <si>
    <t xml:space="preserve">https://www.scopus.com/inward/record.uri?eid=2-s2.0-85133237606&amp;doi=10.1007%2fs00384-022-04204-9&amp;partnerID=40&amp;md5=871a9df2f81a7d032b6be0eb1a7d3cf0
</t>
  </si>
  <si>
    <t>10.1007/s00384-022-04204-9</t>
  </si>
  <si>
    <t xml:space="preserve">Single-stage laparoscopic common bile duct exploration and cholecystectomy versus two-stage endoscopic stone extraction followed by laparoscopic cholecystectomy for patients with concomitant gallbladder stones and common bile duct stones: A randomized controlled trial
</t>
  </si>
  <si>
    <t>Bansal, V. K.; Misra, M. C.; Rajan, K.; Kilambi, R.; Kumar, S.; Krishna, A.; Kumar, A.; Pandav, C. S.; Subramaniam, R.; Arora, M. K.; Garg, P. K.</t>
  </si>
  <si>
    <t xml:space="preserve">https://www.scopus.com/inward/record.uri?eid=2-s2.0-84896091697&amp;doi=10.1007%2fs00464-013-3237-4&amp;partnerID=40&amp;md5=bc1a6d94af6ba4f245440f5f0d6c7c83
</t>
  </si>
  <si>
    <t>10.1007/s00464-013-3237-4</t>
  </si>
  <si>
    <t xml:space="preserve">Anxiolytic effects of chewing gum during preoperative fasting and patient-centered outcome in female patients undergoing elective gynecologic surgery: randomized controlled study
</t>
  </si>
  <si>
    <t>Bang, Y. J.; Lee, J. H.; Kim, C. S.; Lee, Y. Y.; Min, J. J.</t>
  </si>
  <si>
    <t xml:space="preserve">https://www.scopus.com/inward/record.uri?eid=2-s2.0-85126079695&amp;doi=10.1038%2fs41598-022-07942-6&amp;partnerID=40&amp;md5=c322ff1206158a3ff088157d244ff857
</t>
  </si>
  <si>
    <t>10.1038/s41598-022-07942-6</t>
  </si>
  <si>
    <t xml:space="preserve">Vigorous intensity aerobic interval exercise in bladder cancer patients prior to radical cystectomy: a feasibility randomised controlled trial
</t>
  </si>
  <si>
    <t>Banerjee, S.; Manley, K.; Shaw, B.; Lewis, L.; Cucato, G.; Mills, R.; Rochester, M.; Clark, A.; Saxton, J. M.</t>
  </si>
  <si>
    <t xml:space="preserve">https://www.scopus.com/inward/record.uri?eid=2-s2.0-85035130029&amp;doi=10.1007%2fs00520-017-3991-2&amp;partnerID=40&amp;md5=1a34e91c689324772a9bd299da360945
</t>
  </si>
  <si>
    <t>10.1007/s00520-017-3991-2</t>
  </si>
  <si>
    <t xml:space="preserve">Safety and Efficacy of Using Tranexamic Acid at the Beginning of Robotic-Assisted Radical Prostatectomy in a Double-Blind Prospective Randomized Pilot Study
</t>
  </si>
  <si>
    <t>Balík, M.; Košina, J.; Hušek, P.; Broďák, M.; Čečka, F.</t>
  </si>
  <si>
    <t xml:space="preserve">Acta Medica
</t>
  </si>
  <si>
    <t xml:space="preserve">https://www.scopus.com/inward/record.uri?eid=2-s2.0-85099074727&amp;doi=10.14712%2f18059694.2020.60&amp;partnerID=40&amp;md5=73905f64e6013fa3a974ff571d1feda8
</t>
  </si>
  <si>
    <t>10.14712/18059694.2020.60</t>
  </si>
  <si>
    <t xml:space="preserve">Safety and Efficacy of Emergency Ureteroscopy with Intracorporeal Lithotripsy in Patients Presented with Urinary Tract Infection with Mild Sepsis
</t>
  </si>
  <si>
    <t>Bakr, M.; Abdelhalim, K. M.</t>
  </si>
  <si>
    <t xml:space="preserve">https://www.scopus.com/inward/record.uri?eid=2-s2.0-85082094656&amp;doi=10.1089%2fend.2019.0550&amp;partnerID=40&amp;md5=85b76ed1a0958cc9a9f7732266ab4c0c
</t>
  </si>
  <si>
    <t>10.1089/end.2019.0550</t>
  </si>
  <si>
    <t xml:space="preserve">Effects of perioperative intravenous ω-3 fatty acids in colon cancer patients: A randomized, double-blind, placebo-controlled clinical trial
</t>
  </si>
  <si>
    <t>Bakker, N.; Van Den Helder, R. S.; Stoutjesdijk, E.; Van Pelt, J.; Houdijk, A. P. J.</t>
  </si>
  <si>
    <t xml:space="preserve">American Journal of Clinical Nutrition
</t>
  </si>
  <si>
    <t xml:space="preserve">https://www.scopus.com/inward/record.uri?eid=2-s2.0-85079020027&amp;doi=10.1093%2fajcn%2fnqz281&amp;partnerID=40&amp;md5=db9066cb68cc720078e8bc5cbe96998b
</t>
  </si>
  <si>
    <t>10.1093/ajcn/nqz281</t>
  </si>
  <si>
    <t xml:space="preserve">Nutrient intake and contribution of home enteral nutrition to meeting nutritional requirements after oesophagectomy and total gastrectomy
</t>
  </si>
  <si>
    <t>Baker, M. L.; Halliday, V.; Robinson, P.; Smith, K.; Bowrey, D. J.</t>
  </si>
  <si>
    <t xml:space="preserve">https://www.scopus.com/inward/record.uri?eid=2-s2.0-85028934321&amp;doi=10.1038%2fejcn.2017.88&amp;partnerID=40&amp;md5=c8ed2fff0285b7b65317dfc6ef4fb5bb
</t>
  </si>
  <si>
    <t>10.1038/ejcn.2017.88</t>
  </si>
  <si>
    <t xml:space="preserve">Determining the effectiveness of fibrin sealants in reducing complications in patients undergoing lateral neck dissection (DEFeND): Study protocol for a randomised external pilot trial
</t>
  </si>
  <si>
    <t>Bajwa, M. S.; Carruthers, S.; Hanson, R.; Jackson, R.; Braithwaite, C.; Edwards, M.; Chauhan, S.; Smith, C. T.; Shaw, R. J.; Schache, A. G.</t>
  </si>
  <si>
    <t xml:space="preserve">https://www.scopus.com/inward/record.uri?eid=2-s2.0-85085645618&amp;doi=10.1186%2fs40814-020-00618-w&amp;partnerID=40&amp;md5=213c30d405f7e13a85dd83bb3b6ef7be
</t>
  </si>
  <si>
    <t>10.1186/s40814-020-00618-w</t>
  </si>
  <si>
    <t xml:space="preserve">Urodynamics for Prostate Surgery Trial; Randomised Evaluation of Assessment Methods (UPSTREAM) for diagnosis and management of bladder outlet obstruction in men: Study protocol for a randomised controlled trial
</t>
  </si>
  <si>
    <t>Bailey, K.; Abrams, P.; Blair, P. S.; Chapple, C.; Glazener, C.; Horwood, J.; Lane, J. A.; McGrath, J.; Noble, S.; Pickard, R.; Taylor, G.; Young, G. J.; Drake, M. J.; Lewis, A. L.</t>
  </si>
  <si>
    <t>10.1186/s13063-015-1087-1</t>
  </si>
  <si>
    <t xml:space="preserve">Use of men’s support underwear after elective scrotal surgery—a prospective, randomized assessment of postoperative complication rates and health-related quality of life: A prospective, randomized assessment of postoperative complication rates and health-related quality of life
</t>
  </si>
  <si>
    <t>Baierl, M. A.; Strauß, A.; Uhlig, A.; Hahn, O.; Reichert, M.; Schneider, T. R.; Lüdecke, J.; Mohr, M. N.; Voß, J. W.; von Knobloch, H. C.; Trojan, L.; Leitsmann, C.; Leitsmann, M.</t>
  </si>
  <si>
    <t xml:space="preserve">Urologie
</t>
  </si>
  <si>
    <t xml:space="preserve">https://www.scopus.com/inward/record.uri?eid=2-s2.0-85146602375&amp;doi=10.1007%2fs00120-022-01975-5&amp;partnerID=40&amp;md5=4c02b6b73bb8340b2f237a4a0c9ea3c1
</t>
  </si>
  <si>
    <t>10.1007/s00120-022-01975-5</t>
  </si>
  <si>
    <t>german</t>
  </si>
  <si>
    <t xml:space="preserve">Duct-to-Mucosa vs Invagination for Pancreaticojejunostomy after Pancreaticoduodenectomy: A Prospective, Randomized Controlled Trial from a Single Surgeon
</t>
  </si>
  <si>
    <t>Bai, X.; Zhang, Q.; Gao, S.; Lou, J.; Li, G.; Zhang, Y.; Ma, T.; Zhang, Y.; Xu, Y.; Liang, T.</t>
  </si>
  <si>
    <t xml:space="preserve">222
</t>
  </si>
  <si>
    <t xml:space="preserve">https://www.scopus.com/inward/record.uri?eid=2-s2.0-84952639366&amp;doi=10.1016%2fj.jamcollsurg.2015.10.003&amp;partnerID=40&amp;md5=547a54aaf0b93e007092bd40dd1fa0b3
</t>
  </si>
  <si>
    <t>10.1016/j.jamcollsurg.2015.10.003</t>
  </si>
  <si>
    <t xml:space="preserve">Goal-directed therapy during transthoracic oesophageal resection does not improve outcome: Randomised controlled trial
</t>
  </si>
  <si>
    <t>Bahlmann, H.; Halldestam, I.; Nilsson, L.</t>
  </si>
  <si>
    <t xml:space="preserve">https://www.scopus.com/inward/record.uri?eid=2-s2.0-85059795456&amp;doi=10.1097%2fEJA.0000000000000908&amp;partnerID=40&amp;md5=5fc518dee42f9f0ac566ddfa5ff17eb1
</t>
  </si>
  <si>
    <t>10.1097/EJA.0000000000000908</t>
  </si>
  <si>
    <t>CD not mentioned in methods, but in results</t>
  </si>
  <si>
    <t xml:space="preserve">Effect of a Continuous Peripheral Nerve Block on the Inflammatory Response in Knee Arthroplasty
</t>
  </si>
  <si>
    <t>Bagry, H.; de la Cuadra Fontaine, J. C.; Asenjo, J. F.; Bracco, D.; Carli, F.</t>
  </si>
  <si>
    <t xml:space="preserve">https://www.scopus.com/inward/record.uri?eid=2-s2.0-37249008733&amp;doi=10.1016%2fj.rapm.2007.06.398&amp;partnerID=40&amp;md5=1de4efe7212ec4b09a7f4b7d84ab788e
</t>
  </si>
  <si>
    <t>10.1016/j.rapm.2007.06.398</t>
  </si>
  <si>
    <t xml:space="preserve">Hysterectomy by transvaginal natural orifice transluminal endoscopic surgery versus laparoscopy as a day-care procedure: a randomised controlled trial
</t>
  </si>
  <si>
    <t>Baekelandt, J. F.; De Mulder, P. A.; Le Roy, I.; Mathieu, C.; Laenen, A.; Enzlin, P.; Weyers, S.; Mol, B. W. J.; Bosteels, J. J. A.</t>
  </si>
  <si>
    <t xml:space="preserve">https://www.scopus.com/inward/record.uri?eid=2-s2.0-85058370934&amp;doi=10.1111%2f1471-0528.15504&amp;partnerID=40&amp;md5=7f95fd16119a7b3bbf384499edcb0a52
</t>
  </si>
  <si>
    <t>10.1111/1471-0528.15504</t>
  </si>
  <si>
    <t xml:space="preserve">Adnexectomy by vaginal Natural Orifice Transluminal Endoscopic Surgery versus laparoscopy: results of a first randomised controlled trial (NOTABLE trial)
</t>
  </si>
  <si>
    <t>Baekelandt, J.; De Mulder, P. A.; Le Roy, I.; Mathieu, C.; Laenen, A.; Enzlin, P.; Morlion, B.; Weyers, S.; Mol, B. W. J.; Bosteels, J. J. A.</t>
  </si>
  <si>
    <t xml:space="preserve">https://www.scopus.com/inward/record.uri?eid=2-s2.0-85111348263&amp;doi=10.1111%2f1471-0528.16838&amp;partnerID=40&amp;md5=98dcaba17f36582fb8fab20f1c48b5f7
</t>
  </si>
  <si>
    <t>10.1111/1471-0528.16838</t>
  </si>
  <si>
    <t xml:space="preserve">Transperitoneal versus retroperitoneal laparoscopic pyeloplasty in children: Randomized clinical trial
</t>
  </si>
  <si>
    <t>Badawy, H.; Zoaier, A.; Ghoneim, T.; Hanno, A.</t>
  </si>
  <si>
    <t xml:space="preserve">Journal of Pediatric Urology
</t>
  </si>
  <si>
    <t xml:space="preserve">https://www.scopus.com/inward/record.uri?eid=2-s2.0-84931574746&amp;doi=10.1016%2fj.jpurol.2014.11.019&amp;partnerID=40&amp;md5=5eb7c71cb10aa16461d449ad8d56db39
</t>
  </si>
  <si>
    <t>10.1016/j.jpurol.2014.11.019</t>
  </si>
  <si>
    <t xml:space="preserve">180-W XPS greenlight laser vaporisation versus transurethral resection of the prostate for the treatment of benign prostatic obstruction: 6-month safety and efficacy results of a European multicentre randomised trial - The GOLIATH study
</t>
  </si>
  <si>
    <t>Bachmann, A.; Tubaro, A.; Barber, N.; D'Ancona, F.; Muir, G.; Witzsch, U.; Grimm, M. O.; Benejam, J.; Stolzenburg, J. U.; Riddick, A.; Pahernik, S.; Roelink, H.; Ameye, F.; Saussine, C.; Bruyère, F.; Loidl, W.; Larner, T.; Gogoi, N. K.; Hindley, R.; Muschter, R.; Thorpe, A.; Shrotri, N.; Graham, S.; Hamann, M.; Miller, K.; Schostak, M.; Capitán, C.; Knispel, H.; Thomas, J. A.</t>
  </si>
  <si>
    <t xml:space="preserve">https://www.scopus.com/inward/record.uri?eid=2-s2.0-84896404831&amp;doi=10.1016%2fj.eururo.2013.10.040&amp;partnerID=40&amp;md5=f59f2482cebbaf829c987308215fc536
</t>
  </si>
  <si>
    <t>10.1016/j.eururo.2013.10.040</t>
  </si>
  <si>
    <t xml:space="preserve">Can we Save the rectum by watchful waiting or TransAnal surgery following (chemo)Radiotherapy versus Total mesorectal excision for early REctal Cancer (STAR-TREC)? Protocol for the international, multicentre, rolling phase II/III partially randomized patient preference trial evaluating long-course concurrent chemoradiotherapy versus short-course radiotherapy organ preservation approaches
</t>
  </si>
  <si>
    <t>Bach, S. P.; the, Star-Trec Collaborative</t>
  </si>
  <si>
    <t xml:space="preserve">https://www.scopus.com/inward/record.uri?eid=2-s2.0-85129951297&amp;doi=10.1111%2fcodi.16056&amp;partnerID=40&amp;md5=80dbf7397db6acd762185a331e44039b
</t>
  </si>
  <si>
    <t>10.1111/codi.16056</t>
  </si>
  <si>
    <t xml:space="preserve">The Role of the Low-Intensity Extracorporeal Shockwave Therapy on Penile Rehabilitation After Radical Prostatectomy: A Randomized Clinical Trial
</t>
  </si>
  <si>
    <t>Baccaglini, W.; Pazeto, C. L.; Corrêa Barros, E. A.; Timóteo, F.; Monteiro, L.; Saad Rached, R. Y.; Navas, A.; Glina, S.</t>
  </si>
  <si>
    <t xml:space="preserve">Journal of Sexual Medicine
</t>
  </si>
  <si>
    <t xml:space="preserve">https://www.scopus.com/inward/record.uri?eid=2-s2.0-85078812887&amp;doi=10.1016%2fj.jsxm.2019.12.024&amp;partnerID=40&amp;md5=bd4c542e80b9206a3197c4e8f0851178
</t>
  </si>
  <si>
    <t>10.1016/j.jsxm.2019.12.024</t>
  </si>
  <si>
    <t xml:space="preserve">Comparative analysis of the current payment system for hospital services in Serbia and projected payments under diagnostic related groups system in urology
</t>
  </si>
  <si>
    <t>Babić, U.; Soldatović, I.; Vuković, D.; Milićević, M. Š; Stjepanović, M.; Kojić, D.; Argirović, A.; Vukotić, V.</t>
  </si>
  <si>
    <t xml:space="preserve">Vojnosanitetski Pregled
</t>
  </si>
  <si>
    <t xml:space="preserve">https://www.scopus.com/inward/record.uri?eid=2-s2.0-84925392894&amp;doi=10.2298%2fVSP131108078B&amp;partnerID=40&amp;md5=85fbee1315fc840045414641b7913f24
</t>
  </si>
  <si>
    <t>10.2298/VSP131108078B</t>
  </si>
  <si>
    <t xml:space="preserve">Comparison between three types of stented pericardial aortic valves (Trivalve trial): Study protocol for a randomized controlled trial
</t>
  </si>
  <si>
    <t>Azarnoush, K.; Pereira, B.; Dualé, C.; Dorigo, E.; Farhat, M.; Innorta, A.; Dauphin, N.; Geoffroy, E.; Chabrot, P.; Camilleri, L.</t>
  </si>
  <si>
    <t xml:space="preserve">https://www.scopus.com/inward/record.uri?eid=2-s2.0-84888816305&amp;doi=10.1186%2f1745-6215-14-413&amp;partnerID=40&amp;md5=660a364471c244f956d1e5259817a560
</t>
  </si>
  <si>
    <t>10.1186/1745-6215-14-413</t>
  </si>
  <si>
    <t xml:space="preserve">The Impact of Ureteral Access Sheath Size on Perioperative Parameters and Postoperative Ureteral Stricture in Retrograde Intrarenal Surgery
</t>
  </si>
  <si>
    <t>Aykanat, C.; Balci, M.; Senel, C.; Ozercan, A. Y.; Coser, S.; Aslan, Y.; Guzel, O.; Asfuroglu, A.; Karabulut, E.; Tuncel, A.</t>
  </si>
  <si>
    <t xml:space="preserve">https://www.scopus.com/inward/record.uri?eid=2-s2.0-85128826275&amp;doi=10.1089%2fend.2021.0751&amp;partnerID=40&amp;md5=84b97230665986eea53b202f774ae5fd
</t>
  </si>
  <si>
    <t>10.1089/end.2021.0751</t>
  </si>
  <si>
    <t xml:space="preserve">Neo-adjuvant chemotherapy followed by surgery versus surgery alone in high-risk patients with resectable colorectal liver metastases: The CHARISMA randomized multicenter clinical trial
</t>
  </si>
  <si>
    <t>Ayez, N.; van der Stok, E. P.; de Wilt, H.; Radema, S. A.; van Hillegersberg, R.; Roumen, R. M.; Vreugdenhil, G.; Tanis, P. J.; Punt, C. J.; Dejong, C. H.; Jansen, R. L.; Verheul, H. M.; de Jong, K. P.; Hospers, G. A.; Klaase, J. M.; Legdeur, M. C.; van Meerten, E.; Eskens, F. A.; van der Meer, N.; van der Holt, B.; Verhoef, C.; Grünhagen, D. J.</t>
  </si>
  <si>
    <t xml:space="preserve">https://www.scopus.com/inward/record.uri?eid=2-s2.0-84925681839&amp;doi=10.1186%2fs12885-015-1199-8&amp;partnerID=40&amp;md5=ed65018fe61addc37e6b723a98122679
</t>
  </si>
  <si>
    <t>10.1186/s12885-015-1199-8</t>
  </si>
  <si>
    <t xml:space="preserve">The feasibility of a randomized controlled trial of esophagectomy for esophageal cancer - The ROMIO (Randomized Oesophagectomy: Minimally Invasive or Open) study: Protocol for a randomized controlled trial
</t>
  </si>
  <si>
    <t>Avery, K. N. L.; Metcalfe, C.; Berrisford, R.; Barham, C. P.; Donovan, J. L.; Elliott, J.; Falk, S. J.; Goldin, R.; Hanna, G.; Hollowood, A. A.; Krysztopik, R.; Noble, S.; Sanders, G.; Streets, C. G.; Titcomb, D. R.; Wheatley, T.; Blazeby, J. M.</t>
  </si>
  <si>
    <t xml:space="preserve">https://www.scopus.com/inward/record.uri?eid=2-s2.0-84903983530&amp;doi=10.1186%2f1745-6215-15-200&amp;partnerID=40&amp;md5=5e3309390021c44a53a94f142e45a284
</t>
  </si>
  <si>
    <t>10.1186/1745-6215-15-200</t>
  </si>
  <si>
    <t xml:space="preserve">Prehabilitation in patients undergoing pancreaticoduodenectomy: A randomized controlled trial
</t>
  </si>
  <si>
    <t>Ausania, F.; Senra, P.; Meléndez, R.; Caballeiro, R.; Ouviña, R.; Casal-Núñez, E.</t>
  </si>
  <si>
    <t xml:space="preserve">https://www.scopus.com/inward/record.uri?eid=2-s2.0-85071714183&amp;doi=10.17235%2fREED.2019.6182%2f2019&amp;partnerID=40&amp;md5=9237c150d7d2efc59589b37bd440e8e8
</t>
  </si>
  <si>
    <t>10.17235/REED.2019.6182/2019</t>
  </si>
  <si>
    <t xml:space="preserve">Does a multimodal prehabilitation program improve sleep quality and duration in patients undergoing colorectal resection for cancer? Pilot randomized control trial
</t>
  </si>
  <si>
    <t>Atoui, S.; Carli, F.; Bernard, P.; Lee, L.; Stein, B.; Charlebois, P.; Liberman, A. S.</t>
  </si>
  <si>
    <t xml:space="preserve">Journal of Behavioral Medicine
</t>
  </si>
  <si>
    <t xml:space="preserve">https://www.scopus.com/inward/record.uri?eid=2-s2.0-85165054957&amp;doi=10.1007%2fs10865-023-00437-3&amp;partnerID=40&amp;md5=0ab618a73c74b5ec74083ac453f16dd8
</t>
  </si>
  <si>
    <t>10.1007/s10865-023-00437-3</t>
  </si>
  <si>
    <t>pilot NCT 04270500</t>
  </si>
  <si>
    <t xml:space="preserve">Randomized clinical trial of postoperative chewing gum versus standard care after colorectal resection
</t>
  </si>
  <si>
    <t>Atkinson, C.; Penfold, C. M.; Ness, A. R.; Longman, R. J.; Thomas, S. J.; Hollingworth, W.; Kandiyali, R.; Leary, S. D.; Lewis, S. J.</t>
  </si>
  <si>
    <t xml:space="preserve">https://www.scopus.com/inward/record.uri?eid=2-s2.0-84965058179&amp;doi=10.1002%2fbjs.10194&amp;partnerID=40&amp;md5=554030205e34ee6c8c2f7e9b9b1a27d7
</t>
  </si>
  <si>
    <t>10.1002/bjs.10194</t>
  </si>
  <si>
    <t xml:space="preserve">Intravenous iron supplementation after liver surgery: Impact on anemia, iron, and hepcidin levels—a randomized controlled trial
</t>
  </si>
  <si>
    <t>Assouline, B.; Benoliel, A.; Zamberg, I.; Legouis, D.; Delhumeau, C.; Favre, M.; Andrès, A.; Toso, C.; Samii, K.; Schiffer, E.</t>
  </si>
  <si>
    <t xml:space="preserve">https://www.scopus.com/inward/record.uri?eid=2-s2.0-85104455024&amp;doi=10.1016%2fj.surg.2021.03.020&amp;partnerID=40&amp;md5=a0c7e6f8b19f65ed3d0429731430ee20
</t>
  </si>
  <si>
    <t>10.1016/j.surg.2021.03.020</t>
  </si>
  <si>
    <t xml:space="preserve">Randomized comparison between laparoscopic and robot-assisted nerve-sparing radical prostatectomy
</t>
  </si>
  <si>
    <t>Asimakopoulos, A. D.; Pereira Fraga, C. T.; Annino, F.; Pasqualetti, P.; Calado, A. A.; Mugnier, C.</t>
  </si>
  <si>
    <t xml:space="preserve">https://www.scopus.com/inward/record.uri?eid=2-s2.0-79955144545&amp;doi=10.1111%2fj.1743-6109.2011.02215.x&amp;partnerID=40&amp;md5=711fd0672d7819dcb381b78b7803714b
</t>
  </si>
  <si>
    <t>10.1111/j.1743-6109.2011.02215.x</t>
  </si>
  <si>
    <t xml:space="preserve">Impact of postoperative instructions on physical activity following pelvic reconstructive surgery: a randomized controlled trial
</t>
  </si>
  <si>
    <t>Arunachalam, D.; Heit, M. H.</t>
  </si>
  <si>
    <t xml:space="preserve">https://www.scopus.com/inward/record.uri?eid=2-s2.0-85079730798&amp;doi=10.1007%2fs00192-020-04239-y&amp;partnerID=40&amp;md5=494569846afe984aae97f484d64139c3
</t>
  </si>
  <si>
    <t>10.1007/s00192-020-04239-y</t>
  </si>
  <si>
    <t xml:space="preserve">Stent treatment or surgical closure for perforated duodenal ulcers: a prospective randomized study
</t>
  </si>
  <si>
    <t>Arroyo Vázquez, J. A.; Khodakaram, K.; Bergström, M.; Park, P. O.</t>
  </si>
  <si>
    <t xml:space="preserve">https://www.scopus.com/inward/record.uri?eid=2-s2.0-85096925566&amp;doi=10.1007%2fs00464-020-08158-3&amp;partnerID=40&amp;md5=4dee1c6edcdb4d8d77fe1ae71f6beaec
</t>
  </si>
  <si>
    <t>10.1007/s00464-020-08158-3</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</si>
  <si>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</si>
  <si>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</si>
  <si>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</si>
  <si>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</si>
  <si>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Multi-port versus single-port cholecystectomy: results of a multi-centre, randomised controlled trial (MUSIC trial)
</t>
  </si>
  <si>
    <t>Arezzo, A.; Passera, R.; Bullano, A.; Mintz, Y.; Kedar, A.; Boni, L.; Cassinotti, E.; Rosati, R.; Fumagalli Romario, U.; Sorrentino, M.; Brizzolari, M.; Di Lorenzo, N.; Gaspari, A. L.; Andreone, D.; De Stefani, E.; Navarra, G.; Lazzara, S.; Degiuli, M.; Shishin, K.; Khatkov, I.; Kazakov, I.; Schrittwieser, R.; Carus, T.; Corradi, A.; Sitzman, G.; Lacy, A.; Uranues, S.; Szold, A.; Morino, M.</t>
  </si>
  <si>
    <t xml:space="preserve">https://www.scopus.com/inward/record.uri?eid=2-s2.0-84992221795&amp;doi=10.1007%2fs00464-016-5298-7&amp;partnerID=40&amp;md5=da0e980eed5832c876c94ed672a3f860
</t>
  </si>
  <si>
    <t>10.1007/s00464-016-5298-7</t>
  </si>
  <si>
    <t xml:space="preserve">Oral neomycin and bacitracin are effective in preventing surgical site infections in elective colorectal surgery: a multicentre, randomized, parallel, single-blinded trial (COLORAL-1)
</t>
  </si>
  <si>
    <t>Arezzo, A.; Mistrangelo, M.; Bonino, M. A.; Salusso, P.; Forcignanò, E.; Vettoretto, N.; Botteri, E.; Cillara, N.; Ottonello, R.; Testa, V.; De Rosa, F. G.; Corcione, S.; Passera, R.; Morino, M.</t>
  </si>
  <si>
    <t xml:space="preserve">https://www.scopus.com/inward/record.uri?eid=2-s2.0-85108309627&amp;doi=10.1007%2fs13304-021-01112-5&amp;partnerID=40&amp;md5=231429d0480e0d95c4f30e03cbcd5b34
</t>
  </si>
  <si>
    <t>10.1007/s13304-021-01112-5</t>
  </si>
  <si>
    <t xml:space="preserve">Colonic stenting as a bridge to surgery versus emergency surgery for malignant colonic obstruction: results of a multicentre randomised controlled trial (ESCO trial)
</t>
  </si>
  <si>
    <t>Arezzo, A.; Balague, C.; Targarona, E.; Borghi, F.; Giraudo, G.; Ghezzo, L.; Arroyo, A.; Sola-Vera, J.; De Paolis, P.; Bossotti, M.; Bannone, E.; Forcignanò, E.; Bonino, M. A.; Passera, R.; Morino, M.</t>
  </si>
  <si>
    <t xml:space="preserve">https://www.scopus.com/inward/record.uri?eid=2-s2.0-85001575086&amp;doi=10.1007%2fs00464-016-5362-3&amp;partnerID=40&amp;md5=6cfa9f42c69a11c74aa7422c764ba330
</t>
  </si>
  <si>
    <t>10.1007/s00464-016-5362-3</t>
  </si>
  <si>
    <t xml:space="preserve">Randomized comparison of surgical stress and the nutritional status between laparoscopy-assisted and open distal gastrectomy for gastric cancer
</t>
  </si>
  <si>
    <t>Aoyama, T.; Yoshikawa, T.; Hayashi, T.; Hasegawa, S.; Tsuchida, K.; Yamada, T.; Cho, H.; Ogata, T.; Fujikawa, H.; Yukawa, N.; Oshima, T.; Rino, Y.; Masuda, M.</t>
  </si>
  <si>
    <t xml:space="preserve">https://www.scopus.com/inward/record.uri?eid=2-s2.0-84902181981&amp;doi=10.1245%2fs10434-014-3509-9&amp;partnerID=40&amp;md5=60915ecb7ee9c0343a1031ba34748a94
</t>
  </si>
  <si>
    <t>10.1245/s10434-014-3509-9</t>
  </si>
  <si>
    <t xml:space="preserve">Landiolol hydrochloride for prevention of atrial fibrillation during esophagectomy: a randomized controlled trial
</t>
  </si>
  <si>
    <t>Aoki, Y.; Kawasaki, Y.; Ide, K.; Shimizu, Y.; Sato, S.; Yokoyama, J.</t>
  </si>
  <si>
    <t xml:space="preserve">JA Clinical Reports
</t>
  </si>
  <si>
    <t xml:space="preserve">https://www.scopus.com/inward/record.uri?eid=2-s2.0-85095605623&amp;doi=10.1186%2fs40981-020-00338-3&amp;partnerID=40&amp;md5=ade479ca2fba5df903e6a8df6ee58980
</t>
  </si>
  <si>
    <t>10.1186/s40981-020-00338-3</t>
  </si>
  <si>
    <t xml:space="preserve">Standard vs delayed ligature of the dorsal vascular complex during robot-assisted radical prostatectomy: results from a randomized controlled trial
</t>
  </si>
  <si>
    <t>Antonelli, A.; Palumbo, C.; Veccia, A.; Fisogni, S.; Zamboni, S.; Furlan, M.; Francavilla, S.; Lattarulo, M.; De Marzo, E.; Mirabella, G.; Peroni, A.; Simeone, C.</t>
  </si>
  <si>
    <t xml:space="preserve">https://www.scopus.com/inward/record.uri?eid=2-s2.0-85049899613&amp;doi=10.1007%2fs11701-018-0847-9&amp;partnerID=40&amp;md5=dace84191afda0d9f6a1fe45efb8bd8c
</t>
  </si>
  <si>
    <t>10.1007/s11701-018-0847-9</t>
  </si>
  <si>
    <t xml:space="preserve">Perioperative hydrocortisone treatment reduces postoperative pancreatic fistula rate after open distal pancreatectomy. A randomized placebo-controlled trial
</t>
  </si>
  <si>
    <t>Antila, A.; Siiki, A.; Sand, J.; Laukkarinen, J.</t>
  </si>
  <si>
    <t xml:space="preserve">https://www.scopus.com/inward/record.uri?eid=2-s2.0-85066287613&amp;doi=10.1016%2fj.pan.2019.05.457&amp;partnerID=40&amp;md5=ed064d6df34d7703e2844f2d1ab16382
</t>
  </si>
  <si>
    <t>10.1016/j.pan.2019.05.457</t>
  </si>
  <si>
    <t xml:space="preserve">Comparison of (cost-)effectiveness of magnetic resonance image-guided high-intensity-focused ultrasound with standard (minimally) invasive fibroid treatments: Protocol for a multicenter randomized controlled trial (MYCHOICE)
</t>
  </si>
  <si>
    <t>Anneveldt, K. J.; Nijholt, I. M.; Schutte, J. M.; Dijkstra, J. R.; Frederix, G. W. J.; Ista, E.; Verpalen, I. M.; Veersema, S.; Huirne, J. A. F.; Hehenkamp, W. J. K.; Boomsma, M. F.</t>
  </si>
  <si>
    <t xml:space="preserve">https://www.scopus.com/inward/record.uri?eid=2-s2.0-85120427396&amp;doi=10.2196%2f29467&amp;partnerID=40&amp;md5=3365ccc9afa721d94a687d5190fd4257
</t>
  </si>
  <si>
    <t>10.2196/29467</t>
  </si>
  <si>
    <t xml:space="preserve">Laparoscopic lavage is feasible and safe for the treatment of perforated diverticulitis with purulent peritonitis: The first results from the randomized controlled trial DILALA
</t>
  </si>
  <si>
    <t>Angenete, E.; Thornell, A.; Burcharth, J.; Pommergaard, H. C.; Skullman, S.; Bisgaard, T.; Jess, P.; Läckberg, Z.; Matthiessen, P.; Heath, J.; Rosenberg, J.; Haglind, E.</t>
  </si>
  <si>
    <t xml:space="preserve">https://www.scopus.com/inward/record.uri?eid=2-s2.0-84953837751&amp;doi=10.1097%2fSLA.0000000000001061&amp;partnerID=40&amp;md5=4a86c96156f5191b32d6db437beea65c
</t>
  </si>
  <si>
    <t>10.1097/SLA.0000000000001061</t>
  </si>
  <si>
    <t xml:space="preserve">Pancreaticojejunostomy with Externalized Stent vs Pancreaticogastrostomy with Externalized Stent for Patients with High-Risk Pancreatic Anastomosis: A Single-Center, Phase 3, Randomized Clinical Trial
</t>
  </si>
  <si>
    <t>Andrianello, S.; Marchegiani, G.; Malleo, G.; Masini, G.; Balduzzi, A.; Paiella, S.; Esposito, A.; Landoni, L.; Casetti, L.; Tuveri, M.; Salvia, R.; Bassi, C.</t>
  </si>
  <si>
    <t xml:space="preserve">https://www.scopus.com/inward/record.uri?eid=2-s2.0-85080896993&amp;doi=10.1001%2fjamasurg.2019.6035&amp;partnerID=40&amp;md5=c310a981ffb660a9f8cd2c3b8d379ccf
</t>
  </si>
  <si>
    <t>10.1001/jamasurg.2019.6035</t>
  </si>
  <si>
    <t xml:space="preserve">Negative pressure wound therapy for prevention of surgical site infection in patients at high risk after clean-contaminated major pancreatic resections: A single-center, phase 3, randomized clinical trial
</t>
  </si>
  <si>
    <t>Andrianello, S.; Landoni, L.; Bortolato, C.; Iudici, L.; Tuveri, M.; Pea, A.; De Pastena, M.; Malleo, G.; Bonamini, D.; Manzini, G.; Bassi, C.; Salvia, R.</t>
  </si>
  <si>
    <t xml:space="preserve">https://www.scopus.com/inward/record.uri?eid=2-s2.0-85096881033&amp;doi=10.1016%2fj.surg.2020.10.029&amp;partnerID=40&amp;md5=a9eeea16998f94e5b762160b36bef8d7
</t>
  </si>
  <si>
    <t>10.1016/j.surg.2020.10.029</t>
  </si>
  <si>
    <t xml:space="preserve">Short-term outcome after Onstep versus Lichtenstein technique for inguinal hernia repair: results from a randomized clinical trial
</t>
  </si>
  <si>
    <t>Andresen, K.; Burcharth, J.; Fonnes, S.; Hupfeld, L.; Rothman, J. P.; Deigaard, S.; Winther, D.; Errebo, M. B.; Therkildsen, R.; Hauge, D.; Sørensen, F. S.; Bjerg, J.; Rosenberg, J.</t>
  </si>
  <si>
    <t xml:space="preserve">https://www.scopus.com/inward/record.uri?eid=2-s2.0-84948386544&amp;doi=10.1007%2fs10029-015-1428-8&amp;partnerID=40&amp;md5=f10eccb03bbe617d6397157494fc80a8
</t>
  </si>
  <si>
    <t>10.1007/s10029-015-1428-8</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</si>
  <si>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</si>
  <si>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</si>
  <si>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</si>
  <si>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</si>
  <si>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</si>
  <si>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Total versus partial posterior fundoplication in the surgical repair of para-oesophageal hernias: randomized clinical trial
</t>
  </si>
  <si>
    <t>Analatos, A.; Lindblad, M.; Ansorge, C.; Lundell, L.; Thorell, A.; Håkanson, B. S.</t>
  </si>
  <si>
    <t xml:space="preserve">https://www.scopus.com/inward/record.uri?eid=2-s2.0-85141706282&amp;doi=10.1093%2fbjsopen%2fzrac034&amp;partnerID=40&amp;md5=500b0ab1718bae7b2010d044cf25517c
</t>
  </si>
  <si>
    <t>10.1093/bjsopen/zrac034</t>
  </si>
  <si>
    <t xml:space="preserve">Laparoscopic sentinel node navigation surgery versus laparoscopic gastrectomy with lymph node dissection for early gastric cancer: short-term outcomes of a multicentre randomized controlled trial (SENORITA)
</t>
  </si>
  <si>
    <t>An, J. Y.; Min, J. S.; Hur, H.; Lee, Y. J.; Cho, G. S.; Park, Y. K.; Jung, M. R.; Park, J. H.; Hyung, W. J.; Jeong, S. H.; Kim, Y. W.; Yoon, H. M.; Eom, B. W.; Kook, M. C.; Han, M. R.; Nam, B. H.; Ryu, K. W.</t>
  </si>
  <si>
    <t xml:space="preserve">https://www.scopus.com/inward/record.uri?eid=2-s2.0-85088975208&amp;doi=10.1002%2fbjs.11655&amp;partnerID=40&amp;md5=97de399b990bb38f3fca1fbb5bc6cbb7
</t>
  </si>
  <si>
    <t>10.1002/bjs.11655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</si>
  <si>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</si>
  <si>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</si>
  <si>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</si>
  <si>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</si>
  <si>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</si>
  <si>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 xml:space="preserve">Transanal reinforcement of low rectal anastomosis versus protective ileostomy after total mesorectal excision for rectal cancer. Preliminary results of a randomized clinical trial
</t>
  </si>
  <si>
    <t>Altomare, D. F.; Delrio, P.; Shelgyn, Y.; Rybakov, E.; Vincenti, L.; De Fazio, M.; Simone, M.; Graziano, G.; Picciariello, A.</t>
  </si>
  <si>
    <t xml:space="preserve">https://www.scopus.com/inward/record.uri?eid=2-s2.0-85105514644&amp;doi=10.1111%2fcodi.15685&amp;partnerID=40&amp;md5=1f2db222aca7837000ee5525b0f219e2
</t>
  </si>
  <si>
    <t>10.1111/codi.15685</t>
  </si>
  <si>
    <t xml:space="preserve">Multimodal Prehabilitation During Neoadjuvant Therapy Prior to Esophagogastric Cancer Resection: Effect on Cardiopulmonary Exercise Test Performance, Muscle Mass and Quality of Life—A Pilot Randomized Clinical Trial
</t>
  </si>
  <si>
    <t>Allen, S. K.; Brown, V.; White, D.; King, D.; Hunt, J.; Wainwright, J.; Emery, A.; Hodge, E.; Kehinde, A.; Prabhu, P.; Rockall, T. A.; Preston, S. R.; Sultan, J.</t>
  </si>
  <si>
    <t xml:space="preserve">https://www.scopus.com/inward/record.uri?eid=2-s2.0-85118364859&amp;doi=10.1245%2fs10434-021-11002-0&amp;partnerID=40&amp;md5=1f9715a8b4e9754cf763a5a65a06b6f9
</t>
  </si>
  <si>
    <t>10.1245/s10434-021-11002-0</t>
  </si>
  <si>
    <t>pilot NCT 02950324</t>
  </si>
  <si>
    <t xml:space="preserve">Intracorporeal or Extracorporeal Ileocolic Anastomosis After Laparoscopic Right Colectomy: A Double-blinded Randomized Controlled Trial
</t>
  </si>
  <si>
    <t>Allaix, M. E.; Degiuli, M.; Bonino, M. A.; Arezzo, A.; Mistrangelo, M.; Passera, R.; Morino, M.</t>
  </si>
  <si>
    <t xml:space="preserve">https://www.scopus.com/inward/record.uri?eid=2-s2.0-85073653875&amp;doi=10.1097%2fSLA.0000000000003519&amp;partnerID=40&amp;md5=9c129618aad063474a8b0b66d238105c
</t>
  </si>
  <si>
    <t>10.1097/SLA.0000000000003519</t>
  </si>
  <si>
    <t xml:space="preserve">A comparison between tourniquet application and epinephrine injection for hemostasis during hypospadias surgery: The effect on bleeding and postoperative outcome
</t>
  </si>
  <si>
    <t>Alizadeh, F.; Fakoor, A.; Haghdani, S.</t>
  </si>
  <si>
    <t xml:space="preserve">https://www.scopus.com/inward/record.uri?eid=2-s2.0-84960157820&amp;doi=10.1016%2fj.jpurol.2016.02.005&amp;partnerID=40&amp;md5=8834478cc0f89b99e57f8c00dc831fa0
</t>
  </si>
  <si>
    <t>10.1016/j.jpurol.2016.02.005</t>
  </si>
  <si>
    <t xml:space="preserve">The effect of caudal epidural block on the surgical complications of hypospadias repair in children aged 6 to 35 months: A randomized controlled trial
</t>
  </si>
  <si>
    <t>Alizadeh, F.; Amraei, M.; Haghdani, S.; Honarmand, A.</t>
  </si>
  <si>
    <t xml:space="preserve">https://www.scopus.com/inward/record.uri?eid=2-s2.0-85120675424&amp;doi=10.1016%2fj.jpurol.2021.11.009&amp;partnerID=40&amp;md5=ee82aa284214c5efaa5521a13ce2af40
</t>
  </si>
  <si>
    <t>10.1016/j.jpurol.2021.11.009</t>
  </si>
  <si>
    <t xml:space="preserve">A study investigating the perfusion of colorectal anastomoses using fluorescence angiography: results of the FLAG randomized trial
</t>
  </si>
  <si>
    <t>Alekseev, M.; Rybakov, E.; Shelygin, Y.; Chernyshov, S.; Zarodnyuk, I.</t>
  </si>
  <si>
    <t xml:space="preserve">https://www.scopus.com/inward/record.uri?eid=2-s2.0-85082961034&amp;doi=10.1111%2fcodi.15037&amp;partnerID=40&amp;md5=5c16b13145480b1f89e55db71d6b1da9
</t>
  </si>
  <si>
    <t>10.1111/codi.15037</t>
  </si>
  <si>
    <t xml:space="preserve">Comparison of endoscopy first and laparoscopic cholecystectomy first strategies for patients with gallstone disease and intermediate risk of choledocholithiasis: Protocol for a clinical randomized controlled trial
</t>
  </si>
  <si>
    <t>Aleknaite, A.; Simutis, G.; Stanaitis, J.; Jucaitis, T.; Drungilas, M.; Valantinas, J.; Strupas, K.</t>
  </si>
  <si>
    <t xml:space="preserve">https://www.scopus.com/inward/record.uri?eid=2-s2.0-85100456399&amp;doi=10.2196%2f18837&amp;partnerID=40&amp;md5=9095cc3416aa91b38e1ee2d5fb1aca9b
</t>
  </si>
  <si>
    <t>10.2196/18837</t>
  </si>
  <si>
    <t>protocol NCT 03658863</t>
  </si>
  <si>
    <t xml:space="preserve">Burch colposuspension versus fascial sling to reduce urinary stress incontinence
</t>
  </si>
  <si>
    <t>Albo, M. E.; Richter, H. E.; Brubaker, L.; Norton, P.; Kraus, S. R.; Zimmern, P. E.; Chai, T. C.; Zyczynski, H.; Diokno, A. C.; Tennstedt, S.; Nager, C.; Lloyd, L. K.; Fitzgerald, M.; Lemack, G. E.; Johnson, H. W.; Leng, W.; Mallett, V.; Stoddard, A. M.; Menefee, S.; Varner, R. E.; Kenton, K.; Moalli, P.; Sirls, L.; Dandreo, K. J.; Kusek, J. W.; Nyberg, L. M.; Steers, W.; Diokno, A.; Khandwala, S.; Brubaker, L.; Fitzgerald, M.; Richter, H. E.; Lloyd, L. K.; Albo, M.; Nager, C.; Johnson, H. W.; Zyczynski, H. M.; Leng, W.; Zimmern, P.; Lemack, G.; Kraus, S.; Rozanski, T.; Norton, P.; Kerr, L.; Tennstedt, S.; Stoddard, A.; Chang, D.; Kusek, J. W.; Nyberg, L. M.; Weber, A. M.; Ashford, R. S., II; Baker, J.; Borello-France, D.; Burgio, K. L.; Chiang, S.; Dabbous, A.; Goode, P. S.; Hammontree, L. N.; Kenton, K.; Lesser, D.; Luber, K.; Lukacz, E.; Markland, A.; Menefee, S.; Moalli, P.; Peters, K.; Sagan, E.; Schaffer, J.; Simsiman, A.; Sirls, L.; Starr, R.; Varner, R. E.; Bradt, R.; Debes, K.; Dinh, R.; Gruss, J.; Hall, L.; Howell, A.; Jesse, K.; Kalinoski, D. L.; Koches, K.; Leemon, B.; Mislanovich, K.; O’Meara, S.; Parent, J.; Pope, N.; Prather, C.; Rogers, T.; Sluder, S.; Tulke, M.; Dandreo, K. J.; Leifer, C. J.; McDermott, S.; Stoddard, A.; Tennstedt, S.; Tinsley, L.; Wruck, L.; Xu, Y.; Gormley, E. A.; Abrams, P.; Bland, D.; Clemens, J. Q.; Connett, J.; Henderson, W.; Fenner, D.; Kelsey, S.; Myers, D.; Mostwin, J.; Wadie, B.; The Urinary Incontinence Treatment, Network</t>
  </si>
  <si>
    <t xml:space="preserve">356
</t>
  </si>
  <si>
    <t xml:space="preserve">https://www.scopus.com/inward/record.uri?eid=2-s2.0-34249751524&amp;doi=10.1056%2fNEJMoa070416&amp;partnerID=40&amp;md5=a21b70e777f009185866ebbd311f2dc0
</t>
  </si>
  <si>
    <t>10.1056/NEJMoa070416</t>
  </si>
  <si>
    <t xml:space="preserve">Treatment success of retropubic and transobturator mid urethral slings at 24 months
</t>
  </si>
  <si>
    <t>Albo, M. E.; Litman, H. J.; Richter, H. E.; Lemack, G. E.; Sirls, L. T.; Chai, T. C.; Norton, P.; Kraus, S. R.; Zyczynski, H.; Kenton, K.; Gormley, E. A.; Kusek, J. W.</t>
  </si>
  <si>
    <t xml:space="preserve">188
</t>
  </si>
  <si>
    <t xml:space="preserve">https://www.scopus.com/inward/record.uri?eid=2-s2.0-84869094285&amp;doi=10.1016%2fj.juro.2012.07.103&amp;partnerID=40&amp;md5=d4cc53a4ddc25c6cc611c30ff2f2a0b3
</t>
  </si>
  <si>
    <t>10.1016/j.juro.2012.07.103</t>
  </si>
  <si>
    <t xml:space="preserve">Percutaneous nephrolithotomy in the oblique supine lithotomy position and prone position: A comparative study
</t>
  </si>
  <si>
    <t>Al-Dessoukey, A. A.; Moussa, A. S.; Abdelbary, A. M.; Zayed, A.; Abdallah, R.; Elderwy, A. A.; Massoud, A. M.; Aly, A. H.</t>
  </si>
  <si>
    <t xml:space="preserve">https://www.scopus.com/inward/record.uri?eid=2-s2.0-84906848468&amp;doi=10.1089%2fend.2014.0078&amp;partnerID=40&amp;md5=815f782cb6047654a7afb1cd5e64aed6
</t>
  </si>
  <si>
    <t>10.1089/end.2014.0078</t>
  </si>
  <si>
    <t xml:space="preserve">Randomized clinical trial of short or long interval between neoadjuvant chemoradiotherapy and surgery for rectal cancer
</t>
  </si>
  <si>
    <t>Akgun, E.; Caliskan, C.; Bozbiyik, O.; Yoldas, T.; Sezak, M.; Ozkok, S.; Kose, T.; Karabulut, B.; Harman, M.; Ozutemiz, O.</t>
  </si>
  <si>
    <t xml:space="preserve">https://www.scopus.com/inward/record.uri?eid=2-s2.0-85053220295&amp;doi=10.1002%2fbjs.10984&amp;partnerID=40&amp;md5=87d6345032eca8a29e20e87cff3ac0f9
</t>
  </si>
  <si>
    <t>10.1002/bjs.10984</t>
  </si>
  <si>
    <t xml:space="preserve">EffectiveNess of a multimodal preHAbilitation program in patieNts with bladder canCEr undergoing radical cystectomy: protocol of the ENHANCE multicentre randomised controlled trial
</t>
  </si>
  <si>
    <t>Akdemir, E.; Sweegers, M. G.; Vrieling, A.; Rundqvist, H.; Meijer, R. P.; Leliveld-Kors, A. M.; Van Der Heijden, A. G.; Rutten, V. C.; Koldewijn, E. L.; Bos, S. D.; Wijburg, C. J.; Marcelissen, T. A. T.; Bongers, B. C.; Retèl, V. P.; Van Harten, W. H.; May, A. M.; Groen, W. G.; Stuiver, M. M.</t>
  </si>
  <si>
    <t xml:space="preserve">https://www.scopus.com/inward/record.uri?eid=2-s2.0-85149521323&amp;doi=10.1136%2fbmjopen-2022-071304&amp;partnerID=40&amp;md5=249519c4177225da464a5a84bd80dfee
</t>
  </si>
  <si>
    <t>10.1136/bmjopen-2022-071304</t>
  </si>
  <si>
    <t xml:space="preserve">Transperitoneal versus extraperitoneal robot-assisted laparoscopic radical prostatectomy: A prospective single surgeon randomized comparative study
</t>
  </si>
  <si>
    <t>Akand, M.; Erdogru, T.; Avci, E.; Ates, M.</t>
  </si>
  <si>
    <t xml:space="preserve">https://www.scopus.com/inward/record.uri?eid=2-s2.0-84943659187&amp;doi=10.1111%2fiju.12854&amp;partnerID=40&amp;md5=f7f8eeab613760c1ceba6b51a5901138
</t>
  </si>
  <si>
    <t>10.1111/iju.12854</t>
  </si>
  <si>
    <t xml:space="preserve">Protocol paper for SMART OPS: Shared decision-making Multidisciplinary Approach - a Randomised controlled Trial in the Older adult Population considering Surgery
</t>
  </si>
  <si>
    <t>Ajitsaria, P.; Lott, N.; Baker, A.; Lacey, J.; Magnusson, M.; Douglas, J. L.; Healey, P.; Tan-Gore, E.; Szwec, S. V.; Barker, D.; Deeming, S.; Tavener, M.; Smith, S.; Gani, J.; Attia, J.</t>
  </si>
  <si>
    <t xml:space="preserve">https://www.scopus.com/inward/record.uri?eid=2-s2.0-85163939302&amp;doi=10.1136%2fbmjopen-2022-070159&amp;partnerID=40&amp;md5=6453f6b27ff16471c68521f950a975e9
</t>
  </si>
  <si>
    <t>10.1136/bmjopen-2022-070159</t>
  </si>
  <si>
    <t xml:space="preserve">Preoperative immunonutrition decreases postoperative complications by modulating prostaglandin E2 production and T-cell differentiation in patients undergoing pancreatoduodenectomy
</t>
  </si>
  <si>
    <t>Aida, T.; Furukawa, K.; Suzuki, D.; Shimizu, H.; Yoshidome, H.; Ohtsuka, M.; Kato, A.; Yoshitomi, H.; Miyazaki, M.</t>
  </si>
  <si>
    <t xml:space="preserve">https://www.scopus.com/inward/record.uri?eid=2-s2.0-84899475301&amp;doi=10.1016%2fj.surg.2013.05.040&amp;partnerID=40&amp;md5=aa4ae4895a1a6be02f135d914c49b0f0
</t>
  </si>
  <si>
    <t>10.1016/j.surg.2013.05.040</t>
  </si>
  <si>
    <t xml:space="preserve">Laparoscopic versus hybrid approach for treatment of incisional ventral hernia: a prospective randomized multicenter study of 1-month follow-up results
</t>
  </si>
  <si>
    <t>Ahonen-Siirtola, M.; Nevala, T.; Vironen, J.; Kössi, J.; Pinta, T.; Niemeläinen, S.; Keränen, U.; Ward, J.; Vento, P.; Karvonen, J.; Ohtonen, P.; Mäkelä, J.; Rautio, T.</t>
  </si>
  <si>
    <t xml:space="preserve">https://www.scopus.com/inward/record.uri?eid=2-s2.0-85048103497&amp;doi=10.1007%2fs10029-018-1784-2&amp;partnerID=40&amp;md5=40919c00560530dc8cd5641a59daa602
</t>
  </si>
  <si>
    <t>10.1007/s10029-018-1784-2</t>
  </si>
  <si>
    <t xml:space="preserve">Semi-rigid ureteroscopy for proximal ureteral stones: Does adjunctive tamsulosin therapy increase the chance of success?
</t>
  </si>
  <si>
    <t>Ahmed, A. F.; Maarouf, A.; Shalaby, E.; Alshahrani, S.; El-Feky, M.; Khaled, S.; Daoud, A.; Soliman, A.; Desoky, E.; El-Helaly, H.</t>
  </si>
  <si>
    <t xml:space="preserve">https://www.scopus.com/inward/record.uri?eid=2-s2.0-84996835531&amp;doi=10.1159%2f000452926&amp;partnerID=40&amp;md5=c2f76c8d7b147a40e989e65ec02c4167
</t>
  </si>
  <si>
    <t>10.1159/000452926</t>
  </si>
  <si>
    <t xml:space="preserve">Split-leg modified lateral versus prone position in percutaneous nephrolithotomy: a prospective, randomized trial
</t>
  </si>
  <si>
    <t>Ahmed, A. F.; Gomaa, A.; Daoud, A.; Solyman, A.; Abdelazim, H.; El-feky, M.; Agha, M.; Abdellatif, A.; Fahim, A.</t>
  </si>
  <si>
    <t xml:space="preserve">https://www.scopus.com/inward/record.uri?eid=2-s2.0-85085680188&amp;doi=10.1007%2fs00345-020-03285-x&amp;partnerID=40&amp;md5=1824caeecae62c0067ed6037f0e77a20
</t>
  </si>
  <si>
    <t>10.1007/s00345-020-03285-x</t>
  </si>
  <si>
    <t xml:space="preserve">Mini-percutaneous nephrolithotomy is a safe alternative to extracorporeal shockwave lithotripsy for high-density, renal stones: a prospective, randomised trial
</t>
  </si>
  <si>
    <t>Ahmed, A. F.; Abdelazim, H.; ElMesery, M.; El-feky, M.; Gomaa, A.; Tagreda, I.; Abozied, H.; Fahim, A.</t>
  </si>
  <si>
    <t xml:space="preserve">https://www.scopus.com/inward/record.uri?eid=2-s2.0-85107754191&amp;doi=10.1111%2fbju.15493&amp;partnerID=40&amp;md5=e9c05db653ce464fab75b532baa60b5d
</t>
  </si>
  <si>
    <t>10.1111/bju.15493</t>
  </si>
  <si>
    <t xml:space="preserve">Early closure compared to late closure of temporary ileostomy in rectal cancer: a randomized controlled trial study
</t>
  </si>
  <si>
    <t>Ahmadi-Amoli, H.; Rahimi, M.; Abedi-kichi, R.; Ebrahimian, N.; Hosseiniasl, S. M.; Hajebi, R.; Rahimpour, E.</t>
  </si>
  <si>
    <t xml:space="preserve">408
</t>
  </si>
  <si>
    <t xml:space="preserve">https://www.scopus.com/inward/record.uri?eid=2-s2.0-85162001333&amp;doi=10.1007%2fs00423-023-02934-0&amp;partnerID=40&amp;md5=576e7a47dc77dcd63a49d06b13e317ff
</t>
  </si>
  <si>
    <t>10.1007/s00423-023-02934-0</t>
  </si>
  <si>
    <t xml:space="preserve">Subcuticular suture and incisional surgical-site infection in elective hepatobiliary and pancreatic surgery: an open-label, pragmatic randomized clinical trial (CLOSKIN trial)
</t>
  </si>
  <si>
    <t>Aguirre-Allende, I.; Alkorta-Zuloaga, M.; Iglesias-Gaspar, M. T.; Urreta-Ballobre, I.; García-Domínguez, A.; Arteaga-Martin, X.; Beguiristain-Gómez, A.; Medrano-Gómez, M. Á; Ruiz-Montesinos, I.; Riverola-Aso, A. P.; Jiménez-Agüero, R.; Enríquez-Navascués, J. M.</t>
  </si>
  <si>
    <t xml:space="preserve">https://www.scopus.com/inward/record.uri?eid=2-s2.0-85146274719&amp;doi=10.1186%2fs12893-023-01911-0&amp;partnerID=40&amp;md5=9a419b29c372ba54684ae14632779b8d
</t>
  </si>
  <si>
    <t>10.1186/s12893-023-01911-0</t>
  </si>
  <si>
    <t xml:space="preserve">Outcomes of laparoscopic cholecystectomy done with surgical energy versus done without surgical energy: a prospective-randomized control study
</t>
  </si>
  <si>
    <t>Agarwal, B. B.; Agarwal, N.; Agarwal, K. A.; Goyal, K.; Nanvati, J. D.; Manish, K.; Pandey, H.; Sharma, S.; Ali, K.; Mustafa, S. T.; Gupta, M. K.; Saluja, S.; Agarwal, S.</t>
  </si>
  <si>
    <t xml:space="preserve">https://www.scopus.com/inward/record.uri?eid=2-s2.0-84919400065&amp;doi=10.1007%2fs00464-014-3579-6&amp;partnerID=40&amp;md5=8a7ddd0c180ee54f606f3c97a18b9cf3
</t>
  </si>
  <si>
    <t>10.1007/s00464-014-3579-6</t>
  </si>
  <si>
    <t xml:space="preserve">Gastric sleeve resection as day-case surgery: what affects the discharge time?
</t>
  </si>
  <si>
    <t>Aftab, H.; Fagerland, M. W.; Gondal, G.; Ghanima, W.; Olsen, M. K.; Nordby, T.</t>
  </si>
  <si>
    <t xml:space="preserve">https://www.scopus.com/inward/record.uri?eid=2-s2.0-85074724842&amp;doi=10.1016%2fj.soard.2019.09.070&amp;partnerID=40&amp;md5=056e7f4ef8e648ee6f53f3b0d7498d2c
</t>
  </si>
  <si>
    <t>10.1016/j.soard.2019.09.070</t>
  </si>
  <si>
    <t xml:space="preserve">A prospective randomized controlled trial assessing the efficacy of omentopexy during laparoscopic sleeve gastrectomy in reducing postoperative gastrointestinal symptoms
</t>
  </si>
  <si>
    <t>Afaneh, C.; Costa, R.; Pomp, A.; Dakin, G.</t>
  </si>
  <si>
    <t xml:space="preserve">https://www.scopus.com/inward/record.uri?eid=2-s2.0-84938214277&amp;doi=10.1007%2fs00464-014-3651-2&amp;partnerID=40&amp;md5=48277b0310f20123d4a41c0098e42e5f
</t>
  </si>
  <si>
    <t>10.1007/s00464-014-3651-2</t>
  </si>
  <si>
    <t xml:space="preserve">A comparison of intervention and conservative treatment for angulated fractures of the distal forearm in children (AFIC): Study protocol for a randomized controlled trial
</t>
  </si>
  <si>
    <t>Adrian, M.; Wachtlin, D.; Kronfeld, K.; Sommerfeldt, D.; Wessel, L. M.</t>
  </si>
  <si>
    <t>10.1186/s13063-015-0912-x</t>
  </si>
  <si>
    <t xml:space="preserve">Randomized clinical trial comparing the cost and effectiveness of bipolar vessel sealers versus clips and vascular staplers for laparoscopic colorectal resection
</t>
  </si>
  <si>
    <t>Adamina, M.; Champagne, B. J.; Hoffman, L.; Ermlich, M. B.; Delaney, C. P.</t>
  </si>
  <si>
    <t xml:space="preserve">https://www.scopus.com/inward/record.uri?eid=2-s2.0-84856371079&amp;doi=10.1002%2fbjs.7679&amp;partnerID=40&amp;md5=e83989091ccc42262358454d8f0ff77c
</t>
  </si>
  <si>
    <t>10.1002/bjs.7679</t>
  </si>
  <si>
    <t xml:space="preserve">The SLIM Study: Economic, Energy, and Waste Savings Through Lowering of Instrumentation Mass in Total Hip Arthroplasty
</t>
  </si>
  <si>
    <t>Adamczyk, A. P.; Kim, P. R.; Horton, I.; Gofton, W.; Beaulé, P. E.; Grammatopoulos, G.</t>
  </si>
  <si>
    <t xml:space="preserve">Journal of Arthroplasty
</t>
  </si>
  <si>
    <t xml:space="preserve">https://www.scopus.com/inward/record.uri?eid=2-s2.0-85126309199&amp;doi=10.1016%2fj.arth.2022.02.010&amp;partnerID=40&amp;md5=492d8c05b166f9d67199ee86f6cdc058
</t>
  </si>
  <si>
    <t>10.1016/j.arth.2022.02.010</t>
  </si>
  <si>
    <t xml:space="preserve">Individualised oxygen delivery targeted haemodynamic therapy in high-risk surgical patients: A multicentre, randomised, double-blind, controlled, mechanistic trial
</t>
  </si>
  <si>
    <t>Ackland, G. L.; Iqbal, S.; Paredes, L. G.; Toner, A.; Lyness, C.; Jenkins, N.; Bodger, P.; Karmali, S.; Whittle, J.; Reyes, A.; Singer, M.; Hamilton, M.; Cecconi, M.; Pearse, R. M.; Mallett, S. V.; Omar, R. Z.</t>
  </si>
  <si>
    <t xml:space="preserve">The Lancet Respiratory Medicine
</t>
  </si>
  <si>
    <t xml:space="preserve">https://www.scopus.com/inward/record.uri?eid=2-s2.0-84920463758&amp;doi=10.1016%2fS2213-2600%2814%2970205-X&amp;partnerID=40&amp;md5=fcdf1e24246e87bf52879fde36b4abef
</t>
  </si>
  <si>
    <t>10.1016/S2213-2600(14)70205-X</t>
  </si>
  <si>
    <t xml:space="preserve">Endoscopic sleeve gastroplasty for treatment of class 1 and 2 obesity (MERIT): a prospective, multicentre, randomised trial
</t>
  </si>
  <si>
    <t>Abu Dayyeh, B. K.; Bazerbachi, F.; Vargas, E. J.; Sharaiha, R. Z.; Thompson, C. C.; Thaemert, B. C.; Teixeira, A. F.; Chapman, C. G.; Kumbhari, V.; Ujiki, M. B.; Ahrens, J.; Day, C.; Acosta, A. J.; Badurdeen, D.; Buttar, N. S.; Clark, M. M.; Eaton, L.; Ghanem, O.; Grothe, K.; Jirapinyo, P.; Kellogg, T.; Klein, C. L.; Mundi, M.; Storm, A. C.; Rivera, A. R.; Wilson, T. D.; Galvao Neto, M.; Zundel, N.; Wilson, E. B.; Group, Merit Study</t>
  </si>
  <si>
    <t xml:space="preserve">400
</t>
  </si>
  <si>
    <t xml:space="preserve">10350
</t>
  </si>
  <si>
    <t xml:space="preserve">https://www.scopus.com/inward/record.uri?eid=2-s2.0-85135503895&amp;doi=10.1016%2fS0140-6736%2822%2901280-6&amp;partnerID=40&amp;md5=25f3b31ba0e5b948d75821411668e060
</t>
  </si>
  <si>
    <t>10.1016/S0140-6736(22)01280-6</t>
  </si>
  <si>
    <t xml:space="preserve">Comparison of prostatic artery embolisation (PAE) versus transurethral resection of the prostate (TURP) for benign prostatic hyperplasia: Randomised, open label, non-inferiority trial
</t>
  </si>
  <si>
    <t>Abt, D.; Hechelhammer, L.; Müllhaupt, G.; Markart, S.; Güsewell, S.; Kessler, T. M.; Schmid, H. P.; Engeler, D. S.; Mordasini, L.</t>
  </si>
  <si>
    <t xml:space="preserve">361
</t>
  </si>
  <si>
    <t xml:space="preserve">BMJ (Online)
</t>
  </si>
  <si>
    <t xml:space="preserve">https://www.scopus.com/inward/record.uri?eid=2-s2.0-85048933829&amp;doi=10.1136%2fbmj.k2338&amp;partnerID=40&amp;md5=3b5acb645d5b472c270c16973a9264c3
</t>
  </si>
  <si>
    <t>10.1136/bmj.k2338</t>
  </si>
  <si>
    <t xml:space="preserve">Endoscopic combined intrarenal surgery in the prone split-leg position versus Galdakao-modified supine Valdivia position for the management of partial staghorn calculi
</t>
  </si>
  <si>
    <t>Abouelgreed, T. A.; Abdelaal, M. A.; Amin, M. M.; Elatreisy, A.; Shalkamy, O.; Abdrabuh, A. M.; Ghoneimy, O. M.; Aboutaleb, H.</t>
  </si>
  <si>
    <t xml:space="preserve">https://www.scopus.com/inward/record.uri?eid=2-s2.0-85140238615&amp;doi=10.1186%2fs12894-022-01115-3&amp;partnerID=40&amp;md5=7b25f79458a5dc77f1a0c92c96b4264b
</t>
  </si>
  <si>
    <t>10.1186/s12894-022-01115-3</t>
  </si>
  <si>
    <t xml:space="preserve">Post-Bacille Calmette–Guerin surveillance for non-muscle invasive bladder cancer: do random biopsies offer an advantage?
</t>
  </si>
  <si>
    <t>Abou Heidar, N.; Labban, M. S.; Armache, A. K.; Bulbul, M. A.; El-Hajj, A. E.; Khauli, R. B.; Nasr, R. W.</t>
  </si>
  <si>
    <t xml:space="preserve">https://www.scopus.com/inward/record.uri?eid=2-s2.0-85102732203&amp;doi=10.1186%2fs12301-021-00151-z&amp;partnerID=40&amp;md5=c155117f8573f1dba236adae08e149a4
</t>
  </si>
  <si>
    <t>10.1186/s12301-021-00151-z</t>
  </si>
  <si>
    <t xml:space="preserve">Interest of Using Ropivacaine for Outpatient Laparoscopic Cholecystectomy: Prospective Randomized Trial
</t>
  </si>
  <si>
    <t>Abet, E.; Orion, F.; Denimal, F.; Brau-Weber, A. G.; de Kerviler, B.; Jean, M. H.; Boulanger, G.; Dimet, J.; Comy, M.</t>
  </si>
  <si>
    <t xml:space="preserve">https://www.scopus.com/inward/record.uri?eid=2-s2.0-84996537911&amp;doi=10.1007%2fs00268-016-3797-2&amp;partnerID=40&amp;md5=22eb904e34a994da7eaa68aa7007f1d5
</t>
  </si>
  <si>
    <t>10.1007/s00268-016-3797-2</t>
  </si>
  <si>
    <t xml:space="preserve">Side-to-End Versus End-to-End Colorectal Anastomosis Following Anterior Resection of Rectal and Recto-Sigmoid Cancers, A Randomized Clinical Trial
</t>
  </si>
  <si>
    <t>Abdwahed, M.; Mohsen, S. M.; Farrag, A. M.</t>
  </si>
  <si>
    <t xml:space="preserve">Egyptian Journal of Hospital Medicine
</t>
  </si>
  <si>
    <t xml:space="preserve">https://www.scopus.com/inward/record.uri?eid=2-s2.0-85139117709&amp;doi=10.21608%2fEJHM.2022.261800&amp;partnerID=40&amp;md5=a0f05acf6d870747f01dc9c5a8e17148
</t>
  </si>
  <si>
    <t>10.21608/EJHM.2022.261800</t>
  </si>
  <si>
    <t xml:space="preserve">Early Oncological and Functional Outcomes of Prostate Capsule Sparing Cystectomy Compared with Standard Radical Cystectomy
</t>
  </si>
  <si>
    <t>Abdelaziz, A. Y.; Shaker, H.; Seifelnasr, M.; Elfol, H.; Nazim, M.; Mahmoued, M.</t>
  </si>
  <si>
    <t xml:space="preserve">Current Urology
</t>
  </si>
  <si>
    <t xml:space="preserve">https://www.scopus.com/inward/record.uri?eid=2-s2.0-85072211183&amp;doi=10.1159%2f000499296&amp;partnerID=40&amp;md5=f4ea9ccf3a86bf317705baefa315d2c0
</t>
  </si>
  <si>
    <t>10.1159/000499296</t>
  </si>
  <si>
    <t xml:space="preserve">Evaluation of the Role of Laparoendoscopic Single-Site Surgery vs Minilaparoscopy for Treatment of Upper Urinary Tract Pathologies: Prospective Randomized Comparative Study
</t>
  </si>
  <si>
    <t>Abdel-Karim, A. M.; El Tayeb, M. M.; Yahia, E.; Elmissiry, M.; Hassouna, M.; Elsalmy, S.</t>
  </si>
  <si>
    <t xml:space="preserve">https://www.scopus.com/inward/record.uri?eid=2-s2.0-85038972292&amp;doi=10.1089%2fend.2017.0363&amp;partnerID=40&amp;md5=b64f049b56737a90829cdc973e12e8e4
</t>
  </si>
  <si>
    <t>10.1089/end.2017.0363</t>
  </si>
  <si>
    <t xml:space="preserve">Impact of Extent of Antral Resection on Surgical Outcomes of Sleeve Gastrectomy for Morbid Obesity (A Prospective Randomized Study)
</t>
  </si>
  <si>
    <t>Abdallah, E.; El Nakeeb, A.; Yousef, T.; Abdallah, H.; Ellatif, M. A.; Lotfy, A.; Youssef, M.; Elganash, A.; Moatamed, A.; Morshed, M.; Farid, M.</t>
  </si>
  <si>
    <t xml:space="preserve">https://www.scopus.com/inward/record.uri?eid=2-s2.0-84937542324&amp;doi=10.1007%2fs11695-014-1242-x&amp;partnerID=40&amp;md5=e9209dc8f20a838791f19b9e08098952
</t>
  </si>
  <si>
    <t>10.1007/s11695-014-1242-x</t>
  </si>
  <si>
    <t xml:space="preserve">Caffeine for intestinal transit after laparoscopic colectomy: Randomized clinical trial (CaCo trial)
</t>
  </si>
  <si>
    <t>Abbassi, F.; Müller, S. A.; Steffen, T.; Schmied, B. M.; Warschkow, R.; Beutner, U.; Tarantino, I.</t>
  </si>
  <si>
    <t xml:space="preserve">https://www.scopus.com/inward/record.uri?eid=2-s2.0-85143551891&amp;doi=10.1093%2fbjs%2fznac265&amp;partnerID=40&amp;md5=7e3d1b063654e1e9e487c9027fbdd375
</t>
  </si>
  <si>
    <t>10.1093/bjs/znac265</t>
  </si>
  <si>
    <t xml:space="preserve">Peroperative administration of tranexamic acid in sleeve gastrectomy to reduce hemorrhage: a double-blind randomized controlled trial
</t>
  </si>
  <si>
    <t>‘t Hart, J. W. H.; Noordman, B. J.; Wijnand, J. M. A.; Biter, L. U.; Verbrugge, S. J. C.; Birnie, E.; Dunkelgrun, M.; Huisbrink, J.; Apers, J. A.</t>
  </si>
  <si>
    <t xml:space="preserve">https://www.scopus.com/inward/record.uri?eid=2-s2.0-85163821036&amp;doi=10.1007%2fs00464-023-10232-5&amp;partnerID=40&amp;md5=5627e7ee044591fbf294b43b4cbb7d4d
</t>
  </si>
  <si>
    <t>10.1007/s00464-023-10232-5</t>
  </si>
  <si>
    <t>Protection of pharmacological postconditioning in liver surgery: results of a prospective randomized controlled trial</t>
  </si>
  <si>
    <t>Beck-Schimmer B, Breitenstein S, Bonvini JM, et al.</t>
  </si>
  <si>
    <t>Minimally Invasive Versus Open Distal Pancreatectomy (LEOPARD): A Multicenter Patient-blinded Randomized Controlled Trial</t>
  </si>
  <si>
    <t>Thijs de Rooij 1, Jony van Hilst 1, Hjalmar van Santvoort 2, Djamila Boerma 2, Peter van den Boezem 3, Freek Daams 4, Ronald van Dam 5, Cees Dejong 5, Eino van Duyn 6, Marcel Dijkgraaf 7, Casper van Eijck 8, Sebastiaan Festen 9, Michael Gerhards 9, Bas Groot Koerkamp 8, Ignace de Hingh 10 11, Geert Kazemier 4, Joost Klaase 6, Ruben de Kleine 12, Cornelis van Laarhoven 3, Misha Luyer 10, Gijs Patijn 13, Pascal Steenvoorde 13, Mustafa Suker 8, Moh'd Abu Hilal 14, Olivier Busch 1, Marc Besselink 1; Dutch Pancreatic Cancer Group</t>
  </si>
  <si>
    <t xml:space="preserve">10905.6	</t>
  </si>
  <si>
    <t>Studies per Year</t>
  </si>
  <si>
    <t>Total number of studies</t>
  </si>
  <si>
    <t>Year</t>
  </si>
  <si>
    <t>Trial_nr</t>
  </si>
  <si>
    <t>Protocol</t>
  </si>
  <si>
    <t>0=no, 1=yes</t>
  </si>
  <si>
    <t>Pilot/Feasibility</t>
  </si>
  <si>
    <t>Pooled Analysis</t>
  </si>
  <si>
    <t>Post-hoc/Secondary Analysis</t>
  </si>
  <si>
    <t>CD 2nd EP</t>
  </si>
  <si>
    <t>CD 1st EP</t>
  </si>
  <si>
    <t>CD expl. EP</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</si>
  <si>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</si>
  <si>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</si>
  <si>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</si>
  <si>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</si>
  <si>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</si>
  <si>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</si>
  <si>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</si>
  <si>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</si>
  <si>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</si>
  <si>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</si>
  <si>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</si>
  <si>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Total number of trials</t>
  </si>
  <si>
    <t>New trials per year</t>
  </si>
  <si>
    <t>July 2023</t>
  </si>
  <si>
    <t>Sample Size</t>
  </si>
  <si>
    <t>CD/CCI mentioned in Methods</t>
  </si>
  <si>
    <t>CD/CCI reported in Results</t>
  </si>
  <si>
    <t>comments</t>
  </si>
  <si>
    <t>NA</t>
  </si>
  <si>
    <t>ChiCTR2000038444</t>
  </si>
  <si>
    <t>NCT02777034</t>
  </si>
  <si>
    <t>na</t>
  </si>
  <si>
    <t>CD 1st EP Modification used?</t>
  </si>
  <si>
    <t>CD 1st EP cutoff for reporting</t>
  </si>
  <si>
    <t>Use of CD 2nd EP</t>
  </si>
  <si>
    <t>CD 2nd EP cutoff for reporting</t>
  </si>
  <si>
    <t>Use of CD 1st EP</t>
  </si>
  <si>
    <t>CD2nd EP Modification used?</t>
  </si>
  <si>
    <t>CCI modification</t>
  </si>
  <si>
    <t>NCT01355887</t>
  </si>
  <si>
    <t>NCT00643877</t>
  </si>
  <si>
    <t>ChiCTR1800019865</t>
  </si>
  <si>
    <t>ChiCTR1800019867</t>
  </si>
  <si>
    <t>0=no, 1=yes, NA=not applicable because paper is a study protocol</t>
  </si>
  <si>
    <t>NCT01608386</t>
  </si>
  <si>
    <t>0:no cutoff, 1:≥2, 2:≥3a, 3:≥3b, 4:≥4a, NA=not applicable because CD was not reported as 1st endpoint</t>
  </si>
  <si>
    <t>0:no cutoff, 1:≥2, 2:≥3a, 3:≥3b, 4:≥4a, NA=not applicable because CD was not reported as 2nd endpoint</t>
  </si>
  <si>
    <t>0=no, 1=yes (to specify in the freetext), NA=not applicable because CCI was not reported</t>
  </si>
  <si>
    <t>study must be excluded (e.g. protocol whose study has been conducted)</t>
  </si>
  <si>
    <t>fill in the NCT number</t>
  </si>
  <si>
    <t>Primary outcome significant?</t>
  </si>
  <si>
    <t>ChiCTR1800015347</t>
  </si>
  <si>
    <t>ChiCTR2100044348</t>
  </si>
  <si>
    <t>NCT02327481</t>
  </si>
  <si>
    <t>NCT02436395</t>
  </si>
  <si>
    <t>NCT03117790</t>
  </si>
  <si>
    <t>ChiCTR2100053008</t>
  </si>
  <si>
    <t>NCT04791059</t>
  </si>
  <si>
    <t>NCT03456752</t>
  </si>
  <si>
    <t>NCT01465451</t>
  </si>
  <si>
    <t>non-inferiority trial</t>
  </si>
  <si>
    <t>ChiCTR1900026260</t>
  </si>
  <si>
    <t>NCT03138213</t>
  </si>
  <si>
    <t>ChiCTR1900020833</t>
  </si>
  <si>
    <t>NCT03489070</t>
  </si>
  <si>
    <t>NCT02321202</t>
  </si>
  <si>
    <t>NCT02538679</t>
  </si>
  <si>
    <t>NCT03733860</t>
  </si>
  <si>
    <t>NCT05356520</t>
  </si>
  <si>
    <t>NCT01027455</t>
  </si>
  <si>
    <t>NCT01836991</t>
  </si>
  <si>
    <t>NCT01364376</t>
  </si>
  <si>
    <t>NCT02325141</t>
  </si>
  <si>
    <t>ISRCTN56164274</t>
  </si>
  <si>
    <t>NCT02438436</t>
  </si>
  <si>
    <t>NCT01986686</t>
  </si>
  <si>
    <t>protocol, results not published yet</t>
  </si>
  <si>
    <t xml:space="preserve">0 the study is not a non-inferiority design. </t>
  </si>
  <si>
    <t>Results of the protocol already published</t>
  </si>
  <si>
    <t>Published results included in the list</t>
  </si>
  <si>
    <t>NCT04138901</t>
  </si>
  <si>
    <t>NCT04450355</t>
  </si>
  <si>
    <t>NCT 03170843</t>
  </si>
  <si>
    <t>13 nutrition</t>
  </si>
  <si>
    <t>NCT03667755</t>
  </si>
  <si>
    <t>NCT05002829</t>
  </si>
  <si>
    <t>ACTRN12611000661976</t>
  </si>
  <si>
    <t>NCT02813278</t>
  </si>
  <si>
    <t>NCT03094351</t>
  </si>
  <si>
    <t>Evaluation unclear</t>
  </si>
  <si>
    <t>0=no, 1=yes (if yes, specify in comments)</t>
  </si>
  <si>
    <t>ChiCTR-TRC-10001434</t>
  </si>
  <si>
    <t>study endpoint unclear</t>
  </si>
  <si>
    <t>ChiCTR1900027466</t>
  </si>
  <si>
    <t>ChiCTR1900028381</t>
  </si>
  <si>
    <t>NCT02694081</t>
  </si>
  <si>
    <t>ACTRN12618000361202</t>
  </si>
  <si>
    <t>UMIN000036185</t>
  </si>
  <si>
    <t>UMIN000006216</t>
  </si>
  <si>
    <t>UMIN000007277</t>
  </si>
  <si>
    <t>UMIN000012052</t>
  </si>
  <si>
    <t>NCT02871804</t>
  </si>
  <si>
    <t>NCT 02801409</t>
  </si>
  <si>
    <t>NCT02563158</t>
  </si>
  <si>
    <t>ChiCTR-OOR-15007060</t>
  </si>
  <si>
    <t>NCT02619942</t>
  </si>
  <si>
    <t>NCT04111926</t>
  </si>
  <si>
    <t>NCT00822562</t>
  </si>
  <si>
    <t>NCT01276665</t>
  </si>
  <si>
    <t>NCT 02031952</t>
  </si>
  <si>
    <t>NCT04895852</t>
  </si>
  <si>
    <t>ISRCTN00788389</t>
  </si>
  <si>
    <t>NCT00874224</t>
  </si>
  <si>
    <t>NCT04400552</t>
  </si>
  <si>
    <t>NCT02531620</t>
  </si>
  <si>
    <t>NCT03577912</t>
  </si>
  <si>
    <t>NCT01033838</t>
  </si>
  <si>
    <t>NCT02834338</t>
  </si>
  <si>
    <t>DRKS00024888</t>
  </si>
  <si>
    <t>DRKS00024802</t>
  </si>
  <si>
    <t>NL41285.031.12</t>
  </si>
  <si>
    <t>NL46580.031.13</t>
  </si>
  <si>
    <t>ISRCTN83,867,919.</t>
  </si>
  <si>
    <t>ISRCTN29593599</t>
  </si>
  <si>
    <t>NCT00478348)</t>
  </si>
  <si>
    <t>3 categories</t>
  </si>
  <si>
    <t>ISRCTN 81223298</t>
  </si>
  <si>
    <t>ISRCTN 17599457</t>
  </si>
  <si>
    <t>NTR7248</t>
  </si>
  <si>
    <t>DRKS00004405</t>
  </si>
  <si>
    <t>NTR4022</t>
  </si>
  <si>
    <t>NCT02149446</t>
  </si>
  <si>
    <t>NCT04227951</t>
  </si>
  <si>
    <t>ACTRN12612000023853.</t>
  </si>
  <si>
    <t>ACTRN12612000022864</t>
  </si>
  <si>
    <t>KCT0004422</t>
  </si>
  <si>
    <t>13 sport&amp;rehab</t>
  </si>
  <si>
    <t>201704S06P</t>
  </si>
  <si>
    <t xml:space="preserve">Die Gesamtzahl an komplikationen wird erwähnt und anschliessend die gradierung, wobei dann nicht nochmals explizit erwähnt wird, dass es keine grad 4a und 5 komplikationen gab. </t>
  </si>
  <si>
    <t>NCT02231203</t>
  </si>
  <si>
    <t>UKCRN 12447/13361</t>
  </si>
  <si>
    <t>13 Head and Neck</t>
  </si>
  <si>
    <t>ISRCTN99181100</t>
  </si>
  <si>
    <t> ISRCTN56164274</t>
  </si>
  <si>
    <t xml:space="preserve"> NCT01695447</t>
  </si>
  <si>
    <t>NCT01416077</t>
  </si>
  <si>
    <t>NCT02631837</t>
  </si>
  <si>
    <t>NCT01218672</t>
  </si>
  <si>
    <t>NCT02945566</t>
  </si>
  <si>
    <t>RBR-85HGCG</t>
  </si>
  <si>
    <t>NCT01522352</t>
  </si>
  <si>
    <t>ANEAH-E-19-2673</t>
  </si>
  <si>
    <t>NTR4893</t>
  </si>
  <si>
    <t>ISRCTN59036820</t>
  </si>
  <si>
    <t>NCT04270500</t>
  </si>
  <si>
    <t>ISRCTN55784442</t>
  </si>
  <si>
    <t>NCT02631980</t>
  </si>
  <si>
    <t>13 reconstructive surgery</t>
  </si>
  <si>
    <t>NCT01104727</t>
  </si>
  <si>
    <t>NCT04438655</t>
  </si>
  <si>
    <t>NCT00591695</t>
  </si>
  <si>
    <t>JCOG0912</t>
  </si>
  <si>
    <t>UMIN000024040</t>
  </si>
  <si>
    <t>NCT03351088</t>
  </si>
  <si>
    <t>NCT01460615</t>
  </si>
  <si>
    <t>NL8863</t>
  </si>
  <si>
    <t>ISRCTN82208287</t>
  </si>
  <si>
    <t>NCT03212196</t>
  </si>
  <si>
    <t>NCT03700086</t>
  </si>
  <si>
    <t>NCT01753219</t>
  </si>
  <si>
    <t>NCT04878185</t>
  </si>
  <si>
    <t>13 Neurobiology</t>
  </si>
  <si>
    <t>NCT04436159</t>
  </si>
  <si>
    <t>gibt anzahl ≥2 an sowie 1,2,3a,3b und 4a, nicht jedoch 4b und V. Jedoch ist summe der 2-4a gleich wie ≥2, womit eigentlich klar ist, dass es keine 4b oder 5 gab..</t>
  </si>
  <si>
    <t>NCT01804998</t>
  </si>
  <si>
    <t>NCT05379205</t>
  </si>
  <si>
    <t>NCT02630329</t>
  </si>
  <si>
    <t>UMIN000017608</t>
  </si>
  <si>
    <t>NCT02287987</t>
  </si>
  <si>
    <t>13 Outcome research</t>
  </si>
  <si>
    <t>no RCT</t>
  </si>
  <si>
    <t>NCT02279771</t>
  </si>
  <si>
    <t>NCT02950324</t>
  </si>
  <si>
    <t>NCT03045107</t>
  </si>
  <si>
    <t>NCT03658863</t>
  </si>
  <si>
    <t>NCT00064662</t>
  </si>
  <si>
    <t>NCT03287843</t>
  </si>
  <si>
    <t>NCT05480735</t>
  </si>
  <si>
    <t>ACTRN12619001543178</t>
  </si>
  <si>
    <t>NCT01256034</t>
  </si>
  <si>
    <t>NCT02542085</t>
  </si>
  <si>
    <t>NCT04346134</t>
  </si>
  <si>
    <t>NCT01269567</t>
  </si>
  <si>
    <t>Overall and CD3-5</t>
  </si>
  <si>
    <t>13 Nutrition</t>
  </si>
  <si>
    <t>RBR3SHHXS</t>
  </si>
  <si>
    <t>Primary endpoint: chemotherapy-related toxicity in table 4</t>
  </si>
  <si>
    <t>ChiCTR2000041286</t>
  </si>
  <si>
    <t>NTR5686</t>
  </si>
  <si>
    <t>NCT01368094</t>
  </si>
  <si>
    <t xml:space="preserve">gibt totale anzahl und dann subgruppen an. </t>
  </si>
  <si>
    <t>NCT01637441</t>
  </si>
  <si>
    <t>sekundäre analyse</t>
  </si>
  <si>
    <t>NL5946</t>
  </si>
  <si>
    <t>non-inferiority</t>
  </si>
  <si>
    <t>NCT02057679</t>
  </si>
  <si>
    <t>primary EP: infectious complications graded according to CD. In Results aber kein Grading. Secondary EP: Morbidity.</t>
  </si>
  <si>
    <t>IRCT20201113049373N1</t>
  </si>
  <si>
    <t>ISRCTN37315612</t>
  </si>
  <si>
    <t>DRKS00004874</t>
  </si>
  <si>
    <t> NCT00487409</t>
  </si>
  <si>
    <t>ISRCTN76894700</t>
  </si>
  <si>
    <t>NCT03406975</t>
  </si>
  <si>
    <t>NCT02054013</t>
  </si>
  <si>
    <t>NCT02085902</t>
  </si>
  <si>
    <t>NCT01974388</t>
  </si>
  <si>
    <t>NCT02510911</t>
  </si>
  <si>
    <t>NL8029</t>
  </si>
  <si>
    <t>NCT00518908</t>
  </si>
  <si>
    <t>NCT01609309</t>
  </si>
  <si>
    <t>NTR5689</t>
  </si>
  <si>
    <t>NL8499</t>
  </si>
  <si>
    <t>RBR2b4fyr</t>
  </si>
  <si>
    <t>NCT03820648</t>
  </si>
  <si>
    <t>NCT02662946</t>
  </si>
  <si>
    <t>NTR2594</t>
  </si>
  <si>
    <t>NCT02252549</t>
  </si>
  <si>
    <t>NCT02168751</t>
  </si>
  <si>
    <t>NCT03905837</t>
  </si>
  <si>
    <t>NL5572/NTR5694</t>
  </si>
  <si>
    <t>ISRCTN85205641</t>
  </si>
  <si>
    <t>NCT03359811</t>
  </si>
  <si>
    <t>NCT04243967</t>
  </si>
  <si>
    <t>NTC02739698</t>
  </si>
  <si>
    <t>no differentiation between grades 1 and 2</t>
  </si>
  <si>
    <t> NCT04053595</t>
  </si>
  <si>
    <t> NCT037812016</t>
  </si>
  <si>
    <t>NCT00227526</t>
  </si>
  <si>
    <t>grade &gt;2 were pooled</t>
  </si>
  <si>
    <t>NCT02502760</t>
  </si>
  <si>
    <t>NCT01963312</t>
  </si>
  <si>
    <t>post hoc analysis</t>
  </si>
  <si>
    <t>NCT02662257</t>
  </si>
  <si>
    <t>pooled &gt;2 complications</t>
  </si>
  <si>
    <t> NCT02479685</t>
  </si>
  <si>
    <t>NCT02430168</t>
  </si>
  <si>
    <t>NCT01728116</t>
  </si>
  <si>
    <t>ChiCTR1900026653</t>
  </si>
  <si>
    <t> NCT03984734</t>
  </si>
  <si>
    <t>NCT00915863</t>
  </si>
  <si>
    <t>NCT02841293</t>
  </si>
  <si>
    <t>NCT24668100</t>
  </si>
  <si>
    <t>NCT01685775 or DRKS00000341</t>
  </si>
  <si>
    <t> DRKS00024395</t>
  </si>
  <si>
    <t>DRKS00011115</t>
  </si>
  <si>
    <t>NCT02838134</t>
  </si>
  <si>
    <t> NCT03963427</t>
  </si>
  <si>
    <t>13 (plastic)</t>
  </si>
  <si>
    <t>ISRCTN10386621</t>
  </si>
  <si>
    <t> NCT 00692393</t>
  </si>
  <si>
    <t>NCT00554892</t>
  </si>
  <si>
    <t>NCT04712201</t>
  </si>
  <si>
    <t>NCT03368378</t>
  </si>
  <si>
    <t>ISRCTN92289221</t>
  </si>
  <si>
    <t>unclear primary endpoint</t>
  </si>
  <si>
    <t> ISRCTN33682933</t>
  </si>
  <si>
    <t>NCT01870817</t>
  </si>
  <si>
    <t>NCT02586701</t>
  </si>
  <si>
    <t>NTR 6528</t>
  </si>
  <si>
    <t>NCT00264979</t>
  </si>
  <si>
    <t>NCT02371304</t>
  </si>
  <si>
    <t> NCT02243735</t>
  </si>
  <si>
    <t>NCT01626963</t>
  </si>
  <si>
    <t>DRKS 0001168</t>
  </si>
  <si>
    <t>NCT01344018</t>
  </si>
  <si>
    <t>NTR7191</t>
  </si>
  <si>
    <t> NCT02162563</t>
  </si>
  <si>
    <t>NCT02667860</t>
  </si>
  <si>
    <t>NTR1523</t>
  </si>
  <si>
    <t>NCT04007952</t>
  </si>
  <si>
    <t>ISRCTN26912858</t>
  </si>
  <si>
    <t>NTR 4741</t>
  </si>
  <si>
    <t>2013-002217-36</t>
  </si>
  <si>
    <t> NCT04558151</t>
  </si>
  <si>
    <t>NCT 00335543
2007–000557–611
NCT 01314027</t>
  </si>
  <si>
    <t> NCT01766661</t>
  </si>
  <si>
    <t>NCT03872271</t>
  </si>
  <si>
    <t>NCT04781049</t>
  </si>
  <si>
    <t>NCT05130918</t>
  </si>
  <si>
    <t>NCT00940030</t>
  </si>
  <si>
    <t>NTR4972</t>
  </si>
  <si>
    <t>NTR4032</t>
  </si>
  <si>
    <t>NCT00359320</t>
  </si>
  <si>
    <t>NCT03281460</t>
  </si>
  <si>
    <t>NCT04059731</t>
  </si>
  <si>
    <t>NCT) 04341805</t>
  </si>
  <si>
    <t>NTR3537</t>
  </si>
  <si>
    <t>NCT04461301</t>
  </si>
  <si>
    <t>NCT02613728</t>
  </si>
  <si>
    <t>NCT02555293</t>
  </si>
  <si>
    <t> NCT00516711</t>
  </si>
  <si>
    <t>NCT00913276</t>
  </si>
  <si>
    <t>NCT01452256</t>
  </si>
  <si>
    <t>DRKS00000527</t>
  </si>
  <si>
    <t>NCT01645852</t>
  </si>
  <si>
    <t> </t>
  </si>
  <si>
    <t>NCT03864939</t>
  </si>
  <si>
    <t>NTR1422</t>
  </si>
  <si>
    <t>NCT01959711</t>
  </si>
  <si>
    <t>NCT02024776</t>
  </si>
  <si>
    <t>NCT04052100</t>
  </si>
  <si>
    <t>NCT00597935</t>
  </si>
  <si>
    <t>NCT01110798</t>
  </si>
  <si>
    <t>follow-up study, initial RCT does not report on CDC/CCI</t>
  </si>
  <si>
    <t>2012/09/002979</t>
  </si>
  <si>
    <t>NCT02138643</t>
  </si>
  <si>
    <t>CAAE 54503616.6.0000.0098</t>
  </si>
  <si>
    <t>13 neurosurgery</t>
  </si>
  <si>
    <t>NCT04148105</t>
  </si>
  <si>
    <t>IRCT20180205038627N2</t>
  </si>
  <si>
    <t>CDHA-RS/2013-297</t>
  </si>
  <si>
    <t>ISRCTN20935105</t>
  </si>
  <si>
    <t>NCT00939861</t>
  </si>
  <si>
    <t>NCT01287637</t>
  </si>
  <si>
    <t>ChiCTR1900020846</t>
  </si>
  <si>
    <t>NCT03770559</t>
  </si>
  <si>
    <t>NCT03055676</t>
  </si>
  <si>
    <t>NCT02230436</t>
  </si>
  <si>
    <t>NCT03900078</t>
  </si>
  <si>
    <t> NCT01613365</t>
  </si>
  <si>
    <t>NCT03124641</t>
  </si>
  <si>
    <t>ISRCTN59485808</t>
  </si>
  <si>
    <t>pooled analysis of 2 RCTs included in the database</t>
  </si>
  <si>
    <t>NCT04687384</t>
  </si>
  <si>
    <t>NCT04523701.</t>
  </si>
  <si>
    <t>NCT05735912</t>
  </si>
  <si>
    <t>NCT02109640</t>
  </si>
  <si>
    <t>NCT02314182</t>
  </si>
  <si>
    <t>NCT01182090</t>
  </si>
  <si>
    <t>NCT01694238</t>
  </si>
  <si>
    <t>NCT02579330</t>
  </si>
  <si>
    <t>ACTRN12614001145695</t>
  </si>
  <si>
    <t>NCT02512731</t>
  </si>
  <si>
    <t>NCT01609660</t>
  </si>
  <si>
    <t>13 Medicine</t>
  </si>
  <si>
    <t>NCT01821508</t>
  </si>
  <si>
    <t>NCT03466606</t>
  </si>
  <si>
    <t>NCT03283436</t>
  </si>
  <si>
    <t>wrong grading definition used (grad 2 for endoscopic treatment)</t>
  </si>
  <si>
    <t>NCT03543462</t>
  </si>
  <si>
    <t>NCT02041871</t>
  </si>
  <si>
    <t>NCT03720223</t>
  </si>
  <si>
    <t>NCT02729272</t>
  </si>
  <si>
    <t>NCT02787512</t>
  </si>
  <si>
    <t>NCT03859479</t>
  </si>
  <si>
    <t>NCT02477384</t>
  </si>
  <si>
    <t>ChiCTR-IOR-16008579</t>
  </si>
  <si>
    <t>NCT01952912</t>
  </si>
  <si>
    <t>ACTRN12614000882628</t>
  </si>
  <si>
    <t>NCT04219332</t>
  </si>
  <si>
    <t>NCT03050879</t>
  </si>
  <si>
    <t>NCT04218669</t>
  </si>
  <si>
    <t>NCT02197481</t>
  </si>
  <si>
    <t>NCT03283124</t>
  </si>
  <si>
    <t>13 oncology</t>
  </si>
  <si>
    <t>CTRI/ 2015/11/006388</t>
  </si>
  <si>
    <t>NCT03297281</t>
  </si>
  <si>
    <t>ISRCTN10693903</t>
  </si>
  <si>
    <t>NCT03713749</t>
  </si>
  <si>
    <t>ISRCTN14680495</t>
  </si>
  <si>
    <t>NCT01950052</t>
  </si>
  <si>
    <t>KCT0003680</t>
  </si>
  <si>
    <t>NCT03813797</t>
  </si>
  <si>
    <t>UHHK, 00179906</t>
  </si>
  <si>
    <t> ISRCTN13680280</t>
  </si>
  <si>
    <t>NCT03436329</t>
  </si>
  <si>
    <t>NCT02435758</t>
  </si>
  <si>
    <t>NCT00537927</t>
  </si>
  <si>
    <t>NCT02464215</t>
  </si>
  <si>
    <t>NCT01966133</t>
  </si>
  <si>
    <t>ChiCTR-INR-17011507</t>
  </si>
  <si>
    <t>NCT02117557</t>
  </si>
  <si>
    <t>ChiCTR-IIR-17014180</t>
  </si>
  <si>
    <t>ChiCTR-ICR-15007130</t>
  </si>
  <si>
    <t>NCT04454866</t>
  </si>
  <si>
    <t>ChiCTR1900025667</t>
  </si>
  <si>
    <t>ChiCTR-INR-17013184</t>
  </si>
  <si>
    <t>NCT04122261</t>
  </si>
  <si>
    <t>NCT03330236</t>
  </si>
  <si>
    <t>NCT00325039</t>
  </si>
  <si>
    <t>NCT02205047</t>
  </si>
  <si>
    <t>UMIN 000012553</t>
  </si>
  <si>
    <t>NCT04389086</t>
  </si>
  <si>
    <t>NCT03587519</t>
  </si>
  <si>
    <t>NL6350</t>
  </si>
  <si>
    <t>NL9116</t>
  </si>
  <si>
    <t>NCT02618720</t>
  </si>
  <si>
    <t>NCT03572348</t>
  </si>
  <si>
    <t>NCT01157676</t>
  </si>
  <si>
    <t>NCT01240772</t>
  </si>
  <si>
    <t>NCT02815956</t>
  </si>
  <si>
    <t>NCT01648972</t>
  </si>
  <si>
    <t>CTRI/2016/08/007186</t>
  </si>
  <si>
    <t>NCT03460938</t>
  </si>
  <si>
    <t>NTR4333</t>
  </si>
  <si>
    <t>NCT01429779</t>
  </si>
  <si>
    <t>NTR 5045</t>
  </si>
  <si>
    <t>NTR5947</t>
  </si>
  <si>
    <t>NCT05385887</t>
  </si>
  <si>
    <t>ISRCTN44897265</t>
  </si>
  <si>
    <t>NCT02248519</t>
  </si>
  <si>
    <t>NCT01558921</t>
  </si>
  <si>
    <t>NTR6048</t>
  </si>
  <si>
    <t>EudraCT 2012–002222-70</t>
  </si>
  <si>
    <t>NTR2867</t>
  </si>
  <si>
    <t>NCT01099475</t>
  </si>
  <si>
    <t>NL47718.068.14</t>
  </si>
  <si>
    <t>NTR1478</t>
  </si>
  <si>
    <t>NTR5802</t>
  </si>
  <si>
    <t> NCT01256047</t>
  </si>
  <si>
    <t>UMIN000007339</t>
  </si>
  <si>
    <t> UMIN000007426</t>
  </si>
  <si>
    <t>UMIN000012884</t>
  </si>
  <si>
    <t> NCT02453165</t>
  </si>
  <si>
    <t>NCT03807518</t>
  </si>
  <si>
    <t>UMIN 000025632</t>
  </si>
  <si>
    <t>NCT02654249</t>
  </si>
  <si>
    <t>DRKS00013001</t>
  </si>
  <si>
    <t>NCT00934999</t>
  </si>
  <si>
    <t> NCT01460550</t>
  </si>
  <si>
    <t>NCT01894490</t>
  </si>
  <si>
    <t>NCT05020379</t>
  </si>
  <si>
    <t>NCT00830778</t>
  </si>
  <si>
    <t>NCT04088968</t>
  </si>
  <si>
    <t>ISCRTN76894700</t>
  </si>
  <si>
    <t>UMIN000003688</t>
  </si>
  <si>
    <t>NCT03440398.</t>
  </si>
  <si>
    <t>CHiCTR1900022438</t>
  </si>
  <si>
    <t>NCT02030717</t>
  </si>
  <si>
    <t>NCT02891187</t>
  </si>
  <si>
    <t> NCT05244772</t>
  </si>
  <si>
    <t>ISRCTN16597586</t>
  </si>
  <si>
    <t> NCT00427375</t>
  </si>
  <si>
    <t>NCT03930888</t>
  </si>
  <si>
    <t> NCT02212717</t>
  </si>
  <si>
    <t>ChiCTR2100051491</t>
  </si>
  <si>
    <t>ChiCTR1800019370</t>
  </si>
  <si>
    <t>NTR4922</t>
  </si>
  <si>
    <t>NCT02775227</t>
  </si>
  <si>
    <t>protocol of published study added to additional database</t>
  </si>
  <si>
    <t>trial prematurely terminated due to recruitment difficulties</t>
  </si>
  <si>
    <t>article retracted</t>
  </si>
  <si>
    <t>only CCI reported, technically CDC was used then…</t>
  </si>
  <si>
    <t>only CCI reported, but for CCI CDC had to be used, even if not reported -&gt; incorrect, incomplete?</t>
  </si>
  <si>
    <t>2 primary outcomes, one significant (Questionnaire), one not (CDC)</t>
  </si>
  <si>
    <t>ACTRN12611001157965</t>
  </si>
  <si>
    <t>DRKS00014011</t>
  </si>
  <si>
    <t>DRKS00007800</t>
  </si>
  <si>
    <t>NCT01015417</t>
  </si>
  <si>
    <t>CTRI/2019/02/017537</t>
  </si>
  <si>
    <t>NCT03929523</t>
  </si>
  <si>
    <t>ISRCTN93168938</t>
  </si>
  <si>
    <t>pooled grade 1 and 2. otherwise correct.</t>
  </si>
  <si>
    <t>NCT01526486</t>
  </si>
  <si>
    <t>NCT03998579</t>
  </si>
  <si>
    <t>no non-inferiority margin defined, therefore significance not applicable</t>
  </si>
  <si>
    <t>NTR2514NL33995.060.10</t>
  </si>
  <si>
    <t>pooled 1-3b, mentioned, that there was no grade 4 or 5.</t>
  </si>
  <si>
    <t>NTR1150</t>
  </si>
  <si>
    <t>NCT02505919</t>
  </si>
  <si>
    <t>ACTRN012605000449639</t>
  </si>
  <si>
    <t>NCT03083951</t>
  </si>
  <si>
    <t>NCT02746224</t>
  </si>
  <si>
    <t>NCT04323072</t>
  </si>
  <si>
    <t>NCT04436887</t>
  </si>
  <si>
    <t>13 Epidemiology</t>
  </si>
  <si>
    <t>NCT04063072</t>
  </si>
  <si>
    <t>NCT01717924</t>
  </si>
  <si>
    <t>ISRCTN98009168</t>
  </si>
  <si>
    <t>NCT02175979</t>
  </si>
  <si>
    <t>NCT01068886</t>
  </si>
  <si>
    <t>ChiCTR-TRC-14005086</t>
  </si>
  <si>
    <t>ChiCTR-IOR-17013866</t>
  </si>
  <si>
    <t>NCT04161599</t>
  </si>
  <si>
    <t>NCT0165-3977</t>
  </si>
  <si>
    <t>NCT01189292</t>
  </si>
  <si>
    <t>NCT03570541</t>
  </si>
  <si>
    <t>NCT01972490</t>
  </si>
  <si>
    <t>UMIN000011572</t>
  </si>
  <si>
    <t>UMIN reference number 000007058</t>
  </si>
  <si>
    <t>ACTRN12615000545561</t>
  </si>
  <si>
    <t>UMIN000014884</t>
  </si>
  <si>
    <t>UMIN000019480</t>
  </si>
  <si>
    <t>UMIN000007077</t>
  </si>
  <si>
    <t>UMIN000014068</t>
  </si>
  <si>
    <t>NCT04306458</t>
  </si>
  <si>
    <t>NCT03962244</t>
  </si>
  <si>
    <t>NCT03971656</t>
  </si>
  <si>
    <t>major/minor used, but not defined</t>
  </si>
  <si>
    <t>ISRCTN49033491</t>
  </si>
  <si>
    <t>NCT03335527</t>
  </si>
  <si>
    <t>NCT04138212</t>
  </si>
  <si>
    <t>NCT01998230</t>
  </si>
  <si>
    <t> NCT02853981</t>
  </si>
  <si>
    <t>CTRI/2018/04/013016</t>
  </si>
  <si>
    <t>s051180164</t>
  </si>
  <si>
    <t>NCT02375529</t>
  </si>
  <si>
    <t>NCT04853095</t>
  </si>
  <si>
    <t> NCT04055233</t>
  </si>
  <si>
    <t>NTR222</t>
  </si>
  <si>
    <t>primary RCT not included</t>
  </si>
  <si>
    <t>NCT 0242197</t>
  </si>
  <si>
    <t>ACTRN12616000359437</t>
  </si>
  <si>
    <t>NCT01137201</t>
  </si>
  <si>
    <t>ACTRN12621000617864</t>
  </si>
  <si>
    <t>ACTRN12617001129370</t>
  </si>
  <si>
    <t>ACTRN12619000194167</t>
  </si>
  <si>
    <t>ISRCTN93729016</t>
  </si>
  <si>
    <t>NCT00911391</t>
  </si>
  <si>
    <t>NCT00488904</t>
  </si>
  <si>
    <t>NCT01533038</t>
  </si>
  <si>
    <t>ChiCTR-INR-16007957</t>
  </si>
  <si>
    <t>NCT01893086</t>
  </si>
  <si>
    <t>NCT04070872</t>
  </si>
  <si>
    <t>NCT04910789</t>
  </si>
  <si>
    <t>REF/2018/08/021223</t>
  </si>
  <si>
    <t>NL9118</t>
  </si>
  <si>
    <t>ISRCTN36257982</t>
  </si>
  <si>
    <t>NCT03443856</t>
  </si>
  <si>
    <t>NL 6671</t>
  </si>
  <si>
    <t>NCT03097081</t>
  </si>
  <si>
    <t>ANZCTRN12615000021571</t>
  </si>
  <si>
    <t>NCT02008656</t>
  </si>
  <si>
    <t>NCT04893642</t>
  </si>
  <si>
    <t> NCT02931890</t>
  </si>
  <si>
    <t>NCT03236961</t>
  </si>
  <si>
    <t>CTRI/2020/03/024139</t>
  </si>
  <si>
    <t>ACTRN12607000066482</t>
  </si>
  <si>
    <t>follow-up trial, initial RCT does not report on CDC/CCI</t>
  </si>
  <si>
    <t>NCT00994903</t>
  </si>
  <si>
    <t>CTRI/2018/01/011081</t>
  </si>
  <si>
    <t>NCT02076984</t>
  </si>
  <si>
    <t>NCT01523626</t>
  </si>
  <si>
    <t>ACTRN12611000962932</t>
  </si>
  <si>
    <t>UMIN000004555/000004616</t>
  </si>
  <si>
    <t>UMIN 000015788</t>
  </si>
  <si>
    <t>UMIN000040089</t>
  </si>
  <si>
    <t>NCT03331718</t>
  </si>
  <si>
    <t>NCT04891874</t>
  </si>
  <si>
    <t>NCT03978325</t>
  </si>
  <si>
    <t>13 (physiotherapy)</t>
  </si>
  <si>
    <t>NCC2013S-010</t>
  </si>
  <si>
    <t>2013/05/003661</t>
  </si>
  <si>
    <t>NCT03445260</t>
  </si>
  <si>
    <t>primary endpoint enrolment</t>
  </si>
  <si>
    <t>NCT03419676</t>
  </si>
  <si>
    <t>NCT02574702</t>
  </si>
  <si>
    <t>NCT02550769</t>
  </si>
  <si>
    <t>NCT01308190</t>
  </si>
  <si>
    <t>NCT01308191</t>
  </si>
  <si>
    <t>primary outcome not reported in the results</t>
  </si>
  <si>
    <t>NCT03158129</t>
  </si>
  <si>
    <t>graphical illustration, no numbers, no grade subtypes</t>
  </si>
  <si>
    <t>DRKS00005995</t>
  </si>
  <si>
    <t>UMIN000005890</t>
  </si>
  <si>
    <t>NCT02959879</t>
  </si>
  <si>
    <t>NCT01785212</t>
  </si>
  <si>
    <t>DRKS00016755</t>
  </si>
  <si>
    <t>NCT01047462</t>
  </si>
  <si>
    <t>DRKS00013503</t>
  </si>
  <si>
    <t>DRKS00020909</t>
  </si>
  <si>
    <t>NCT02919683</t>
  </si>
  <si>
    <t>NCT01278537</t>
  </si>
  <si>
    <t>NCT01317342</t>
  </si>
  <si>
    <t>NCT03376347</t>
  </si>
  <si>
    <t>NCT03167645</t>
  </si>
  <si>
    <t>NCT00908245</t>
  </si>
  <si>
    <t>NCT03969602</t>
  </si>
  <si>
    <t>NCT01408693</t>
  </si>
  <si>
    <t>CTRI/2017/04/008294</t>
  </si>
  <si>
    <t>ISRCTN12291961</t>
  </si>
  <si>
    <t>NCT02509260</t>
  </si>
  <si>
    <t>NCT02215577</t>
  </si>
  <si>
    <t>NCT04402346</t>
  </si>
  <si>
    <t>NCT02172638</t>
  </si>
  <si>
    <t>pooled I and II</t>
  </si>
  <si>
    <t>NCT03606863</t>
  </si>
  <si>
    <t>NCT00642005</t>
  </si>
  <si>
    <t>NCT04311099</t>
  </si>
  <si>
    <t>NCT03234296</t>
  </si>
  <si>
    <t>NCT00793143</t>
  </si>
  <si>
    <t>NCT01847703</t>
  </si>
  <si>
    <t>NCT03302169</t>
  </si>
  <si>
    <t>UMIN000005463</t>
  </si>
  <si>
    <t>UMIN000008555</t>
  </si>
  <si>
    <t>NCT04703634</t>
  </si>
  <si>
    <t>NCT01607996</t>
  </si>
  <si>
    <t>mean CDC reported</t>
  </si>
  <si>
    <t>NCT03688295</t>
  </si>
  <si>
    <t>NCT02803814</t>
  </si>
  <si>
    <t>NCT02882685</t>
  </si>
  <si>
    <t>PRR1-10.2196/14533</t>
  </si>
  <si>
    <t>NCT01347697</t>
  </si>
  <si>
    <t>NCT00427375</t>
  </si>
  <si>
    <t>ISRCTN46101203</t>
  </si>
  <si>
    <t>NCT02780921</t>
  </si>
  <si>
    <t>NCT02758951</t>
  </si>
  <si>
    <t>NCT01548339</t>
  </si>
  <si>
    <t>NCT03405922</t>
  </si>
  <si>
    <t>DRKS00000482</t>
  </si>
  <si>
    <t>NCT00370344</t>
  </si>
  <si>
    <t>NCT02451176</t>
  </si>
  <si>
    <t>NCT02061176</t>
  </si>
  <si>
    <t>NCT 01291576</t>
  </si>
  <si>
    <t>NCT03370016</t>
  </si>
  <si>
    <t>NCT00472537</t>
  </si>
  <si>
    <t>NCT01172899</t>
  </si>
  <si>
    <t>NCT02727179</t>
  </si>
  <si>
    <t>NCT03610256</t>
  </si>
  <si>
    <t>NCT01275521</t>
  </si>
  <si>
    <t>NCT02050451</t>
  </si>
  <si>
    <t>NCT02292914</t>
  </si>
  <si>
    <t>NCT01726452</t>
  </si>
  <si>
    <t>NCT01042054</t>
  </si>
  <si>
    <t>DRKS00018842</t>
  </si>
  <si>
    <t>NCT01150630</t>
  </si>
  <si>
    <t>no comparative analysis for primary</t>
  </si>
  <si>
    <t>ChiCTR1800019066</t>
  </si>
  <si>
    <t>NCT01499979</t>
  </si>
  <si>
    <t>NCT04057209</t>
  </si>
  <si>
    <t>NCT04821258</t>
  </si>
  <si>
    <t>NCT04164706</t>
  </si>
  <si>
    <t>13 (medicine)</t>
  </si>
  <si>
    <t>NCT04610710</t>
  </si>
  <si>
    <t>NCT04401462</t>
  </si>
  <si>
    <t>NCT02328365</t>
  </si>
  <si>
    <t>NCT00732979</t>
  </si>
  <si>
    <t>NCT01049607</t>
  </si>
  <si>
    <t>NCT02612220</t>
  </si>
  <si>
    <t>DRKS00009382</t>
  </si>
  <si>
    <t>NCT04516031</t>
  </si>
  <si>
    <t>ISRCTN52352431</t>
  </si>
  <si>
    <t>NCT03026530</t>
  </si>
  <si>
    <t>CD≥2 is an exclusion criteria. No further use of the CDC in the study.</t>
  </si>
  <si>
    <t>NCT01348620</t>
  </si>
  <si>
    <t>NCT04357483</t>
  </si>
  <si>
    <t>KCT0006082</t>
  </si>
  <si>
    <t>NCT01456598</t>
  </si>
  <si>
    <t>NCT03196791</t>
  </si>
  <si>
    <t> NCT05669872</t>
  </si>
  <si>
    <t>NCT01042743</t>
  </si>
  <si>
    <t>NCT01042743 or NCT01423214</t>
  </si>
  <si>
    <t>NCT01550406</t>
  </si>
  <si>
    <t>KCT0004365</t>
  </si>
  <si>
    <t>KCT0000124</t>
  </si>
  <si>
    <t>NCT01978249</t>
  </si>
  <si>
    <t>NCT02595086</t>
  </si>
  <si>
    <t>ACTRN012607000241437</t>
  </si>
  <si>
    <t>NCT02511951</t>
  </si>
  <si>
    <t>NCT02740114.</t>
  </si>
  <si>
    <t>DRKS00006199</t>
  </si>
  <si>
    <t>NCT04226482</t>
  </si>
  <si>
    <t>UMIN000012152</t>
  </si>
  <si>
    <t>NCT02947269</t>
  </si>
  <si>
    <t>NCT03422588</t>
  </si>
  <si>
    <t>NCT02432794</t>
  </si>
  <si>
    <t>NCT02036684</t>
  </si>
  <si>
    <t>NCT01836978</t>
  </si>
  <si>
    <t>NCT01666158</t>
  </si>
  <si>
    <t>ISRCTN 94691167</t>
  </si>
  <si>
    <t>NCT01134094</t>
  </si>
  <si>
    <t>UMIN000011486</t>
  </si>
  <si>
    <t>NCT01969110</t>
  </si>
  <si>
    <t>NCT03048318</t>
  </si>
  <si>
    <t>NCT00751088</t>
  </si>
  <si>
    <t>NCT03520088</t>
  </si>
  <si>
    <t>NCT02081131</t>
  </si>
  <si>
    <t>NCT03339791</t>
  </si>
  <si>
    <t>NCT03035071</t>
  </si>
  <si>
    <t>ISRCTN27083228.</t>
  </si>
  <si>
    <t>NCT03914820</t>
  </si>
  <si>
    <t>ISRCTN12509361</t>
  </si>
  <si>
    <t>NL9262</t>
  </si>
  <si>
    <t>13 Pediatric surgery</t>
  </si>
  <si>
    <t> NL8016</t>
  </si>
  <si>
    <t>NCT01646190</t>
  </si>
  <si>
    <t>UMIN-CTR, 000031244</t>
  </si>
  <si>
    <t>NCT02761135</t>
  </si>
  <si>
    <t>primary EP: early AND delayed complications. Early correctly used. Delayed --&gt; no CDC grading used.</t>
  </si>
  <si>
    <t>NCT03692832</t>
  </si>
  <si>
    <t>NCT02799212</t>
  </si>
  <si>
    <t>CTRI/2015/02/00554</t>
  </si>
  <si>
    <t>report only grade 1 and 3, no subgroup</t>
  </si>
  <si>
    <t>NCT02702921</t>
  </si>
  <si>
    <t>NCT02668250</t>
  </si>
  <si>
    <t>13 Oncology</t>
  </si>
  <si>
    <t>NCT01876927</t>
  </si>
  <si>
    <t>NCT04729712</t>
  </si>
  <si>
    <t>ID000025039</t>
  </si>
  <si>
    <t>NCT02299596</t>
  </si>
  <si>
    <t>UMIN000022218</t>
  </si>
  <si>
    <t>NTC01321658</t>
  </si>
  <si>
    <t>UMIN000037922</t>
  </si>
  <si>
    <t>NCT04600063</t>
  </si>
  <si>
    <t>NCT01607307</t>
  </si>
  <si>
    <t>NCT03021876</t>
  </si>
  <si>
    <t>UMIN000031536</t>
  </si>
  <si>
    <t>UMIN000010648</t>
  </si>
  <si>
    <t>NCT01971775</t>
  </si>
  <si>
    <t>KCT0003230</t>
  </si>
  <si>
    <t>ISRCTN25616490</t>
  </si>
  <si>
    <t>NCT00937456</t>
  </si>
  <si>
    <t>IDIRB2017122601</t>
  </si>
  <si>
    <t>NCT04358328</t>
  </si>
  <si>
    <t> NCT00272623</t>
  </si>
  <si>
    <t>13 medicine</t>
  </si>
  <si>
    <t> NCT02810652</t>
  </si>
  <si>
    <t>NCT04460352</t>
  </si>
  <si>
    <t>NCT02415101</t>
  </si>
  <si>
    <t>NCT01248871</t>
  </si>
  <si>
    <t>NCT03758170</t>
  </si>
  <si>
    <t>NCT00823160</t>
  </si>
  <si>
    <t>DRKS00025765</t>
  </si>
  <si>
    <t>DRKS00016773</t>
  </si>
  <si>
    <t>ChiCTR-TRC-11001567</t>
  </si>
  <si>
    <t>HKUCTR-10</t>
  </si>
  <si>
    <t>ChiCTR-TRC-10001134</t>
  </si>
  <si>
    <t>NCT01282996</t>
  </si>
  <si>
    <t>DRKS00008206</t>
  </si>
  <si>
    <t>NTR487</t>
  </si>
  <si>
    <t>NCT03754751</t>
  </si>
  <si>
    <t>NCT03754777</t>
  </si>
  <si>
    <t>NCT02639728</t>
  </si>
  <si>
    <t>NCT01004211</t>
  </si>
  <si>
    <t>NCT01247779</t>
  </si>
  <si>
    <t>011-005574-39</t>
  </si>
  <si>
    <t>UMIN000004437</t>
  </si>
  <si>
    <t>UMIN000039228</t>
  </si>
  <si>
    <t>NCT01065688</t>
  </si>
  <si>
    <t>NTR3645</t>
  </si>
  <si>
    <t>NCT00757133</t>
  </si>
  <si>
    <t>NCT01486680</t>
  </si>
  <si>
    <t>UMIN000005421</t>
  </si>
  <si>
    <t>NCT04560907</t>
  </si>
  <si>
    <t>DRKS00004492</t>
  </si>
  <si>
    <t>NCT01641718</t>
  </si>
  <si>
    <t>NCT01079442</t>
  </si>
  <si>
    <t>NCT00556790</t>
  </si>
  <si>
    <t>DRKS00027921</t>
  </si>
  <si>
    <t>DRKS00010237</t>
  </si>
  <si>
    <t>ISRCTN70107172</t>
  </si>
  <si>
    <t>DRKS00009451</t>
  </si>
  <si>
    <t>DRKS00012251</t>
  </si>
  <si>
    <t>DRKS00028037</t>
  </si>
  <si>
    <t>NCT01124916</t>
  </si>
  <si>
    <t>NCT02806297</t>
  </si>
  <si>
    <t>ISRCTN15655996</t>
  </si>
  <si>
    <t>NCT04692545</t>
  </si>
  <si>
    <t>EudraCT-ref:2007:123 456:AA</t>
  </si>
  <si>
    <t>13 maxillofacial surgery</t>
  </si>
  <si>
    <t>NCT05573828</t>
  </si>
  <si>
    <t>NCT03427606</t>
  </si>
  <si>
    <t>NCT05252637</t>
  </si>
  <si>
    <t>false grading</t>
  </si>
  <si>
    <t>NCT05254860</t>
  </si>
  <si>
    <t>Grade nicht unterteilt</t>
  </si>
  <si>
    <t>NCT02359968 and EudraCT: 2014-000649-62</t>
  </si>
  <si>
    <t>Trotz publikation 2016 noch nicht publiziert - auch nicht wenn Publikationen des letzt und erstautors gesucht werden.</t>
  </si>
  <si>
    <t>NCT02746731</t>
  </si>
  <si>
    <t>NCT03030170</t>
  </si>
  <si>
    <t>NCT01283815</t>
  </si>
  <si>
    <t>NCT04636099</t>
  </si>
  <si>
    <t>NCT02676973</t>
  </si>
  <si>
    <t>ISRCTN16062796</t>
  </si>
  <si>
    <t>NCT04231071</t>
  </si>
  <si>
    <t>NCT01323595</t>
  </si>
  <si>
    <t>NCT02704897</t>
  </si>
  <si>
    <t>NCT04221295</t>
  </si>
  <si>
    <t>NCT02277925</t>
  </si>
  <si>
    <t>NCT01887028</t>
  </si>
  <si>
    <t>UMIN000007787</t>
  </si>
  <si>
    <t>nennen auch Gesamtkomplikationen nur sagen spezifisch, Major Komplikations nach CD, dies sagen sie bei den anderen nicht, somit "only severe Complications"</t>
  </si>
  <si>
    <t>UMIN000012337</t>
  </si>
  <si>
    <t>NCT00701012</t>
  </si>
  <si>
    <t>NCT03277053</t>
  </si>
  <si>
    <t>NCT03434132</t>
  </si>
  <si>
    <t>NCT01770574</t>
  </si>
  <si>
    <t>NCT02433938</t>
  </si>
  <si>
    <t>Im Text diese Grade jeweils zusammengefasst und spezifisch Komplikationen genannt</t>
  </si>
  <si>
    <t>NCT03651154</t>
  </si>
  <si>
    <t>NCT02548910</t>
  </si>
  <si>
    <t>primary outcome CD grösser/gelich II</t>
  </si>
  <si>
    <t>NCT02699489</t>
  </si>
  <si>
    <t>Nennen Prozentzahlen der Gesamtkomplikationen und dass diese alle Grad I und II seien.</t>
  </si>
  <si>
    <t>UMIN000023297</t>
  </si>
  <si>
    <t>NCT03033719</t>
  </si>
  <si>
    <t>NTR703</t>
  </si>
  <si>
    <t>NCT04311788</t>
  </si>
  <si>
    <t>NCT03977831</t>
  </si>
  <si>
    <t>NCT03875690</t>
  </si>
  <si>
    <t>NCT01959087</t>
  </si>
  <si>
    <t>NCT01609361</t>
  </si>
  <si>
    <t>NCT05448846</t>
  </si>
  <si>
    <t>NCT03105193</t>
  </si>
  <si>
    <t>NCT01278472</t>
  </si>
  <si>
    <t>Grade III und IV nicht unterteilt</t>
  </si>
  <si>
    <t>ChiCTR-TRC-12002786</t>
  </si>
  <si>
    <t>major/minor in methods definiert, in results entsprechend Anzahl major/minor genannt</t>
  </si>
  <si>
    <t>ACTRN12620001081909</t>
  </si>
  <si>
    <t>NCT00946205</t>
  </si>
  <si>
    <t>ACTRN12622000044729</t>
  </si>
  <si>
    <t>NCT01740011</t>
  </si>
  <si>
    <t>ChiCTR-IIR-16009802</t>
  </si>
  <si>
    <t>ChiCTR2000040045</t>
  </si>
  <si>
    <t>ChiCTR‐INR‐17014085</t>
  </si>
  <si>
    <t>NCT03313700</t>
  </si>
  <si>
    <t>ACTRN12615001142527</t>
  </si>
  <si>
    <t>NCT03618329</t>
  </si>
  <si>
    <t>NCT01546064</t>
  </si>
  <si>
    <t>NTR3089</t>
  </si>
  <si>
    <t>all but two were Grade II, the remaining grade IIIb</t>
  </si>
  <si>
    <t xml:space="preserve">unterschiedliche Komplikationen einzeln aufgelistet mit entsprechend major/minor. </t>
  </si>
  <si>
    <t>NCT03068507</t>
  </si>
  <si>
    <t>Fassen 0 und I zusammen. Grad II separat, Grad III+ in Tabelle, im Text erkennbar, dass 2x IIIb und 1x IIIa</t>
  </si>
  <si>
    <t>nennen nur die anästhesierelevanten Komplikationen mit Graden, andere nicht</t>
  </si>
  <si>
    <t>ChiCTR2000036351</t>
  </si>
  <si>
    <t>ChiCTR-INR-16007990</t>
  </si>
  <si>
    <t>no severe complications … were observed in both groups nennen aber nirgends was severe ist. Geben eine als CD II im Text an.</t>
  </si>
  <si>
    <t>"no severe complications … were observed in both groups" nennen aber nirgends was severe ist. Geben eine als CD II im Text an. M Abtract sagen sie, es gäbe nur eine Komplikation, somit könnte man es auch als Komplett werten. Kein noninferiority trial.</t>
  </si>
  <si>
    <t>ChiCTR1800020086</t>
  </si>
  <si>
    <t>Major und Mino genannt</t>
  </si>
  <si>
    <t>ChiCTR1800015951</t>
  </si>
  <si>
    <t>Nur Grade II-IV angegeben, im Text einzelner IIIa erwähnt</t>
  </si>
  <si>
    <t>ACTRN12611000770965</t>
  </si>
  <si>
    <t>NCT03007550</t>
  </si>
  <si>
    <t>ChiCTR1800018294</t>
  </si>
  <si>
    <t>NCT01884948</t>
  </si>
  <si>
    <t>ChiCTR-IPR-16008127</t>
  </si>
  <si>
    <t>ChiCTR-ICR-15005937</t>
  </si>
  <si>
    <t>ChiCTR-TRC-10001003</t>
  </si>
  <si>
    <t>nennen komplikationen ab Grad II, dann sehr differenziert bis inkl. IIIb, im Text keine Mortality angegeben, aber kein Vermerk zu Komplikationen Grad IV.</t>
  </si>
  <si>
    <t>NCT01307878</t>
  </si>
  <si>
    <t>NCT02333721</t>
  </si>
  <si>
    <t>NL8043</t>
  </si>
  <si>
    <t>NL9147</t>
  </si>
  <si>
    <t>ACTRN12607000538448</t>
  </si>
  <si>
    <t>NCT01657409</t>
  </si>
  <si>
    <t>NCT02404753</t>
  </si>
  <si>
    <t>geben nur Grad I und II an, ab III ausgeschlossen</t>
  </si>
  <si>
    <t>ChiCTR-TRC-09000543 and  NCT01661907</t>
  </si>
  <si>
    <t>definierne Komplikationen als CD Grad ≥2 und geben diese differenziert in supplementary data an</t>
  </si>
  <si>
    <t>NCT03769922</t>
  </si>
  <si>
    <t>ChiCTR1800015968</t>
  </si>
  <si>
    <t>ChiCTR2100045983</t>
  </si>
  <si>
    <t>NCT01807936</t>
  </si>
  <si>
    <t>NCT1580410</t>
  </si>
  <si>
    <t>NCT03028155</t>
  </si>
  <si>
    <t>NCT01607177</t>
  </si>
  <si>
    <t>gesamtzahl Komplikationen genannnt, keine Unterteilung</t>
  </si>
  <si>
    <t>NCT01303809</t>
  </si>
  <si>
    <t>Cutoff nicht genannt, nur major/minor je die Anzahl genannt</t>
  </si>
  <si>
    <t>NCT02584985</t>
  </si>
  <si>
    <t>ChiCTR-INR-17012652</t>
  </si>
  <si>
    <t>NCT01648894</t>
  </si>
  <si>
    <t>DRKS00016923</t>
  </si>
  <si>
    <t>NCT01480128</t>
  </si>
  <si>
    <t>DRKS00017517</t>
  </si>
  <si>
    <t>ISRCTN84013636</t>
  </si>
  <si>
    <t>NCT02961582</t>
  </si>
  <si>
    <t>NCT02767505</t>
  </si>
  <si>
    <t>NCT00790140</t>
  </si>
  <si>
    <t>ChiCTR2000031683</t>
  </si>
  <si>
    <t>genannt, dass keine grösser 3, aber die geringeren einzeln genannt ohne Grade</t>
  </si>
  <si>
    <t>NCT04555226</t>
  </si>
  <si>
    <t>NCT02256228</t>
  </si>
  <si>
    <t>UMIN000004848)</t>
  </si>
  <si>
    <t>keine Grad eangegeben sondern einzelne Komplikationen aufgelistet</t>
  </si>
  <si>
    <t>NCT01516710</t>
  </si>
  <si>
    <t>NCT00774098</t>
  </si>
  <si>
    <t>sehr spezifisch unrologische, einezlne Kopmlikationen nach Graden aufglistet aber nicht angegeben, ob dies die gesamten Komplikationen sind</t>
  </si>
  <si>
    <t>UMIN000013823</t>
  </si>
  <si>
    <t>Modifikation mit unklar, aber "Major morbidity was defined as CCI ≥26.2." und dann major morbidity für eine Gruppe mit 10 und für die andere mit 18% angegben, der CCI in der einen Gruppe soll aber 0 (0-14.4) und in der anderen 0 (0-0) gewesen sein.</t>
  </si>
  <si>
    <t>NCT02438865</t>
  </si>
  <si>
    <t>nennen einige im Text ohne genaue Grad bezeichnung, dann aber wieder dass es keien Grad IV und V gab</t>
  </si>
  <si>
    <t>NTR7265</t>
  </si>
  <si>
    <t>NCT02812173</t>
  </si>
  <si>
    <t>NCT02108431</t>
  </si>
  <si>
    <t>sagen nicht explizit, das es keine Grad IV und V komplikationen gab</t>
  </si>
  <si>
    <t>ChiCTR2000029323</t>
  </si>
  <si>
    <t>13 - Head and Neck Surgery</t>
  </si>
  <si>
    <t>je grösser Grad 2, grösser Grad 3 und gesamtkomplikationen angegeben</t>
  </si>
  <si>
    <t>defined postoperative complication as complications ≥3a</t>
  </si>
  <si>
    <t>KCT0004351</t>
  </si>
  <si>
    <t>ISRCTN54191675</t>
  </si>
  <si>
    <t>ACTRN12613001159741</t>
  </si>
  <si>
    <t>ACTRN12611001282976</t>
  </si>
  <si>
    <t>ISRCTN52263879</t>
  </si>
  <si>
    <t>NCT02687464</t>
  </si>
  <si>
    <t>NCT03000946</t>
  </si>
  <si>
    <t>NCT01799369</t>
  </si>
  <si>
    <t>DRKS00004191</t>
  </si>
  <si>
    <t>NCT04878640</t>
  </si>
  <si>
    <t>Grad III nicht differenziert</t>
  </si>
  <si>
    <t>NCT03550040</t>
  </si>
  <si>
    <t>Im Text Anzahl grösser/gleich IIIa genannt, aber nur unspezifischen Infos zu geringeren. Weder klar major/minor noch klar only severe</t>
  </si>
  <si>
    <t>NCT00475540</t>
  </si>
  <si>
    <t>ISRCTN52040363</t>
  </si>
  <si>
    <t>NCT03765645</t>
  </si>
  <si>
    <t>13 pediatric surgery</t>
  </si>
  <si>
    <t>Im Text Komplikationen teilweise genannt, nur eine IIIb mit Grad ansonsten kons/operativ</t>
  </si>
  <si>
    <t>NCT03446950</t>
  </si>
  <si>
    <t>ChiCTR1900021158</t>
  </si>
  <si>
    <t>13 - Organ Transplant Center</t>
  </si>
  <si>
    <t>NCT02745509</t>
  </si>
  <si>
    <t>Je Zusammengefasst Grade I undII sowie III und IV, separat V.</t>
  </si>
  <si>
    <t>NCT03240367</t>
  </si>
  <si>
    <t>NCT01809119</t>
  </si>
  <si>
    <t>only ≥2, without overall complication rate</t>
  </si>
  <si>
    <t>NCT02762214</t>
  </si>
  <si>
    <t>NCT04276532</t>
  </si>
  <si>
    <t>NCT04668391</t>
  </si>
  <si>
    <t>NCT01215071</t>
  </si>
  <si>
    <t>NCT01534416</t>
  </si>
  <si>
    <t>Grad I und II diferenziert und dann alles inkl. Und über 3 angegeben</t>
  </si>
  <si>
    <t>NCT03742752</t>
  </si>
  <si>
    <t>NTR7318</t>
  </si>
  <si>
    <t>NCT02485392</t>
  </si>
  <si>
    <t>ISRCTN33682933</t>
  </si>
  <si>
    <t>NCT03509428</t>
  </si>
  <si>
    <t>13 - School of Clinical and Experimental Science, Faculty of Medicine</t>
  </si>
  <si>
    <t>Im Text höhergradige Komplikationen einzeln inkl Grade genannt, geringgradige nicht aufgelistet</t>
  </si>
  <si>
    <t>NCT00841607</t>
  </si>
  <si>
    <t>Zusammenfassung der Komplikationen egal welchen Grades in % Komplikationen aus der Gruppe.</t>
  </si>
  <si>
    <t>ISRCTN01624686</t>
  </si>
  <si>
    <t>NCT03936764</t>
  </si>
  <si>
    <t>NCT01735591</t>
  </si>
  <si>
    <t>NCT03561727</t>
  </si>
  <si>
    <t>NCT00512213</t>
  </si>
  <si>
    <t>13 - Clinical Nutrition Unit</t>
  </si>
  <si>
    <t>Durchschnittwerte von Komplikationsgraden  genannt</t>
  </si>
  <si>
    <t>NCT01058746</t>
  </si>
  <si>
    <t>UMIN000006044</t>
  </si>
  <si>
    <t>NTR5458</t>
  </si>
  <si>
    <t>NCT01792934</t>
  </si>
  <si>
    <t>Komplikationen über Grad II genannt und je mit Notiz höhergradige als Grad III in Anzahl/Gruppe</t>
  </si>
  <si>
    <t>NCT02004652</t>
  </si>
  <si>
    <t>NCT01818375</t>
  </si>
  <si>
    <t>NCT03682627</t>
  </si>
  <si>
    <t>NCT01900327</t>
  </si>
  <si>
    <t>NCT01784900</t>
  </si>
  <si>
    <t>DRKS00015720</t>
  </si>
  <si>
    <t>NCT03040011</t>
  </si>
  <si>
    <t>NCT01727570</t>
  </si>
  <si>
    <t>NCT01356264</t>
  </si>
  <si>
    <t>NCT0208452</t>
  </si>
  <si>
    <t>NCT04438447</t>
  </si>
  <si>
    <t>13 - Bioinformatics Biostatistics and Bioimaging</t>
  </si>
  <si>
    <t>NCT01167387</t>
  </si>
  <si>
    <t>ISRCTN, 89500674</t>
  </si>
  <si>
    <t>nennen alle ab grad 3 und Grad 1-2 nur, die die mehr als 10% der Pat hatten</t>
  </si>
  <si>
    <t>NTR3853</t>
  </si>
  <si>
    <t>researchregistry1991</t>
  </si>
  <si>
    <t>NCT02505750</t>
  </si>
  <si>
    <t>ChiCTR-TRC-14004287</t>
  </si>
  <si>
    <t>NCT02727153</t>
  </si>
  <si>
    <t>NCT02041793</t>
  </si>
  <si>
    <t>NCT0404636</t>
  </si>
  <si>
    <t>NCT04292496</t>
  </si>
  <si>
    <t>für jede Gruppe Grad I angegebn, nennen nicht klar, dass keine weiteren Komplikationen auftraten</t>
  </si>
  <si>
    <t xml:space="preserve">DRKS00004414 </t>
  </si>
  <si>
    <t>nennen, dass es keine grösser/gleich Komplikationen CD IIIa gibt aber keine Anzahl geringergradiger</t>
  </si>
  <si>
    <t>NCT02937649</t>
  </si>
  <si>
    <t>NL43951.101.13 and NTR4466.</t>
  </si>
  <si>
    <t>NCT03565354</t>
  </si>
  <si>
    <t xml:space="preserve">NCT03758209). </t>
  </si>
  <si>
    <t>je nach 7 und 30 Tagen</t>
  </si>
  <si>
    <t>UMIN000013926</t>
  </si>
  <si>
    <t>Nennt im Text nur Grad 1 und 2 Komplikationen ohne genaue angaben</t>
  </si>
  <si>
    <t>NCT01862562</t>
  </si>
  <si>
    <t>NCT01861678</t>
  </si>
  <si>
    <t>NCT02118844</t>
  </si>
  <si>
    <t>NTR7036</t>
  </si>
  <si>
    <t>NCT00500968.</t>
  </si>
  <si>
    <t>ISRCTN10329248</t>
  </si>
  <si>
    <t>NCT01858987</t>
  </si>
  <si>
    <t>ACTRN12622000636752p</t>
  </si>
  <si>
    <t>NCT02333435</t>
  </si>
  <si>
    <t>ISRCTN  88843062</t>
  </si>
  <si>
    <t>NCT01610726</t>
  </si>
  <si>
    <t>NCT03435900</t>
  </si>
  <si>
    <t>NCT02363374</t>
  </si>
  <si>
    <t>no subgrades</t>
  </si>
  <si>
    <t>NCT00726622</t>
  </si>
  <si>
    <t>Gesamtzahl Komplikationen, dann weiter aufgelistet Grad 3, 4, &amp; 5</t>
  </si>
  <si>
    <t>NCT03451643</t>
  </si>
  <si>
    <t>NCT02131844</t>
  </si>
  <si>
    <t>NCT03862612</t>
  </si>
  <si>
    <t>NCT04370951</t>
  </si>
  <si>
    <t>DRKS00004226</t>
  </si>
  <si>
    <t>NCT02857855</t>
  </si>
  <si>
    <t>NCT01583322</t>
  </si>
  <si>
    <t>no grade IV reported</t>
  </si>
  <si>
    <t>NCT02817126</t>
  </si>
  <si>
    <t>NCT01985698</t>
  </si>
  <si>
    <t>ChiCTR2000040021</t>
  </si>
  <si>
    <t>ChiCTR2100045671</t>
  </si>
  <si>
    <t>ISRCTN64578872</t>
  </si>
  <si>
    <t xml:space="preserve">ISRCTN 53154834 </t>
  </si>
  <si>
    <t>NCT01514032</t>
  </si>
  <si>
    <t>NCT02320565 and NCT02320578</t>
  </si>
  <si>
    <t>NCT03402282</t>
  </si>
  <si>
    <t>NCT03719547</t>
  </si>
  <si>
    <t>NCT01717781</t>
  </si>
  <si>
    <t>NCT04287088</t>
  </si>
  <si>
    <t>EudraCT, 2014-002345-21, and ClinicalTrials.gov, NCT02505581</t>
  </si>
  <si>
    <t>NTR1697</t>
  </si>
  <si>
    <t>NCT02867865</t>
  </si>
  <si>
    <t>NCT05401188</t>
  </si>
  <si>
    <t>NCT02214602</t>
  </si>
  <si>
    <t>NCT02625701</t>
  </si>
  <si>
    <t>NCT01865071</t>
  </si>
  <si>
    <t>13 - Research Unit of Surgery</t>
  </si>
  <si>
    <t>Geben bei Grad III in klammern an "under anesthesia" insofern könnte man es als IIIb werten und somit 1 - 0 - 0, da sie selber die Differenzierung nirgens schreiben habe ich inkomplett gewählt</t>
  </si>
  <si>
    <t>NCT01846637</t>
  </si>
  <si>
    <t>NCT04823832</t>
  </si>
  <si>
    <t>NCT02474914</t>
  </si>
  <si>
    <t>Studie erwähnt lediglich gesamtzahl komplikationen/gruppe in Tabelle ohne nochmals aus CD z uverweisen. Erneut für 0 - na - na stat für 2 - 3 - 0 entschieden.</t>
  </si>
  <si>
    <t>NCT00986791</t>
  </si>
  <si>
    <t>NCT02428829</t>
  </si>
  <si>
    <t>Nennt CD im Methodenteil. Nennt in Tabelle Gesamtzahl Komplikationen ohne Gradeinteilungen. Könnte auch 2-3-0 gewertet werden.</t>
  </si>
  <si>
    <t>NCT01262417</t>
  </si>
  <si>
    <t>NCT02449720</t>
  </si>
  <si>
    <t xml:space="preserve">ACTRN12618001261202 </t>
  </si>
  <si>
    <t>NCT02569450.</t>
  </si>
  <si>
    <t>ACTRN 12617001065381 and NCT04316013</t>
  </si>
  <si>
    <t>ISRCTN16601772</t>
  </si>
  <si>
    <t>NCT05464706</t>
  </si>
  <si>
    <t>NCT01726465</t>
  </si>
  <si>
    <t>NCT03719573</t>
  </si>
  <si>
    <t>NCT03130166</t>
  </si>
  <si>
    <t>NCT04254679</t>
  </si>
  <si>
    <t>13:ain Management Unit (a.e. 9)</t>
  </si>
  <si>
    <t>NCT03317990</t>
  </si>
  <si>
    <t>NCT04540315</t>
  </si>
  <si>
    <t>13 Public Health</t>
  </si>
  <si>
    <t>NCT01810874</t>
  </si>
  <si>
    <t>Grade I und II zusammen und IIIa und grösser (partiell aufgeschlüsselt) Gesamtzahl komplikationen ersichtlich.</t>
  </si>
  <si>
    <t>NCT02676726</t>
  </si>
  <si>
    <t xml:space="preserve">postoperative Komplikationen innerhalb von 28 Tagen, nur zwei Komplikationen in gesamter Studienpopulation ab IIIa </t>
  </si>
  <si>
    <t>NCT02773173</t>
  </si>
  <si>
    <t>ISRCTN43457163</t>
  </si>
  <si>
    <t>total nubmer of complications according to CD grade 2 and above given</t>
  </si>
  <si>
    <t>ISRCTN71842827</t>
  </si>
  <si>
    <t>CD subgroup 1-2 soe IV zusammengefasst.</t>
  </si>
  <si>
    <t>multiple primary endpopoints, few significant</t>
  </si>
  <si>
    <t>NCT03792009</t>
  </si>
  <si>
    <t>KCT0007069</t>
  </si>
  <si>
    <t>NCT01247389</t>
  </si>
  <si>
    <t>KC15EISI0015</t>
  </si>
  <si>
    <t>NCT01759901</t>
  </si>
  <si>
    <t>NCT00730743</t>
  </si>
  <si>
    <t>KCT0003717</t>
  </si>
  <si>
    <t>only report that no complication higher than IIIb</t>
  </si>
  <si>
    <t>NCT02067221</t>
  </si>
  <si>
    <t>NCT02727322</t>
  </si>
  <si>
    <t>NCT01571544</t>
  </si>
  <si>
    <t>reported use of CD in results, but no grades reported</t>
  </si>
  <si>
    <t>NCT02188446</t>
  </si>
  <si>
    <t>NCT01986699</t>
  </si>
  <si>
    <t>NCT05513443</t>
  </si>
  <si>
    <t>DRKS00003116</t>
  </si>
  <si>
    <t>NCT03880773</t>
  </si>
  <si>
    <t>NCT01317485</t>
  </si>
  <si>
    <t>NCT02740608</t>
  </si>
  <si>
    <t>NCT02654652</t>
  </si>
  <si>
    <t>NCT03875989</t>
  </si>
  <si>
    <t>NCT02919787</t>
  </si>
  <si>
    <t>NCT04575233</t>
  </si>
  <si>
    <t>NCT03957109</t>
  </si>
  <si>
    <t>NCT03269955</t>
  </si>
  <si>
    <t>UMIN000018852</t>
  </si>
  <si>
    <t>grade I/II pooled</t>
  </si>
  <si>
    <t>NCT03317184</t>
  </si>
  <si>
    <t>ISRCTN12189372</t>
  </si>
  <si>
    <t>NCT03522259</t>
  </si>
  <si>
    <t>NCT01595230</t>
  </si>
  <si>
    <t>DRKS00008020</t>
  </si>
  <si>
    <t>NCT01117519</t>
  </si>
  <si>
    <t>NCT04219787</t>
  </si>
  <si>
    <t>NCT02601092</t>
  </si>
  <si>
    <t>NCT04534998</t>
  </si>
  <si>
    <t>NCT02652637</t>
  </si>
  <si>
    <t>NCT03772028</t>
  </si>
  <si>
    <t>KCT0006350</t>
  </si>
  <si>
    <t>UMIN000022341</t>
  </si>
  <si>
    <t>UMIN 000010801</t>
  </si>
  <si>
    <t>NCT01921985</t>
  </si>
  <si>
    <t>TCTR20140213001</t>
  </si>
  <si>
    <t>NCT02481427</t>
  </si>
  <si>
    <t>NCT02848820</t>
  </si>
  <si>
    <t>DRKS00008023</t>
  </si>
  <si>
    <t>DRKS00007784</t>
  </si>
  <si>
    <t>DRKS00020407</t>
  </si>
  <si>
    <t>DRKS00027927</t>
  </si>
  <si>
    <t>NCT01362127</t>
  </si>
  <si>
    <t>primary outcome not reported</t>
  </si>
  <si>
    <t>NCT02997267</t>
  </si>
  <si>
    <t>NCT03980704</t>
  </si>
  <si>
    <t>DRKS00012447</t>
  </si>
  <si>
    <t> NCT02415335</t>
  </si>
  <si>
    <t>NCT02711449</t>
  </si>
  <si>
    <t>NCT01084070</t>
  </si>
  <si>
    <t> NCT02026687</t>
  </si>
  <si>
    <t>UMIN000004483</t>
  </si>
  <si>
    <t>NCT03163095</t>
  </si>
  <si>
    <t>NCT04801238</t>
  </si>
  <si>
    <t>NCT00546468</t>
  </si>
  <si>
    <t>NCT01591798</t>
  </si>
  <si>
    <t>HDT 20180607-HE002</t>
  </si>
  <si>
    <t>KCT 0001877</t>
  </si>
  <si>
    <t>NCT02747550</t>
  </si>
  <si>
    <t> NCT02843191</t>
  </si>
  <si>
    <t>ISRCTN28499748</t>
  </si>
  <si>
    <t>NCT05356962</t>
  </si>
  <si>
    <t>NCT01701310</t>
  </si>
  <si>
    <t>NSC# 737754</t>
  </si>
  <si>
    <t>NCT01384617</t>
  </si>
  <si>
    <t>NCT01526668</t>
  </si>
  <si>
    <t>NCT01044550</t>
  </si>
  <si>
    <t>NCT02644876 oder ChiCTR-IPC-15006603</t>
  </si>
  <si>
    <t>protocol of published RCT, already included in this database (6988)</t>
  </si>
  <si>
    <t>protocol of published study already included in this database (5256)</t>
  </si>
  <si>
    <t>protocol of published study already included in this database (2882)</t>
  </si>
  <si>
    <t>protocol of published RCT, already included in this database (11906)</t>
  </si>
  <si>
    <t>protocol of published RCT, already included in this database (10436)</t>
  </si>
  <si>
    <t>protocol of published RCT, already included in this database (12423)</t>
  </si>
  <si>
    <t>protocol of published RCT, already included in this database (4822)</t>
  </si>
  <si>
    <t>protocol of published RCT, already included in this database (9217)</t>
  </si>
  <si>
    <t>protocol of published RCT, already included in this database (6257)</t>
  </si>
  <si>
    <t>protocol of published RCT, already included in this database (4265)</t>
  </si>
  <si>
    <t>protocol of published RCT, already included in this database (1474)</t>
  </si>
  <si>
    <t>protocol of published RCT, already included in this database (11525)</t>
  </si>
  <si>
    <t>protocol of published RCT, already included in this database (5748)</t>
  </si>
  <si>
    <t>protocol of published RCT, already included in this database (10136)</t>
  </si>
  <si>
    <t>protocol of published RCT, already included in this database (5449)</t>
  </si>
  <si>
    <t> NCT01675999</t>
  </si>
  <si>
    <t>NCT01675999</t>
  </si>
  <si>
    <t>NCT02895464</t>
  </si>
  <si>
    <t>NCT02673502</t>
  </si>
  <si>
    <t>NCT02261415</t>
  </si>
  <si>
    <t> NCT01960049</t>
  </si>
  <si>
    <t>NCT02451319</t>
  </si>
  <si>
    <t>NCT03009227</t>
  </si>
  <si>
    <t>NCT04293146</t>
  </si>
  <si>
    <t>DRKS00024102</t>
  </si>
  <si>
    <t>NCT01007318</t>
  </si>
  <si>
    <t>UMIN000029227</t>
  </si>
  <si>
    <t>ISRCTN Serial No. 11393</t>
  </si>
  <si>
    <t>NCT05080114</t>
  </si>
  <si>
    <t>DRKS00013763</t>
  </si>
  <si>
    <t>jRCTs 03220332</t>
  </si>
  <si>
    <t>NCT00722709</t>
  </si>
  <si>
    <t>NCT03386435</t>
  </si>
  <si>
    <t>NCT00915265</t>
  </si>
  <si>
    <t>NTR5821</t>
  </si>
  <si>
    <t>mean CD Score reported</t>
  </si>
  <si>
    <t>ISRCTN03274575</t>
  </si>
  <si>
    <t>NCT05042882</t>
  </si>
  <si>
    <t>NCT03134534</t>
  </si>
  <si>
    <t>NCT02533271</t>
  </si>
  <si>
    <t>NCT04400357</t>
  </si>
  <si>
    <t>ChiCTR2000036396</t>
  </si>
  <si>
    <t>NCT01899547</t>
  </si>
  <si>
    <t>M20100122</t>
  </si>
  <si>
    <t>NCT03808974</t>
  </si>
  <si>
    <t>NCT01166373</t>
  </si>
  <si>
    <t>NCT03367728</t>
  </si>
  <si>
    <t>EudraCT: 2017-002036-17 and NL7094 , NL61961.078.17, MEC-2018-004</t>
  </si>
  <si>
    <t>NCT01023594</t>
  </si>
  <si>
    <t xml:space="preserve">Major/minor angegeben. </t>
  </si>
  <si>
    <t>NCT04378868</t>
  </si>
  <si>
    <t>NCT02538991</t>
  </si>
  <si>
    <t>NCT00240188</t>
  </si>
  <si>
    <t>rappoertieren major/minor aber definieren keinen cutoff</t>
  </si>
  <si>
    <t>jRCTs041190062</t>
  </si>
  <si>
    <t>geben nur Komplikationen grösser IIIa an</t>
  </si>
  <si>
    <t>NCT03722563</t>
  </si>
  <si>
    <t>NCT01492790</t>
  </si>
  <si>
    <t>NTC01963312</t>
  </si>
  <si>
    <t>in Prozenten Gradzahlen ohne Differenzierung im Text angegeben</t>
  </si>
  <si>
    <t>UMIN000003169</t>
  </si>
  <si>
    <t>NCT02852512</t>
  </si>
  <si>
    <t>NCT02789878</t>
  </si>
  <si>
    <t>NCT03750032</t>
  </si>
  <si>
    <t>Im Text einige Komplikationen mit Graden ohne nachvollziehbare Vollständigkeit genannt.</t>
  </si>
  <si>
    <t>NCT03045965</t>
  </si>
  <si>
    <t>UMIN000006380</t>
  </si>
  <si>
    <t>Definieren Morbidity als grösser/gleich III und geben dann unterschiedliche Komplikationen mit Anzahl und Prozenten an.</t>
  </si>
  <si>
    <t>C000008372</t>
  </si>
  <si>
    <t>Geben CD grösser/gleich IIIa an</t>
  </si>
  <si>
    <t>NCT02309931</t>
  </si>
  <si>
    <t>NCT02892643</t>
  </si>
  <si>
    <t>NCT01787955</t>
  </si>
  <si>
    <t>3 Gruppen: I und II, IIIa-IIIb, Iva-V</t>
  </si>
  <si>
    <t>NCT02372331</t>
  </si>
  <si>
    <t>DRKS00013997</t>
  </si>
  <si>
    <t>DRKS00004900</t>
  </si>
  <si>
    <t>haben die Morbidität in drei Kategorien aufgeteilt, die mit CD nichts zu tun haben</t>
  </si>
  <si>
    <t>DRKS00004900 and U1111-L8851142-4420</t>
  </si>
  <si>
    <t>NCT02201732</t>
  </si>
  <si>
    <t>Nennen nirgends die Gesamtzahl Kompliaktionen, ansonsten wahrscheinlich vollständig</t>
  </si>
  <si>
    <t>NCT00517608</t>
  </si>
  <si>
    <t>NCT00508300</t>
  </si>
  <si>
    <t>DRKS00027865</t>
  </si>
  <si>
    <t>ChiCTR1900027417</t>
  </si>
  <si>
    <t>Major/minor angegeben</t>
  </si>
  <si>
    <t>ChiCTR-IOR-16008109</t>
  </si>
  <si>
    <t>DFS nach 3 Jahren primary EP, dies short term results</t>
  </si>
  <si>
    <t>ChiCTRIOR-15006518</t>
  </si>
  <si>
    <t>NCT02632097</t>
  </si>
  <si>
    <t>nennen ein IIIB Komplikation und sagen, dass alle weiteren I und II waren</t>
  </si>
  <si>
    <t>Major Complications, beginnen ab IIIb</t>
  </si>
  <si>
    <t>EudraCT number: 2021-002816-30</t>
  </si>
  <si>
    <t>NCT03323242</t>
  </si>
  <si>
    <t>DRKS00010427</t>
  </si>
  <si>
    <t>NCT01320319</t>
  </si>
  <si>
    <t>UMIN000029561</t>
  </si>
  <si>
    <t>UMIN000023318</t>
  </si>
  <si>
    <t>NCT04124757</t>
  </si>
  <si>
    <t>ACTRN12616001569493</t>
  </si>
  <si>
    <t>ACTRN12618001860257</t>
  </si>
  <si>
    <t>NCT03317886 and UMIN000029615</t>
  </si>
  <si>
    <t>ACTRN12615000041550</t>
  </si>
  <si>
    <t>Grad I und II genannt, III und IV zusammengefasst und V nicht erwähnt.</t>
  </si>
  <si>
    <t>ISRCTN13846816</t>
  </si>
  <si>
    <t>Grade I and II = minor, grösser/gleich IIIa major, mortalität separat angegeben</t>
  </si>
  <si>
    <t>NCT04361799</t>
  </si>
  <si>
    <t>CT01984216</t>
  </si>
  <si>
    <t>NCT03658278</t>
  </si>
  <si>
    <t>NCT01314027</t>
  </si>
  <si>
    <t>NCT02560662</t>
  </si>
  <si>
    <t>DRKS00030576</t>
  </si>
  <si>
    <t>same protocol/population in study 5689</t>
  </si>
  <si>
    <t>same protocol/population in study 5866</t>
  </si>
  <si>
    <t>same protocol/population in study 12012</t>
  </si>
  <si>
    <t>secondary analysis of study 5117</t>
  </si>
  <si>
    <t>protocol of published RCT, already included in this database (8222)</t>
  </si>
  <si>
    <t>protocol of published RCT, already included in this database (6618)</t>
  </si>
  <si>
    <t>protocol of published RCT, already included in this database (8249)</t>
  </si>
  <si>
    <t>Exploratory analysis of study 411</t>
  </si>
  <si>
    <t>follow-up study of study 8181</t>
  </si>
  <si>
    <t>same protocol/population in study added13</t>
  </si>
  <si>
    <t>secondary analysis of study 11260</t>
  </si>
  <si>
    <t>secondary analysis of study 5613</t>
  </si>
  <si>
    <t>secondary analysis of study added29</t>
  </si>
  <si>
    <t>added38</t>
  </si>
  <si>
    <t>Secondary analysis of study added38</t>
  </si>
  <si>
    <t>secondary analysis of study 6043</t>
  </si>
  <si>
    <t>secondary analysis of study 10241</t>
  </si>
  <si>
    <t>fulltext in spanish</t>
  </si>
  <si>
    <t>exploratory analysis of the JCOG0912 trial. Original trial uses  JCOG postoperative complication criteria, therefore not included in this list.</t>
  </si>
  <si>
    <t>protocol of published RCT, already included in this database (646)</t>
  </si>
  <si>
    <t>follow-up of study added13</t>
  </si>
  <si>
    <t>follow-up of study 2952</t>
  </si>
  <si>
    <t>follow-up of study 3192</t>
  </si>
  <si>
    <t>secondary analysis of study 6618</t>
  </si>
  <si>
    <t>same protocol/population in study 4641</t>
  </si>
  <si>
    <t>secondary analysis of study 5781</t>
  </si>
  <si>
    <t>post-hoc analysis of study 9496</t>
  </si>
  <si>
    <t>Interim Analysis of study 145</t>
  </si>
  <si>
    <t>post-hoc analysis of study 10483</t>
  </si>
  <si>
    <t>pooled analysis of 2 RCTs</t>
  </si>
  <si>
    <t>follow-up study of study 1849</t>
  </si>
  <si>
    <t>protocol of published RCT, already included in this database (7233)</t>
  </si>
  <si>
    <t>no access</t>
  </si>
  <si>
    <t>post-hoc analysis of study 10488</t>
  </si>
  <si>
    <t>ancillary analysis</t>
  </si>
  <si>
    <t>feasibility trial</t>
  </si>
  <si>
    <t>secondary analysis of study 8256</t>
  </si>
  <si>
    <t>NCT000002669</t>
  </si>
  <si>
    <t>Preliminary data</t>
  </si>
  <si>
    <t>preliminalry results</t>
  </si>
  <si>
    <t>only grade 1 and 2, without overall</t>
  </si>
  <si>
    <t>protocol of published study already included in this database (3797)</t>
  </si>
  <si>
    <t>post-hoc analysis, primary analysis not included in database</t>
  </si>
  <si>
    <t>protocol of published RCT, already included in this database (1121)</t>
  </si>
  <si>
    <t>added1</t>
  </si>
  <si>
    <t>Prophylactic Penehyclidine Inhalation for Prevention of Postoperative Pulmonary Complications in High-risk Patients: A Double-blind Randomized Trial</t>
  </si>
  <si>
    <t>Ting Yan, M.D.; Xin-Quan Liang, M.D.; Guo-Jun Wang, M.D.; Tong Wang, M.D.; Wei-Ou Li, M.D.; Yang Liu, M.D.; Liang-Yu Wu, M.D.; Kun-Yao Yu, M.D.; Sai-Nan Zhu, M.Sc.; Dong-Xin Wang, M.D., Ph.D.; Daniel I. Sessler, M.D.</t>
  </si>
  <si>
    <t>Anesthesiology</t>
  </si>
  <si>
    <t>https://pubs.asahq.org/anesthesiology/article/136/4/551/135653/Prophylactic-Penehyclidine-Inhalation-for</t>
  </si>
  <si>
    <t>NCT02644876</t>
  </si>
  <si>
    <t>added2</t>
  </si>
  <si>
    <t>Effects of Perioperative Oral Nutrition Supplementation in Malaysian Patients Undergoing Elective Surgery for Breast and Colorectal Cancers-A Randomised Controlled Trial</t>
  </si>
  <si>
    <t>Ting Xuan Wong 1, Wei Xiang Wong 1, Seong Ting Chen 1, Shu Hwa Ong 1, Sangeetha Shyam 1, Nurzarina Ahmed 2, Khairul Hazim Hamdan 3, Raflis Ruzairee Awang 3, Mohd Razali Ibrahim 3, Kandasami Palayan 4, Winnie Siew Swee Chee 1</t>
  </si>
  <si>
    <t>Nutrients</t>
  </si>
  <si>
    <t>https://www.mdpi.com/2072-6643/14/3/615</t>
  </si>
  <si>
    <t>https://doi.org/10.3390/nu14030615</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</si>
  <si>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</si>
  <si>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</si>
  <si>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</si>
  <si>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</si>
  <si>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</si>
  <si>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added4</t>
  </si>
  <si>
    <t>Results of a randomized trial of treatment modalities in patients with low or early-intermediate risk prostate cancer (PREFERE trial)</t>
  </si>
  <si>
    <t>Thomas Wiegel 1, Peter Albers 2, Detlef Bartkowiak 3, Roswitha Bussar-Maatz 4, Martin Härter 5, Glen Kristiansen 6, Peter Martus 7, Stefan Wellek 8, Heinz Schmidberger 9, Klaus Grozinger 10, Peter Renner 11, Fried Schneider 12, Martin Burmester 13, Michael Stöckle 14</t>
  </si>
  <si>
    <t>J Cancer Res Clin Oncol</t>
  </si>
  <si>
    <t>https://doi.org/10.1007/s00432-020-03327-2</t>
  </si>
  <si>
    <t>added5</t>
  </si>
  <si>
    <t>Restrictive strategy versus usual care for cholecystectomy in patients with gallstones and abdominal pain (SECURE): a multicentre, randomised, parallel-arm, non-inferiority trial</t>
  </si>
  <si>
    <t>Aafke H van Dijk*, Sarah Z Wennmacker*, Philip R de Reuver, Carmen S S Latenstein, Otmar Buyne, Sandra C Donkervoort, Quirijn A J Eijsbouts, Joos Heisterkamp, Klaas in ‘t Hof, Jan Janssen, Vincent B Nieuwenhuijs, Henk M Schaap, Pascal Steenvoorde, Hein B A C Stockmann, Djamila Boerma, Gert P Westert, Joost P H Drenth, Marcel G W Dijkgraaf, Marja A Boermeester, Cornelius J H M van Laarhoven</t>
  </si>
  <si>
    <t>The lancet</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</si>
  <si>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</si>
  <si>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</si>
  <si>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</si>
  <si>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</si>
  <si>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</si>
  <si>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</si>
  <si>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13 Neck and head</t>
  </si>
  <si>
    <t>added7</t>
  </si>
  <si>
    <t>Laparoscopic Sentinel Node Navigation Surgery for Stomach Preservation in Patients With Early Gastric Cancer: A Randomized Clinical Trial</t>
  </si>
  <si>
    <t xml:space="preserve">10.1200/JCO.21.02242 </t>
  </si>
  <si>
    <t>added8</t>
  </si>
  <si>
    <t>Effect of oral antimicrobial prophylaxis on surgical site infection after elective colorectal surgery: multicentre, randomised, double blind, placebo controlled trial</t>
  </si>
  <si>
    <r>
      <t>Emmanuel Futier</t>
    </r>
    <r>
      <rPr>
        <vertAlign val="superscript"/>
        <sz val="12"/>
        <color theme="1"/>
        <rFont val="Calibri"/>
        <family val="2"/>
        <scheme val="minor"/>
      </rPr>
      <t xml:space="preserve">  1   2 </t>
    </r>
    <r>
      <rPr>
        <sz val="12"/>
        <color theme="1"/>
        <rFont val="Calibri"/>
        <family val="2"/>
        <scheme val="minor"/>
      </rPr>
      <t>, Samir Jaber</t>
    </r>
    <r>
      <rPr>
        <vertAlign val="superscript"/>
        <sz val="12"/>
        <color theme="1"/>
        <rFont val="Calibri"/>
        <family val="2"/>
        <scheme val="minor"/>
      </rPr>
      <t xml:space="preserve">  3   4 </t>
    </r>
    <r>
      <rPr>
        <sz val="12"/>
        <color theme="1"/>
        <rFont val="Calibri"/>
        <family val="2"/>
        <scheme val="minor"/>
      </rPr>
      <t>, Matthias Garot</t>
    </r>
    <r>
      <rPr>
        <vertAlign val="superscript"/>
        <sz val="12"/>
        <color theme="1"/>
        <rFont val="Calibri"/>
        <family val="2"/>
        <scheme val="minor"/>
      </rPr>
      <t xml:space="preserve">  5 </t>
    </r>
    <r>
      <rPr>
        <sz val="12"/>
        <color theme="1"/>
        <rFont val="Calibri"/>
        <family val="2"/>
        <scheme val="minor"/>
      </rPr>
      <t>, Marie Vignaud</t>
    </r>
    <r>
      <rPr>
        <vertAlign val="superscript"/>
        <sz val="12"/>
        <color theme="1"/>
        <rFont val="Calibri"/>
        <family val="2"/>
        <scheme val="minor"/>
      </rPr>
      <t xml:space="preserve">  6 </t>
    </r>
    <r>
      <rPr>
        <sz val="12"/>
        <color theme="1"/>
        <rFont val="Calibri"/>
        <family val="2"/>
        <scheme val="minor"/>
      </rPr>
      <t>, Yves Panis</t>
    </r>
    <r>
      <rPr>
        <vertAlign val="superscript"/>
        <sz val="12"/>
        <color theme="1"/>
        <rFont val="Calibri"/>
        <family val="2"/>
        <scheme val="minor"/>
      </rPr>
      <t xml:space="preserve">  7 </t>
    </r>
    <r>
      <rPr>
        <sz val="12"/>
        <color theme="1"/>
        <rFont val="Calibri"/>
        <family val="2"/>
        <scheme val="minor"/>
      </rPr>
      <t>, Karem Slim</t>
    </r>
    <r>
      <rPr>
        <vertAlign val="superscript"/>
        <sz val="12"/>
        <color theme="1"/>
        <rFont val="Calibri"/>
        <family val="2"/>
        <scheme val="minor"/>
      </rPr>
      <t xml:space="preserve">  8 </t>
    </r>
    <r>
      <rPr>
        <sz val="12"/>
        <color theme="1"/>
        <rFont val="Calibri"/>
        <family val="2"/>
        <scheme val="minor"/>
      </rPr>
      <t>, Jean-Christophe Lucet</t>
    </r>
    <r>
      <rPr>
        <vertAlign val="superscript"/>
        <sz val="12"/>
        <color theme="1"/>
        <rFont val="Calibri"/>
        <family val="2"/>
        <scheme val="minor"/>
      </rPr>
      <t xml:space="preserve">  9   10 </t>
    </r>
    <r>
      <rPr>
        <sz val="12"/>
        <color theme="1"/>
        <rFont val="Calibri"/>
        <family val="2"/>
        <scheme val="minor"/>
      </rPr>
      <t>, Gilles Lebuffe</t>
    </r>
    <r>
      <rPr>
        <vertAlign val="superscript"/>
        <sz val="12"/>
        <color theme="1"/>
        <rFont val="Calibri"/>
        <family val="2"/>
        <scheme val="minor"/>
      </rPr>
      <t xml:space="preserve">  5 </t>
    </r>
    <r>
      <rPr>
        <sz val="12"/>
        <color theme="1"/>
        <rFont val="Calibri"/>
        <family val="2"/>
        <scheme val="minor"/>
      </rPr>
      <t>, Alexandre Ouattara</t>
    </r>
    <r>
      <rPr>
        <vertAlign val="superscript"/>
        <sz val="12"/>
        <color theme="1"/>
        <rFont val="Calibri"/>
        <family val="2"/>
        <scheme val="minor"/>
      </rPr>
      <t xml:space="preserve">  11   12 </t>
    </r>
    <r>
      <rPr>
        <sz val="12"/>
        <color theme="1"/>
        <rFont val="Calibri"/>
        <family val="2"/>
        <scheme val="minor"/>
      </rPr>
      <t>, Younes El Amine</t>
    </r>
    <r>
      <rPr>
        <vertAlign val="superscript"/>
        <sz val="12"/>
        <color theme="1"/>
        <rFont val="Calibri"/>
        <family val="2"/>
        <scheme val="minor"/>
      </rPr>
      <t xml:space="preserve">  13 </t>
    </r>
    <r>
      <rPr>
        <sz val="12"/>
        <color theme="1"/>
        <rFont val="Calibri"/>
        <family val="2"/>
        <scheme val="minor"/>
      </rPr>
      <t>, Philippe Couderc</t>
    </r>
    <r>
      <rPr>
        <vertAlign val="superscript"/>
        <sz val="12"/>
        <color theme="1"/>
        <rFont val="Calibri"/>
        <family val="2"/>
        <scheme val="minor"/>
      </rPr>
      <t xml:space="preserve">  14 </t>
    </r>
    <r>
      <rPr>
        <sz val="12"/>
        <color theme="1"/>
        <rFont val="Calibri"/>
        <family val="2"/>
        <scheme val="minor"/>
      </rPr>
      <t>, Aurélien Dupré</t>
    </r>
    <r>
      <rPr>
        <vertAlign val="superscript"/>
        <sz val="12"/>
        <color theme="1"/>
        <rFont val="Calibri"/>
        <family val="2"/>
        <scheme val="minor"/>
      </rPr>
      <t xml:space="preserve">  15   16 </t>
    </r>
    <r>
      <rPr>
        <sz val="12"/>
        <color theme="1"/>
        <rFont val="Calibri"/>
        <family val="2"/>
        <scheme val="minor"/>
      </rPr>
      <t>, Audrey De Jong</t>
    </r>
    <r>
      <rPr>
        <vertAlign val="superscript"/>
        <sz val="12"/>
        <color theme="1"/>
        <rFont val="Calibri"/>
        <family val="2"/>
        <scheme val="minor"/>
      </rPr>
      <t xml:space="preserve">  3 </t>
    </r>
    <r>
      <rPr>
        <sz val="12"/>
        <color theme="1"/>
        <rFont val="Calibri"/>
        <family val="2"/>
        <scheme val="minor"/>
      </rPr>
      <t>, Sigismond Lasocki</t>
    </r>
    <r>
      <rPr>
        <vertAlign val="superscript"/>
        <sz val="12"/>
        <color theme="1"/>
        <rFont val="Calibri"/>
        <family val="2"/>
        <scheme val="minor"/>
      </rPr>
      <t xml:space="preserve">  17 </t>
    </r>
    <r>
      <rPr>
        <sz val="12"/>
        <color theme="1"/>
        <rFont val="Calibri"/>
        <family val="2"/>
        <scheme val="minor"/>
      </rPr>
      <t>, Marc Leone</t>
    </r>
    <r>
      <rPr>
        <vertAlign val="superscript"/>
        <sz val="12"/>
        <color theme="1"/>
        <rFont val="Calibri"/>
        <family val="2"/>
        <scheme val="minor"/>
      </rPr>
      <t xml:space="preserve">  18 </t>
    </r>
    <r>
      <rPr>
        <sz val="12"/>
        <color theme="1"/>
        <rFont val="Calibri"/>
        <family val="2"/>
        <scheme val="minor"/>
      </rPr>
      <t>, Julien Pottecher</t>
    </r>
    <r>
      <rPr>
        <vertAlign val="superscript"/>
        <sz val="12"/>
        <color theme="1"/>
        <rFont val="Calibri"/>
        <family val="2"/>
        <scheme val="minor"/>
      </rPr>
      <t xml:space="preserve">  19 </t>
    </r>
    <r>
      <rPr>
        <sz val="12"/>
        <color theme="1"/>
        <rFont val="Calibri"/>
        <family val="2"/>
        <scheme val="minor"/>
      </rPr>
      <t>, Bruno Pereira</t>
    </r>
    <r>
      <rPr>
        <vertAlign val="superscript"/>
        <sz val="12"/>
        <color theme="1"/>
        <rFont val="Calibri"/>
        <family val="2"/>
        <scheme val="minor"/>
      </rPr>
      <t xml:space="preserve">  20 </t>
    </r>
    <r>
      <rPr>
        <sz val="12"/>
        <color theme="1"/>
        <rFont val="Calibri"/>
        <family val="2"/>
        <scheme val="minor"/>
      </rPr>
      <t>, Catherine Paugam-Burtz</t>
    </r>
    <r>
      <rPr>
        <vertAlign val="superscript"/>
        <sz val="12"/>
        <color theme="1"/>
        <rFont val="Calibri"/>
        <family val="2"/>
        <scheme val="minor"/>
      </rPr>
      <t xml:space="preserve">  21 </t>
    </r>
    <r>
      <rPr>
        <sz val="12"/>
        <color theme="1"/>
        <rFont val="Calibri"/>
        <family val="2"/>
        <scheme val="minor"/>
      </rPr>
      <t>; COMBINE study group</t>
    </r>
  </si>
  <si>
    <t>BMJ</t>
  </si>
  <si>
    <t>https://www.bmj.com/content/379/bmj-2022-071476</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</si>
  <si>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</si>
  <si>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</si>
  <si>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</si>
  <si>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</si>
  <si>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</si>
  <si>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</si>
  <si>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added10</t>
  </si>
  <si>
    <t>Minimally invasive versus open distal pancreatectomy for resectable pancreatic cancer (DIPLOMA): an international randomised non-inferiority trial</t>
  </si>
  <si>
    <r>
      <t>Maarten Korrel</t>
    </r>
    <r>
      <rPr>
        <vertAlign val="superscript"/>
        <sz val="12"/>
        <color theme="1"/>
        <rFont val="Calibri"/>
        <family val="2"/>
        <scheme val="minor"/>
      </rPr>
      <t xml:space="preserve">  1   2   3 </t>
    </r>
    <r>
      <rPr>
        <sz val="12"/>
        <color theme="1"/>
        <rFont val="Calibri"/>
        <family val="2"/>
        <scheme val="minor"/>
      </rPr>
      <t>, Leia R Jones</t>
    </r>
    <r>
      <rPr>
        <vertAlign val="superscript"/>
        <sz val="12"/>
        <color theme="1"/>
        <rFont val="Calibri"/>
        <family val="2"/>
        <scheme val="minor"/>
      </rPr>
      <t xml:space="preserve">  1   2   3 </t>
    </r>
    <r>
      <rPr>
        <sz val="12"/>
        <color theme="1"/>
        <rFont val="Calibri"/>
        <family val="2"/>
        <scheme val="minor"/>
      </rPr>
      <t>, Jony van Hilst</t>
    </r>
    <r>
      <rPr>
        <vertAlign val="superscript"/>
        <sz val="12"/>
        <color theme="1"/>
        <rFont val="Calibri"/>
        <family val="2"/>
        <scheme val="minor"/>
      </rPr>
      <t xml:space="preserve">  2   3   4 </t>
    </r>
    <r>
      <rPr>
        <sz val="12"/>
        <color theme="1"/>
        <rFont val="Calibri"/>
        <family val="2"/>
        <scheme val="minor"/>
      </rPr>
      <t>, Gianpaolo Balzano</t>
    </r>
    <r>
      <rPr>
        <vertAlign val="superscript"/>
        <sz val="12"/>
        <color theme="1"/>
        <rFont val="Calibri"/>
        <family val="2"/>
        <scheme val="minor"/>
      </rPr>
      <t xml:space="preserve">  5 </t>
    </r>
    <r>
      <rPr>
        <sz val="12"/>
        <color theme="1"/>
        <rFont val="Calibri"/>
        <family val="2"/>
        <scheme val="minor"/>
      </rPr>
      <t>, Bergthor Björnsson</t>
    </r>
    <r>
      <rPr>
        <vertAlign val="superscript"/>
        <sz val="12"/>
        <color theme="1"/>
        <rFont val="Calibri"/>
        <family val="2"/>
        <scheme val="minor"/>
      </rPr>
      <t xml:space="preserve">  6 </t>
    </r>
    <r>
      <rPr>
        <sz val="12"/>
        <color theme="1"/>
        <rFont val="Calibri"/>
        <family val="2"/>
        <scheme val="minor"/>
      </rPr>
      <t>, Ugo Boggi</t>
    </r>
    <r>
      <rPr>
        <vertAlign val="superscript"/>
        <sz val="12"/>
        <color theme="1"/>
        <rFont val="Calibri"/>
        <family val="2"/>
        <scheme val="minor"/>
      </rPr>
      <t xml:space="preserve">  7 </t>
    </r>
    <r>
      <rPr>
        <sz val="12"/>
        <color theme="1"/>
        <rFont val="Calibri"/>
        <family val="2"/>
        <scheme val="minor"/>
      </rPr>
      <t>, Svein Olav Bratlie</t>
    </r>
    <r>
      <rPr>
        <vertAlign val="superscript"/>
        <sz val="12"/>
        <color theme="1"/>
        <rFont val="Calibri"/>
        <family val="2"/>
        <scheme val="minor"/>
      </rPr>
      <t xml:space="preserve">  8 </t>
    </r>
    <r>
      <rPr>
        <sz val="12"/>
        <color theme="1"/>
        <rFont val="Calibri"/>
        <family val="2"/>
        <scheme val="minor"/>
      </rPr>
      <t>, Olivier R Busch</t>
    </r>
    <r>
      <rPr>
        <vertAlign val="superscript"/>
        <sz val="12"/>
        <color theme="1"/>
        <rFont val="Calibri"/>
        <family val="2"/>
        <scheme val="minor"/>
      </rPr>
      <t xml:space="preserve">  2   3 </t>
    </r>
    <r>
      <rPr>
        <sz val="12"/>
        <color theme="1"/>
        <rFont val="Calibri"/>
        <family val="2"/>
        <scheme val="minor"/>
      </rPr>
      <t>, Giovanni Butturini</t>
    </r>
    <r>
      <rPr>
        <vertAlign val="superscript"/>
        <sz val="12"/>
        <color theme="1"/>
        <rFont val="Calibri"/>
        <family val="2"/>
        <scheme val="minor"/>
      </rPr>
      <t xml:space="preserve">  9 </t>
    </r>
    <r>
      <rPr>
        <sz val="12"/>
        <color theme="1"/>
        <rFont val="Calibri"/>
        <family val="2"/>
        <scheme val="minor"/>
      </rPr>
      <t>, Giovanni Capretti</t>
    </r>
    <r>
      <rPr>
        <vertAlign val="superscript"/>
        <sz val="12"/>
        <color theme="1"/>
        <rFont val="Calibri"/>
        <family val="2"/>
        <scheme val="minor"/>
      </rPr>
      <t xml:space="preserve">  10   11 </t>
    </r>
    <r>
      <rPr>
        <sz val="12"/>
        <color theme="1"/>
        <rFont val="Calibri"/>
        <family val="2"/>
        <scheme val="minor"/>
      </rPr>
      <t>, Riccardo Casadei</t>
    </r>
    <r>
      <rPr>
        <vertAlign val="superscript"/>
        <sz val="12"/>
        <color theme="1"/>
        <rFont val="Calibri"/>
        <family val="2"/>
        <scheme val="minor"/>
      </rPr>
      <t xml:space="preserve">  12 </t>
    </r>
    <r>
      <rPr>
        <sz val="12"/>
        <color theme="1"/>
        <rFont val="Calibri"/>
        <family val="2"/>
        <scheme val="minor"/>
      </rPr>
      <t>, Bjørn Edwin</t>
    </r>
    <r>
      <rPr>
        <vertAlign val="superscript"/>
        <sz val="12"/>
        <color theme="1"/>
        <rFont val="Calibri"/>
        <family val="2"/>
        <scheme val="minor"/>
      </rPr>
      <t xml:space="preserve">  13 </t>
    </r>
    <r>
      <rPr>
        <sz val="12"/>
        <color theme="1"/>
        <rFont val="Calibri"/>
        <family val="2"/>
        <scheme val="minor"/>
      </rPr>
      <t>, Anouk M L H Emmen</t>
    </r>
    <r>
      <rPr>
        <vertAlign val="superscript"/>
        <sz val="12"/>
        <color theme="1"/>
        <rFont val="Calibri"/>
        <family val="2"/>
        <scheme val="minor"/>
      </rPr>
      <t xml:space="preserve">  1   2   3 </t>
    </r>
    <r>
      <rPr>
        <sz val="12"/>
        <color theme="1"/>
        <rFont val="Calibri"/>
        <family val="2"/>
        <scheme val="minor"/>
      </rPr>
      <t>, Alessandro Esposito</t>
    </r>
    <r>
      <rPr>
        <vertAlign val="superscript"/>
        <sz val="12"/>
        <color theme="1"/>
        <rFont val="Calibri"/>
        <family val="2"/>
        <scheme val="minor"/>
      </rPr>
      <t xml:space="preserve">  14 </t>
    </r>
    <r>
      <rPr>
        <sz val="12"/>
        <color theme="1"/>
        <rFont val="Calibri"/>
        <family val="2"/>
        <scheme val="minor"/>
      </rPr>
      <t>, Massimo Falconi</t>
    </r>
    <r>
      <rPr>
        <vertAlign val="superscript"/>
        <sz val="12"/>
        <color theme="1"/>
        <rFont val="Calibri"/>
        <family val="2"/>
        <scheme val="minor"/>
      </rPr>
      <t xml:space="preserve">  5 </t>
    </r>
    <r>
      <rPr>
        <sz val="12"/>
        <color theme="1"/>
        <rFont val="Calibri"/>
        <family val="2"/>
        <scheme val="minor"/>
      </rPr>
      <t>, Bas Groot Koerkamp</t>
    </r>
    <r>
      <rPr>
        <vertAlign val="superscript"/>
        <sz val="12"/>
        <color theme="1"/>
        <rFont val="Calibri"/>
        <family val="2"/>
        <scheme val="minor"/>
      </rPr>
      <t xml:space="preserve">  15 </t>
    </r>
    <r>
      <rPr>
        <sz val="12"/>
        <color theme="1"/>
        <rFont val="Calibri"/>
        <family val="2"/>
        <scheme val="minor"/>
      </rPr>
      <t>, Tobias Keck</t>
    </r>
    <r>
      <rPr>
        <vertAlign val="superscript"/>
        <sz val="12"/>
        <color theme="1"/>
        <rFont val="Calibri"/>
        <family val="2"/>
        <scheme val="minor"/>
      </rPr>
      <t xml:space="preserve">  16 </t>
    </r>
    <r>
      <rPr>
        <sz val="12"/>
        <color theme="1"/>
        <rFont val="Calibri"/>
        <family val="2"/>
        <scheme val="minor"/>
      </rPr>
      <t>, Ruben H J de Kleine</t>
    </r>
    <r>
      <rPr>
        <vertAlign val="superscript"/>
        <sz val="12"/>
        <color theme="1"/>
        <rFont val="Calibri"/>
        <family val="2"/>
        <scheme val="minor"/>
      </rPr>
      <t xml:space="preserve">  17 </t>
    </r>
    <r>
      <rPr>
        <sz val="12"/>
        <color theme="1"/>
        <rFont val="Calibri"/>
        <family val="2"/>
        <scheme val="minor"/>
      </rPr>
      <t>, Dyre B Kleive</t>
    </r>
    <r>
      <rPr>
        <vertAlign val="superscript"/>
        <sz val="12"/>
        <color theme="1"/>
        <rFont val="Calibri"/>
        <family val="2"/>
        <scheme val="minor"/>
      </rPr>
      <t xml:space="preserve">  18 </t>
    </r>
    <r>
      <rPr>
        <sz val="12"/>
        <color theme="1"/>
        <rFont val="Calibri"/>
        <family val="2"/>
        <scheme val="minor"/>
      </rPr>
      <t>, Arto Kokkola</t>
    </r>
    <r>
      <rPr>
        <vertAlign val="superscript"/>
        <sz val="12"/>
        <color theme="1"/>
        <rFont val="Calibri"/>
        <family val="2"/>
        <scheme val="minor"/>
      </rPr>
      <t xml:space="preserve">  19 </t>
    </r>
    <r>
      <rPr>
        <sz val="12"/>
        <color theme="1"/>
        <rFont val="Calibri"/>
        <family val="2"/>
        <scheme val="minor"/>
      </rPr>
      <t>, Daan J Lips</t>
    </r>
    <r>
      <rPr>
        <vertAlign val="superscript"/>
        <sz val="12"/>
        <color theme="1"/>
        <rFont val="Calibri"/>
        <family val="2"/>
        <scheme val="minor"/>
      </rPr>
      <t xml:space="preserve">  20 </t>
    </r>
    <r>
      <rPr>
        <sz val="12"/>
        <color theme="1"/>
        <rFont val="Calibri"/>
        <family val="2"/>
        <scheme val="minor"/>
      </rPr>
      <t>, Sanne Lof</t>
    </r>
    <r>
      <rPr>
        <vertAlign val="superscript"/>
        <sz val="12"/>
        <color theme="1"/>
        <rFont val="Calibri"/>
        <family val="2"/>
        <scheme val="minor"/>
      </rPr>
      <t xml:space="preserve">  2   21 </t>
    </r>
    <r>
      <rPr>
        <sz val="12"/>
        <color theme="1"/>
        <rFont val="Calibri"/>
        <family val="2"/>
        <scheme val="minor"/>
      </rPr>
      <t>, Misha D P Luyer</t>
    </r>
    <r>
      <rPr>
        <vertAlign val="superscript"/>
        <sz val="12"/>
        <color theme="1"/>
        <rFont val="Calibri"/>
        <family val="2"/>
        <scheme val="minor"/>
      </rPr>
      <t xml:space="preserve">  22 </t>
    </r>
    <r>
      <rPr>
        <sz val="12"/>
        <color theme="1"/>
        <rFont val="Calibri"/>
        <family val="2"/>
        <scheme val="minor"/>
      </rPr>
      <t>, Alberto Manzoni</t>
    </r>
    <r>
      <rPr>
        <vertAlign val="superscript"/>
        <sz val="12"/>
        <color theme="1"/>
        <rFont val="Calibri"/>
        <family val="2"/>
        <scheme val="minor"/>
      </rPr>
      <t xml:space="preserve">  1 </t>
    </r>
    <r>
      <rPr>
        <sz val="12"/>
        <color theme="1"/>
        <rFont val="Calibri"/>
        <family val="2"/>
        <scheme val="minor"/>
      </rPr>
      <t>, Ravi Marudanayagam</t>
    </r>
    <r>
      <rPr>
        <vertAlign val="superscript"/>
        <sz val="12"/>
        <color theme="1"/>
        <rFont val="Calibri"/>
        <family val="2"/>
        <scheme val="minor"/>
      </rPr>
      <t xml:space="preserve">  23 </t>
    </r>
    <r>
      <rPr>
        <sz val="12"/>
        <color theme="1"/>
        <rFont val="Calibri"/>
        <family val="2"/>
        <scheme val="minor"/>
      </rPr>
      <t>, Matteo de Pastena</t>
    </r>
    <r>
      <rPr>
        <vertAlign val="superscript"/>
        <sz val="12"/>
        <color theme="1"/>
        <rFont val="Calibri"/>
        <family val="2"/>
        <scheme val="minor"/>
      </rPr>
      <t xml:space="preserve">  14 </t>
    </r>
    <r>
      <rPr>
        <sz val="12"/>
        <color theme="1"/>
        <rFont val="Calibri"/>
        <family val="2"/>
        <scheme val="minor"/>
      </rPr>
      <t>, Nicolò Pecorelli</t>
    </r>
    <r>
      <rPr>
        <vertAlign val="superscript"/>
        <sz val="12"/>
        <color theme="1"/>
        <rFont val="Calibri"/>
        <family val="2"/>
        <scheme val="minor"/>
      </rPr>
      <t xml:space="preserve">  5 </t>
    </r>
    <r>
      <rPr>
        <sz val="12"/>
        <color theme="1"/>
        <rFont val="Calibri"/>
        <family val="2"/>
        <scheme val="minor"/>
      </rPr>
      <t>, John N Primrose</t>
    </r>
    <r>
      <rPr>
        <vertAlign val="superscript"/>
        <sz val="12"/>
        <color theme="1"/>
        <rFont val="Calibri"/>
        <family val="2"/>
        <scheme val="minor"/>
      </rPr>
      <t xml:space="preserve">  21 </t>
    </r>
    <r>
      <rPr>
        <sz val="12"/>
        <color theme="1"/>
        <rFont val="Calibri"/>
        <family val="2"/>
        <scheme val="minor"/>
      </rPr>
      <t>, Claudio Ricci</t>
    </r>
    <r>
      <rPr>
        <vertAlign val="superscript"/>
        <sz val="12"/>
        <color theme="1"/>
        <rFont val="Calibri"/>
        <family val="2"/>
        <scheme val="minor"/>
      </rPr>
      <t xml:space="preserve">  12 </t>
    </r>
    <r>
      <rPr>
        <sz val="12"/>
        <color theme="1"/>
        <rFont val="Calibri"/>
        <family val="2"/>
        <scheme val="minor"/>
      </rPr>
      <t>, Roberto Salvia</t>
    </r>
    <r>
      <rPr>
        <vertAlign val="superscript"/>
        <sz val="12"/>
        <color theme="1"/>
        <rFont val="Calibri"/>
        <family val="2"/>
        <scheme val="minor"/>
      </rPr>
      <t xml:space="preserve">  14 </t>
    </r>
    <r>
      <rPr>
        <sz val="12"/>
        <color theme="1"/>
        <rFont val="Calibri"/>
        <family val="2"/>
        <scheme val="minor"/>
      </rPr>
      <t>, Per Sandström</t>
    </r>
    <r>
      <rPr>
        <vertAlign val="superscript"/>
        <sz val="12"/>
        <color theme="1"/>
        <rFont val="Calibri"/>
        <family val="2"/>
        <scheme val="minor"/>
      </rPr>
      <t xml:space="preserve">  6 </t>
    </r>
    <r>
      <rPr>
        <sz val="12"/>
        <color theme="1"/>
        <rFont val="Calibri"/>
        <family val="2"/>
        <scheme val="minor"/>
      </rPr>
      <t>, Frederique L I M Vissers</t>
    </r>
    <r>
      <rPr>
        <vertAlign val="superscript"/>
        <sz val="12"/>
        <color theme="1"/>
        <rFont val="Calibri"/>
        <family val="2"/>
        <scheme val="minor"/>
      </rPr>
      <t xml:space="preserve">  2   3 </t>
    </r>
    <r>
      <rPr>
        <sz val="12"/>
        <color theme="1"/>
        <rFont val="Calibri"/>
        <family val="2"/>
        <scheme val="minor"/>
      </rPr>
      <t>, Ulrich F Wellner</t>
    </r>
    <r>
      <rPr>
        <vertAlign val="superscript"/>
        <sz val="12"/>
        <color theme="1"/>
        <rFont val="Calibri"/>
        <family val="2"/>
        <scheme val="minor"/>
      </rPr>
      <t xml:space="preserve">  16 </t>
    </r>
    <r>
      <rPr>
        <sz val="12"/>
        <color theme="1"/>
        <rFont val="Calibri"/>
        <family val="2"/>
        <scheme val="minor"/>
      </rPr>
      <t>, Alessandro Zerbi</t>
    </r>
    <r>
      <rPr>
        <vertAlign val="superscript"/>
        <sz val="12"/>
        <color theme="1"/>
        <rFont val="Calibri"/>
        <family val="2"/>
        <scheme val="minor"/>
      </rPr>
      <t xml:space="preserve">  10   11 </t>
    </r>
    <r>
      <rPr>
        <sz val="12"/>
        <color theme="1"/>
        <rFont val="Calibri"/>
        <family val="2"/>
        <scheme val="minor"/>
      </rPr>
      <t>, Marcel G W Dijkgraaf</t>
    </r>
    <r>
      <rPr>
        <vertAlign val="superscript"/>
        <sz val="12"/>
        <color theme="1"/>
        <rFont val="Calibri"/>
        <family val="2"/>
        <scheme val="minor"/>
      </rPr>
      <t xml:space="preserve">  24   25 </t>
    </r>
    <r>
      <rPr>
        <sz val="12"/>
        <color theme="1"/>
        <rFont val="Calibri"/>
        <family val="2"/>
        <scheme val="minor"/>
      </rPr>
      <t>, Marc G Besselink</t>
    </r>
    <r>
      <rPr>
        <vertAlign val="superscript"/>
        <sz val="12"/>
        <color theme="1"/>
        <rFont val="Calibri"/>
        <family val="2"/>
        <scheme val="minor"/>
      </rPr>
      <t xml:space="preserve">  2   3 </t>
    </r>
    <r>
      <rPr>
        <sz val="12"/>
        <color theme="1"/>
        <rFont val="Calibri"/>
        <family val="2"/>
        <scheme val="minor"/>
      </rPr>
      <t>, Mohammad Abu Hilal</t>
    </r>
    <r>
      <rPr>
        <vertAlign val="superscript"/>
        <sz val="12"/>
        <color theme="1"/>
        <rFont val="Calibri"/>
        <family val="2"/>
        <scheme val="minor"/>
      </rPr>
      <t xml:space="preserve">  1   21 </t>
    </r>
    <r>
      <rPr>
        <sz val="12"/>
        <color theme="1"/>
        <rFont val="Calibri"/>
        <family val="2"/>
        <scheme val="minor"/>
      </rPr>
      <t>; European Consortium on Minimally Invasive Pancreatic Surgery (E-MIPS)</t>
    </r>
  </si>
  <si>
    <t>The Lancet</t>
  </si>
  <si>
    <t>https://www.sciencedirect.com/science/article/pii/S2666776223000923#bib17</t>
  </si>
  <si>
    <t>10.1016/j.lanepe.2023.100673</t>
  </si>
  <si>
    <t>added11</t>
  </si>
  <si>
    <t>Robot-assisted Minimally Invasive Thoracolaparoscopic Esophagectomy Versus Open Transthoracic Esophagectomy for Resectable Esophageal Cancer: A Randomized Controlled Trial</t>
  </si>
  <si>
    <t>Pieter C van der Sluis 1, Sylvia van der Horst 1, Anne M May 2, Carlo Schippers 1, Lodewijk A A Brosens 3, Hans C A Joore 4, Christiaan C Kroese 5, Nadia Haj Mohammad 6, Stella Mook 7, Frank P Vleggaar 8, Inne H M Borel Rinkes 1, Jelle P Ruurda 1, Richard van Hillegersberg 1</t>
  </si>
  <si>
    <t>Annals of Sugery</t>
  </si>
  <si>
    <t>Robot-assisted Minimally Invasive Thoracolaparoscopic Esopha... : Annals of Surgery (lww.com)</t>
  </si>
  <si>
    <t>10.1097/SLA.0000000000003031</t>
  </si>
  <si>
    <t>NCT01544790.</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</si>
  <si>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</si>
  <si>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</si>
  <si>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</si>
  <si>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</si>
  <si>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</si>
  <si>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</si>
  <si>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added13</t>
  </si>
  <si>
    <t xml:space="preserve">Laparoscopic versus open pancreatoduodenectomy for pancreatic or periampullary tumours (LEOPARD-2): a multicentre, patient-blinded, randomised controlled phase 2/3 trial </t>
  </si>
  <si>
    <t>Jony van Hilst, Thijs de Rooij, Koop Bosscha, David J Brinkman, Susan van Dieren, Marcel G Dijkgraaf, Michael F Gerhards, Ignace H de Hingh, Tom M Karsten, Daniel J Lips, Misha D Luyer, Olivier R Busch, Sebastiaan Festen*, Marc G Besselink*, for the Dutch Pancreatic Cancer Group</t>
  </si>
  <si>
    <t>Lancet Gastroenterol Hepatol</t>
  </si>
  <si>
    <t>http://dx.doi.org/10.1016/ S2468-1253(19)30004-4</t>
  </si>
  <si>
    <t>added14</t>
  </si>
  <si>
    <t>EnBlocVersusConventionalTransurethralResectionofBladder Tumors:ASingle-centerProspectiveRandomizedNoninferiority Trial</t>
  </si>
  <si>
    <t>AndreaGalliolia,y,PietroDianaa,b,y,*,MatteoFontanaa,AngeloTerritoa,O´scarRodriguez-Fabaa, JosepMariaGayaa,FrancescoSanguedolcea, JordiHugueta,AsierMercadea,AlbertoPianaa, JuliaAumatella,AlejandraBravo-Baladoa,FerranAlgabac, JoanPaloua,d,AlbertoBreda</t>
  </si>
  <si>
    <t>https://www.sciencedirect.com/science/article/pii/S2588931122000682?via%3Dihub</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</si>
  <si>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</si>
  <si>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</si>
  <si>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</si>
  <si>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</si>
  <si>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</si>
  <si>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added16</t>
  </si>
  <si>
    <t>Trimodality therapy versus perioperative chemotherapy in the management of locally advanced adenocarcinoma of the oesophagus and oesophagogastric junction (Neo-AEGIS): an open-label, randomised, phase 3 trial</t>
  </si>
  <si>
    <r>
      <t>John V Reynolds</t>
    </r>
    <r>
      <rPr>
        <vertAlign val="superscript"/>
        <sz val="12"/>
        <color theme="1"/>
        <rFont val="Calibri"/>
        <family val="2"/>
        <scheme val="minor"/>
      </rPr>
      <t xml:space="preserve">  1 </t>
    </r>
    <r>
      <rPr>
        <sz val="12"/>
        <color theme="1"/>
        <rFont val="Calibri"/>
        <family val="2"/>
        <scheme val="minor"/>
      </rPr>
      <t>, Shaun R Preston</t>
    </r>
    <r>
      <rPr>
        <vertAlign val="superscript"/>
        <sz val="12"/>
        <color theme="1"/>
        <rFont val="Calibri"/>
        <family val="2"/>
        <scheme val="minor"/>
      </rPr>
      <t xml:space="preserve">  2 </t>
    </r>
    <r>
      <rPr>
        <sz val="12"/>
        <color theme="1"/>
        <rFont val="Calibri"/>
        <family val="2"/>
        <scheme val="minor"/>
      </rPr>
      <t>, Brian O'Neill</t>
    </r>
    <r>
      <rPr>
        <vertAlign val="superscript"/>
        <sz val="12"/>
        <color theme="1"/>
        <rFont val="Calibri"/>
        <family val="2"/>
        <scheme val="minor"/>
      </rPr>
      <t xml:space="preserve">  3 </t>
    </r>
    <r>
      <rPr>
        <sz val="12"/>
        <color theme="1"/>
        <rFont val="Calibri"/>
        <family val="2"/>
        <scheme val="minor"/>
      </rPr>
      <t>, Maeve A Lowery</t>
    </r>
    <r>
      <rPr>
        <vertAlign val="superscript"/>
        <sz val="12"/>
        <color theme="1"/>
        <rFont val="Calibri"/>
        <family val="2"/>
        <scheme val="minor"/>
      </rPr>
      <t xml:space="preserve">  4 </t>
    </r>
    <r>
      <rPr>
        <sz val="12"/>
        <color theme="1"/>
        <rFont val="Calibri"/>
        <family val="2"/>
        <scheme val="minor"/>
      </rPr>
      <t>, Lene Baeksgaard</t>
    </r>
    <r>
      <rPr>
        <vertAlign val="superscript"/>
        <sz val="12"/>
        <color theme="1"/>
        <rFont val="Calibri"/>
        <family val="2"/>
        <scheme val="minor"/>
      </rPr>
      <t xml:space="preserve">  5 </t>
    </r>
    <r>
      <rPr>
        <sz val="12"/>
        <color theme="1"/>
        <rFont val="Calibri"/>
        <family val="2"/>
        <scheme val="minor"/>
      </rPr>
      <t>, Thomas Crosby</t>
    </r>
    <r>
      <rPr>
        <vertAlign val="superscript"/>
        <sz val="12"/>
        <color theme="1"/>
        <rFont val="Calibri"/>
        <family val="2"/>
        <scheme val="minor"/>
      </rPr>
      <t xml:space="preserve">  6 </t>
    </r>
    <r>
      <rPr>
        <sz val="12"/>
        <color theme="1"/>
        <rFont val="Calibri"/>
        <family val="2"/>
        <scheme val="minor"/>
      </rPr>
      <t>, Moya Cunningham</t>
    </r>
    <r>
      <rPr>
        <vertAlign val="superscript"/>
        <sz val="12"/>
        <color theme="1"/>
        <rFont val="Calibri"/>
        <family val="2"/>
        <scheme val="minor"/>
      </rPr>
      <t xml:space="preserve">  3 </t>
    </r>
    <r>
      <rPr>
        <sz val="12"/>
        <color theme="1"/>
        <rFont val="Calibri"/>
        <family val="2"/>
        <scheme val="minor"/>
      </rPr>
      <t>, Sinead Cuffe</t>
    </r>
    <r>
      <rPr>
        <vertAlign val="superscript"/>
        <sz val="12"/>
        <color theme="1"/>
        <rFont val="Calibri"/>
        <family val="2"/>
        <scheme val="minor"/>
      </rPr>
      <t xml:space="preserve">  4 </t>
    </r>
    <r>
      <rPr>
        <sz val="12"/>
        <color theme="1"/>
        <rFont val="Calibri"/>
        <family val="2"/>
        <scheme val="minor"/>
      </rPr>
      <t>, Gareth O Griffiths</t>
    </r>
    <r>
      <rPr>
        <vertAlign val="superscript"/>
        <sz val="12"/>
        <color theme="1"/>
        <rFont val="Calibri"/>
        <family val="2"/>
        <scheme val="minor"/>
      </rPr>
      <t xml:space="preserve">  7 </t>
    </r>
    <r>
      <rPr>
        <sz val="12"/>
        <color theme="1"/>
        <rFont val="Calibri"/>
        <family val="2"/>
        <scheme val="minor"/>
      </rPr>
      <t>, Imelda Parker</t>
    </r>
    <r>
      <rPr>
        <vertAlign val="superscript"/>
        <sz val="12"/>
        <color theme="1"/>
        <rFont val="Calibri"/>
        <family val="2"/>
        <scheme val="minor"/>
      </rPr>
      <t xml:space="preserve">  8 </t>
    </r>
    <r>
      <rPr>
        <sz val="12"/>
        <color theme="1"/>
        <rFont val="Calibri"/>
        <family val="2"/>
        <scheme val="minor"/>
      </rPr>
      <t>, Signe Lenora Risumlund</t>
    </r>
    <r>
      <rPr>
        <vertAlign val="superscript"/>
        <sz val="12"/>
        <color theme="1"/>
        <rFont val="Calibri"/>
        <family val="2"/>
        <scheme val="minor"/>
      </rPr>
      <t xml:space="preserve">  5 </t>
    </r>
    <r>
      <rPr>
        <sz val="12"/>
        <color theme="1"/>
        <rFont val="Calibri"/>
        <family val="2"/>
        <scheme val="minor"/>
      </rPr>
      <t>, Rajarshi Roy</t>
    </r>
    <r>
      <rPr>
        <vertAlign val="superscript"/>
        <sz val="12"/>
        <color theme="1"/>
        <rFont val="Calibri"/>
        <family val="2"/>
        <scheme val="minor"/>
      </rPr>
      <t xml:space="preserve">  9 </t>
    </r>
    <r>
      <rPr>
        <sz val="12"/>
        <color theme="1"/>
        <rFont val="Calibri"/>
        <family val="2"/>
        <scheme val="minor"/>
      </rPr>
      <t>, Stephen Falk</t>
    </r>
    <r>
      <rPr>
        <vertAlign val="superscript"/>
        <sz val="12"/>
        <color theme="1"/>
        <rFont val="Calibri"/>
        <family val="2"/>
        <scheme val="minor"/>
      </rPr>
      <t xml:space="preserve">  10 </t>
    </r>
    <r>
      <rPr>
        <sz val="12"/>
        <color theme="1"/>
        <rFont val="Calibri"/>
        <family val="2"/>
        <scheme val="minor"/>
      </rPr>
      <t>, George B Hanna</t>
    </r>
    <r>
      <rPr>
        <vertAlign val="superscript"/>
        <sz val="12"/>
        <color theme="1"/>
        <rFont val="Calibri"/>
        <family val="2"/>
        <scheme val="minor"/>
      </rPr>
      <t xml:space="preserve">  11 </t>
    </r>
    <r>
      <rPr>
        <sz val="12"/>
        <color theme="1"/>
        <rFont val="Calibri"/>
        <family val="2"/>
        <scheme val="minor"/>
      </rPr>
      <t>, Frederick R Bartlett</t>
    </r>
    <r>
      <rPr>
        <vertAlign val="superscript"/>
        <sz val="12"/>
        <color theme="1"/>
        <rFont val="Calibri"/>
        <family val="2"/>
        <scheme val="minor"/>
      </rPr>
      <t xml:space="preserve">  12 </t>
    </r>
    <r>
      <rPr>
        <sz val="12"/>
        <color theme="1"/>
        <rFont val="Calibri"/>
        <family val="2"/>
        <scheme val="minor"/>
      </rPr>
      <t>, Alberto Alvarez-Iglesias</t>
    </r>
    <r>
      <rPr>
        <vertAlign val="superscript"/>
        <sz val="12"/>
        <color theme="1"/>
        <rFont val="Calibri"/>
        <family val="2"/>
        <scheme val="minor"/>
      </rPr>
      <t xml:space="preserve">  13 </t>
    </r>
    <r>
      <rPr>
        <sz val="12"/>
        <color theme="1"/>
        <rFont val="Calibri"/>
        <family val="2"/>
        <scheme val="minor"/>
      </rPr>
      <t>, Michael P Achiam</t>
    </r>
    <r>
      <rPr>
        <vertAlign val="superscript"/>
        <sz val="12"/>
        <color theme="1"/>
        <rFont val="Calibri"/>
        <family val="2"/>
        <scheme val="minor"/>
      </rPr>
      <t xml:space="preserve">  5 </t>
    </r>
    <r>
      <rPr>
        <sz val="12"/>
        <color theme="1"/>
        <rFont val="Calibri"/>
        <family val="2"/>
        <scheme val="minor"/>
      </rPr>
      <t>, Magnus Nilsson</t>
    </r>
    <r>
      <rPr>
        <vertAlign val="superscript"/>
        <sz val="12"/>
        <color theme="1"/>
        <rFont val="Calibri"/>
        <family val="2"/>
        <scheme val="minor"/>
      </rPr>
      <t xml:space="preserve">  14 </t>
    </r>
    <r>
      <rPr>
        <sz val="12"/>
        <color theme="1"/>
        <rFont val="Calibri"/>
        <family val="2"/>
        <scheme val="minor"/>
      </rPr>
      <t>, Guillaume Piessen</t>
    </r>
    <r>
      <rPr>
        <vertAlign val="superscript"/>
        <sz val="12"/>
        <color theme="1"/>
        <rFont val="Calibri"/>
        <family val="2"/>
        <scheme val="minor"/>
      </rPr>
      <t xml:space="preserve">  15 </t>
    </r>
    <r>
      <rPr>
        <sz val="12"/>
        <color theme="1"/>
        <rFont val="Calibri"/>
        <family val="2"/>
        <scheme val="minor"/>
      </rPr>
      <t>, Narayanasamy Ravi</t>
    </r>
    <r>
      <rPr>
        <vertAlign val="superscript"/>
        <sz val="12"/>
        <color theme="1"/>
        <rFont val="Calibri"/>
        <family val="2"/>
        <scheme val="minor"/>
      </rPr>
      <t xml:space="preserve">  4 </t>
    </r>
    <r>
      <rPr>
        <sz val="12"/>
        <color theme="1"/>
        <rFont val="Calibri"/>
        <family val="2"/>
        <scheme val="minor"/>
      </rPr>
      <t>, Dermot O'Toole</t>
    </r>
    <r>
      <rPr>
        <vertAlign val="superscript"/>
        <sz val="12"/>
        <color theme="1"/>
        <rFont val="Calibri"/>
        <family val="2"/>
        <scheme val="minor"/>
      </rPr>
      <t xml:space="preserve">  4 </t>
    </r>
    <r>
      <rPr>
        <sz val="12"/>
        <color theme="1"/>
        <rFont val="Calibri"/>
        <family val="2"/>
        <scheme val="minor"/>
      </rPr>
      <t>, Ciaran Johnston</t>
    </r>
    <r>
      <rPr>
        <vertAlign val="superscript"/>
        <sz val="12"/>
        <color theme="1"/>
        <rFont val="Calibri"/>
        <family val="2"/>
        <scheme val="minor"/>
      </rPr>
      <t xml:space="preserve">  4 </t>
    </r>
    <r>
      <rPr>
        <sz val="12"/>
        <color theme="1"/>
        <rFont val="Calibri"/>
        <family val="2"/>
        <scheme val="minor"/>
      </rPr>
      <t>, Raymond S McDermott</t>
    </r>
    <r>
      <rPr>
        <vertAlign val="superscript"/>
        <sz val="12"/>
        <color theme="1"/>
        <rFont val="Calibri"/>
        <family val="2"/>
        <scheme val="minor"/>
      </rPr>
      <t xml:space="preserve">  8 </t>
    </r>
    <r>
      <rPr>
        <sz val="12"/>
        <color theme="1"/>
        <rFont val="Calibri"/>
        <family val="2"/>
        <scheme val="minor"/>
      </rPr>
      <t>, Richard C Turkington</t>
    </r>
    <r>
      <rPr>
        <vertAlign val="superscript"/>
        <sz val="12"/>
        <color theme="1"/>
        <rFont val="Calibri"/>
        <family val="2"/>
        <scheme val="minor"/>
      </rPr>
      <t xml:space="preserve">  16 </t>
    </r>
    <r>
      <rPr>
        <sz val="12"/>
        <color theme="1"/>
        <rFont val="Calibri"/>
        <family val="2"/>
        <scheme val="minor"/>
      </rPr>
      <t>, Shajahan Wahed</t>
    </r>
    <r>
      <rPr>
        <vertAlign val="superscript"/>
        <sz val="12"/>
        <color theme="1"/>
        <rFont val="Calibri"/>
        <family val="2"/>
        <scheme val="minor"/>
      </rPr>
      <t xml:space="preserve">  17 </t>
    </r>
    <r>
      <rPr>
        <sz val="12"/>
        <color theme="1"/>
        <rFont val="Calibri"/>
        <family val="2"/>
        <scheme val="minor"/>
      </rPr>
      <t>, Sharmila Sothi</t>
    </r>
    <r>
      <rPr>
        <vertAlign val="superscript"/>
        <sz val="12"/>
        <color theme="1"/>
        <rFont val="Calibri"/>
        <family val="2"/>
        <scheme val="minor"/>
      </rPr>
      <t xml:space="preserve">  18 </t>
    </r>
    <r>
      <rPr>
        <sz val="12"/>
        <color theme="1"/>
        <rFont val="Calibri"/>
        <family val="2"/>
        <scheme val="minor"/>
      </rPr>
      <t>, Hugo Ford</t>
    </r>
    <r>
      <rPr>
        <vertAlign val="superscript"/>
        <sz val="12"/>
        <color theme="1"/>
        <rFont val="Calibri"/>
        <family val="2"/>
        <scheme val="minor"/>
      </rPr>
      <t xml:space="preserve">  19 </t>
    </r>
    <r>
      <rPr>
        <sz val="12"/>
        <color theme="1"/>
        <rFont val="Calibri"/>
        <family val="2"/>
        <scheme val="minor"/>
      </rPr>
      <t>, Martin S Wadley</t>
    </r>
    <r>
      <rPr>
        <vertAlign val="superscript"/>
        <sz val="12"/>
        <color theme="1"/>
        <rFont val="Calibri"/>
        <family val="2"/>
        <scheme val="minor"/>
      </rPr>
      <t xml:space="preserve">  20 </t>
    </r>
    <r>
      <rPr>
        <sz val="12"/>
        <color theme="1"/>
        <rFont val="Calibri"/>
        <family val="2"/>
        <scheme val="minor"/>
      </rPr>
      <t>, Derek Power</t>
    </r>
    <r>
      <rPr>
        <vertAlign val="superscript"/>
        <sz val="12"/>
        <color theme="1"/>
        <rFont val="Calibri"/>
        <family val="2"/>
        <scheme val="minor"/>
      </rPr>
      <t xml:space="preserve">  21 </t>
    </r>
    <r>
      <rPr>
        <sz val="12"/>
        <color theme="1"/>
        <rFont val="Calibri"/>
        <family val="2"/>
        <scheme val="minor"/>
      </rPr>
      <t>; Neo-AEGIS Investigators and Trial Group</t>
    </r>
  </si>
  <si>
    <t>https://www.sciencedirect.com/science/article/pii/S2468125323002431?via%3Dihub</t>
  </si>
  <si>
    <t>10.1016/S2468-1253(23)00243-1</t>
  </si>
  <si>
    <t>added17</t>
  </si>
  <si>
    <t>Randomized clinical trial of high versus low inferior mesenteric artery ligation during anterior resection for rectal cancer</t>
  </si>
  <si>
    <t>S.Fujii1,2 ,A.Ishibe2,M.Ota2,K.Watanabe3,J.Watanabe3,C.Kunisaki2andI.Endo3</t>
  </si>
  <si>
    <t>BJS open</t>
  </si>
  <si>
    <t>https://pubmed.ncbi.nlm.nih.gov/30079388/</t>
  </si>
  <si>
    <t>DOI: 10.1002/bjs5.71</t>
  </si>
  <si>
    <t>added19</t>
  </si>
  <si>
    <t>Determining the Effectiveness of Fibrin Sealants in Reducing Complications in Patients Undergoing Lateral Neck Dissection (DEFeND): A Randomised External Pilot Trial. Cancers (Basel). 2023 Oct 20;15(20):5073. doi: 10.3390/cancers15205073. PMID: 37894440; PMCID: PMC10605578.</t>
  </si>
  <si>
    <t>Bajwa MS, Jackson R, Dhanda J, Tudur Smith C, Shaw RJ, Schache AG.</t>
  </si>
  <si>
    <t>10.3390/cancers15205073</t>
  </si>
  <si>
    <t>added20</t>
  </si>
  <si>
    <t>Randomized clinical trial of BiClamp forceps versus clamp-crushing technique in open liver resection.   Mar;24(3):137-142. doi: 10.1002/jhbp.424. PMID: 28012285.</t>
  </si>
  <si>
    <t xml:space="preserve">Chen JM, Geng W, Zhang S, Liu FB, Zhao HC, Zhao YJ, Wang GB, Xie SX, Geng XP. </t>
  </si>
  <si>
    <t>J Hepatobiliary Pancreat Sci.</t>
  </si>
  <si>
    <t>10.1002/jhbp.424</t>
  </si>
  <si>
    <t>added21</t>
  </si>
  <si>
    <t xml:space="preserve">Liver resection surgery compared with thermal ablation in high surgical risk patients with colorectal liver metastases: the LAVA international RCT. </t>
  </si>
  <si>
    <t>Davidson B, Gurusamy K, Corrigan N, Croft J, Ruddock S, Pullan A, Brown J, Twiddy M, Birtwistle J, Morris S, Woodward N, Bandula S, Hochhauser D, Prasad R, Olde Damink S, Coolson M, Laarhoven KV, de Wilt JH. Liver resection surgery compared with thermal ablation in high surgical risk patients with colorectal liver metastases: the LAVA international RCT. Health Technol Assess. 2020 Apr;24(21):1-38. doi: 10.3310/hta24210. PMID: 32370822; PMCID: PMC7232132.</t>
  </si>
  <si>
    <t>10.3310/hta24210</t>
  </si>
  <si>
    <t>added22</t>
  </si>
  <si>
    <t>Quadratus Lumborum Block Versus Perioperative Intravenous Lidocaine for Postoperative Pain Control in Patients Undergoing Laparoscopic Colorectal Surgery: A Prospective, Randomized, Double-blind Controlled Clinical Trial</t>
  </si>
  <si>
    <t>Dewinter G, Coppens S, Van de Velde M, D'Hoore A, Wolthuis A, Cuypers E, Rex S.</t>
  </si>
  <si>
    <t>sie verweisen auf ihr Protocol aber nennen kopmlikationen einzeln und nicht nach CD klassifiziert</t>
  </si>
  <si>
    <t xml:space="preserve">10.1097/SLA.0000000000002888 </t>
  </si>
  <si>
    <t>EUDRACT 2014-001499-73</t>
  </si>
  <si>
    <t>added23</t>
  </si>
  <si>
    <t>Effect of an individualized versus standard pneumoperitoneum pressure strategy on postoperative recovery: a randomized clinical trial in laparoscopic colorectal surgery. Br J Surg. 2020 Nov;107(12):1605-1614. doi: 10.1002/bjs.11736. Epub 2020 Jun 7. PMID: 32506481.</t>
  </si>
  <si>
    <t>Díaz-Cambronero O, Mazzinari G, Flor Lorente B, García Gregorio N, Robles-Hernandez D, Olmedilla Arnal LE, Martin de Pablos A, Schultz MJ, Errando CL, Argente Navarro MP; IPPColLapSe II study investigators. Effect of an individualized versus standard pneumoperitoneum pressure strategy on postoperative recovery: a randomized clinical trial in laparoscopic colorectal surgery. Br J Surg. 2020 Nov;107(12):1605-1614. doi: 10.1002/bjs.11736. Epub 2020 Jun 7. PMID: 32506481.</t>
  </si>
  <si>
    <t>10.1002/bjs.11736</t>
  </si>
  <si>
    <t>added24</t>
  </si>
  <si>
    <t xml:space="preserve">NeuroSAFE frozen section during robot-assisted radical prostatectomy: peri-operative and histopathological outcomes from the NeuroSAFE PROOF feasibility randomized controlled trial. </t>
  </si>
  <si>
    <t xml:space="preserve">Dinneen E, Haider A, Grierson J, Freeman A, Oxley J, Briggs T, Nathan S, Williams NR, Brew-Graves C, Persad R, Aning J, Jameson C, Ratynska M, Ben-Salha I, Ball R, Clow R, Allen C, Heffernan-Ho D, Kelly J, Shaw G. </t>
  </si>
  <si>
    <t>10.1111/bju.15256</t>
  </si>
  <si>
    <t>Feasibility trial</t>
  </si>
  <si>
    <t>added26</t>
  </si>
  <si>
    <t>The prevalence of sarcopenia and cachexia in older patients with localized colorectal cancer.</t>
  </si>
  <si>
    <t>Dolin TG, Mikkelsen MK, Jakobsen HL, Vinther A, Zerahn B, Nielsen DL, Johansen JS, Lund CM, Suetta C.  J Geriatr Oncol.</t>
  </si>
  <si>
    <t>10.1016/j.jgo.2022.11.001</t>
  </si>
  <si>
    <t>Studie verweist aufs Protokoll in dem CD erwähnt wird, nutzt ihn selber aber nicht. Entsprechend "important notes" inkludiert. Signifikanz mir unklar da primary outcome mir unklar.</t>
  </si>
  <si>
    <t>added27</t>
  </si>
  <si>
    <t>Does the Length of the Common Channel as Part of the Total Alimentary Tract Matter? One Year Results from the Multicenter Dutch Common Channel Trial (DUCATI) Comparing Standard Versus Distal Roux-en-Y Gastric Bypass with Similar Biliopancreatic Bowel Limb Lengths. Obes Surg. 2020 Dec;30(12):4732-4740. doi: 10.1007/s11695-020-04982-7. Epub 2020 Sep 21. PMID: 32955672.</t>
  </si>
  <si>
    <t>Gadiot RPM, Leeman M, Biter LU, Dunkelgrun M, Apers JA, Hof GV, Feskens PB, Mannaerts GH. Does the Length of the Common Channel as Part of the Total Alimentary Tract Matter? One Year Results from the Multicenter Dutch Common Channel Trial (DUCATI) Comparing Standard Versus Distal Roux-en-Y Gastric Bypass with Similar Biliopancreatic Bowel Limb Lengths. Obes Surg. 2020 Dec;30(12):4732-4740. doi: 10.1007/s11695-020-04982-7. Epub 2020 Sep 21. PMID: 32955672.</t>
  </si>
  <si>
    <t>10.1007/s11695-020-04982-7</t>
  </si>
  <si>
    <t>NL43951.101.13 and NTR4466</t>
  </si>
  <si>
    <t>added28</t>
  </si>
  <si>
    <t>Impact of preoperative patient education on the prevention of postoperative complications after major visceral surgery: the cluster randomized controlled PEDUCAT trial. Trials. 2018 May 24;19(1):288. doi: 10.1186/s13063-018-2676-6. PMID: 29793527; PMCID: PMC5968532.</t>
  </si>
  <si>
    <t>Klaiber U, Stephan-Paulsen LM, Bruckner T, Müller G, Auer S, Farrenkopf I, Fink C, Dörr-Harim C, Diener MK, Büchler MW, Knebel P. Impact of preoperative patient education on the prevention of postoperative complications after major visceral surgery: the cluster randomized controlled PEDUCAT trial. Trials. 2018 May 24;19(1):288. doi: 10.1186/s13063-018-2676-6. PMID: 29793527; PMCID: PMC5968532.</t>
  </si>
  <si>
    <t>added29</t>
  </si>
  <si>
    <t>Substitution Urethroplasty with Closure Versus Nonclosure of the Buccal Mucosa Graft Harvest Site: A Randomized Controlled Trial with a Detailed Analysis of Oral Pain and Morbidity. Eur Urol. 2018 Jun;73(6):910-922. doi: 10.1016/j.eururo.2017.11.014. Epub 2017 Dec 1. PMID: 29198583.</t>
  </si>
  <si>
    <t>Soave A, Dahlem R, Pinnschmidt HO, Rink M, Langetepe J, Engel O, Kluth LA, Loechelt B, Reiss P, Ahyai SA, Fisch M. Substitution Urethroplasty with Closure Versus Nonclosure of the Buccal Mucosa Graft Harvest Site: A Randomized Controlled Trial with a Detailed Analysis of Oral Pain and Morbidity. Eur Urol. 2018 Jun;73(6):910-922. doi: 10.1016/j.eururo.2017.11.014. Epub 2017 Dec 1. PMID: 29198583.</t>
  </si>
  <si>
    <t>10.1016/j.eururo.2017.11.014</t>
  </si>
  <si>
    <t>jeweils nur für orale Komplikationen angegeben, jewiels nur Grad 1 genannt, nicht ganz sich eruas Text, ob dies alle Komplikationen waren</t>
  </si>
  <si>
    <t>Non-inferiority trial</t>
  </si>
  <si>
    <t>added30</t>
  </si>
  <si>
    <t>Talboom K, Borstlap WAA, Roodbeen SX, Bruns ERJ, Buskens CJ, Hompes R, Tytgat KMAJ, Tuynman JB, Consten ECJ, Heuff G, Kuiper T, van Geloven AAW, Veldhuis GJ, van der Hoeven JAB, Gerhards MF, Sietses C, Spinelli A, van de Ven AWH, van der Zaag ES, Westerterp M, van Westreenen HL, Dijkgraaf ML, Juffermans NP, Bemelman WA; FIT collaborative group.</t>
  </si>
  <si>
    <t>Lancet Haematol.</t>
  </si>
  <si>
    <t xml:space="preserve">10.1016/S2352-3026(22)00402-1 </t>
  </si>
  <si>
    <t>NCT02243735</t>
  </si>
  <si>
    <t>added31</t>
  </si>
  <si>
    <t>Robot-assisted Minimally Invasive Thoracolaparoscopic Esophagectomy Versus Open Transthoracic Esophagectomy for Resectable Esophageal Cancer: A Randomized Controlled Trial. Ann Surg. 2019 Apr;269(4):621-630. doi: 10.1097/SLA.0000000000003031. PMID: 30308612.</t>
  </si>
  <si>
    <t>van der Sluis PC, van der Horst S, May AM, Schippers C, Brosens LAA, Joore HCA, Kroese CC, Haj Mohammad N, Mook S, Vleggaar FP, Borel Rinkes IHM, Ruurda JP, van Hillegersberg R. Robot-assisted Minimally Invasive Thoracolaparoscopic Esophagectomy Versus Open Transthoracic Esophagectomy for Resectable Esophageal Cancer: A Randomized Controlled Trial. Ann Surg. 2019 Apr;269(4):621-630. doi: 10.1097/SLA.0000000000003031. PMID: 30308612.</t>
  </si>
  <si>
    <t>NCT01544790</t>
  </si>
  <si>
    <t>added32</t>
  </si>
  <si>
    <t>Radical Cystectomy Against Intravesical BCG for High-Risk High-Grade Nonmuscle Invasive Bladder Cancer: Results From the Randomized Controlled BRAVO-Feasibility Study</t>
  </si>
  <si>
    <t>: James W. F. Catto, MBChB, PhD j.catto@sheffield.ac.uk, Kathryn Gordon, BSc, Michelle Collinson, MS, Heather Poad, BSc, Maureen Twiddy, PhD, Mark Johnson, MD, Sunjay Jain, MD, … SHOW ALL … on behalf of the BRAVO study group</t>
  </si>
  <si>
    <t>Journal of Clinical Oncology</t>
  </si>
  <si>
    <t>https://ascopubs.org/doi/pdf/10.1200/JCO.20.01665</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</si>
  <si>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</si>
  <si>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</si>
  <si>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</si>
  <si>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</si>
  <si>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</si>
  <si>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added34</t>
  </si>
  <si>
    <t>Transplantation of discarded livers following viability testing with normothermic machine perfusion</t>
  </si>
  <si>
    <t>Nature Communications</t>
  </si>
  <si>
    <t>https://www.nature.com/articles/s41467-020-16251-3</t>
  </si>
  <si>
    <t>10.1038/s41467-020-16251-3</t>
  </si>
  <si>
    <t>added35</t>
  </si>
  <si>
    <t>Laparoscopic Sleeve Gastrectomy Versus Banded Roux-en-Y Gastric Bypass for Diabetes and Obesity: a Prospective Randomised Double-Blind Trial</t>
  </si>
  <si>
    <t>Rinki Murphy1 &amp; Michael G. Clarke 2 &amp; Nicholas J. Evennett 2 &amp; S. John Robinson2 &amp; M. Lee Humphreys 2 &amp; Hisham Hammodat2 &amp; Bronwen Jones 2 &amp; David D. Kim3 &amp; Richard Cutfield3 &amp; Malcolm H. Johnson4 &amp; Lindsay D. Plank5 &amp; Michael W. C. Booth2</t>
  </si>
  <si>
    <t>Obes Surg</t>
  </si>
  <si>
    <t>https://link.springer.com/article/10.1007/s11695-017-2872-6</t>
  </si>
  <si>
    <t>DOI 10.1007/s11695-017-2872-6</t>
  </si>
  <si>
    <t>added36</t>
  </si>
  <si>
    <t>Robotic compared with laparoscopic sacrocolpopexy: a randomized controlled trial</t>
  </si>
  <si>
    <t>Jennifer T Anger 1, Elizabeth R Mueller, Christopher Tarnay, Bridget Smith, Kevin Stroupe, Amy Rosenman, Linda Brubaker, Catherine Bresee, Kimberly Kenton</t>
  </si>
  <si>
    <t>Obstet Gynecol.</t>
  </si>
  <si>
    <t>doi: 10.1097/AOG.0000000000000006</t>
  </si>
  <si>
    <t>added37</t>
  </si>
  <si>
    <t>Open vs robot-assisted radical cystectomy (BORARC): a double-blinded, randomised feasibility study</t>
  </si>
  <si>
    <t>Sophia L Maibom 1 2, Martin A Røder 1 2, Eske K Aasvang 2 3, Malene Rohrsted 4, Peter O Thind 4, Per Bagi 4, Thomas Kistorp 3, Alicia M Poulsen 4, Lisbeth N Salling 4, Henrik Kehlet 2 5, Klaus Brasso 1 2, Ulla N Joensen 1 2</t>
  </si>
  <si>
    <t>BJU Int</t>
  </si>
  <si>
    <t>https://pubmed.ncbi.nlm.nih.gov/34657367/</t>
  </si>
  <si>
    <t>DOI: 10.1111/bju.15619</t>
  </si>
  <si>
    <t>added48</t>
  </si>
  <si>
    <t>added49</t>
  </si>
  <si>
    <t>The Prognostic Value of the Dutch Sweet Eating Questionnaire on Weight Loss After Metabolic Surgery: a Randomized Controlled Trial</t>
  </si>
  <si>
    <t>L. U. Biter1 &amp; M. Leeman1 &amp; I. Friskes1 &amp; M. der Kinderen1 &amp; J. A. Apers1 &amp; M. Dunkelgrun1 &amp; J. F. Zengerink1 &amp; J. F. Smulders2</t>
  </si>
  <si>
    <t>Obesity Surgery</t>
  </si>
  <si>
    <t>no CD/CCI reporting, but in the protocol</t>
  </si>
  <si>
    <t>added50</t>
  </si>
  <si>
    <t>Effect of herbal medicine daikenchuto on gastrointestinal symptoms following laparoscopic colectomy in patients with colon cancer</t>
  </si>
  <si>
    <t>Keita Hanadaa,1, Toshiaki Wadab,1, Kenji Kawadaa,*, Nobuaki Hoshinoa, Michio Okamotoa, Wataru Hirataa, Rei Mizunoc, Yoshiro Itatania, Susumu Inamotod, Ryo Takahashie, Mami Yoshitomif, Takeshi Watanabeg, Koya Hidaa, Kazutaka Obamaa, Yoshiharu Sakai</t>
  </si>
  <si>
    <r>
      <t>Hynek Mergental</t>
    </r>
    <r>
      <rPr>
        <vertAlign val="superscript"/>
        <sz val="12"/>
        <color theme="1"/>
        <rFont val="Calibri"/>
        <family val="2"/>
        <scheme val="minor"/>
      </rPr>
      <t xml:space="preserve"> #  1   2   3 </t>
    </r>
    <r>
      <rPr>
        <sz val="12"/>
        <color theme="1"/>
        <rFont val="Calibri"/>
        <family val="2"/>
        <scheme val="minor"/>
      </rPr>
      <t>, Richard W Laing</t>
    </r>
    <r>
      <rPr>
        <vertAlign val="superscript"/>
        <sz val="12"/>
        <color theme="1"/>
        <rFont val="Calibri"/>
        <family val="2"/>
        <scheme val="minor"/>
      </rPr>
      <t xml:space="preserve"> #  4   5   6 </t>
    </r>
    <r>
      <rPr>
        <sz val="12"/>
        <color theme="1"/>
        <rFont val="Calibri"/>
        <family val="2"/>
        <scheme val="minor"/>
      </rPr>
      <t>, Amanda J Kirkham</t>
    </r>
    <r>
      <rPr>
        <vertAlign val="superscript"/>
        <sz val="12"/>
        <color theme="1"/>
        <rFont val="Calibri"/>
        <family val="2"/>
        <scheme val="minor"/>
      </rPr>
      <t xml:space="preserve">  7 </t>
    </r>
    <r>
      <rPr>
        <sz val="12"/>
        <color theme="1"/>
        <rFont val="Calibri"/>
        <family val="2"/>
        <scheme val="minor"/>
      </rPr>
      <t>, M Thamara P R Perera</t>
    </r>
    <r>
      <rPr>
        <vertAlign val="superscript"/>
        <sz val="12"/>
        <color theme="1"/>
        <rFont val="Calibri"/>
        <family val="2"/>
        <scheme val="minor"/>
      </rPr>
      <t xml:space="preserve">  4 </t>
    </r>
    <r>
      <rPr>
        <sz val="12"/>
        <color theme="1"/>
        <rFont val="Calibri"/>
        <family val="2"/>
        <scheme val="minor"/>
      </rPr>
      <t>, Yuri L Boteon</t>
    </r>
    <r>
      <rPr>
        <vertAlign val="superscript"/>
        <sz val="12"/>
        <color theme="1"/>
        <rFont val="Calibri"/>
        <family val="2"/>
        <scheme val="minor"/>
      </rPr>
      <t xml:space="preserve">  4   5   6 </t>
    </r>
    <r>
      <rPr>
        <sz val="12"/>
        <color theme="1"/>
        <rFont val="Calibri"/>
        <family val="2"/>
        <scheme val="minor"/>
      </rPr>
      <t>, Joseph Attard</t>
    </r>
    <r>
      <rPr>
        <vertAlign val="superscript"/>
        <sz val="12"/>
        <color theme="1"/>
        <rFont val="Calibri"/>
        <family val="2"/>
        <scheme val="minor"/>
      </rPr>
      <t xml:space="preserve">  4   5   6 </t>
    </r>
    <r>
      <rPr>
        <sz val="12"/>
        <color theme="1"/>
        <rFont val="Calibri"/>
        <family val="2"/>
        <scheme val="minor"/>
      </rPr>
      <t>, Darren Barton</t>
    </r>
    <r>
      <rPr>
        <vertAlign val="superscript"/>
        <sz val="12"/>
        <color theme="1"/>
        <rFont val="Calibri"/>
        <family val="2"/>
        <scheme val="minor"/>
      </rPr>
      <t xml:space="preserve">  8 </t>
    </r>
    <r>
      <rPr>
        <sz val="12"/>
        <color theme="1"/>
        <rFont val="Calibri"/>
        <family val="2"/>
        <scheme val="minor"/>
      </rPr>
      <t>, Stuart Curbishley</t>
    </r>
    <r>
      <rPr>
        <vertAlign val="superscript"/>
        <sz val="12"/>
        <color theme="1"/>
        <rFont val="Calibri"/>
        <family val="2"/>
        <scheme val="minor"/>
      </rPr>
      <t xml:space="preserve">  5   6 </t>
    </r>
    <r>
      <rPr>
        <sz val="12"/>
        <color theme="1"/>
        <rFont val="Calibri"/>
        <family val="2"/>
        <scheme val="minor"/>
      </rPr>
      <t>, Manpreet Wilkhu</t>
    </r>
    <r>
      <rPr>
        <vertAlign val="superscript"/>
        <sz val="12"/>
        <color theme="1"/>
        <rFont val="Calibri"/>
        <family val="2"/>
        <scheme val="minor"/>
      </rPr>
      <t xml:space="preserve">  8 </t>
    </r>
    <r>
      <rPr>
        <sz val="12"/>
        <color theme="1"/>
        <rFont val="Calibri"/>
        <family val="2"/>
        <scheme val="minor"/>
      </rPr>
      <t>, Desley A H Neil</t>
    </r>
    <r>
      <rPr>
        <vertAlign val="superscript"/>
        <sz val="12"/>
        <color theme="1"/>
        <rFont val="Calibri"/>
        <family val="2"/>
        <scheme val="minor"/>
      </rPr>
      <t xml:space="preserve">  5   6   9 </t>
    </r>
    <r>
      <rPr>
        <sz val="12"/>
        <color theme="1"/>
        <rFont val="Calibri"/>
        <family val="2"/>
        <scheme val="minor"/>
      </rPr>
      <t>, Stefan G Hübscher</t>
    </r>
    <r>
      <rPr>
        <vertAlign val="superscript"/>
        <sz val="12"/>
        <color theme="1"/>
        <rFont val="Calibri"/>
        <family val="2"/>
        <scheme val="minor"/>
      </rPr>
      <t xml:space="preserve">  5   6   9 </t>
    </r>
    <r>
      <rPr>
        <sz val="12"/>
        <color theme="1"/>
        <rFont val="Calibri"/>
        <family val="2"/>
        <scheme val="minor"/>
      </rPr>
      <t>, Paolo Muiesan</t>
    </r>
    <r>
      <rPr>
        <vertAlign val="superscript"/>
        <sz val="12"/>
        <color theme="1"/>
        <rFont val="Calibri"/>
        <family val="2"/>
        <scheme val="minor"/>
      </rPr>
      <t xml:space="preserve">  4 </t>
    </r>
    <r>
      <rPr>
        <sz val="12"/>
        <color theme="1"/>
        <rFont val="Calibri"/>
        <family val="2"/>
        <scheme val="minor"/>
      </rPr>
      <t>, John R Isaac</t>
    </r>
    <r>
      <rPr>
        <vertAlign val="superscript"/>
        <sz val="12"/>
        <color theme="1"/>
        <rFont val="Calibri"/>
        <family val="2"/>
        <scheme val="minor"/>
      </rPr>
      <t xml:space="preserve">  4 </t>
    </r>
    <r>
      <rPr>
        <sz val="12"/>
        <color theme="1"/>
        <rFont val="Calibri"/>
        <family val="2"/>
        <scheme val="minor"/>
      </rPr>
      <t>, Keith J Roberts</t>
    </r>
    <r>
      <rPr>
        <vertAlign val="superscript"/>
        <sz val="12"/>
        <color theme="1"/>
        <rFont val="Calibri"/>
        <family val="2"/>
        <scheme val="minor"/>
      </rPr>
      <t xml:space="preserve">  4   6 </t>
    </r>
    <r>
      <rPr>
        <sz val="12"/>
        <color theme="1"/>
        <rFont val="Calibri"/>
        <family val="2"/>
        <scheme val="minor"/>
      </rPr>
      <t>, Manuel Abradelo</t>
    </r>
    <r>
      <rPr>
        <vertAlign val="superscript"/>
        <sz val="12"/>
        <color theme="1"/>
        <rFont val="Calibri"/>
        <family val="2"/>
        <scheme val="minor"/>
      </rPr>
      <t xml:space="preserve">  4 </t>
    </r>
    <r>
      <rPr>
        <sz val="12"/>
        <color theme="1"/>
        <rFont val="Calibri"/>
        <family val="2"/>
        <scheme val="minor"/>
      </rPr>
      <t>, Andrea Schlegel</t>
    </r>
    <r>
      <rPr>
        <vertAlign val="superscript"/>
        <sz val="12"/>
        <color theme="1"/>
        <rFont val="Calibri"/>
        <family val="2"/>
        <scheme val="minor"/>
      </rPr>
      <t xml:space="preserve">  4   6 </t>
    </r>
    <r>
      <rPr>
        <sz val="12"/>
        <color theme="1"/>
        <rFont val="Calibri"/>
        <family val="2"/>
        <scheme val="minor"/>
      </rPr>
      <t>, James Ferguson</t>
    </r>
    <r>
      <rPr>
        <vertAlign val="superscript"/>
        <sz val="12"/>
        <color theme="1"/>
        <rFont val="Calibri"/>
        <family val="2"/>
        <scheme val="minor"/>
      </rPr>
      <t xml:space="preserve">  4   5 </t>
    </r>
    <r>
      <rPr>
        <sz val="12"/>
        <color theme="1"/>
        <rFont val="Calibri"/>
        <family val="2"/>
        <scheme val="minor"/>
      </rPr>
      <t>, Hentie Cilliers</t>
    </r>
    <r>
      <rPr>
        <vertAlign val="superscript"/>
        <sz val="12"/>
        <color theme="1"/>
        <rFont val="Calibri"/>
        <family val="2"/>
        <scheme val="minor"/>
      </rPr>
      <t xml:space="preserve">  4 </t>
    </r>
    <r>
      <rPr>
        <sz val="12"/>
        <color theme="1"/>
        <rFont val="Calibri"/>
        <family val="2"/>
        <scheme val="minor"/>
      </rPr>
      <t>, Julian Bion</t>
    </r>
    <r>
      <rPr>
        <vertAlign val="superscript"/>
        <sz val="12"/>
        <color theme="1"/>
        <rFont val="Calibri"/>
        <family val="2"/>
        <scheme val="minor"/>
      </rPr>
      <t xml:space="preserve">  10 </t>
    </r>
    <r>
      <rPr>
        <sz val="12"/>
        <color theme="1"/>
        <rFont val="Calibri"/>
        <family val="2"/>
        <scheme val="minor"/>
      </rPr>
      <t>, David H Adams</t>
    </r>
    <r>
      <rPr>
        <vertAlign val="superscript"/>
        <sz val="12"/>
        <color theme="1"/>
        <rFont val="Calibri"/>
        <family val="2"/>
        <scheme val="minor"/>
      </rPr>
      <t xml:space="preserve">  4   5   6 </t>
    </r>
    <r>
      <rPr>
        <sz val="12"/>
        <color theme="1"/>
        <rFont val="Calibri"/>
        <family val="2"/>
        <scheme val="minor"/>
      </rPr>
      <t>, Chris Morris</t>
    </r>
    <r>
      <rPr>
        <vertAlign val="superscript"/>
        <sz val="12"/>
        <color theme="1"/>
        <rFont val="Calibri"/>
        <family val="2"/>
        <scheme val="minor"/>
      </rPr>
      <t xml:space="preserve">  11 </t>
    </r>
    <r>
      <rPr>
        <sz val="12"/>
        <color theme="1"/>
        <rFont val="Calibri"/>
        <family val="2"/>
        <scheme val="minor"/>
      </rPr>
      <t>, Peter J Friend</t>
    </r>
    <r>
      <rPr>
        <vertAlign val="superscript"/>
        <sz val="12"/>
        <color theme="1"/>
        <rFont val="Calibri"/>
        <family val="2"/>
        <scheme val="minor"/>
      </rPr>
      <t xml:space="preserve">  11   12 </t>
    </r>
    <r>
      <rPr>
        <sz val="12"/>
        <color theme="1"/>
        <rFont val="Calibri"/>
        <family val="2"/>
        <scheme val="minor"/>
      </rPr>
      <t>, Christina Yap</t>
    </r>
    <r>
      <rPr>
        <vertAlign val="superscript"/>
        <sz val="12"/>
        <color theme="1"/>
        <rFont val="Calibri"/>
        <family val="2"/>
        <scheme val="minor"/>
      </rPr>
      <t xml:space="preserve"> #  7   13 </t>
    </r>
    <r>
      <rPr>
        <sz val="12"/>
        <color theme="1"/>
        <rFont val="Calibri"/>
        <family val="2"/>
        <scheme val="minor"/>
      </rPr>
      <t>, Simon C Afford</t>
    </r>
    <r>
      <rPr>
        <vertAlign val="superscript"/>
        <sz val="12"/>
        <color theme="1"/>
        <rFont val="Calibri"/>
        <family val="2"/>
        <scheme val="minor"/>
      </rPr>
      <t xml:space="preserve"> #  14   15 </t>
    </r>
    <r>
      <rPr>
        <sz val="12"/>
        <color theme="1"/>
        <rFont val="Calibri"/>
        <family val="2"/>
        <scheme val="minor"/>
      </rPr>
      <t>, Darius F Mirza</t>
    </r>
    <r>
      <rPr>
        <vertAlign val="superscript"/>
        <sz val="12"/>
        <color theme="1"/>
        <rFont val="Calibri"/>
        <family val="2"/>
        <scheme val="minor"/>
      </rPr>
      <t> #  16   17   18</t>
    </r>
  </si>
  <si>
    <t>CD only in protocol</t>
  </si>
  <si>
    <t>incomplete data</t>
  </si>
  <si>
    <t>CCI primary EP, CD as EP not mentioned</t>
  </si>
  <si>
    <t>primary EP not reported</t>
  </si>
  <si>
    <t>exploratory analysis</t>
  </si>
  <si>
    <t>nur grad I</t>
  </si>
  <si>
    <t>katharina</t>
  </si>
  <si>
    <t>ChiCTR1900023765</t>
  </si>
  <si>
    <t>severe complications defineds as: CCI&gt;20. but CCI&gt;20 can also be achieved with severeral grade 1 complications</t>
  </si>
  <si>
    <t>they do not report CCI but use it for linear regression</t>
  </si>
  <si>
    <t>group 4 not subdivided</t>
  </si>
  <si>
    <t>missing grades</t>
  </si>
  <si>
    <t>short-term analysis not powered for long-term primary endpoint</t>
  </si>
  <si>
    <t>no grade 1 included for CCI, no grade subtype for CD</t>
  </si>
  <si>
    <t>no grade subtype</t>
  </si>
  <si>
    <t>not clear if complete or not, thus rated incomplete.</t>
  </si>
  <si>
    <t>no subgroups</t>
  </si>
  <si>
    <t>only abstract available, interim analysis and no reporting of CDC or CCI</t>
  </si>
  <si>
    <t>post-hoc analysis of study 11588, additionally reporting on CCI and CDC as primary endpoint. Should we include both?</t>
  </si>
  <si>
    <t>CD: JCOG-Clavien-CTCAE v 2.0</t>
  </si>
  <si>
    <t>early termination of the trial because of COVID. Power impaired.</t>
  </si>
  <si>
    <t>prematurely terminated due to safety issues. Not powered for primary.</t>
  </si>
  <si>
    <t>no grade subtypes</t>
  </si>
  <si>
    <t>duplicate since added twice (study: added6)</t>
  </si>
  <si>
    <t>duplicate since added twice (study: added12)</t>
  </si>
  <si>
    <t>trial prematurely termindated due to accrual issues</t>
  </si>
  <si>
    <t>One-Year Follow-up of Tension-free Vaginal Tape (TVT) and Trans-obturator Suburethral Tape from Inside to Outside (TVT-O) for Surgical Treatment of Female Stress Urinary Incontinence: A Prospective Randomised Trial</t>
  </si>
  <si>
    <t>European Urology</t>
  </si>
  <si>
    <t>Article</t>
  </si>
  <si>
    <t>https://www.scopus.com/inward/record.uri?eid=2-s2.0-33947265897&amp;doi=10.1016%2fj.eururo.2006.10.066&amp;partnerID=40&amp;md5=1b043ec2e533f211abb51c4a665e756e</t>
  </si>
  <si>
    <t>Electroacupuncture versus sham electroacupuncture in the treatment of postoperative ileus after laparoscopic surgery for colorectal cancer: Study protocol for a multicentre, randomised, sham-controlled trial</t>
  </si>
  <si>
    <t>BMJ Open</t>
  </si>
  <si>
    <t>https://www.scopus.com/inward/record.uri?eid=2-s2.0-85128487579&amp;doi=10.1136%2fbmjopen-2021-050000&amp;partnerID=40&amp;md5=53dccd65066279d4e3e43326a6db00b3</t>
  </si>
  <si>
    <t>Laparoscopy combined with enhanced recovery pathway in ileocecal resection for Crohn's disease: A randomized study</t>
  </si>
  <si>
    <t>Gastroenterology Research and Practice</t>
  </si>
  <si>
    <t>https://www.scopus.com/inward/record.uri?eid=2-s2.0-85062840047&amp;doi=10.1155%2f2018%2f9648674&amp;partnerID=40&amp;md5=eacdf8db7cc50a08117b0caa26422517</t>
  </si>
  <si>
    <t>Comparative analysis of the efficacy and complications of nasojejunal and jejunostomy on patients undergoing pancreaticoduodenectomy</t>
  </si>
  <si>
    <t>Journal of Parenteral and Enteral Nutrition</t>
  </si>
  <si>
    <t>https://www.scopus.com/inward/record.uri?eid=2-s2.0-84910065945&amp;doi=10.1177%2f0148607113500694&amp;partnerID=40&amp;md5=2e21bb0db16733e9f0f8ca52cbf7c2b4</t>
  </si>
  <si>
    <t>Effect of parenteral fish oil lipid emulsion in parenteral nutrition supplementation combined with enteral nutrition support in patients undergoing pancreaticoduodenectomy</t>
  </si>
  <si>
    <t>https://www.scopus.com/inward/record.uri?eid=2-s2.0-84873671599&amp;doi=10.1177%2f0148607112450915&amp;partnerID=40&amp;md5=fab2d3be3db9463fe7a8cea64a378ab4</t>
  </si>
  <si>
    <t>Randomized clinical trial comparing infrahepatic inferior vena cava clamping with low central venous pressure in complex liver resections involving the Pringle manoeuvre</t>
  </si>
  <si>
    <t>British Journal of Surgery</t>
  </si>
  <si>
    <t>https://www.scopus.com/inward/record.uri?eid=2-s2.0-84862828550&amp;doi=10.1002%2fbjs.8714&amp;partnerID=40&amp;md5=00bd600092990e8e8e0ee82b5ab79651</t>
  </si>
  <si>
    <t>Preoperative Hepatic and Regional Arterial Chemotherapy in Patients Who Underwent Curative Colorectal Cancer Resection: A Prospective, Multi-center, Randomized Controlled Trial</t>
  </si>
  <si>
    <t>Annals of Surgery</t>
  </si>
  <si>
    <t>https://www.scopus.com/inward/record.uri?eid=2-s2.0-85106544887&amp;doi=10.1097%2fSLA.0000000000004558&amp;partnerID=40&amp;md5=4d164502da911e206a9067d748880542</t>
  </si>
  <si>
    <t>Effects of intraoperative PEEP on postoperative pulmonary complications in high-risk patients undergoing laparoscopic abdominal surgery: Study protocol for a randomised controlled trial</t>
  </si>
  <si>
    <t>https://www.scopus.com/inward/record.uri?eid=2-s2.0-85074356653&amp;doi=10.1136%2fbmjopen-2018-028464&amp;partnerID=40&amp;md5=7ed17c15d8519b8aa6ecc9b4cc8d2f5b</t>
  </si>
  <si>
    <t>Effects of intraoperative PEEP on postoperative pulmonary complications in patients undergoing robot-assisted laparoscopic radical resection for bladder cancer or prostate cancer: Study protocol for a randomized controlled trial</t>
  </si>
  <si>
    <t>Trials</t>
  </si>
  <si>
    <t>https://www.scopus.com/inward/record.uri?eid=2-s2.0-85066940043&amp;doi=10.1186%2fs13063-019-3363-y&amp;partnerID=40&amp;md5=dedece9a36cedc42e54ac7e135f78f78</t>
  </si>
  <si>
    <t>Anterior approach combined with infrahepatic inferior vena cava clamping right hepatic resection for large hepatocellular carcinoma</t>
  </si>
  <si>
    <t>Medicine (United States)</t>
  </si>
  <si>
    <t>https://www.scopus.com/inward/record.uri?eid=2-s2.0-84978696498&amp;doi=10.1097%2fMD.0000000000004159&amp;partnerID=40&amp;md5=c27a3d4463a516512b0174e8fca30569</t>
  </si>
  <si>
    <t>Which Anesthesia Regimen Is Best to Reduce Pulmonary Complications After Head and Neck Surgery?</t>
  </si>
  <si>
    <t>Laryngoscope</t>
  </si>
  <si>
    <t>https://www.scopus.com/inward/record.uri?eid=2-s2.0-85085136972&amp;doi=10.1002%2flary.28724&amp;partnerID=40&amp;md5=9b2b4c35c9b2223e9e50b41041616f9f</t>
  </si>
  <si>
    <t>“One-step” approach versus “Step-up” approach minimally invasive treatment for infected pancreatic necrosis: a study protocol for a single-center, prospective, randomized controlled trial</t>
  </si>
  <si>
    <t>BMC Gastroenterology</t>
  </si>
  <si>
    <t>https://www.scopus.com/inward/record.uri?eid=2-s2.0-85124336909&amp;doi=10.1186%2fs12876-022-02116-0&amp;partnerID=40&amp;md5=09c5bac37ff21c897203f4ecfc95dec5</t>
  </si>
  <si>
    <t>Vaccine-induced intratumoral lymphoid aggregates correlate with survival following treatment with a neoadjuvant and adjuvant vaccine in patients with resectable pancreatic adenocarcinoma</t>
  </si>
  <si>
    <t>Clinical Cancer Research</t>
  </si>
  <si>
    <t>https://www.scopus.com/inward/record.uri?eid=2-s2.0-85102520821&amp;doi=10.1158%2f1078-0432.CCR-20-2974&amp;partnerID=40&amp;md5=ee0888865d4cd151dae98a27b27138a9</t>
  </si>
  <si>
    <t>Comparison of 3D laparoscopic gastrectomy with a 2D procedure for gastric cancer: A phase 3 randomized controlled trial</t>
  </si>
  <si>
    <t>Surgery (United States)</t>
  </si>
  <si>
    <t>https://www.scopus.com/inward/record.uri?eid=2-s2.0-85035226377&amp;doi=10.1016%2fj.surg.2017.09.053&amp;partnerID=40&amp;md5=2cf0103ffcdb08a57a9a031b76c563e3</t>
  </si>
  <si>
    <t>Comparing the efficacy of povidone-iodine and normal saline in incisional wound irrigation to prevent superficial surgical site infection: a randomized clinical trial in gastric surgery</t>
  </si>
  <si>
    <t>Journal of Hospital Infection</t>
  </si>
  <si>
    <t>https://www.scopus.com/inward/record.uri?eid=2-s2.0-85142184787&amp;doi=10.1016%2fj.jhin.2022.10.005&amp;partnerID=40&amp;md5=a59cb4c2946034f6e83588707544cb93</t>
  </si>
  <si>
    <t>Patients Administered Neoadjuvant Chemotherapy Could be Enrolled into an Enhanced Recovery after Surgery Program for Locally Advanced Gastric Cancer</t>
  </si>
  <si>
    <t>Chinese Medical Journal</t>
  </si>
  <si>
    <t>https://www.scopus.com/inward/record.uri?eid=2-s2.0-85041913422&amp;doi=10.4103%2f0366-6999.225047&amp;partnerID=40&amp;md5=7d27ab6e3f33c15a81b79603d50b5d7c</t>
  </si>
  <si>
    <t>Effect of mini-dose dexmedetomidine supplemented intravenous analgesia on sleep structure in older patients after major noncardiac surgery: A randomized trial</t>
  </si>
  <si>
    <t>Sleep Medicine</t>
  </si>
  <si>
    <t>https://www.scopus.com/inward/record.uri?eid=2-s2.0-85144963829&amp;doi=10.1016%2fj.sleep.2022.12.006&amp;partnerID=40&amp;md5=ea015da53f55826442cbe81d65bea2cd</t>
  </si>
  <si>
    <t>Bilateral ultrasound-guided erector spinae plane block versus wound infiltration for postoperative analgesia in lumbar spinal fusion surgery: a randomized controlled trial</t>
  </si>
  <si>
    <t>European Spine Journal</t>
  </si>
  <si>
    <t>https://www.scopus.com/inward/record.uri?eid=2-s2.0-85141974137&amp;doi=10.1007%2fs00586-022-07453-y&amp;partnerID=40&amp;md5=1912682410ae29b926bf6b2b11064ad9</t>
  </si>
  <si>
    <t>Retropubic tension-free vaginal tape and inside-out transobturator tape: a long-term randomized trial</t>
  </si>
  <si>
    <t>International Urogynecology Journal</t>
  </si>
  <si>
    <t>https://www.scopus.com/inward/record.uri?eid=2-s2.0-84955214661&amp;doi=10.1007%2fs00192-015-2798-2&amp;partnerID=40&amp;md5=d33421be01b2bd91619a59f3b965c50c</t>
  </si>
  <si>
    <t>Mini-dose esketamine–dexmedetomidine combination to supplement analgesia for patients after scoliosis correction surgery: a double-blind randomised trial</t>
  </si>
  <si>
    <t>https://www.scopus.com/inward/record.uri?eid=2-s2.0-85161580151&amp;doi=10.1016%2fj.bja.2023.05.001&amp;partnerID=40&amp;md5=858e60781d525d49ebb3e1a2bc777bca</t>
  </si>
  <si>
    <t>Randomized Controlled Trial: Perioperative Dexamethasone Reduces Excessive Postoperative Inflammatory Response and Ileus after Surgery for Inflammatory Bowel Disease</t>
  </si>
  <si>
    <t>Inflammatory Bowel Diseases</t>
  </si>
  <si>
    <t>https://www.scopus.com/inward/record.uri?eid=2-s2.0-85107825279&amp;doi=10.1093%2fibd%2fizab065&amp;partnerID=40&amp;md5=c69ca2407fe21b08760fc8110cd674a9</t>
  </si>
  <si>
    <t>Safety of intraoperative chemotherapy with 5-FU for colorectal cancer patients receiving curative resection: A randomized, multicenter, prospective, phase III IOCCRC trial (IOCCRC)</t>
  </si>
  <si>
    <t>Journal of Cancer Research and Clinical Oncology</t>
  </si>
  <si>
    <t>https://www.scopus.com/inward/record.uri?eid=2-s2.0-85028524893&amp;doi=10.1007%2fs00432-017-2489-0&amp;partnerID=40&amp;md5=7b4e982cf7b8388d3cb5c3d82fe8d85b</t>
  </si>
  <si>
    <t>Bilateral ultrasound-guided erector spinae plane block in patients undergoing lumbar spinal fusion: A randomized controlled trial</t>
  </si>
  <si>
    <t>Journal of Clinical Anesthesia</t>
  </si>
  <si>
    <t>https://www.scopus.com/inward/record.uri?eid=2-s2.0-85093658812&amp;doi=10.1016%2fj.jclinane.2020.110090&amp;partnerID=40&amp;md5=914ddad4896e2583f0540a3c8cd41795</t>
  </si>
  <si>
    <t>Holmium laser enucleation of the prostate versus thulium laser enucleation of the prostate for the treatment of large-volume prostates &gt; 80 ml: 18-month follow-up results</t>
  </si>
  <si>
    <t>World Journal of Urology</t>
  </si>
  <si>
    <t>https://www.scopus.com/inward/record.uri?eid=2-s2.0-85072024788&amp;doi=10.1007%2fs00345-019-02945-x&amp;partnerID=40&amp;md5=0b038b94269bb42fdaaf057f72ac7ffd</t>
  </si>
  <si>
    <t>Total laparoscopic pancreaticoduodenectomy versus open pancreaticoduodenectomy (TJDBPS01): Study protocol for a multicentre, randomised controlled clinical trial</t>
  </si>
  <si>
    <t>https://www.scopus.com/inward/record.uri?eid=2-s2.0-85079336251&amp;doi=10.1136%2fbmjopen-2019-033490&amp;partnerID=40&amp;md5=1e624984aa648f0a72d936b29d53ffa1</t>
  </si>
  <si>
    <t>Robotic radical antegrade modular pancreatosplenectomy (RAMPS) versus standard retrograde pancreatosplenectomy (SRPS): Study protocol for a randomized controlled trial</t>
  </si>
  <si>
    <t>https://www.scopus.com/inward/record.uri?eid=2-s2.0-85083002747&amp;doi=10.1186%2fs13063-020-04250-0&amp;partnerID=40&amp;md5=d2307093cef09a54e63654c2e3c23ba5</t>
  </si>
  <si>
    <t>A randomized controlled trial to compare the efficacy of regenerated and non-regenerated oxidized cellulose gauze for the secondary treatment of local bleeding in patients undergoing hepatic resection</t>
  </si>
  <si>
    <t>Annals of Surgical Treatment and Research</t>
  </si>
  <si>
    <t>https://www.scopus.com/inward/record.uri?eid=2-s2.0-85104807588&amp;doi=10.4174%2fastr.2021.100.4.193&amp;partnerID=40&amp;md5=1c4478fb68bb0980564de8dc338cc9bc</t>
  </si>
  <si>
    <t>n-3 fatty acid-based parenteral nutrition improves postoperative recovery for cirrhotic patients with liver cancer: A randomized controlled clinical trial</t>
  </si>
  <si>
    <t>Clinical Nutrition</t>
  </si>
  <si>
    <t>https://www.scopus.com/inward/record.uri?eid=2-s2.0-84995487906&amp;doi=10.1016%2fj.clnu.2016.08.002&amp;partnerID=40&amp;md5=b9c6ad7eb10f36cc64d849c7ac82cc8f</t>
  </si>
  <si>
    <t>The QUILT study: quilting sutures in patients undergoing breast cancer surgery: a stepped wedge cluster randomized trial study</t>
  </si>
  <si>
    <t>BMC Cancer</t>
  </si>
  <si>
    <t>https://www.scopus.com/inward/record.uri?eid=2-s2.0-85165098629&amp;doi=10.1186%2fs12885-023-11154-0&amp;partnerID=40&amp;md5=6e8d76bb37205e054b38a25749f8e3f5</t>
  </si>
  <si>
    <t>Randomized clinical trial comparing laparoscopic versus ultrasound-guided transversus abdominis plane block in minimally invasive colorectal surgery</t>
  </si>
  <si>
    <t>Diseases of the Colon and Rectum</t>
  </si>
  <si>
    <t>https://www.scopus.com/inward/record.uri?eid=2-s2.0-85060028285&amp;doi=10.1097%2fDCR.0000000000001292&amp;partnerID=40&amp;md5=bdc4ed7813ef958d92eecb2ce366d6b0</t>
  </si>
  <si>
    <t>Penile Hemodynamic Response to Phosphodiesterase Type v Inhibitors after Cavernosal Sparing Inflatable Penile Prosthesis Implantation: A Prospective Randomized Open-Blinded End-Point (PROBE) Study</t>
  </si>
  <si>
    <t>Advances in Urology</t>
  </si>
  <si>
    <t>https://www.scopus.com/inward/record.uri?eid=2-s2.0-85110207830&amp;doi=10.1155%2f2021%2f5548494&amp;partnerID=40&amp;md5=baea9eba7e2a0ccaefb61d4bbaac3417</t>
  </si>
  <si>
    <t>Comparison of thoracoabdominal versus abdominal-transhiatal surgical approaches in Siewert type II adenocarcinoma at the esophagogastric junction: Protocol for a prospective multicenter randomized controlled trial</t>
  </si>
  <si>
    <t>Frontiers in Oncology</t>
  </si>
  <si>
    <t>https://www.scopus.com/inward/record.uri?eid=2-s2.0-85153345076&amp;doi=10.3389%2ffonc.2023.1091615&amp;partnerID=40&amp;md5=724c10ff661d77ff5196dd3c0cd10ee3</t>
  </si>
  <si>
    <t>Warm, humidified carbon dioxide gas insufflation for laparoscopic appendicectomy in children: A double-blinded randomized controlled trial</t>
  </si>
  <si>
    <t>https://www.scopus.com/inward/record.uri?eid=2-s2.0-84871619581&amp;doi=10.1097%2fSLA.0b013e31825f0721&amp;partnerID=40&amp;md5=0d9f512aab90f59083e0fbf0766c8d9c</t>
  </si>
  <si>
    <t>Comparison of D2 and D2 plus radical surgery for advanced distal gastric cancer: A randomized controlled study</t>
  </si>
  <si>
    <t>World Journal of Surgical Oncology</t>
  </si>
  <si>
    <t>https://www.scopus.com/inward/record.uri?eid=2-s2.0-85061141765&amp;doi=10.1186%2fs12957-019-1572-1&amp;partnerID=40&amp;md5=2d1ed18d3353d3b678a1e3cbf8bb9280</t>
  </si>
  <si>
    <t>Effect of S-1 Plus Oxaliplatin Compared with Fluorouracil, Leucovorin Plus Oxaliplatin as Perioperative Chemotherapy for Locally Advanced, Resectable Gastric Cancer: A Randomized Clinical Trial</t>
  </si>
  <si>
    <t>JAMA Network Open</t>
  </si>
  <si>
    <t>https://www.scopus.com/inward/record.uri?eid=2-s2.0-85125428198&amp;doi=10.1001%2fjamanetworkopen.2022.0426&amp;partnerID=40&amp;md5=32d28196ec6ac0c12e01b2c092ad253e</t>
  </si>
  <si>
    <t>Impact of Botulinum Neurotoxin Pyloric Injection During Laparoscopic Sleeve Gastrectomy on Postoperative Gastric Leak: a Clinical Randomized Study</t>
  </si>
  <si>
    <t>https://www.scopus.com/inward/record.uri?eid=2-s2.0-84959129166&amp;doi=10.1007%2fs11695-015-1794-4&amp;partnerID=40&amp;md5=5ab70483bedafc006b4ab4f3a4797e4f</t>
  </si>
  <si>
    <t>Randomized Clinical Trial Comparing Efficacy of Simo Decoction and Acupuncture or Chewing Gum Alone on Postoperative Ileus in Patients with Hepatocellular Carcinoma after Hepatectomy</t>
  </si>
  <si>
    <t>https://www.scopus.com/inward/record.uri?eid=2-s2.0-84958168427&amp;doi=10.1097%2fMD.0000000000001968&amp;partnerID=40&amp;md5=27afce095946c131d1d496a4b11e050c</t>
  </si>
  <si>
    <t>Randomized clinical trial of elective resection versus observation in diverticulitis with extraluminal air or abscess initially managed conservatively</t>
  </si>
  <si>
    <t>https://www.scopus.com/inward/record.uri?eid=2-s2.0-85048600077&amp;doi=10.1002%2fbjs.10868&amp;partnerID=40&amp;md5=646c4acdfb7ba2b39ac3fa5043ea9517</t>
  </si>
  <si>
    <t>Induction of a pathological complete response by four courses of neoadjuvant chemotherapy for gastric cancer: Early results of the randomized phase II COMPASS trial</t>
  </si>
  <si>
    <t>Annals of Surgical Oncology</t>
  </si>
  <si>
    <t>https://www.scopus.com/inward/record.uri?eid=2-s2.0-84891741070&amp;doi=10.1245%2fs10434-013-3055-x&amp;partnerID=40&amp;md5=c510df707e5000fa4f8aac85913968cc</t>
  </si>
  <si>
    <t>Ultrasound-guided bilateral subcostal transversus abdominis plane block in gastric cancer patients undergoing laparoscopic gastrectomy: a randomised-controlled double-blinded study</t>
  </si>
  <si>
    <t>Surgical Endoscopy</t>
  </si>
  <si>
    <t>https://www.scopus.com/inward/record.uri?eid=2-s2.0-85101769153&amp;doi=10.1007%2fs00464-021-08370-9&amp;partnerID=40&amp;md5=25d802e76970580986f0bc0c4bf8baef</t>
  </si>
  <si>
    <t>Effect of Continuous Infusion of Intravenous Nefopam on Postoperative Opioid Consumption After Video-assisted Thoracic Surgery: A Double-blind Randomized Controlled Trial</t>
  </si>
  <si>
    <t>Pain Physician</t>
  </si>
  <si>
    <t>https://www.scopus.com/inward/record.uri?eid=2-s2.0-85138188972&amp;partnerID=40&amp;md5=52774bfef330f295c01531a2640fcad5</t>
  </si>
  <si>
    <t>Circular polyethylene drape in prevention of surgical site infection (COVER trial): Study protocol for a randomised controlled trial</t>
  </si>
  <si>
    <t>https://www.scopus.com/inward/record.uri?eid=2-s2.0-85078231678&amp;doi=10.1136%2fbmjopen-2019-034687&amp;partnerID=40&amp;md5=0496c68728064bfb294431f1aad56657</t>
  </si>
  <si>
    <t>Effect of Perioperative Synbiotic Treatment on Bacterial Translocation and Postoperative Infectious Complications after Pancreatoduodenectomy</t>
  </si>
  <si>
    <t>Digestive Surgery</t>
  </si>
  <si>
    <t>https://www.scopus.com/inward/record.uri?eid=2-s2.0-84961391607&amp;doi=10.1159%2f000444459&amp;partnerID=40&amp;md5=b53a0cb6c3d957df461d43f5bc99d5d7</t>
  </si>
  <si>
    <t>Impact of enhanced recovery after surgery with preoperative whey protein-infused carbohydrate loading and postoperative early oral feeding among surgical gynecologic cancer patients: An open-labelled randomized controlled trial</t>
  </si>
  <si>
    <t>https://www.scopus.com/inward/record.uri?eid=2-s2.0-85078266601&amp;doi=10.3390%2fnu12010264&amp;partnerID=40&amp;md5=7ebb8c3e97f9e86a36ad7c6a3b8b7892</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</si>
  <si>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</si>
  <si>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</si>
  <si>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</si>
  <si>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Ischemic preconditioning provides no additive clinical value in liver resection of cirrhotic and non-cirrhotic patients under portal triad clamping: A prospective randomized controlled trial</t>
  </si>
  <si>
    <t>Clinics and Research in Hepatology and Gastroenterology</t>
  </si>
  <si>
    <t>https://www.scopus.com/inward/record.uri?eid=2-s2.0-84912572686&amp;doi=10.1016%2fj.clinre.2014.03.013&amp;partnerID=40&amp;md5=812035b5f315f5fa2baac5c2028fec58</t>
  </si>
  <si>
    <t>Robot-assisted laparoscopic prostatectomy versus open radical retropubic prostatectomy: early outcomes from a randomised controlled phase 3 study</t>
  </si>
  <si>
    <t>https://www.scopus.com/inward/record.uri?eid=2-s2.0-84986308277&amp;doi=10.1016%2fS0140-6736%2816%2930592-X&amp;partnerID=40&amp;md5=4f235a79d63a200eb5c1c3463a754fec</t>
  </si>
  <si>
    <t>Comparison of efficacy of simo decoction and acupuncture or chewing gum alone on postoperative ileus in colorectal cancer resection: A randomized trial</t>
  </si>
  <si>
    <t>Scientific Reports</t>
  </si>
  <si>
    <t>https://www.scopus.com/inward/record.uri?eid=2-s2.0-85010015671&amp;doi=10.1038%2fsrep37826&amp;partnerID=40&amp;md5=0bcbffc21b3fc2c71466f6c6e2a1295e</t>
  </si>
  <si>
    <t>Robot-assisted Versus Conventional Minimally Invasive Esophagectomy for Resectable Esophageal Squamous Cell Carcinoma: Early Results of a Multicenter Randomized Controlled Trial: The RAMIE Trial</t>
  </si>
  <si>
    <t>https://www.scopus.com/inward/record.uri?eid=2-s2.0-85120375795&amp;doi=10.1097%2fSLA.0000000000005023&amp;partnerID=40&amp;md5=b27fa86f9c241bd6c1c86ba5df09d3ff</t>
  </si>
  <si>
    <t>Comparison of quality of life between Billroth-I and Roux-en-Y anastomosis after distal gastrectomy for gastric cancer: A randomized controlled trial</t>
  </si>
  <si>
    <t>https://www.scopus.com/inward/record.uri?eid=2-s2.0-85029327177&amp;doi=10.1038%2fs41598-017-09676-2&amp;partnerID=40&amp;md5=7dacde0fe706a2f3991bc147a9d23a6b</t>
  </si>
  <si>
    <t>Effect of acupuncture on postoperative ileus after laparoscopic elective colorectal surgery: A prospective, randomised, controlled trial</t>
  </si>
  <si>
    <t>eClinicalMedicine</t>
  </si>
  <si>
    <t>https://www.scopus.com/inward/record.uri?eid=2-s2.0-85131120023&amp;doi=10.1016%2fj.eclinm.2022.101472&amp;partnerID=40&amp;md5=7f9fa3e02534893798fc514c7b4b5a31</t>
  </si>
  <si>
    <t>Effects of EN combined with PN enriched with n-3 polyunsaturated fatty acids on immune related indicators and early rehabilitation of patients with gastric cancer: A randomized controlled trial</t>
  </si>
  <si>
    <t>https://www.scopus.com/inward/record.uri?eid=2-s2.0-85128996786&amp;doi=10.1016%2fj.clnu.2022.03.018&amp;partnerID=40&amp;md5=f2c47b02155b796e2113c4ba4e570345</t>
  </si>
  <si>
    <t>Randomized controlled trial of uncut Roux-en-Y vs Billroth II reconstruction after distal gastrectomy for gastric cancer: Which technique is better for avoiding biliary reflux and gastritis?</t>
  </si>
  <si>
    <t>World Journal of Gastroenterology</t>
  </si>
  <si>
    <t>https://www.scopus.com/inward/record.uri?eid=2-s2.0-85029581187&amp;doi=10.3748%2fwjg.v23.i34.6350&amp;partnerID=40&amp;md5=c3de57a5284a34adb991be3148c9d4f0</t>
  </si>
  <si>
    <t>A Randomized, Multicenter, Open-Label, Blinded End Point, Phase 2, Feasibility, Efficacy, and Safety Trial of Preoperative Microvascular Protection in Patients Undergoing Major Abdominal Surgery</t>
  </si>
  <si>
    <t>Anesthesia and Analgesia</t>
  </si>
  <si>
    <t>https://www.scopus.com/inward/record.uri?eid=2-s2.0-85115008199&amp;doi=10.1213%2fANE.0000000000005667&amp;partnerID=40&amp;md5=95287e840634b022af24f4d19dea0e73</t>
  </si>
  <si>
    <t>Prophylactic penehyclidine inhalation for prevention of postoperative pulmonary complications in high-risk patients: Study protocol of a randomized controlled trial</t>
  </si>
  <si>
    <t>https://www.scopus.com/inward/record.uri?eid=2-s2.0-85035324216&amp;doi=10.1186%2fs13063-017-2315-7&amp;partnerID=40&amp;md5=e91dade0fd0fe68a8fb0ce45e171223a</t>
  </si>
  <si>
    <t>protocol of published study added to additional database als added1</t>
  </si>
  <si>
    <t>Double stapling technique versus hemi-double stapling technique for esophagojejunostomy with OrVil™ after laparoscopic total gastrectomy: a single-blind, randomized clinical trial</t>
  </si>
  <si>
    <t>https://www.scopus.com/inward/record.uri?eid=2-s2.0-85153059845&amp;doi=10.1007%2fs00464-023-10068-z&amp;partnerID=40&amp;md5=b56853a1524e77352e3f4ee2a1e41bdd</t>
  </si>
  <si>
    <t>Randomized Controlled Study to Evaluate the Efficacy of a Preoperative Respiratory Rehabilitation Program to Prevent Postoperative Pulmonary Complications after Esophagectomy</t>
  </si>
  <si>
    <t>https://www.scopus.com/inward/record.uri?eid=2-s2.0-84937781141&amp;doi=10.1159%2f000434758&amp;partnerID=40&amp;md5=5dd5f968e87086153f81f39e373880b3</t>
  </si>
  <si>
    <t>Dual-center randomized clinical trial exploring the optimal duration of antimicrobial prophylaxis in patients undergoing pancreaticoduodenectomy following biliary drainage</t>
  </si>
  <si>
    <t>Annals of Gastroenterological Surgery</t>
  </si>
  <si>
    <t>https://www.scopus.com/inward/record.uri?eid=2-s2.0-85069847195&amp;doi=10.1002%2fags3.12209&amp;partnerID=40&amp;md5=490ef95228fee3dcd215d24ccffbf0d1</t>
  </si>
  <si>
    <t>Effect of rikkunshito, a traditional japanese herbal medicine, on delayed gastric emptying and oral dietary intake after pancreaticoduodenectomy: A prospective, randomized, single-center, open-labeled study</t>
  </si>
  <si>
    <t>Clinical and Experimental Gastroenterology</t>
  </si>
  <si>
    <t>https://www.scopus.com/inward/record.uri?eid=2-s2.0-85097948611&amp;doi=10.2147%2fCEG.S252913&amp;partnerID=40&amp;md5=44791cb582bcd9687b0d4ba06c2ee965</t>
  </si>
  <si>
    <t>Safety of Combined Division vs Separate Division of the Splenic Vein in Patients Undergoing Distal Pancreatectomy: A Noninferiority Randomized Clinical Trial</t>
  </si>
  <si>
    <t>JAMA Surgery</t>
  </si>
  <si>
    <t>https://www.scopus.com/inward/record.uri?eid=2-s2.0-85102141570&amp;doi=10.1001%2fjamasurg.2021.0108&amp;partnerID=40&amp;md5=7e46e86112e664000a3f53caa8cd1fd3</t>
  </si>
  <si>
    <t>Splenic vein resection together with the pancreatic parenchyma versus separated resection after isolation of the parenchyma during distal pancreatectomy (COSMOS-DP trial): Study protocol for a randomised controlled trial</t>
  </si>
  <si>
    <t>https://www.scopus.com/inward/record.uri?eid=2-s2.0-85050014684&amp;doi=10.1186%2fs13063-018-2756-7&amp;partnerID=40&amp;md5=83b147f6ccf0a5558dbe01586b87ff7d</t>
  </si>
  <si>
    <t>Epidural Anesthesia-Analgesia and Recurrence-free Survival after Lung Cancer Surgery: A Randomized Trial</t>
  </si>
  <si>
    <t>https://www.scopus.com/inward/record.uri?eid=2-s2.0-85112366437&amp;doi=10.1097%2fALN.0000000000003873&amp;partnerID=40&amp;md5=6e53a78d085a87e02533cebf933b970f</t>
  </si>
  <si>
    <t>Perioperative and long-term outcomes of liver resection for hepatitis B virus-related hepatocellular carcinoma without versus with hepatic inflow occlusion: Study protocol for a prospective randomized controlled trial</t>
  </si>
  <si>
    <t>https://www.scopus.com/inward/record.uri?eid=2-s2.0-84990998458&amp;doi=10.1186%2fs13063-016-1621-9&amp;partnerID=40&amp;md5=21ab203bc4d624c2dff0b0ad202c2168</t>
  </si>
  <si>
    <t>Clinical outcomes of laparoscopic-assisted natural orifice specimen extraction colectomy using a Cai tube for left-sided colon cancer: a prospective randomized trial</t>
  </si>
  <si>
    <t>https://www.scopus.com/inward/record.uri?eid=2-s2.0-85146261672&amp;doi=10.1007%2fs00464-022-09435-z&amp;partnerID=40&amp;md5=248d4608f29ff0d20a0b2f4d2afb08fa</t>
  </si>
  <si>
    <t>Short-term outcomes of complete mesocolic excision versus D2 dissection in patients undergoing laparoscopic colectomy for right colon cancer (RELARC): a randomised, controlled, phase 3, superiority trial</t>
  </si>
  <si>
    <t>The Lancet Oncology</t>
  </si>
  <si>
    <t>https://www.scopus.com/inward/record.uri?eid=2-s2.0-85101706839&amp;doi=10.1016%2fS1470-2045%2820%2930685-9&amp;partnerID=40&amp;md5=cbf9af182e8f96c506c3bf3f4c9e4365</t>
  </si>
  <si>
    <t>Effect of intraoperative dexmedetomidine on long-term survival in older patients after major noncardiac surgery: 3-year follow-up of a randomized trial</t>
  </si>
  <si>
    <t>https://www.scopus.com/inward/record.uri?eid=2-s2.0-85147261793&amp;doi=10.1016%2fj.jclinane.2023.111068&amp;partnerID=40&amp;md5=0779f8b809c23abbb51303be4cee7af2</t>
  </si>
  <si>
    <t>Extraperitoneal laparoscopic adenomectomy (madigan) versus bipolar transurethral resection of the prostate for benign prostatic hyperplasia greater than 80 ml: Complications and functional outcomes after 3-year follow-up</t>
  </si>
  <si>
    <t>Journal of Endourology</t>
  </si>
  <si>
    <t>https://www.scopus.com/inward/record.uri?eid=2-s2.0-84894434542&amp;doi=10.1089%2fend.2013.0374&amp;partnerID=40&amp;md5=a5804cc3c8c08571155d4d615839eb5b</t>
  </si>
  <si>
    <t>Long-term Effects of Repeat Hepatectomy vs Percutaneous Radiofrequency Ablation among Patients with Recurrent Hepatocellular Carcinoma: A Randomized Clinical Trial</t>
  </si>
  <si>
    <t>JAMA Oncology</t>
  </si>
  <si>
    <t>https://www.scopus.com/inward/record.uri?eid=2-s2.0-85075841256&amp;doi=10.1001%2fjamaoncol.2019.4477&amp;partnerID=40&amp;md5=4c6e4492c2d6b8ba468676485bb4b793</t>
  </si>
  <si>
    <t>Restrictive deferred hydration combined with preemptive norepinephrine infusion during radical cystectomy reduces postoperative complications and hospitalization time</t>
  </si>
  <si>
    <t>https://www.scopus.com/inward/record.uri?eid=2-s2.0-84893391563&amp;doi=10.1097%2fALN.0b013e3182a44440&amp;partnerID=40&amp;md5=80fbdc504a89f7919bda142397a1274d</t>
  </si>
  <si>
    <t>Hepatectomy versus hepatectomy with lymphadenectomy in hepatocellular carcinoma</t>
  </si>
  <si>
    <t>Journal of Clinical Gastroenterology</t>
  </si>
  <si>
    <t>https://www.scopus.com/inward/record.uri?eid=2-s2.0-84932108157&amp;doi=10.1097%2fMCG.0000000000000277&amp;partnerID=40&amp;md5=f276539213993225d30e90e9750cab94</t>
  </si>
  <si>
    <t>Efficacy and safety of transcutaneous electrical acupoints stimulation for preoperative anxiety in thoracoscopic surgery: study protocol for a randomised controlled trial</t>
  </si>
  <si>
    <t>https://www.scopus.com/inward/record.uri?eid=2-s2.0-85148264260&amp;doi=10.1136%2fbmjopen-2022-067082&amp;partnerID=40&amp;md5=aaa6ae5846a6df5537ccbbd7e27899da</t>
  </si>
  <si>
    <t>Preoperative tranexamic acid does not reduce transfusion rates in major oncologic surgery: Results of a randomized, double-blind, and placebo-controlled trial</t>
  </si>
  <si>
    <t>Journal of Surgical Oncology</t>
  </si>
  <si>
    <t>https://www.scopus.com/inward/record.uri?eid=2-s2.0-85088805756&amp;doi=10.1002%2fjso.26142&amp;partnerID=40&amp;md5=3db0de342a9c13997e843a0b0c176821</t>
  </si>
  <si>
    <t>Thulium laser transurethral vaporesection versus transurethral resection of the prostate for benign prostatic obstruction: The UNBLOCS RCT</t>
  </si>
  <si>
    <t>Health Technology Assessment</t>
  </si>
  <si>
    <t>https://www.scopus.com/inward/record.uri?eid=2-s2.0-85091264589&amp;doi=10.3310%2fhta24410&amp;partnerID=40&amp;md5=1cca48b7fefc57dbc62e3a58f193ee2f</t>
  </si>
  <si>
    <t>Does the Difference of Invasiveness between Totally Laparoscopic Distal Gastrectomy and Laparoscopy-Assisted Distal Gastrectomy Lead to a Difference in Early Surgical Outcomes? A Prospective Randomized Trial</t>
  </si>
  <si>
    <t>https://www.scopus.com/inward/record.uri?eid=2-s2.0-84939984620&amp;doi=10.1245%2fs10434-014-4229-x&amp;partnerID=40&amp;md5=fd9a88e7603a578c286e070c076d05b1</t>
  </si>
  <si>
    <t>Randomized clinical trial of open versus laparoscopic left lateral hepatic sectionectomy within an enhanced recovery after surgery programme (ORANGE II study)</t>
  </si>
  <si>
    <t>https://www.scopus.com/inward/record.uri?eid=2-s2.0-85011277186&amp;doi=10.1002%2fbjs.10438&amp;partnerID=40&amp;md5=4f4ae1604753d1fabddd34d5ce3b65b0</t>
  </si>
  <si>
    <t>Study protocol for an open labelled randomised controlled trial of perioperative oral nutrition supplement in breast and colorectal cancer patients undergoing elective surgery</t>
  </si>
  <si>
    <t>https://www.scopus.com/inward/record.uri?eid=2-s2.0-85118747830&amp;doi=10.1186%2fs13063-021-05716-5&amp;partnerID=40&amp;md5=714864321b4488adbee5f4508a2fe42a</t>
  </si>
  <si>
    <t>10.1186/s13063-021-05716-5</t>
  </si>
  <si>
    <t>protocol of published study added to additional database as added2</t>
  </si>
  <si>
    <t>Evaluation of a physiatrist-directed prehabilitation intervention in frail patients with colorectal cancer: A randomised pilot study protocol</t>
  </si>
  <si>
    <t>https://www.scopus.com/inward/record.uri?eid=2-s2.0-85020619396&amp;doi=10.1136%2fbmjopen-2016-015565&amp;partnerID=40&amp;md5=4cc2eda9a561000dd77e257c15f927d9</t>
  </si>
  <si>
    <t>Surgeon-delivered laparoscopic transversus abdominis plane blocks are non-inferior to anesthesia-delivered ultrasound-guided transversus abdominis plane blocks: a blinded, randomized non-inferiority trial</t>
  </si>
  <si>
    <t>https://www.scopus.com/inward/record.uri?eid=2-s2.0-85071758157&amp;doi=10.1007%2fs00464-019-07097-y&amp;partnerID=40&amp;md5=a7689d9847ebcea7483b7db6bb341363</t>
  </si>
  <si>
    <t>Randomized clinical trial of laparoscopic colectomy with or without natural-orifice specimen extraction</t>
  </si>
  <si>
    <t>https://www.scopus.com/inward/record.uri?eid=2-s2.0-84927577428&amp;doi=10.1002%2fbjs.9757&amp;partnerID=40&amp;md5=510a9d9948e3258988c60c77f1e5aa85</t>
  </si>
  <si>
    <t>Use of Activity Tracking in Major Visceral Surgery—the Enhanced Perioperative Mobilization Trial: a Randomized Controlled Trial</t>
  </si>
  <si>
    <t>Journal of Gastrointestinal Surgery</t>
  </si>
  <si>
    <t>https://www.scopus.com/inward/record.uri?eid=2-s2.0-85054899659&amp;doi=10.1007%2fs11605-018-3998-0&amp;partnerID=40&amp;md5=ee74b0a53bd86c12b46ffb52cd78452e</t>
  </si>
  <si>
    <t>Immersive virtual reality fitness games for enhancement of recovery after colorectal surgery: study protocol for a randomised pilot trial</t>
  </si>
  <si>
    <t>Pilot and Feasibility Studies</t>
  </si>
  <si>
    <t>https://www.scopus.com/inward/record.uri?eid=2-s2.0-85144390118&amp;doi=10.1186%2fs40814-022-01213-x&amp;partnerID=40&amp;md5=0ae3abdedafe6dedce870ccc6cadb50c</t>
  </si>
  <si>
    <t>protocol of published study added to additional database as added3</t>
  </si>
  <si>
    <t>Continuous and interrupted abdominal-wall closure after primary emergency midline laparotomy (CONIAC-trial): study protocol for a randomised controlled single centre trial</t>
  </si>
  <si>
    <t>https://www.scopus.com/inward/record.uri?eid=2-s2.0-85142938966&amp;doi=10.1136%2fbmjopen-2021-059709&amp;partnerID=40&amp;md5=c2998126e2788de4508098b19c62569d</t>
  </si>
  <si>
    <t>The impact of drainage pathways on the detection of nodal metastases in prostate cancer: a phase II randomized comparison of intratumoral vs intraprostatic tracer injection for sentinel node detection</t>
  </si>
  <si>
    <t>European Journal of Nuclear Medicine and Molecular Imaging</t>
  </si>
  <si>
    <t>https://www.scopus.com/inward/record.uri?eid=2-s2.0-85118604181&amp;doi=10.1007%2fs00259-021-05580-0&amp;partnerID=40&amp;md5=91429f294d12543ffc4d8e6dce41e05b</t>
  </si>
  <si>
    <t>A hybrid radioactive and fluorescence approach is more than the sum of its parts; outcome of a phase II randomized sentinel node trial in prostate cancer patients</t>
  </si>
  <si>
    <t>https://www.scopus.com/inward/record.uri?eid=2-s2.0-85150649707&amp;doi=10.1007%2fs00259-023-06191-7&amp;partnerID=40&amp;md5=e03f9e32c9bc1c39e8123d25b2c5b7da</t>
  </si>
  <si>
    <t>Hepatic resection following selective internal radiation therapy for colorectal cancer metastases in the foxfire clinical trial: Clinical outcomes and distribution of microspheres</t>
  </si>
  <si>
    <t>Cancers</t>
  </si>
  <si>
    <t>https://www.scopus.com/inward/record.uri?eid=2-s2.0-85071304231&amp;doi=10.3390%2fcancers11081155&amp;partnerID=40&amp;md5=c482f7d82e95484c614231c5cc0f5d7f</t>
  </si>
  <si>
    <t>Ischemic preconditioning prior to intermittent Pringle maneuver in liver resections</t>
  </si>
  <si>
    <t>Journal of Hepato-Biliary-Pancreatic Sciences</t>
  </si>
  <si>
    <t>https://www.scopus.com/inward/record.uri?eid=2-s2.0-84857058902&amp;doi=10.1007%2fs00534-011-0402-9&amp;partnerID=40&amp;md5=7120266b0bf09b51f282bbcfc5e70666</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</si>
  <si>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</si>
  <si>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</si>
  <si>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</si>
  <si>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Thoracic Epidural analgesia versus Rectus Sheath Catheters for open midline incisions in major abdominal surgery within an enhanced recovery programme (TERSC): Study protocol for a randomised controlled trial</t>
  </si>
  <si>
    <t>An international pragmatic randomized controlled trial to compare a single-use negative-pressure dressing versus the surgeon’s preference of dressing to reduce the incidence of surgical site infection following emergency laparotomy: the SUNRRISE trial protocol</t>
  </si>
  <si>
    <t>Colorectal Disease</t>
  </si>
  <si>
    <t>https://www.scopus.com/inward/record.uri?eid=2-s2.0-85104677541&amp;doi=10.1111%2fcodi.15474&amp;partnerID=40&amp;md5=2b8622147a358ac1cb58792fe9055ef4</t>
  </si>
  <si>
    <t>Early fixation versus conservative therapy of multiple, simple rib fractures (FixCon): Protocol for a multicenter randomized controlled trial</t>
  </si>
  <si>
    <t>World Journal of Emergency Surgery</t>
  </si>
  <si>
    <t>https://www.scopus.com/inward/record.uri?eid=2-s2.0-85071175849&amp;doi=10.1186%2fs13017-019-0258-x&amp;partnerID=40&amp;md5=bcf7d1fb2818b7ab800fcd65061d6f30</t>
  </si>
  <si>
    <t>PREFEREnce-based RANDOMIZED evaluation of treatment modalities in low or early intermediate-risk prostate cancer</t>
  </si>
  <si>
    <t>Editorial</t>
  </si>
  <si>
    <t>https://www.scopus.com/inward/record.uri?eid=2-s2.0-84926185028&amp;doi=10.1016%2fj.eururo.2014.09.016&amp;partnerID=40&amp;md5=c3f67bcd6e8adc3677762c212ab8b076</t>
  </si>
  <si>
    <t>protocol of published study added to additional database as added4</t>
  </si>
  <si>
    <t>Single Running Suture versus Single-Knot Running Suture for Vesicourethral Anastomosis in Laparoscopic Radical Prostatectomy: A Prospective Randomised Comparative Study</t>
  </si>
  <si>
    <t>Urologia Internationalis</t>
  </si>
  <si>
    <t>https://www.scopus.com/inward/record.uri?eid=2-s2.0-84951145871&amp;doi=10.1159%2f000438829&amp;partnerID=40&amp;md5=960a1580c9a843eeb41eb3cbf12f471e</t>
  </si>
  <si>
    <t>Statistical analysis plan of a randomized controlled trial to compare a restrictive strategy to usual care for the effectiveness of cholecystectomy (SECURE trial)</t>
  </si>
  <si>
    <t>https://www.scopus.com/inward/record.uri?eid=2-s2.0-85056086498&amp;doi=10.1186%2fs13063-018-2989-5&amp;partnerID=40&amp;md5=b9739b59f17a43364ffcbb45a9520897</t>
  </si>
  <si>
    <t>protocol of published study added to additional database as added5</t>
  </si>
  <si>
    <t>Reinforced versus standard stapler transection on postoperative pancreatic fistula in distal pancreatectomy: Multicentre randomized clinical trial</t>
  </si>
  <si>
    <t>https://www.scopus.com/inward/record.uri?eid=2-s2.0-85106069414&amp;doi=10.1093%2fbjs%2fznaa113&amp;partnerID=40&amp;md5=b58d5821054dd3588215f58b3a8e8b25</t>
  </si>
  <si>
    <t>Utility of Abdominal Drain in Gastrectomy (ADiGe) Trial: study protocol for a multicenter non-inferiority randomized trial</t>
  </si>
  <si>
    <t>https://www.scopus.com/inward/record.uri?eid=2-s2.0-85101073311&amp;doi=10.1186%2fs13063-021-05102-1&amp;partnerID=40&amp;md5=c89a6fffdf423a95d23fa8625eacec50</t>
  </si>
  <si>
    <t>Goal directed fluid therapy for major liver resection: A multicentre randomized controlled trial</t>
  </si>
  <si>
    <t>Annals of Medicine and Surgery</t>
  </si>
  <si>
    <t>https://www.scopus.com/inward/record.uri?eid=2-s2.0-85069471925&amp;doi=10.1016%2fj.amsu.2019.07.003&amp;partnerID=40&amp;md5=bfcba292ef344bb605b330bb5be5e986</t>
  </si>
  <si>
    <t>Restrictive intraoperative fluid optimisation algorithm improves outcomes in patients undergoing pancreaticoduodenectomy: A prospective multicentre randomized controlled trial</t>
  </si>
  <si>
    <t>PLoS ONE</t>
  </si>
  <si>
    <t>https://www.scopus.com/inward/record.uri?eid=2-s2.0-85028979217&amp;doi=10.1371%2fjournal.pone.0183313&amp;partnerID=40&amp;md5=94acc81c331d7682e5c34aedd781c45a</t>
  </si>
  <si>
    <t>Effects of intraoperative and early postoperative normal saline or Plasma-Lyte 148 ® on hyperkalaemia in deceased donor renal transplantation: A double-blind randomized trial</t>
  </si>
  <si>
    <t>https://www.scopus.com/inward/record.uri?eid=2-s2.0-85032872185&amp;doi=10.1093%2fbja%2faex163&amp;partnerID=40&amp;md5=f46a3a71ab62cddab2628ecf4955b760</t>
  </si>
  <si>
    <t>Sodium bicarbonate infusion in patients undergoing orthotopic liver transplantation: A single center randomized controlled pilot trial</t>
  </si>
  <si>
    <t>Clinical Transplantation</t>
  </si>
  <si>
    <t>https://www.scopus.com/inward/record.uri?eid=2-s2.0-84960905825&amp;doi=10.1111%2fctr.12721&amp;partnerID=40&amp;md5=8e995fd182a4989c4c8da5cb5bb3117d</t>
  </si>
  <si>
    <t>Neoadjuvant three-dimensional conformal radiotherapy for resectable hepatocellular carcinoma with portal vein tumor thrombus: A randomized, open-label, multicenter controlled study</t>
  </si>
  <si>
    <t>https://www.scopus.com/inward/record.uri?eid=2-s2.0-85070768988&amp;doi=10.1200%2fJCO.18.02184&amp;partnerID=40&amp;md5=e5d0f6033cc7e821a74c2f742fa58905</t>
  </si>
  <si>
    <t>Effect of Vein-First vs Artery-First Surgical Technique on Circulating Tumor Cells and Survival in Patients with Non-Small Cell Lung Cancer: A Randomized Clinical Trial and Registry-Based Propensity Score Matching Analysis</t>
  </si>
  <si>
    <t>https://www.scopus.com/inward/record.uri?eid=2-s2.0-85065128131&amp;doi=10.1001%2fjamasurg.2019.0972&amp;partnerID=40&amp;md5=c778c7f3d4be77147ff1555bfbfb7db4</t>
  </si>
  <si>
    <t>Effect of Denonvilliers' Fascia Preservation Versus Resection during Laparoscopic Total Mesorectal Excision on Postoperative Urogenital Function of Male Rectal Cancer Patients: Initial Results of Chinese PUF-01 Randomized Clinical Trial</t>
  </si>
  <si>
    <t>https://www.scopus.com/inward/record.uri?eid=2-s2.0-85103716712&amp;doi=10.1097%2fSLA.0000000000004591&amp;partnerID=40&amp;md5=2a9801e4ba9944d5e0e6afc819a93c83</t>
  </si>
  <si>
    <t>The FUTURE Trial: A Multicenter Randomised Controlled Trial on Target Biopsy Techniques Based on Magnetic Resonance Imaging in the Diagnosis of Prostate Cancer in Patients with Prior Negative Biopsies</t>
  </si>
  <si>
    <t>https://www.scopus.com/inward/record.uri?eid=2-s2.0-85057565749&amp;doi=10.1016%2fj.eururo.2018.11.040&amp;partnerID=40&amp;md5=38879dd76d185a9e57a7727f22fd9d78</t>
  </si>
  <si>
    <t>Mesh-fixation method and pain and quality of life after laparoscopic ventral or incisional hernia repair: A randomized trial of three fixation techniques</t>
  </si>
  <si>
    <t>https://www.scopus.com/inward/record.uri?eid=2-s2.0-77955655059&amp;doi=10.1007%2fs00464-009-0763-1&amp;partnerID=40&amp;md5=87caa8a9c95799449ad5821131ebc8d4</t>
  </si>
  <si>
    <t>Short-term surgical outcomes of laparoscopy-assisted versus open D2 distal gastrectomy for locally advanced gastric cancer in North China: a multicenter randomized controlled trial</t>
  </si>
  <si>
    <t>https://www.scopus.com/inward/record.uri?eid=2-s2.0-85055972407&amp;doi=10.1007%2fs00464-018-6391-x&amp;partnerID=40&amp;md5=c95f4210e3b61d4a572cd4aaf18c9636</t>
  </si>
  <si>
    <t>Adjuvant transarterial chemoembolization fo hbv-related hepatocellular carcinoma after resection: A randomized controlled study</t>
  </si>
  <si>
    <t>https://www.scopus.com/inward/record.uri?eid=2-s2.0-85047818871&amp;doi=10.1158%2f1078-0432.CCR-17-2899&amp;partnerID=40&amp;md5=7c6e179003c689f5593b1fdbfc7a07ed</t>
  </si>
  <si>
    <t>Comparison of the efficacy and safety of URSL, RPLU, and MPCNL for treatment of large upper impacted ureteral stones: A randomized controlled trial</t>
  </si>
  <si>
    <t>BMC Urology</t>
  </si>
  <si>
    <t>https://www.scopus.com/inward/record.uri?eid=2-s2.0-85021638832&amp;doi=10.1186%2fs12894-017-0236-0&amp;partnerID=40&amp;md5=16b601c7453d41de8b01c8dc0901a6d1</t>
  </si>
  <si>
    <t>Electroacupuncture vs Sham Electroacupuncture in the Treatment of Postoperative Ileus after Laparoscopic Surgery for Colorectal Cancer: A Multicenter, Randomized Clinical Trial</t>
  </si>
  <si>
    <t>https://www.scopus.com/inward/record.uri?eid=2-s2.0-85146193293&amp;doi=10.1001%2fjamasurg.2022.5674&amp;partnerID=40&amp;md5=cdb8b5f3d6f9e2b405f07dda760733b8</t>
  </si>
  <si>
    <t>Short-term outcomes of single-incision plus one-port laparoscopic versus conventional laparoscopic surgery for rectosigmoid cancer: a randomized controlled trial</t>
  </si>
  <si>
    <t>https://www.scopus.com/inward/record.uri?eid=2-s2.0-85049825071&amp;doi=10.1007%2fs00464-018-6350-6&amp;partnerID=40&amp;md5=3f4371094f4c86cc07f055a3f24896ac</t>
  </si>
  <si>
    <t>Effect of goal-directed fluid therapy on the shedding of the glycocalyx layer in retroperitoneal tumour resection</t>
  </si>
  <si>
    <t>Journal of the College of Physicians and Surgeons Pakistan</t>
  </si>
  <si>
    <t>https://www.scopus.com/inward/record.uri?eid=2-s2.0-85116568899&amp;doi=10.29271%2fjcpsp.2021.10.1179&amp;partnerID=40&amp;md5=da2a3103139d79896a659bfaebee7323</t>
  </si>
  <si>
    <t>Self-retaining barbed suture reduces warm ischemia time during laparoscopic partial nephrectomy</t>
  </si>
  <si>
    <t>Minimally Invasive Therapy and Allied Technologies</t>
  </si>
  <si>
    <t>https://www.scopus.com/inward/record.uri?eid=2-s2.0-85042235388&amp;doi=10.1080%2f13645706.2018.1438473&amp;partnerID=40&amp;md5=0f765391626aaef738bd8654c8be2014</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</si>
  <si>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</si>
  <si>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</si>
  <si>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</si>
  <si>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Penehyclidine for prevention of postoperative nausea and vomiting following bimaxillary orthognathic surgery: a randomized, double-blind, controlled trial</t>
  </si>
  <si>
    <t>Journal of Anesthesia</t>
  </si>
  <si>
    <t>https://www.scopus.com/inward/record.uri?eid=2-s2.0-85118586349&amp;doi=10.1007%2fs00540-021-03017-4&amp;partnerID=40&amp;md5=5baa47f5ed3683500a817cc10408a38c</t>
  </si>
  <si>
    <t>Comparison of outcomes of totally laparoscopic total gastrectomy (Overlap reconstruction) versus laparoscopic-assisted total gastrectomy for advanced siewert iii esophagogastric junction cancer and gastric cancer of upper and middle third of stomach: Study protocol for a single-center randomized controlled trial</t>
  </si>
  <si>
    <t>Cancer Management and Research</t>
  </si>
  <si>
    <t>https://www.scopus.com/inward/record.uri?eid=2-s2.0-85100346268&amp;doi=10.2147%2fCMAR.S285598&amp;partnerID=40&amp;md5=71230bb8cd0d9d537fff25c7b0a9d306</t>
  </si>
  <si>
    <t>Pretreatment with transcutaneous electrical acupoint stimulation to prevent postoperative ileus in patients undergoing laparoscopic colon surgery: Study protocol for a randomised controlled trial</t>
  </si>
  <si>
    <t>https://www.scopus.com/inward/record.uri?eid=2-s2.0-85089770064&amp;doi=10.1136%2fbmjopen-2019-030694&amp;partnerID=40&amp;md5=ed5c673487cfff885015c1b539502d2f</t>
  </si>
  <si>
    <t>Micro-Hand Robot-Assisted Versus da Vinci Robot-Assisted Cholecystectomy: A Multi-centre, Randomized Controlled Trial</t>
  </si>
  <si>
    <t>https://www.scopus.com/inward/record.uri?eid=2-s2.0-85134516664&amp;doi=10.1007%2fs00268-022-06668-w&amp;partnerID=40&amp;md5=a8e42cc1873f48a5c6e3911c4e550fa7</t>
  </si>
  <si>
    <t>Fast-track rehabilitation program vs conventional care after colorectal resection: A randomized clinical trial</t>
  </si>
  <si>
    <t>https://www.scopus.com/inward/record.uri?eid=2-s2.0-79955938983&amp;doi=10.3748%2fwjg.v17.i5.671&amp;partnerID=40&amp;md5=2a4b6c7a67ff5222fcb54682854c4c82</t>
  </si>
  <si>
    <t>Assessing the safety and efficacy of full robotic gastrectomy with intracorporeal robot-sewn anastomosis for gastric cancer: A randomized clinical trial</t>
  </si>
  <si>
    <t>https://www.scopus.com/inward/record.uri?eid=2-s2.0-84954495803&amp;doi=10.1002%2fjso.24146&amp;partnerID=40&amp;md5=f6d751a92276cf911330ce8c61071a94</t>
  </si>
  <si>
    <t>Effect of Electroencephalography Spectral Edge Frequency (SEF) and Patient State Index (PSI)-Guided Propofol-Remifentanil Anesthesia on Delirium After Laparoscopic Surgery: The eMODIPOD Randomized Controlled Trial</t>
  </si>
  <si>
    <t>Journal of Neurosurgical Anesthesiology</t>
  </si>
  <si>
    <t>https://www.scopus.com/inward/record.uri?eid=2-s2.0-85121314690&amp;doi=10.1097%2fANA.0000000000000823&amp;partnerID=40&amp;md5=8640cb87f097cd531bbfe40b66e92174</t>
  </si>
  <si>
    <t>Simultaneous bilateral tubeless percutaneous nephrolithotomy of staghorn stones: A prospective randomized controlled study</t>
  </si>
  <si>
    <t>Urological Research</t>
  </si>
  <si>
    <t>Review</t>
  </si>
  <si>
    <t>https://www.scopus.com/inward/record.uri?eid=2-s2.0-80051801508&amp;doi=10.1007%2fs00240-010-0342-x&amp;partnerID=40&amp;md5=359bd8908fea28e45de3724730e434fb</t>
  </si>
  <si>
    <t>Patient satisfaction after midurethral sling surgery for stress urinary incontinence</t>
  </si>
  <si>
    <t>Obstetrics and Gynecology</t>
  </si>
  <si>
    <t>https://www.scopus.com/inward/record.uri?eid=2-s2.0-84879122940&amp;doi=10.1097%2fAOG.0b013e31828ca49e&amp;partnerID=40&amp;md5=07a0d20a341edac5afbc1adb86e36550</t>
  </si>
  <si>
    <t>EORTC-1203-GITCG - The "INNOVATION"-trial: Effect of chemotherapy alone versus chemotherapy plus trastuzumab, versus chemotherapy plus trastuzumab plus pertuzumab, in the perioperative treatment of HER2 positive, gastric and gastroesophageal junction adenocarcinoma on pathologic response rate: A randomized phase II-intergroup trial of the EORTC-Gastrointestinal Tract Cancer Group, Korean Cancer Study Group and Dutch Upper GI-Cancer group</t>
  </si>
  <si>
    <t>https://www.scopus.com/inward/record.uri?eid=2-s2.0-85066401196&amp;doi=10.1186%2fs12885-019-5675-4&amp;partnerID=40&amp;md5=f9239071b09a8484e6e67782f8ed40a8</t>
  </si>
  <si>
    <t>Perioperative nutritional support with beta-hydroxy-beta-methylbutyrate, arginine, and glutamine in surgery for abdominal malignancies</t>
  </si>
  <si>
    <t>Wounds</t>
  </si>
  <si>
    <t>https://www.scopus.com/inward/record.uri?eid=2-s2.0-85054137011&amp;partnerID=40&amp;md5=192ca2397b03d8c1837741621863284f</t>
  </si>
  <si>
    <t>Induction chemotherapy followed by chemoradiotherapy versus chemoradiotherapy alone as neoadjuvant treatment for locally recurrent rectal cancer: Study protocol of a multicentre, open-label, parallel-arms, randomized controlled study (PelvEx II)</t>
  </si>
  <si>
    <t>BJS Open</t>
  </si>
  <si>
    <t>https://www.scopus.com/inward/record.uri?eid=2-s2.0-85132040472&amp;doi=10.1093%2fbjsopen%2fzrab029&amp;partnerID=40&amp;md5=fd9398a85c0b2fc4ef9af9d6a5d08328</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</si>
  <si>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</si>
  <si>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</si>
  <si>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Effectiveness of laparoscopic niche resection versus expectant management in patients with unexplained infertility and a large uterine caesarean scar defect (uterine niche): protocol for a randomised controlled trial (the LAPRES study)</t>
  </si>
  <si>
    <t>https://www.scopus.com/inward/record.uri?eid=2-s2.0-85164760476&amp;doi=10.1136%2fbmjopen-2022-070950&amp;partnerID=40&amp;md5=3f5297d94a4ef77acd7f047aad339d50</t>
  </si>
  <si>
    <t>Prophylactic abdominal drainage or no drainage after distal pancreatectomy (PANDORINA): a binational multicenter randomized controlled trial</t>
  </si>
  <si>
    <t>https://www.scopus.com/inward/record.uri?eid=2-s2.0-85138457901&amp;doi=10.1186%2fs13063-022-06736-5&amp;partnerID=40&amp;md5=5c13e2f10bbab84c5e0418ddaf746907</t>
  </si>
  <si>
    <t>Comparison between retrograde intrarenal surgery and extracorporeal shock wavelithotripsy in the treatment of lower pole kidney stones up to 15 mm. Prospective,randomized study</t>
  </si>
  <si>
    <t>Actas Urologicas Espanolas</t>
  </si>
  <si>
    <t>https://www.scopus.com/inward/record.uri?eid=2-s2.0-84933039921&amp;doi=10.1016%2fj.acuro.2014.08.003&amp;partnerID=40&amp;md5=81b612f2f389198855cb016fd2636069</t>
  </si>
  <si>
    <t>VeSpAR trial: A randomized controlled trial comparing vessel-sparing anastomotic repair and transecting anastomotic repair in isolated short bulbar urethral strictures</t>
  </si>
  <si>
    <t>https://www.scopus.com/inward/record.uri?eid=2-s2.0-85090898580&amp;doi=10.1186%2fs13063-020-04712-5&amp;partnerID=40&amp;md5=ffcdc6bed6eeecf8321036f25b5364b5</t>
  </si>
  <si>
    <t>Comparison of Robot-Assisted and Open Radical Cystectomy in Recovery of Patient-Reported and Performance-Related Measures of Independence: A Secondary Analysis of a Randomized Clinical Trial</t>
  </si>
  <si>
    <t>https://www.scopus.com/inward/record.uri?eid=2-s2.0-85124679957&amp;doi=10.1001%2fjamanetworkopen.2021.48329&amp;partnerID=40&amp;md5=c5d854522f76a18a7be40b7302ef8f03</t>
  </si>
  <si>
    <t>A comparison of surgical devices for grade II and III hemorrhoidal disease. Results from the LigaLongo Trial comparing transanal Doppler-guided hemorrhoidal artery ligation with mucopexy and circular stapled hemorrhoidopexy</t>
  </si>
  <si>
    <t>International Journal of Colorectal Disease</t>
  </si>
  <si>
    <t>https://www.scopus.com/inward/record.uri?eid=2-s2.0-85047668342&amp;doi=10.1007%2fs00384-018-3093-8&amp;partnerID=40&amp;md5=18cc34c88b940f37010b8662f304ef8d</t>
  </si>
  <si>
    <t>Perioperative transcutaneous tibial nerve stimulation to reduce postoperative ileus after colorectal resection: A pilot study</t>
  </si>
  <si>
    <t>https://www.scopus.com/inward/record.uri?eid=2-s2.0-85052315892&amp;doi=10.1097%2fDCR.0000000000001171&amp;partnerID=40&amp;md5=3568c15363bd4e43c5552c68fe2e0993</t>
  </si>
  <si>
    <t>Gastrografin in prolonged postoperative ileus: A double-blinded randomized controlled trial</t>
  </si>
  <si>
    <t>https://www.scopus.com/inward/record.uri?eid=2-s2.0-84939444847&amp;doi=10.1097%2fSLA.0000000000001062&amp;partnerID=40&amp;md5=61e2af69077544cad85d8a084dd9fdf8</t>
  </si>
  <si>
    <t>Randomized trial on extended versus modified right lobe grafts in living donor liver transplantation</t>
  </si>
  <si>
    <t>Liver Transplantation</t>
  </si>
  <si>
    <t>https://www.scopus.com/inward/record.uri?eid=2-s2.0-85050494963&amp;doi=10.1002%2flt.25014&amp;partnerID=40&amp;md5=a2ea4ae41565f59a74619aebb6fe715f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</si>
  <si>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</si>
  <si>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</si>
  <si>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The orange-III study: the use of preoperative laxatives prior to liver surgery in an enhanced recovery programme, a randomized controlled trial</t>
  </si>
  <si>
    <t>HPB</t>
  </si>
  <si>
    <t>https://www.scopus.com/inward/record.uri?eid=2-s2.0-85128228114&amp;doi=10.1016%2fj.hpb.2022.03.005&amp;partnerID=40&amp;md5=c9224a49452d668fbf77469be0de2c39</t>
  </si>
  <si>
    <t>no grade 4 subtype</t>
  </si>
  <si>
    <t>Supervised exercise after oesophageal cancer surgery: the PERFECT multicentre randomized clinical trial</t>
  </si>
  <si>
    <t>https://www.scopus.com/inward/record.uri?eid=2-s2.0-85112487740&amp;doi=10.1093%2fbjs%2fznab078&amp;partnerID=40&amp;md5=df1fef845c5476febcad6199ab040da4</t>
  </si>
  <si>
    <t>Multimodal prehabilitation in colorectal cancer patients to improve functional capacity and reduce postoperative complications: The first international randomized controlled trial for multimodal prehabilitation</t>
  </si>
  <si>
    <t>https://www.scopus.com/inward/record.uri?eid=2-s2.0-85060388198&amp;doi=10.1186%2fs12885-018-5232-6&amp;partnerID=40&amp;md5=5deeea4e4edc165a4fb0d043328e053d</t>
  </si>
  <si>
    <t>Antibiotic Treatment foLlowing surgical drAinage of perianal abScess (ATLAS): protocol for a multicentre, double-blind, placebo-controlled, randomised trial</t>
  </si>
  <si>
    <t>https://www.scopus.com/inward/record.uri?eid=2-s2.0-85141466270&amp;doi=10.1136%2fbmjopen-2022-067970&amp;partnerID=40&amp;md5=3c88710700ec818007efc7c3f81232d7</t>
  </si>
  <si>
    <t>Arthroscopic versus Open Distal Hemitrapeziectomy without Interposition: 2-Year Results of a Randomized Controlled Trial</t>
  </si>
  <si>
    <t>Plastic and Reconstructive Surgery</t>
  </si>
  <si>
    <t>Conference Paper</t>
  </si>
  <si>
    <t>https://www.scopus.com/inward/record.uri?eid=2-s2.0-85148772688&amp;doi=10.1097%2fPRS.0000000000009920&amp;partnerID=40&amp;md5=e8314ed6b58e8a29bab69fb435b6845f</t>
  </si>
  <si>
    <t>The inflammatory response after laparoscopic and open pancreatoduodenectomy and the association with complications in a multicenter randomized controlled trial</t>
  </si>
  <si>
    <t>https://www.scopus.com/inward/record.uri?eid=2-s2.0-85063908211&amp;doi=10.1016%2fj.hpb.2019.03.353&amp;partnerID=40&amp;md5=f41de9864a6ea701c2ae2641f1b5d772</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</si>
  <si>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</si>
  <si>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</si>
  <si>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</si>
  <si>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Laparoscopic Versus Open Gastrectomy for Gastric Cancer (LOGICA): A Multicenter Randomized Clinical Trial</t>
  </si>
  <si>
    <t>https://www.scopus.com/inward/record.uri?eid=2-s2.0-85102919088&amp;doi=10.1200%2fJCO.20.01540&amp;partnerID=40&amp;md5=01f10a8bcb95efb1cd306f87868b946b</t>
  </si>
  <si>
    <t>Compliance and tolerability of short-course radiotherapy followed by preoperative chemotherapy and surgery for high-risk rectal cancer – Results of the international randomized RAPIDO-trial</t>
  </si>
  <si>
    <t>Radiotherapy and Oncology</t>
  </si>
  <si>
    <t>https://www.scopus.com/inward/record.uri?eid=2-s2.0-85082576151&amp;doi=10.1016%2fj.radonc.2020.03.011&amp;partnerID=40&amp;md5=2ab19fe66b854ed4bc99b888a82ebe77</t>
  </si>
  <si>
    <t>Incidence and impact of postoperative pancreatic fistula after minimally invasive and open distal pancreatectomy</t>
  </si>
  <si>
    <t>https://www.scopus.com/inward/record.uri?eid=2-s2.0-85120952643&amp;doi=10.1016%2fj.surg.2021.11.009&amp;partnerID=40&amp;md5=af65dfbeac54e9666bb086091c3c5402</t>
  </si>
  <si>
    <t>Acute cytokine response during breast cancer surgery: Potential role of dexamethasone and lidocaine and relationship with postoperative pain and complications – analysis of three pooled pilot randomized controlled trials</t>
  </si>
  <si>
    <t>Journal of Pain Research</t>
  </si>
  <si>
    <t>https://www.scopus.com/inward/record.uri?eid=2-s2.0-85085701349&amp;doi=10.2147%2fJPR.S252377&amp;partnerID=40&amp;md5=3532dbe9ac562b3414e60c5f15fd0aed</t>
  </si>
  <si>
    <t>Randomized clinical trial of the effect of gum chewing on postoperative ileus and inflammation in colorectal surgery</t>
  </si>
  <si>
    <t>https://www.scopus.com/inward/record.uri?eid=2-s2.0-84923081051&amp;doi=10.1002%2fbjs.9691&amp;partnerID=40&amp;md5=f483d6b23772517bf10b85a5592bcb98</t>
  </si>
  <si>
    <t>Randomized controlled trial analyzing the effect of 15 or 30 min intermittent Pringle maneuver on hepatocellular damage during liver surgery</t>
  </si>
  <si>
    <t>Journal of Hepatology</t>
  </si>
  <si>
    <t>https://www.scopus.com/inward/record.uri?eid=2-s2.0-79960469154&amp;doi=10.1016%2fj.jhep.2010.11.024&amp;partnerID=40&amp;md5=f794fbf0230c94a07a626d382714bdb8</t>
  </si>
  <si>
    <t>Near-infrared fluorescence cholangiography assisted laparoscopic cholecystectomy (FALCON): an international multicentre randomized controlled trial</t>
  </si>
  <si>
    <t>https://www.scopus.com/inward/record.uri?eid=2-s2.0-85148962267&amp;doi=10.1007%2fs00464-023-09935-6&amp;partnerID=40&amp;md5=edeb58a32e0793c399f685d37110e120</t>
  </si>
  <si>
    <t>Surgery versus conservative management for recurrent and ongoing left-sided diverticulitis (DIRECT trial): an open-label, multicentre, randomised controlled trial</t>
  </si>
  <si>
    <t>https://www.scopus.com/inward/record.uri?eid=2-s2.0-85013011614&amp;doi=10.1016%2fS2468-1253%2816%2930109-1&amp;partnerID=40&amp;md5=3a31aabd407bf16ba0d27c8a0ae768ff</t>
  </si>
  <si>
    <t>Faster recovery of gastrointestinal transit after laparoscopy and fast-track care in patients undergoing colonic surgery</t>
  </si>
  <si>
    <t>Gastroenterology</t>
  </si>
  <si>
    <t>https://www.scopus.com/inward/record.uri?eid=2-s2.0-80052131315&amp;doi=10.1053%2fj.gastro.2011.05.034&amp;partnerID=40&amp;md5=d2508d70191af861cc28e9b96a7c7a37</t>
  </si>
  <si>
    <t>Antibiotic prophylaxis for acute cholecystectomy: PEANUTS II multicentre randomized non-inferiority clinical trial</t>
  </si>
  <si>
    <t>https://www.scopus.com/inward/record.uri?eid=2-s2.0-85125212185&amp;doi=10.1093%2fbjs%2fznab441&amp;partnerID=40&amp;md5=ef29239c3eeb8f92680ad240c3949da7</t>
  </si>
  <si>
    <t>Prospective comparison among three intrarectal anesthetic treatments combined with periprostatic nerve block during transrectal ultrasonography-guided prostate biopsy</t>
  </si>
  <si>
    <t>https://www.scopus.com/inward/record.uri?eid=2-s2.0-85034782786&amp;doi=10.1007%2fs00345-017-2136-z&amp;partnerID=40&amp;md5=2a26d1d41dd55c85df2ab4d4e3f6f1a1</t>
  </si>
  <si>
    <t>Clinical Impact of Stump Closure Reinforced With Hemopatch on the Prevention of Clinically Relevant Pancreatic Fistula After Distal Pancreatectomy: A Multicenter Randomized Trial</t>
  </si>
  <si>
    <t>https://www.scopus.com/inward/record.uri?eid=2-s2.0-85105759377&amp;doi=10.1097%2fAS9.0000000000000033&amp;partnerID=40&amp;md5=c27b5cf148c8381b793159cbdc9349a3</t>
  </si>
  <si>
    <t>Immunonutrition suppresses acute inflammatory responses through modulation of resolvin E1 in patients undergoing major hepatobiliary resection</t>
  </si>
  <si>
    <t>https://www.scopus.com/inward/record.uri?eid=2-s2.0-84960982068&amp;doi=10.1016%2fj.surg.2016.01.019&amp;partnerID=40&amp;md5=0d554b8c1b2c5edfd27df83b99333fd2</t>
  </si>
  <si>
    <t>Partial clamping of the infrahepatic inferior vena cava for blood loss reduction during anatomic liver resection: A prospective, randomized, controlled trial</t>
  </si>
  <si>
    <t>https://www.scopus.com/inward/record.uri?eid=2-s2.0-85009830503&amp;doi=10.1016%2fj.surg.2016.12.010&amp;partnerID=40&amp;md5=dc06704a42ead12da5e7c315454c9e6d</t>
  </si>
  <si>
    <t>Randomized clinical trial of duct-to-mucosa pancreaticogastrostomy versus handsewn closure after distal pancreatectomy</t>
  </si>
  <si>
    <t>https://www.scopus.com/inward/record.uri?eid=2-s2.0-85010716489&amp;doi=10.1002%2fbjs.10458&amp;partnerID=40&amp;md5=48c7edc01771d7fac2cc09f8a7a120d8</t>
  </si>
  <si>
    <t>Intercostal block vs. epidural analgesia in thoracoscopic lung cancer surgery: a randomized trial</t>
  </si>
  <si>
    <t>General Thoracic and Cardiovascular Surgery</t>
  </si>
  <si>
    <t>https://www.scopus.com/inward/record.uri?eid=2-s2.0-85071484318&amp;doi=10.1007%2fs11748-019-01197-1&amp;partnerID=40&amp;md5=14976de4cc20859839067ecd944d7710</t>
  </si>
  <si>
    <t>Laparoscopic vs transvaginal cuff closure after total laparoscopic hysterectomy: a randomized trial by the Italian Society of Gynecologic Endoscopy</t>
  </si>
  <si>
    <t>American Journal of Obstetrics and Gynecology</t>
  </si>
  <si>
    <t>https://www.scopus.com/inward/record.uri?eid=2-s2.0-85042606656&amp;doi=10.1016%2fj.ajog.2018.01.029&amp;partnerID=40&amp;md5=ff0a1e7696608fbb2bda9df5494a75aa</t>
  </si>
  <si>
    <t>Doppler ultrasound-guided percutaneous nephrolithotomy: A prospective randomized study</t>
  </si>
  <si>
    <t>Urology</t>
  </si>
  <si>
    <t>https://www.scopus.com/inward/record.uri?eid=2-s2.0-80052323854&amp;doi=10.1016%2fj.urology.2010.12.037&amp;partnerID=40&amp;md5=faa7d630fb743290ad521ae6c45bf688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</si>
  <si>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</si>
  <si>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</si>
  <si>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</si>
  <si>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</si>
  <si>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</si>
  <si>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Use of Ketorolac after Outpatient Urogynecologic Surgery: A Randomized Control Trial</t>
  </si>
  <si>
    <t>Female Pelvic Medicine and Reconstructive Surgery</t>
  </si>
  <si>
    <t>https://www.scopus.com/inward/record.uri?eid=2-s2.0-85049643136&amp;doi=10.1097%2fSPV.0000000000000459&amp;partnerID=40&amp;md5=308200999c59d79cb5cf8014cf4cd942</t>
  </si>
  <si>
    <t>Short-term Outcomes of Transanal Hemorrhoidal Dearterialization with Mucopexy Versus Vessel-Sealing Device Hemorrhoidectomy for Grade III to IV Hemorrhoids: A Prospective Randomized Multicenter Trial</t>
  </si>
  <si>
    <t>https://www.scopus.com/inward/record.uri?eid=2-s2.0-85069322235&amp;doi=10.1097%2fDCR.0000000000001362&amp;partnerID=40&amp;md5=2595c4f4a8892598e06f3de0a0ab5b3f</t>
  </si>
  <si>
    <t>Prospective mixed-methods study of patients undergoing relaparotomy (ReLap study; DRKS00013001)</t>
  </si>
  <si>
    <t>International Journal of Surgery Protocols</t>
  </si>
  <si>
    <t>https://www.scopus.com/inward/record.uri?eid=2-s2.0-85047988974&amp;doi=10.1016%2fj.isjp.2018.04.004&amp;partnerID=40&amp;md5=f6ee432fcae2f430c44e2e3a3a9fdee3</t>
  </si>
  <si>
    <t>Burch Retropubic Urethropexy Compared with Midurethral Sling with Concurrent Sacrocolpopexy: A Randomized Controlled Trial</t>
  </si>
  <si>
    <t>https://www.scopus.com/inward/record.uri?eid=2-s2.0-84986199027&amp;doi=10.1097%2fAOG.0000000000001651&amp;partnerID=40&amp;md5=ba8dfa02204302eb3eb496d421e26a2d</t>
  </si>
  <si>
    <t>Influence of the Retrocolic Versus Antecolic Route for Alimentary Tract Reconstruction on Delayed Gastric Emptying after Pancreatoduodenectomy: A Multicenter, Noninferiority Randomized Controlled Trial</t>
  </si>
  <si>
    <t>https://www.scopus.com/inward/record.uri?eid=2-s2.0-85113288278&amp;doi=10.1097%2fSLA.0000000000004072&amp;partnerID=40&amp;md5=3157caec9516ddf57b604c2709d06f95</t>
  </si>
  <si>
    <t>Randomized clinical trial: Nasoenteric tube or jejunostomy as a route for nutrition after major upper gastrointestinal operations</t>
  </si>
  <si>
    <t>https://www.scopus.com/inward/record.uri?eid=2-s2.0-84905696631&amp;doi=10.1007%2fs00268-014-2589-9&amp;partnerID=40&amp;md5=42bed9b27152960194e3e04f277af9bb</t>
  </si>
  <si>
    <t>Association between the antiadhesion membrane and small bowel obstruction after open gastrectomy: A supplemental analysis of the randomized controlled JCOG1001 trial</t>
  </si>
  <si>
    <t>https://www.scopus.com/inward/record.uri?eid=2-s2.0-85165889185&amp;doi=10.1002%2fags3.12722&amp;partnerID=40&amp;md5=ae441270687518d0d85cf858a3f62211</t>
  </si>
  <si>
    <t>Efficacy of the Erector Spinae Plane Block for Quality of Recovery in Bariatric Surgery: a Randomized Controlled Trial</t>
  </si>
  <si>
    <t>https://www.scopus.com/inward/record.uri?eid=2-s2.0-85165465257&amp;doi=10.1007%2fs11695-023-06748-3&amp;partnerID=40&amp;md5=6799d08f5dcc074b2fd47c2354fef2ee</t>
  </si>
  <si>
    <t>Pancreaticojejunostomy versus pancreaticogastrostomy reconstruction after pancreaticoduodenectomy for pancreatic or periampullary tumours: A multicentre randomised trial</t>
  </si>
  <si>
    <t>https://www.scopus.com/inward/record.uri?eid=2-s2.0-84878347138&amp;doi=10.1016%2fS1470-2045%2813%2970126-8&amp;partnerID=40&amp;md5=c2d88ce0140252abf15c216a274cfb75</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</si>
  <si>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</si>
  <si>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</si>
  <si>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Comparison of early clinical outcomes between intermittent vascular inflow occlusion versus intermittent selective hepatic vascular exclusion in hepatic resections for cholangiocarcinoma patients: A prospective randomized controlled trial study</t>
  </si>
  <si>
    <t>Journal of the Medical Association of Thailand</t>
  </si>
  <si>
    <t>https://www.scopus.com/inward/record.uri?eid=2-s2.0-85089089656&amp;doi=10.35755%2fjmedassocthai.2020.06.11023&amp;partnerID=40&amp;md5=455703bcf098a39a8030c15f7fa8e97a</t>
  </si>
  <si>
    <t>Baroreflex impairment and morbidity after major surgery</t>
  </si>
  <si>
    <t>https://www.scopus.com/inward/record.uri?eid=2-s2.0-84995519557&amp;doi=10.1093%2fbja%2faew257&amp;partnerID=40&amp;md5=ccc0a37398115827b8b05f4d1edbe11d</t>
  </si>
  <si>
    <t>EndoART: A proposed randomized controlled trial on endometriomas in assisted reproductive technologies, comparing the effect of no intervention, surgery, and prolonged GnRH downregulation on pregnancy rates</t>
  </si>
  <si>
    <t>Journal of Endometriosis and Pelvic Pain Disorders</t>
  </si>
  <si>
    <t>https://www.scopus.com/inward/record.uri?eid=2-s2.0-85051698979&amp;doi=10.1177%2f2284026518784236&amp;partnerID=40&amp;md5=e2d4677a7c77d4f640c4aef3396f9db4</t>
  </si>
  <si>
    <t>Impact of postoperative complications on survival outcomes in patients with gastric cancer: exploratory analysis of a randomized controlled JCOG1001 trial</t>
  </si>
  <si>
    <t>https://www.scopus.com/inward/record.uri?eid=2-s2.0-85087286366&amp;doi=10.1007%2fs10120-020-01102-3&amp;partnerID=40&amp;md5=7aa954ba3e407be2d393f30e62f7d4ee</t>
  </si>
  <si>
    <t>A Randomized Trial of Robotic Mastectomy Versus Open Surgery in Women With Breast Cancer or BrCA Mutation</t>
  </si>
  <si>
    <t>https://www.scopus.com/inward/record.uri?eid=2-s2.0-85117443120&amp;doi=10.1097%2fSLA.0000000000004969&amp;partnerID=40&amp;md5=06f5bc6fc07aed489a03cab1b163830c</t>
  </si>
  <si>
    <t>Enteral nutrition and biliopancreatic diversion effectively minimize impacts of gastroparesis after pancreaticoduodenectomy</t>
  </si>
  <si>
    <t>https://www.scopus.com/inward/record.uri?eid=2-s2.0-64749109016&amp;doi=10.1007%2fs11605-009-0831-9&amp;partnerID=40&amp;md5=9649ac0c1f2e7af6f157267cfd2242ee</t>
  </si>
  <si>
    <t>Randomized Controlled Trial Comparing the Short-term Outcomes of Enhanced Recovery after Surgery and Conventional Care in Laparoscopic Distal Gastrectomy (GISSG1901)</t>
  </si>
  <si>
    <t>https://www.scopus.com/inward/record.uri?eid=2-s2.0-85118892035&amp;doi=10.1097%2fSLA.0000000000004908&amp;partnerID=40&amp;md5=17d5595411f0a2cf1480f392def01dd6</t>
  </si>
  <si>
    <t>Spinal analgesia improves surgical outcome after open nephrectomy for renal cell carcinoma: a randomized controlled study</t>
  </si>
  <si>
    <t>Scandinavian Journal of Urology</t>
  </si>
  <si>
    <t>https://www.scopus.com/inward/record.uri?eid=2-s2.0-85019566533&amp;doi=10.1080%2f21681805.2017.1318300&amp;partnerID=40&amp;md5=cdc3224308e18f2457b7a38aa790fb1a</t>
  </si>
  <si>
    <t>Laparoscopic lavage for perforated diverticulitis with purulent peritonitis</t>
  </si>
  <si>
    <t>Annals of Internal Medicine</t>
  </si>
  <si>
    <t>https://www.scopus.com/inward/record.uri?eid=2-s2.0-84957670886&amp;doi=10.7326%2fM15-1210&amp;partnerID=40&amp;md5=1b3d5727c727c72b928c150e67f46b94</t>
  </si>
  <si>
    <t>Outpatient visits versus telephone interviews for postoperative care: a randomized controlled trial</t>
  </si>
  <si>
    <t>https://www.scopus.com/inward/record.uri?eid=2-s2.0-85061713237&amp;doi=10.1007%2fs00192-019-03895-z&amp;partnerID=40&amp;md5=e2cb447284e0cd3491d794b4c06f8149</t>
  </si>
  <si>
    <t>Quality of recovery after day care surgery with app-controlled remote monitoring: study protocol for a randomized controlled trial</t>
  </si>
  <si>
    <t>Postoperative inflammation and insulin resistance in relation to body composition, adiposity and carbohydrate treatment: A randomised controlled study</t>
  </si>
  <si>
    <t>https://www.scopus.com/inward/record.uri?eid=2-s2.0-85041896005&amp;doi=10.1016%2fj.clnu.2018.01.032&amp;partnerID=40&amp;md5=028cf98f52d9b18b573daad03adcc7c5</t>
  </si>
  <si>
    <t>Early and late morbidity of local excision after chemoradiotherapy for rectal cancer</t>
  </si>
  <si>
    <t>https://www.scopus.com/inward/record.uri?eid=2-s2.0-85107902779&amp;doi=10.1093%2fbjsopen%2fzrab043&amp;partnerID=40&amp;md5=2f9254fd661dc25a78d9b2e7f18dd239</t>
  </si>
  <si>
    <t>Preoperative nutritional support for patients undergoing elective colorectal cancer surgery – does it really work?</t>
  </si>
  <si>
    <t>Biomedical Papers</t>
  </si>
  <si>
    <t>https://www.scopus.com/inward/record.uri?eid=2-s2.0-85151350029&amp;doi=10.5507%2fbp.2022.009&amp;partnerID=40&amp;md5=6a979f711346bea2b5ed324104603623</t>
  </si>
  <si>
    <t>Endosonography-guided gallbladder drainage versus percutaneous cholecystostomy in very high-risk surgical patients with acute cholecystitis: An international randomised multicentre controlled superiority trial (DRAC 1)</t>
  </si>
  <si>
    <t>Gut</t>
  </si>
  <si>
    <t>https://www.scopus.com/inward/record.uri?eid=2-s2.0-85082059944&amp;doi=10.1136%2fgutjnl-2019-319996&amp;partnerID=40&amp;md5=7af87c6ca746e4655067f6d329321275</t>
  </si>
  <si>
    <t>Comparison of short-term outcomes between single-incision plus one-port laparoscopic surgery and conventional laparoscopic surgery for distal gastric cancer: a randomized controlled trial</t>
  </si>
  <si>
    <t>Translational Cancer Research</t>
  </si>
  <si>
    <t>https://www.scopus.com/inward/record.uri?eid=2-s2.0-85126428891&amp;doi=10.21037%2ftcr-21-1916&amp;partnerID=40&amp;md5=cbe021cb62728a56c262bcdf50d47380</t>
  </si>
  <si>
    <t>Comparison of Ultrasound-Guided Core Needle Biopsy Under the Assistance of Hydrodissection With Fine Needle Aspiration in the Diagnosis of High-Risk Cervical Lymph Nodes: A Randomized Controlled Trial</t>
  </si>
  <si>
    <t>https://www.scopus.com/inward/record.uri?eid=2-s2.0-85123723151&amp;doi=10.3389%2ffonc.2021.799956&amp;partnerID=40&amp;md5=950668ca13e21bcb26d8ec5000e10497</t>
  </si>
  <si>
    <t>Para-aortic lymphadenectomy in advanced stage cervical cancer, a protocol for comparing safety, feasibility and diagnostic accuracy of surgical staging versus PET-CT; PALDISC trial</t>
  </si>
  <si>
    <t>The use of β-adrenergic drugs improves hepatic oxygen metabolism in cirrhotic patients undergoing liver resection</t>
  </si>
  <si>
    <t>https://www.scopus.com/inward/record.uri?eid=2-s2.0-77549088197&amp;doi=10.1016%2fj.jhep.2009.12.008&amp;partnerID=40&amp;md5=fbbb3f710dd707d11f093ebacf971081</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</si>
  <si>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</si>
  <si>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</si>
  <si>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Impact of precoding on reimbursement in diagnosis-related group systems: Randomized controlled trial</t>
  </si>
  <si>
    <t>International Journal of Surgery</t>
  </si>
  <si>
    <t>https://www.scopus.com/inward/record.uri?eid=2-s2.0-85119204898&amp;doi=10.1016%2fj.ijsu.2021.106173&amp;partnerID=40&amp;md5=2587a5015046bf3fa33e1debe9ac74f1</t>
  </si>
  <si>
    <t>Efficacy of a single preoperative dexamethasone dose to prevent nausea and vomiting after thyroidectomy (the tPONV Study): A randomized, double-blind, placebo-controlled clinical trial</t>
  </si>
  <si>
    <t>https://www.scopus.com/inward/record.uri?eid=2-s2.0-84948717635&amp;doi=10.1097%2fSLA.0000000000001112&amp;partnerID=40&amp;md5=d9b29690fe988a85994d072ebf12e1e1</t>
  </si>
  <si>
    <t>Anterior quadratus lumborum block does not reduce postoperative opioid consumption following laparoscopic hemicolectomy: a randomized, double-blind, controlled trial in an ERAS setting</t>
  </si>
  <si>
    <t>Regional Anesthesia and Pain Medicine</t>
  </si>
  <si>
    <t>https://www.scopus.com/inward/record.uri?eid=2-s2.0-85142544628&amp;doi=10.1136%2frapm-2022-103895&amp;partnerID=40&amp;md5=36c354791f506421fe8a9144c96e2657</t>
  </si>
  <si>
    <t>Bevacizumab plus mFOLFOX6 versus mFOLFOX6 alone as first-line treatment for RAS mutant unresectable colorectal liver-limited metastases: The BECOME randomized controlled trial</t>
  </si>
  <si>
    <t>https://www.scopus.com/inward/record.uri?eid=2-s2.0-85091191276&amp;doi=10.1200%2fJCO.20.00174&amp;partnerID=40&amp;md5=c8d17566e2f93f26c3589183e4ade176</t>
  </si>
  <si>
    <t>Protocol for enhanced recovery after surgery improves short-term outcomes for patients with gastric cancer: a randomized clinical trial</t>
  </si>
  <si>
    <t>https://www.scopus.com/inward/record.uri?eid=2-s2.0-85008500831&amp;doi=10.1007%2fs10120-016-0686-1&amp;partnerID=40&amp;md5=e307f6bfd3662b3d4d5f4291602e85f3</t>
  </si>
  <si>
    <t>Randomized clinical trial of peritoneal lavage for preventing surgical site infection in elective liver surgery</t>
  </si>
  <si>
    <t>https://www.scopus.com/inward/record.uri?eid=2-s2.0-84929954152&amp;doi=10.1002%2fjhbp.222&amp;partnerID=40&amp;md5=ac963c69df94059f6be75be8aeeb6419</t>
  </si>
  <si>
    <t>Pre-surgical Administration of Microbial Cell Preparation in Colorectal Cancer Patients: A Randomized Controlled Trial</t>
  </si>
  <si>
    <t>https://www.scopus.com/inward/record.uri?eid=2-s2.0-84964322519&amp;doi=10.1007%2fs00268-016-3499-9&amp;partnerID=40&amp;md5=907c986c0ad4541d0c2ce89930cbfeeb</t>
  </si>
  <si>
    <t>Impact of the reconstruction method on delayed gastric emptying after pylorus-preserving pancreaticoduodenectomy: A prospective randomized study</t>
  </si>
  <si>
    <t>https://www.scopus.com/inward/record.uri?eid=2-s2.0-84893162790&amp;doi=10.1007%2fs00268-013-2274-4&amp;partnerID=40&amp;md5=6b94e8e0a9e149b2f1b7973b32162d28</t>
  </si>
  <si>
    <t>Laparoscopic versus open appendectomy for perforated appendicitis in adults: randomized clinical trial</t>
  </si>
  <si>
    <t>https://www.scopus.com/inward/record.uri?eid=2-s2.0-85066463840&amp;doi=10.1007%2fs00464-019-06847-2&amp;partnerID=40&amp;md5=021cf55c5bc54404afffda51b6936625</t>
  </si>
  <si>
    <t>A Prospective Randomized Trial of Enteral Nutrition After Thoracoscopic Esophagectomy for Esophageal Cancer</t>
  </si>
  <si>
    <t>https://www.scopus.com/inward/record.uri?eid=2-s2.0-84952873744&amp;doi=10.1245%2fs10434-015-4767-x&amp;partnerID=40&amp;md5=336300dec8a307a1755272d4bf1ae26e</t>
  </si>
  <si>
    <t>Effect of early administration of coagulation factor XIII on fistula after pancreatic surgery: the FIPS randomized controlled trial</t>
  </si>
  <si>
    <t>Langenbeck's Archives of Surgery</t>
  </si>
  <si>
    <t>https://www.scopus.com/inward/record.uri?eid=2-s2.0-85057590242&amp;doi=10.1007%2fs00423-018-1736-4&amp;partnerID=40&amp;md5=84955f33ff380838cd89e4da4e1cd7c5</t>
  </si>
  <si>
    <t>Randomized phase II study of the anti-inflammatory effect of ghrelin during the postoperative period of esophagectomy</t>
  </si>
  <si>
    <t>https://www.scopus.com/inward/record.uri?eid=2-s2.0-84938290876&amp;doi=10.1097%2fSLA.0000000000000986&amp;partnerID=40&amp;md5=3396aeedb73f253a0c1a218826465bc6</t>
  </si>
  <si>
    <t>Effect of an enhanced recovery after surgery protocol in patients undergoing pancreaticoduodenectomy: A randomized controlled trial</t>
  </si>
  <si>
    <t>https://www.scopus.com/inward/record.uri?eid=2-s2.0-85040547768&amp;doi=10.1016%2fj.clnu.2018.01.002&amp;partnerID=40&amp;md5=0409c1e6251696b3dfb48be551829a74</t>
  </si>
  <si>
    <t>A Randomized Comparison Between Staple-Line Oversewing Versus No Reinforcement During Laparoscopic Vertical Sleeve Gastrectomy</t>
  </si>
  <si>
    <t>https://www.scopus.com/inward/record.uri?eid=2-s2.0-85025633762&amp;doi=10.1007%2fs11695-017-2835-y&amp;partnerID=40&amp;md5=7a9794fb7a3ed59b65a7074bf4587880</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</si>
  <si>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</si>
  <si>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</si>
  <si>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</si>
  <si>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</si>
  <si>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</si>
  <si>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</si>
  <si>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Pilot randomized, controlled, preoperative intervention for nutrition trial in head and neck cancer</t>
  </si>
  <si>
    <t>Head and Neck</t>
  </si>
  <si>
    <t>https://www.scopus.com/inward/record.uri?eid=2-s2.0-85139847129&amp;doi=10.1002%2fhed.27220&amp;partnerID=40&amp;md5=31697eed6220a81af6e4ac395a139cb1</t>
  </si>
  <si>
    <t>Safety of the total neo-adjuvant therapy in rectal cancer treatment. Preliminary results of the randomized trial</t>
  </si>
  <si>
    <t>Koloproktologia</t>
  </si>
  <si>
    <t>https://www.scopus.com/inward/record.uri?eid=2-s2.0-85138212451&amp;doi=10.33878%2f2073-7556-2022-21-3-76-84&amp;partnerID=40&amp;md5=ec864e1596017236792def97845dfa6f</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</si>
  <si>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</si>
  <si>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</si>
  <si>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</si>
  <si>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Cardiorespiratory Optimisation by Arteriovenous fistula Ligation after renal Transplantation (COBALT): Study protocol for a multicentre randomised interventional feasibility trial</t>
  </si>
  <si>
    <t>https://www.scopus.com/inward/record.uri?eid=2-s2.0-85147791641&amp;doi=10.1136%2fbmjopen-2022-067668&amp;partnerID=40&amp;md5=102b8e5ac5b3775266d8f604d56d2e9a</t>
  </si>
  <si>
    <t>Effect of low-dose dexmedetomidine on sleep quality in postoperative patients with mechanical ventilation in the intensive care unit: A pilot randomized trial</t>
  </si>
  <si>
    <t>Frontiers in Medicine</t>
  </si>
  <si>
    <t>https://www.scopus.com/inward/record.uri?eid=2-s2.0-85138352829&amp;doi=10.3389%2ffmed.2022.931084&amp;partnerID=40&amp;md5=42da8dc8a8dec781da3133390e43a150</t>
  </si>
  <si>
    <t>Neoadjuvant chemotherapy versus neoadjuvant chemoradiotherapy for locally advanced oesophageal squamous cell carcinoma: A single-Centre, open-label, randomized, controlled, clinical trial (HCHTOG1903)</t>
  </si>
  <si>
    <t>https://www.scopus.com/inward/record.uri?eid=2-s2.0-85083415838&amp;doi=10.1186%2fs12885-020-06824-2&amp;partnerID=40&amp;md5=b8763b7726eded4e4daaebbbd58a3152</t>
  </si>
  <si>
    <t>Early Oral Feeding Following McKeown Minimally Invasive Esophagectomy: An Open-label, Randomized, Controlled, Noninferiority Trial</t>
  </si>
  <si>
    <t>https://www.scopus.com/inward/record.uri?eid=2-s2.0-85019773279&amp;doi=10.1097%2fSLA.0000000000002304&amp;partnerID=40&amp;md5=5e2ff85ad61605538e164b94018207a0</t>
  </si>
  <si>
    <t>Clamp-Crush Technique Versus Harmonic Scalpel for Hepatic Parenchymal Transection in Living Donor Hepatectomy: a Randomized Controlled Trial</t>
  </si>
  <si>
    <t>https://www.scopus.com/inward/record.uri?eid=2-s2.0-85060648918&amp;doi=10.1007%2fs11605-019-04103-5&amp;partnerID=40&amp;md5=7f486abac8cf752652fee7f6bbd833e0</t>
  </si>
  <si>
    <t>Goal-Directed vs Traditional Approach to Intraoperative Fluid Therapy during Open Major Bowel Surgery: Is There a Difference?</t>
  </si>
  <si>
    <t>Anesthesiology Research and Practice</t>
  </si>
  <si>
    <t>https://www.scopus.com/inward/record.uri?eid=2-s2.0-85076572452&amp;doi=10.1155%2f2019%2f3408940&amp;partnerID=40&amp;md5=722e322d489d71eb9ef26fbdc93c068e</t>
  </si>
  <si>
    <t>Multicenter Randomized Phase 2 Trial Comparing Chemoradiotherapy and Docetaxel plus 5-Fluorouracil and Cisplatin Chemotherapy as Initial Induction Therapy for Subsequent Conversion Surgery in Patients with Clinical T4b Esophageal Cancer: Short-term Results</t>
  </si>
  <si>
    <t>https://www.scopus.com/inward/record.uri?eid=2-s2.0-85121967299&amp;doi=10.1097%2fSLA.0000000000004564&amp;partnerID=40&amp;md5=4ae63f1b18e8f4a4a8b64635161b977a</t>
  </si>
  <si>
    <t>Duration of Antimicrobial Prophylaxis in Patients Undergoing Major Hepatectomy with Extrahepatic Bile Duct Resection</t>
  </si>
  <si>
    <t>https://www.scopus.com/inward/record.uri?eid=2-s2.0-84992144117&amp;doi=10.1097%2fSLA.0000000000002049&amp;partnerID=40&amp;md5=7da7f8e0226e8dc0d135f9ec10e7bbe7</t>
  </si>
  <si>
    <t>Single-incision versus four-port laparoscopic cholecystectomy in an ambulatory surgery setting: A prospective randomised double-blind controlled trial</t>
  </si>
  <si>
    <t>Journal of Minimal Access Surgery</t>
  </si>
  <si>
    <t>https://www.scopus.com/inward/record.uri?eid=2-s2.0-85109098963&amp;doi=10.4103%2fjmas.JMAS_97_20&amp;partnerID=40&amp;md5=73d1d26f1e91d12c7ec87614843594e8</t>
  </si>
  <si>
    <t>Advanced Reconstruction of Vesicourethral Support (ARVUS) during Robot-assisted Radical Prostatectomy: One-year Functional Outcomes in a Two-group Randomised Controlled Trial</t>
  </si>
  <si>
    <t>https://www.scopus.com/inward/record.uri?eid=2-s2.0-84971641680&amp;doi=10.1016%2fj.eururo.2016.05.032&amp;partnerID=40&amp;md5=4c061caeff9a3608ce344e6efbabc1ab</t>
  </si>
  <si>
    <t>Effect of Peritoneal Fixation (PerFix) on Lymphocele Formation in Robot-assisted Radical Prostatectomy with Pelvic Lymphadenectomy: Results of a Randomized Prospective Trial</t>
  </si>
  <si>
    <t>https://www.scopus.com/inward/record.uri?eid=2-s2.0-85136642817&amp;doi=10.1016%2fj.eururo.2022.07.027&amp;partnerID=40&amp;md5=7e64f4d10f9b13427abc00f6c79e4516</t>
  </si>
  <si>
    <t>Reduction of Postoperative Wound Infections by Antiseptica (RECIPE)?: A Randomized Controlled Trial</t>
  </si>
  <si>
    <t>https://www.scopus.com/inward/record.uri?eid=2-s2.0-85086792806&amp;doi=10.1097%2fSLA.0000000000003645&amp;partnerID=40&amp;md5=f0569e6b00858c7166de960606429ffd</t>
  </si>
  <si>
    <t>C-reactive protein in predicting major postoperative complications are there differences in open and minimally invasive colorectal surgery? Substudy from a randomized clinical trial</t>
  </si>
  <si>
    <t>https://www.scopus.com/inward/record.uri?eid=2-s2.0-85039857371&amp;doi=10.1007%2fs00464-017-5996-9&amp;partnerID=40&amp;md5=13bb6092d90b8a0c569b14cd7b9f1c5b</t>
  </si>
  <si>
    <t>Randomized Study Comparing a Reusable Morcellator with a Resectoscope in the Hysteroscopic Treatment of Uterine Polyps: The RESMO Study</t>
  </si>
  <si>
    <t>Journal of Minimally Invasive Gynecology</t>
  </si>
  <si>
    <t>https://www.scopus.com/inward/record.uri?eid=2-s2.0-85089824055&amp;doi=10.1016%2fj.jmig.2020.07.007&amp;partnerID=40&amp;md5=0bae93e36bb433693785c755db23bfad</t>
  </si>
  <si>
    <t>The LAPLAP study: a randomized placebo-controlled clinical trial assessing postoperative functional recovery using intraperitoneal local anaesthetic in laparoscopic colorectal surgery</t>
  </si>
  <si>
    <t>https://www.scopus.com/inward/record.uri?eid=2-s2.0-85068529040&amp;doi=10.1111%2fcodi.14720&amp;partnerID=40&amp;md5=935e50d56adbfbf8eb30b209817d32f6</t>
  </si>
  <si>
    <t>Closure of mesenteric defects in laparoscopic gastric bypass: A multicentre, randomised, parallel, open-label trial</t>
  </si>
  <si>
    <t>https://www.scopus.com/inward/record.uri?eid=2-s2.0-84958064283&amp;doi=10.1016%2fS0140-6736%2815%2901126-5&amp;partnerID=40&amp;md5=630aa2169024139247c0679255f590c0</t>
  </si>
  <si>
    <t>BMC Surgery</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</si>
  <si>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</si>
  <si>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</si>
  <si>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Feasibility and acceptability of a preoperative exercise program for patients undergoing major cancer surgery: results from a pilot randomized controlled trial</t>
  </si>
  <si>
    <t>https://www.scopus.com/inward/record.uri?eid=2-s2.0-85099458595&amp;doi=10.1186%2fs40814-021-00765-8&amp;partnerID=40&amp;md5=b0d995581cacbace0ac05ce37bbc664e</t>
  </si>
  <si>
    <t>Individualised, targeted step count intervention following gastrointestinal cancer surgery: The Fit-4-Home randomised clinical trial</t>
  </si>
  <si>
    <t>ANZ Journal of Surgery</t>
  </si>
  <si>
    <t>https://www.scopus.com/inward/record.uri?eid=2-s2.0-85115659359&amp;doi=10.1111%2fans.17212&amp;partnerID=40&amp;md5=5848e7b3fc830509c98afcf99fe43560</t>
  </si>
  <si>
    <t>Laparoscopic bridging vs. anatomic open reconstruction for midline abdominal hernia mesh repair [LABOR]: Single-blinded, multicenter, randomized, controlled trial on long-term functional results</t>
  </si>
  <si>
    <t>https://www.scopus.com/inward/record.uri?eid=2-s2.0-84886209460&amp;doi=10.1186%2f1745-6215-14-357&amp;partnerID=40&amp;md5=3cb519ba29f171d980f93fa8e8a75e5a</t>
  </si>
  <si>
    <t>Randomized clinical trial of goal-directed fluid therapy within an enhanced recovery protocol for elective colectomy</t>
  </si>
  <si>
    <t>https://www.scopus.com/inward/record.uri?eid=2-s2.0-84870898318&amp;doi=10.1002%2fbjs.8940&amp;partnerID=40&amp;md5=ef0b69bc56efdcd5286bfb6e6052105a</t>
  </si>
  <si>
    <t>Effects on normalized testicular atrophy index (TAIn) in cryptorchid infants treated with GnRHa pre and post-operative vs surgery alone: a prospective randomized trial and long-term follow-up on 62 cases</t>
  </si>
  <si>
    <t>Pediatric Surgery International</t>
  </si>
  <si>
    <t>https://www.scopus.com/inward/record.uri?eid=2-s2.0-84930713364&amp;doi=10.1007%2fs00383-014-3577-8&amp;partnerID=40&amp;md5=f5f4dde20435f752604e476aa98e4d53</t>
  </si>
  <si>
    <t>Simultaneous robotic kidney transplantation and bariatric surgery for morbidly obese patients with end-stage renal failure</t>
  </si>
  <si>
    <t>American Journal of Transplantation</t>
  </si>
  <si>
    <t>https://www.scopus.com/inward/record.uri?eid=2-s2.0-85092460273&amp;doi=10.1111%2fajt.16322&amp;partnerID=40&amp;md5=d1ed58ea74c61f20a33ee9a325588f27</t>
  </si>
  <si>
    <t>Randomized clinical trial of perioperative omega-3 fatty acid supplements in elective colorectal cancer surgery</t>
  </si>
  <si>
    <t>https://www.scopus.com/inward/record.uri?eid=2-s2.0-84891346507&amp;doi=10.1002%2fbjs.9361&amp;partnerID=40&amp;md5=00f4b0e81aebb137281cc64f2949a9cf</t>
  </si>
  <si>
    <t>Feasibility and safety of radical prostatectomy for oligo-metastatic prostate cancer: the Testing Radical prostatectomy in men with prostate cancer and oligo-Metastases to the bone (TRoMbone) trial</t>
  </si>
  <si>
    <t>BJU International</t>
  </si>
  <si>
    <t>https://www.scopus.com/inward/record.uri?eid=2-s2.0-85123700412&amp;doi=10.1111%2fbju.15669&amp;partnerID=40&amp;md5=cf987102063cc6c75337b6ebbeb734cd</t>
  </si>
  <si>
    <t>Prospective, randomized, multinational study of prostatic urethral lift versus transurethral resection of the prostate: 12-month results from the BPH6 study</t>
  </si>
  <si>
    <t>https://www.scopus.com/inward/record.uri?eid=2-s2.0-84941803298&amp;doi=10.1016%2fj.eururo.2015.04.024&amp;partnerID=40&amp;md5=13f57d9e4c8e0c4d2aedf681a77b31a3</t>
  </si>
  <si>
    <t>Three-Field Lymphadenectomy in Minimally Invasive Esophagectomy for Squamous Cell Carcinoma</t>
  </si>
  <si>
    <t>Annals of Thoracic Surgery</t>
  </si>
  <si>
    <t>https://www.scopus.com/inward/record.uri?eid=2-s2.0-85105532536&amp;doi=10.1016%2fj.athoracsur.2020.09.022&amp;partnerID=40&amp;md5=d9ad46bad9fcee080a3e639d6f4cfe8c</t>
  </si>
  <si>
    <t>Impact of opportunistic salpingectomy on anti-Müllerian hormone in patients undergoing laparoscopic hysterectomy: a multicentre randomised controlled trial</t>
  </si>
  <si>
    <t>BJOG: An International Journal of Obstetrics and Gynaecology</t>
  </si>
  <si>
    <t>https://www.scopus.com/inward/record.uri?eid=2-s2.0-84994225826&amp;doi=10.1111%2f1471-0528.14182&amp;partnerID=40&amp;md5=2a83671033afe19251018afd6f8b446f</t>
  </si>
  <si>
    <t>A randomized, controlled trial comparing the clinical outcomes of 3D versus 2D laparoscopic hysterectomy</t>
  </si>
  <si>
    <t>Wideochirurgia I Inne Techniki Maloinwazyjne</t>
  </si>
  <si>
    <t>https://www.scopus.com/inward/record.uri?eid=2-s2.0-85126283679&amp;doi=10.5114%2fwiitm.2021.105724&amp;partnerID=40&amp;md5=8dca14da569e23b9b700b4066c71f851</t>
  </si>
  <si>
    <t>The abdominal-transhiatal surgical approach versus the thoracoabdominal surgical approach in Siewert type II adenocarcinoma of the esophagogastric junction: protocol for a multicenter prospective, open, parallel, and randomized controlled trial</t>
  </si>
  <si>
    <t>https://www.scopus.com/inward/record.uri?eid=2-s2.0-85127027594&amp;doi=10.1186%2fs12885-022-09375-w&amp;partnerID=40&amp;md5=162072a5d8ba18bba5dab758106e4945</t>
  </si>
  <si>
    <t>Robotic-assisted TKA reduces postoperative alignment outliers and improves gap balance compared to conventional TKA knee</t>
  </si>
  <si>
    <t>Clinical Orthopaedics and Related Research</t>
  </si>
  <si>
    <t>https://www.scopus.com/inward/record.uri?eid=2-s2.0-84871611092&amp;doi=10.1007%2fs11999-012-2407-3&amp;partnerID=40&amp;md5=c581ecf52d1ea6f75cc9c25adf9d0567</t>
  </si>
  <si>
    <t>Pressurized IntraPeritoneal Aerosol Chemotherapy vs. intravenous chemotherapy for unresectable peritoneal metastases secondary to platinum resistant ovarian cancer - Study protocol for a randomized control trial</t>
  </si>
  <si>
    <t>Pleura and Peritoneum</t>
  </si>
  <si>
    <t>https://www.scopus.com/inward/record.uri?eid=2-s2.0-85075544542&amp;doi=10.1515%2fpp-2018-0111&amp;partnerID=40&amp;md5=9e24d58c738130dbb7a082a2037abff6</t>
  </si>
  <si>
    <t>Miniperc vs Shockwave Lithotripsy for Average-Sized, Radiopaque Lower Pole Calculi: A Prospective Randomized Study</t>
  </si>
  <si>
    <t>https://www.scopus.com/inward/record.uri?eid=2-s2.0-85108679431&amp;doi=10.1089%2fend.2016.0259&amp;partnerID=40&amp;md5=f4399050d06590d37790b2620d72ee05</t>
  </si>
  <si>
    <t>One-year objective and functional outcomes of a randomized clinical trial of vaginal mesh for prolapse</t>
  </si>
  <si>
    <t>https://www.scopus.com/inward/record.uri?eid=2-s2.0-84455161019&amp;doi=10.1016%2fj.ajog.2011.08.003&amp;partnerID=40&amp;md5=d7f8323c5a42b9a6150eebe812ded32d</t>
  </si>
  <si>
    <t>Clinical Trial Protocol for PSMA-SELECT: A Dutch National Randomised Study of Prostate-specific Membrane Antigen Positron Emission Tomography/Computed Tomography as a Triage Tool for Pelvic Lymph Node Dissection in Patients Undergoing Radical Prostatectomy</t>
  </si>
  <si>
    <t>European Urology Focus</t>
  </si>
  <si>
    <t>Note</t>
  </si>
  <si>
    <t>https://www.scopus.com/inward/record.uri?eid=2-s2.0-85121378399&amp;doi=10.1016%2fj.euf.2021.11.003&amp;partnerID=40&amp;md5=58c0218495a293160f1e61119dbbf890</t>
  </si>
  <si>
    <t>Preoperative behavioural intervention to reduce drinking before elective orthopaedic surgery: The PRE-OP BIRDS feasibility RCT</t>
  </si>
  <si>
    <t>https://www.scopus.com/inward/record.uri?eid=2-s2.0-85081340208&amp;doi=10.3310%2fhta24120&amp;partnerID=40&amp;md5=a8dda6ca8a23549d751d56a9b6611663</t>
  </si>
  <si>
    <t>VESTIGE: Adjuvant Immunotherapy in Patients With Resected Esophageal, Gastroesophageal Junction and Gastric Cancer Following Preoperative Chemotherapy With High Risk for Recurrence (N+ and/or R1): An Open Label Randomized Controlled Phase-2-Study</t>
  </si>
  <si>
    <t>https://www.scopus.com/inward/record.uri?eid=2-s2.0-85079500064&amp;doi=10.3389%2ffonc.2019.01320&amp;partnerID=40&amp;md5=f65dcc53dbb240b988ef619c8cdfcc16</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</si>
  <si>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</si>
  <si>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</si>
  <si>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Is postoperative bracing after pedicle screw fixation of spine fractures necessary? Study protocol of the ORNOT study: A randomised controlled multicentre trial</t>
  </si>
  <si>
    <t>https://www.scopus.com/inward/record.uri?eid=2-s2.0-85052002759&amp;doi=10.1136%2fbmjopen-2017-019596&amp;partnerID=40&amp;md5=0ed676cca7ba6daa1713fc5261f67aa9</t>
  </si>
  <si>
    <t>Antiseptic Skin Agents to Prevent Surgical Site Infection after Incisional Surgery: A Randomized, Three-armed Combined Non-inferiority and Superiority Clinical Trial (NEWSkin Prep Study)</t>
  </si>
  <si>
    <t>https://www.scopus.com/inward/record.uri?eid=2-s2.0-85130002161&amp;doi=10.1097%2fSLA.0000000000005244&amp;partnerID=40&amp;md5=9f630d4a118ebd1ab4c15162ecb26a35</t>
  </si>
  <si>
    <t>Organ Preservation in Rectal Adenocarcinoma: A phase II randomized controlled trial evaluating 3-year disease-free survival in patients with locally advanced rectal cancer treated with chemoradiation plus induction or consolidation chemotherapy, and total mesorectal excision or nonoperative management</t>
  </si>
  <si>
    <t>https://www.scopus.com/inward/record.uri?eid=2-s2.0-84944907528&amp;doi=10.1186%2fs12885-015-1632-z&amp;partnerID=40&amp;md5=cbbb4fd8e085340888870b8b0ee280ff</t>
  </si>
  <si>
    <t>The Effect of Myopenia on the Inflammatory Response Early after Colorectal Surgery</t>
  </si>
  <si>
    <t>Nutrition and Cancer</t>
  </si>
  <si>
    <t>https://www.scopus.com/inward/record.uri?eid=2-s2.0-85044049035&amp;doi=10.1080%2f01635581.2018.1445763&amp;partnerID=40&amp;md5=7fbcb8b35714a93681148225eb7c8bf1</t>
  </si>
  <si>
    <t>Comparison of four surgical approaches for rectal prolapse: multicentre randomized clinical trial</t>
  </si>
  <si>
    <t>https://www.scopus.com/inward/record.uri?eid=2-s2.0-85123658963&amp;doi=10.1093%2fbjsopen%2fzrab140&amp;partnerID=40&amp;md5=7a0584fb02d1db902a40ed4b7a538004</t>
  </si>
  <si>
    <t>CRITICS-II: A multicentre randomised phase II trial of neo-adjuvant chemotherapy followed by surgery versus neo-adjuvant chemotherapy and subsequent chemoradiotherapy followed by surgery versus neo-adjuvant chemoradiotherapy followed by surgery in resectable gastric cancer</t>
  </si>
  <si>
    <t>https://www.scopus.com/inward/record.uri?eid=2-s2.0-85057519553&amp;doi=10.1186%2fs12885-018-4770-2&amp;partnerID=40&amp;md5=142eb378f1c689b2f0d5ff83c5b3db86</t>
  </si>
  <si>
    <t>Randomized Trial of Studer Pouch versus T-Pouch Orthotopic Ileal Neobladder in Patients with Bladder Cancer</t>
  </si>
  <si>
    <t>Journal of Urology</t>
  </si>
  <si>
    <t>https://www.scopus.com/inward/record.uri?eid=2-s2.0-84943348706&amp;doi=10.1016%2fj.juro.2015.03.101&amp;partnerID=40&amp;md5=ea66dee7843bdf2665fbebb1162235ca</t>
  </si>
  <si>
    <t>Effect of Oral Moxifloxacin vs Intravenous Ertapenem plus Oral Levofloxacin for Treatment of Uncomplicated Acute Appendicitis: The APPAC II Randomized Clinical Trial</t>
  </si>
  <si>
    <t>JAMA - Journal of the American Medical Association</t>
  </si>
  <si>
    <t>https://www.scopus.com/inward/record.uri?eid=2-s2.0-85099144142&amp;doi=10.1001%2fjama.2020.23525&amp;partnerID=40&amp;md5=183adc808c7241abb9ade8d2b78e75d4</t>
  </si>
  <si>
    <t>Effect of ureteric access sheath on outcomes of retrograde intrarenal surgery for renal stone disease: a randomized controlled trial</t>
  </si>
  <si>
    <t>https://www.scopus.com/inward/record.uri?eid=2-s2.0-85150732861&amp;doi=10.1007%2fs00345-023-04369-0&amp;partnerID=40&amp;md5=bc9aad475c55f905b4cbeb13aed523b1</t>
  </si>
  <si>
    <t>Association between preoperative glucocorticoids and long-term survival and cancer recurrence after colectomy: Follow-up analysis of a previous randomized controlled trial</t>
  </si>
  <si>
    <t>SUPPL. 1</t>
  </si>
  <si>
    <t>https://www.scopus.com/inward/record.uri?eid=2-s2.0-84905009321&amp;doi=10.1093%2fbja%2faet577&amp;partnerID=40&amp;md5=2c44fe5d7120cd084b305ac31cf81bdd</t>
  </si>
  <si>
    <t>https://www.scopus.com/inward/record.uri?eid=2-s2.0-84991254317&amp;doi=10.1016%2fj.jamcollsurg.2016.04.004&amp;partnerID=40&amp;md5=c78e3eaca0e5ad4862c64555c1c7a484</t>
  </si>
  <si>
    <t>Effect of bile duct clamping versus no clamping on surgical site infections in patients undergoing pancreaticoduodenectomy: a randomized controlled study</t>
  </si>
  <si>
    <t>https://www.scopus.com/inward/record.uri?eid=2-s2.0-85085141304&amp;doi=10.1111%2fans.15947&amp;partnerID=40&amp;md5=731aa65e71f3fab4328e0964716e8218</t>
  </si>
  <si>
    <t>Titanium versus absorbable tacks comparative study (TACS): A multicenter, non-inferiority prospective evaluation during laparoscopic repair of ventral and incisional hernia: Study protocol for randomized controlled trial</t>
  </si>
  <si>
    <t>https://www.scopus.com/inward/record.uri?eid=2-s2.0-84934900913&amp;doi=10.1186%2fs13063-015-0779-x&amp;partnerID=40&amp;md5=b0078edd9ef40536b87db95ba27f348f</t>
  </si>
  <si>
    <t>Laparoscopy versus robotic-assisted pyeloplasty in children: preliminary results of a pilot prospective randomized controlled trial</t>
  </si>
  <si>
    <t>https://www.scopus.com/inward/record.uri?eid=2-s2.0-85071298848&amp;doi=10.1007%2fs00345-019-02910-8&amp;partnerID=40&amp;md5=6b7f5a93b09799286601a82564e9f91b</t>
  </si>
  <si>
    <t>Immediate total-body CT scanning versus conventional imaging and selective CT scanning in patients with severe trauma (REACT-2): a randomised controlled trial</t>
  </si>
  <si>
    <t>https://www.scopus.com/inward/record.uri?eid=2-s2.0-84977671094&amp;doi=10.1016%2fS0140-6736%2816%2930932-1&amp;partnerID=40&amp;md5=ee9402c30c81f054a692ac9e698cf90c</t>
  </si>
  <si>
    <t>Pringle manoeuvre versus selective hepatic vascular exclusion in partial hepatectomy for tumours adjacent to the hepatocaval junction: A randomized comparative study</t>
  </si>
  <si>
    <t>https://www.scopus.com/inward/record.uri?eid=2-s2.0-84905680397&amp;doi=10.1016%2fj.ijsu.2014.05.068&amp;partnerID=40&amp;md5=a0f0059c6ae042363543cf897e8f0301</t>
  </si>
  <si>
    <t>Does Relocation of Lower Pole Stone during Retrograde Intrarenal Surgery Improve Stone-Free Rate? A Prospective Randomized Study</t>
  </si>
  <si>
    <t>https://www.scopus.com/inward/record.uri?eid=2-s2.0-85145668606&amp;doi=10.1089%2fend.2022.0050&amp;partnerID=40&amp;md5=52a70dc37df45bfdd4c2680031d8e6f2</t>
  </si>
  <si>
    <t>Nephrostomy tube placement after percutaneous nephrolithotomy: Critical evaluation through a prospective randomized study</t>
  </si>
  <si>
    <t>https://www.scopus.com/inward/record.uri?eid=2-s2.0-84859432251&amp;doi=10.1016%2fj.urology.2011.09.042&amp;partnerID=40&amp;md5=7382bd3fbd655868cd9b47613f0ab5cf</t>
  </si>
  <si>
    <t>Feasibility of Preoperative Chemotherapy with Docetaxel, Cisplatin, and 5-Fluorouracil versus Adriamycin, Cisplatin, and 5-Fluorouracil for Resectable Advanced Esophageal Cancer</t>
  </si>
  <si>
    <t>Oncology (Switzerland)</t>
  </si>
  <si>
    <t>https://www.scopus.com/inward/record.uri?eid=2-s2.0-85001850138&amp;doi=10.1159%2f000452765&amp;partnerID=40&amp;md5=ebc542a5b9f5f859dd924290a55dc039</t>
  </si>
  <si>
    <t>Two versus three courses of preoperative cisplatin and fluorouracil plus docetaxel for treating locally advanced esophageal cancer: short-term outcomes of a multicenter randomized phase II trial</t>
  </si>
  <si>
    <t>Esophagus</t>
  </si>
  <si>
    <t>https://www.scopus.com/inward/record.uri?eid=2-s2.0-85102641149&amp;doi=10.1007%2fs10388-021-00831-3&amp;partnerID=40&amp;md5=9f00c5274359e777e6f0eb5d70fc5e42</t>
  </si>
  <si>
    <t>A multi-institutional randomized phase III trial comparing anatomical segmentectomy and wedge resection for clinical stage IA non-small cell lung cancer in high-risk operable patients: Japan Clinical Oncology Group Study JCOG1909 (ANSWER study)</t>
  </si>
  <si>
    <t>Japanese Journal of Clinical Oncology</t>
  </si>
  <si>
    <t>https://www.scopus.com/inward/record.uri?eid=2-s2.0-85091807138&amp;doi=10.1093%2fjjco%2fhyaa107&amp;partnerID=40&amp;md5=95f5f21ea283437a1376666b99bcdef8</t>
  </si>
  <si>
    <t>Better timing of ultrasound-guided transversus abdominis plane block for early recovery after open inguinal herniorrhaphy: A prospective randomised controlled study</t>
  </si>
  <si>
    <t>Asian Journal of Surgery</t>
  </si>
  <si>
    <t>https://www.scopus.com/inward/record.uri?eid=2-s2.0-85087372028&amp;doi=10.1016%2fj.asjsur.2020.06.001&amp;partnerID=40&amp;md5=f60b7fc1faf70e31209e73dd41a955d5</t>
  </si>
  <si>
    <t>Sustained Weight Loss with Vagal Nerve Blockade but Not with Sham: 18-Month Results of the ReCharge Trial</t>
  </si>
  <si>
    <t>Journal of Obesity</t>
  </si>
  <si>
    <t>https://www.scopus.com/inward/record.uri?eid=2-s2.0-84938231187&amp;doi=10.1155%2f2015%2f365604&amp;partnerID=40&amp;md5=1e1c234aca1e128dba34634271705a06</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</si>
  <si>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</si>
  <si>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</si>
  <si>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Adjuvant stereotactic body radiotherapy after marginal resection for hepatocellular carcinoma with microvascular invasion: A randomised controlled trial</t>
  </si>
  <si>
    <t>European Journal of Cancer</t>
  </si>
  <si>
    <t>https://www.scopus.com/inward/record.uri?eid=2-s2.0-85126519155&amp;doi=10.1016%2fj.ejca.2022.02.012&amp;partnerID=40&amp;md5=749427abdff2a26d33d08dcbbcce3583</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</si>
  <si>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</si>
  <si>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</si>
  <si>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A New Feasible Technique for Polytetrafluoroethylene Suture Buttress-Reinforced Pancreaticojejunostomy (PBRP): Mechanical Analysis and a Prospective, Randomized Controlled Trial</t>
  </si>
  <si>
    <t>https://www.scopus.com/inward/record.uri?eid=2-s2.0-85070828808&amp;doi=10.1007%2fs11605-018-4059-4&amp;partnerID=40&amp;md5=01c2bb6a3bb75e02e47db4f1b6ceedeb</t>
  </si>
  <si>
    <t>A pilot randomized study comparing extralevator with conventional abdominoperineal excision for low rectal cancer after neoadjuvant chemoradiation</t>
  </si>
  <si>
    <t>https://www.scopus.com/inward/record.uri?eid=2-s2.0-85021838816&amp;doi=10.1111%2fcodi.13726&amp;partnerID=40&amp;md5=9c638f06e9d04fc5aa65b896be330b5a</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</si>
  <si>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</si>
  <si>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</si>
  <si>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Polyethylene glycol-coated haemostatic patch for prevention of clinically relevant postoperative pancreatic fistula after pancreatoduodenectomy: randomized clinical trial</t>
  </si>
  <si>
    <t>https://www.scopus.com/inward/record.uri?eid=2-s2.0-85164394982&amp;doi=10.1093%2fbjsopen%2fzrad028&amp;partnerID=40&amp;md5=ebd522978042f824a23b2e214e63a7fb</t>
  </si>
  <si>
    <t>The Effectiveness of Contralateral Drainage in Reducing Superficial Incisional Surgical Site Infection in Loop Ileostomy Closure: Prospective, Randomized Controlled Trial</t>
  </si>
  <si>
    <t>https://www.scopus.com/inward/record.uri?eid=2-s2.0-85062721535&amp;doi=10.1007%2fs00268-019-04972-6&amp;partnerID=40&amp;md5=d8520634efe385b9ec079b894201eafa</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</si>
  <si>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</si>
  <si>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</si>
  <si>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Non-inferiority multicenter prospective randomized controlled study of rectal cancer T2–T3s (superficial) N0, M0 undergoing neoadjuvant treatment and local excision (TEM) vs total mesorectal excision (TME)</t>
  </si>
  <si>
    <t>https://www.scopus.com/inward/record.uri?eid=2-s2.0-85037724446&amp;doi=10.1007%2fs00384-017-2942-1&amp;partnerID=40&amp;md5=d75044500b2de138d390c0b03f237c90</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</si>
  <si>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</si>
  <si>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</si>
  <si>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</si>
  <si>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Surgical outcomes after neoadjuvant nivolumab or nivolumab with ipilimumab in patients with non–small cell lung cancer</t>
  </si>
  <si>
    <t>Journal of Thoracic and Cardiovascular Surgery</t>
  </si>
  <si>
    <t>https://www.scopus.com/inward/record.uri?eid=2-s2.0-85124990192&amp;doi=10.1016%2fj.jtcvs.2022.01.019&amp;partnerID=40&amp;md5=3e27850ab22057e7b103e6a663962c57</t>
  </si>
  <si>
    <t>The transvaginal hybrid NOTES versus conventionally assisted laparoscopic sigmoid resection for diverticular disease (TRANSVERSAL) trial: Study protocol for a randomized controlled trial</t>
  </si>
  <si>
    <t>https://www.scopus.com/inward/record.uri?eid=2-s2.0-84934287998&amp;doi=10.1186%2f1745-6215-15-454&amp;partnerID=40&amp;md5=db3b21e96a7bad9fcd56d691fa900132</t>
  </si>
  <si>
    <t>Randomized clinical trial of duct-to-mucosa versus invagination pancreaticojejunostomy after pancreatoduodenectomy</t>
  </si>
  <si>
    <t>https://www.scopus.com/inward/record.uri?eid=2-s2.0-85038595722&amp;doi=10.1002%2fbjs.10727&amp;partnerID=40&amp;md5=413a608d95771f4acef690e9ce93e034</t>
  </si>
  <si>
    <t>Resectable pancreatic adenocarcinoma neo-adjuvant FOLF(IRIN)OX-based chemotherapy - a multicenter, non-comparative, randomized, phase II trial (PANACHE01-PRODIGE48 study)</t>
  </si>
  <si>
    <t>https://www.scopus.com/inward/record.uri?eid=2-s2.0-85050333590&amp;doi=10.1186%2fs12885-018-4663-4&amp;partnerID=40&amp;md5=880842d366e1a12301f9e79e87310de9</t>
  </si>
  <si>
    <t>Transection speed and impact on perioperative inflammatory response - A randomized controlled trial comparing stapler hepatectomy and CUSA resection</t>
  </si>
  <si>
    <t>https://www.scopus.com/inward/record.uri?eid=2-s2.0-84948652411&amp;doi=10.1371%2fjournal.pone.0140314&amp;partnerID=40&amp;md5=4891f92766c586ba98825a8562f749f9</t>
  </si>
  <si>
    <t>Postoperative complications and mobilisation following major abdominal surgery with vs. Without fitness tracker-based feedback (EXPELLIARMUS): Study protocol for a student-led multicentre randomised controlled trial (CHIR-Net SIGMA study group)</t>
  </si>
  <si>
    <t>Laparoscopic lavage vs primary resection for acute perforated diverticulitis: The SCANDIV randomized clinical trial</t>
  </si>
  <si>
    <t>https://www.scopus.com/inward/record.uri?eid=2-s2.0-84943375970&amp;doi=10.1001%2fjama.2015.12076&amp;partnerID=40&amp;md5=8afc9f169457aa32e31407de53c23fcd</t>
  </si>
  <si>
    <t>One-year results of the SCANDIV randomized clinical trial of laparoscopic lavage versus primary resection for acute perforated diverticulitis</t>
  </si>
  <si>
    <t>https://www.scopus.com/inward/record.uri?eid=2-s2.0-85021143486&amp;doi=10.1002%2fbjs.10567&amp;partnerID=40&amp;md5=9d955993ba4e9ed212fc0f797359841d</t>
  </si>
  <si>
    <t>Intraoperative endoluminal pyloromyotomy for reduction of delayed gastric emptying after pylorus preserving partial pancreaticoduodenectomy (PORRIDGE trial): study protocol for a randomised controlled trial</t>
  </si>
  <si>
    <t>https://www.scopus.com/inward/record.uri?eid=2-s2.0-85123780933&amp;doi=10.1186%2fs13063-022-06032-2&amp;partnerID=40&amp;md5=23e0f063f29364f492b3bb31941b0b60</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</si>
  <si>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</si>
  <si>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</si>
  <si>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Neoadjuvant Nivolumab or Nivolumab plus Ipilimumab in Untreated Oral Cavity Squamous Cell Carcinoma: A Phase 2 Open-Label Randomized Clinical Trial</t>
  </si>
  <si>
    <t>https://www.scopus.com/inward/record.uri?eid=2-s2.0-85090783150&amp;doi=10.1001%2fjamaoncol.2020.2955&amp;partnerID=40&amp;md5=2f653c9ac8c18dc662183d96f192d531</t>
  </si>
  <si>
    <t>Patient empowerment improved Perioperative quality of care in cancer patients aged &gt; 65 Years - a randomized controlled trial</t>
  </si>
  <si>
    <t>https://www.scopus.com/inward/record.uri?eid=2-s2.0-84946035616&amp;doi=10.1371%2fjournal.pone.0137824&amp;partnerID=40&amp;md5=021a34905664b7382a43a1891a9998d0</t>
  </si>
  <si>
    <t>Feasibility and Efficacy of Adjuvant Chemotherapy With Gemcitabine After Liver Transplantation for Perihilar Cholangiocarcinoma - A Multi-Center, Randomized, Controlled Trial (pro-duct001)</t>
  </si>
  <si>
    <t>https://www.scopus.com/inward/record.uri?eid=2-s2.0-85141190031&amp;doi=10.3389%2ffonc.2022.910871&amp;partnerID=40&amp;md5=6f4c805c8efa50c94cd781244bb5bde8</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</si>
  <si>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</si>
  <si>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</si>
  <si>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</si>
  <si>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Randomized clinical trial of the effect of a fibrin sealant patch on pancreatic fistula formation after pancreatoduodenectomy</t>
  </si>
  <si>
    <t>https://www.scopus.com/inward/record.uri?eid=2-s2.0-85045747729&amp;doi=10.1002%2fbjs.10840&amp;partnerID=40&amp;md5=7b247f3e26631b2b3d86842cba7ba72c</t>
  </si>
  <si>
    <t>Effect of Hypotension Prediction Index-guided intraoperative haemodynamic care on depth and duration of postoperative hypotension: a sub-study of the Hypotension Prediction trial</t>
  </si>
  <si>
    <t>https://www.scopus.com/inward/record.uri?eid=2-s2.0-85111071378&amp;doi=10.1016%2fj.bja.2021.05.033&amp;partnerID=40&amp;md5=a523cda726ebb69a65352786fb876253</t>
  </si>
  <si>
    <t>Substitution of perioperative albumin deficiency disorders (SuperAdd) in adults undergoing vascular, abdominal, trauma, or orthopedic surgery: Protocol for a randomized controlled trial</t>
  </si>
  <si>
    <t>https://www.scopus.com/inward/record.uri?eid=2-s2.0-85089638922&amp;doi=10.1186%2fs13063-020-04626-2&amp;partnerID=40&amp;md5=c27da1781b551092aca933b1043ac544</t>
  </si>
  <si>
    <t>Randomized clinical trial of ischaemic preconditioning in major liver resection with intermittent Pringle manoeuvre</t>
  </si>
  <si>
    <t>https://www.scopus.com/inward/record.uri?eid=2-s2.0-79960839124&amp;doi=10.1002%2fbjs.7626&amp;partnerID=40&amp;md5=618262403babcebb1e482360721d4cc8</t>
  </si>
  <si>
    <t>A randomized controlled TRIal of cognitive BEhavioral therapy for high Catastrophizing in patients undergoing lumbar fusion surgery: the TRIBECA study</t>
  </si>
  <si>
    <t>BMC Musculoskeletal Disorders</t>
  </si>
  <si>
    <t>https://www.scopus.com/inward/record.uri?eid=2-s2.0-85097088569&amp;doi=10.1186%2fs12891-020-03826-w&amp;partnerID=40&amp;md5=e7e01b971c082bab3cb8745d47c14906</t>
  </si>
  <si>
    <t>Minimally invasive anterior muscle-sparing versus a transgluteal approach for hemiarthroplasty in femoral neck fractures-a prospective randomised controlled trial including 190 elderly patients</t>
  </si>
  <si>
    <t>BMC Geriatrics</t>
  </si>
  <si>
    <t>https://www.scopus.com/inward/record.uri?eid=2-s2.0-85053629938&amp;doi=10.1186%2fs12877-018-0898-9&amp;partnerID=40&amp;md5=17b8408e38dc44eb4cfd8910cd66f89e</t>
  </si>
  <si>
    <t>Transection of the liver parenchyma with an ultrasound dissector or a stapler device: Results of a randomized clinical study</t>
  </si>
  <si>
    <t>https://www.scopus.com/inward/record.uri?eid=2-s2.0-84879688897&amp;doi=10.1007%2fs00268-012-1884-6&amp;partnerID=40&amp;md5=6433ea8ad7a160d92da83921ac35003f</t>
  </si>
  <si>
    <t>Adapted ERAS Pathway Versus Standard Care in Patients Undergoing Emergency Small Bowel Surgery: a Randomized Controlled Trial</t>
  </si>
  <si>
    <t>https://www.scopus.com/inward/record.uri?eid=2-s2.0-85087630595&amp;doi=10.1007%2fs11605-020-04684-6&amp;partnerID=40&amp;md5=912833b649302664d14e1ec4aa9f2b13</t>
  </si>
  <si>
    <t>Comparison of greater curvature and lesser curvature circular-stapled esophagogastrostomy after esophagectomy in patients with esophageal cancer: a prospective randomized controlled trial</t>
  </si>
  <si>
    <t>Surgery Today</t>
  </si>
  <si>
    <t>https://www.scopus.com/inward/record.uri?eid=2-s2.0-85091464419&amp;doi=10.1007%2fs00595-020-02147-8&amp;partnerID=40&amp;md5=dd56413859eb9a7ec6ef1bc33a10a8d4</t>
  </si>
  <si>
    <t>HYDration and Bicarbonate to Prevent Acute Renal Injury After Endovascular Aneurysm Repair With Suprarenal Fixation: Pilot/Feasibility Randomised Controlled Study (HYDRA Pilot Trial)</t>
  </si>
  <si>
    <t>European Journal of Vascular and Endovascular Surgery</t>
  </si>
  <si>
    <t>https://www.scopus.com/inward/record.uri?eid=2-s2.0-85042358448&amp;doi=10.1016%2fj.ejvs.2018.01.017&amp;partnerID=40&amp;md5=97527a3b5be4d237f59837e22cbe9f3f</t>
  </si>
  <si>
    <t>Effect of Incisional Negative Pressure Wound Therapy on Surgical Site Infections in High-Risk Reoperative Colorectal Surgery: A Randomized Controlled Trial</t>
  </si>
  <si>
    <t>https://www.scopus.com/inward/record.uri?eid=2-s2.0-85146139860&amp;doi=10.1097%2fDCR.0000000000002415&amp;partnerID=40&amp;md5=a799457b8ab9c07b61665f0e66607ea6</t>
  </si>
  <si>
    <t>ALPPS Improves Resectability Compared with Conventional Two-stage Hepatectomy in Patients with Advanced Colorectal Liver Metastasis: Results from a Scandinavian Multicenter Randomized Controlled Trial (LIGRO Trial)</t>
  </si>
  <si>
    <t>https://www.scopus.com/inward/record.uri?eid=2-s2.0-85038383293&amp;doi=10.1097%2fSLA.0000000000002511&amp;partnerID=40&amp;md5=81b695c09f88e85d1bc5cb50337306d3</t>
  </si>
  <si>
    <t>Radiofrequency-assisted transection of the pancreas versus stapler in distal pancreatectomy: study protocol for a multicentric randomised clinical trial (TRANSPAIRE)</t>
  </si>
  <si>
    <t>https://www.scopus.com/inward/record.uri?eid=2-s2.0-85141890200&amp;doi=10.1136%2fbmjopen-2022-062873&amp;partnerID=40&amp;md5=000506d077bf3b864c62766f992a4b3f</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</si>
  <si>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</si>
  <si>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</si>
  <si>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</si>
  <si>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</si>
  <si>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Effect of early peripheral parenteral nutrition support in an enhanced recovery program for colorectal cancer surgery: A randomized open trial</t>
  </si>
  <si>
    <t>Journal of Clinical Medicine</t>
  </si>
  <si>
    <t>https://www.scopus.com/inward/record.uri?eid=2-s2.0-85113153433&amp;doi=10.3390%2fjcm10163647&amp;partnerID=40&amp;md5=86b94e3b6e2772b25e697f5bf56e7925</t>
  </si>
  <si>
    <t>Effect of Surgical Humidification on Inflammation and Peritoneal Trauma in Colorectal Cancer Surgery: A Randomized Controlled Trial</t>
  </si>
  <si>
    <t>https://www.scopus.com/inward/record.uri?eid=2-s2.0-85133628676&amp;doi=10.1245%2fs10434-022-12057-3&amp;partnerID=40&amp;md5=9f2ddde9f9b9f44cd79da836e840e996</t>
  </si>
  <si>
    <t>Warming and humidification of insufflation carbon dioxide in laparoscopic colonic surgery: A double-blinded randomized controlled trial</t>
  </si>
  <si>
    <t>https://www.scopus.com/inward/record.uri?eid=2-s2.0-77953026568&amp;doi=10.1097%2fSLA.0b013e3181d77a25&amp;partnerID=40&amp;md5=3404c7691b2b3c6ad687dc8ea60b966b</t>
  </si>
  <si>
    <t>Optimal peripheral nerve block after minimally invasive colon surgery – a study protocol for a randomised trial</t>
  </si>
  <si>
    <t>Danish Medical Journal</t>
  </si>
  <si>
    <t>https://www.scopus.com/inward/record.uri?eid=2-s2.0-85122429042&amp;partnerID=40&amp;md5=1bc01c8132af646f3d5baad9ddc28a76</t>
  </si>
  <si>
    <t>Antibiotics versus placebo in adults with CT-confirmed uncomplicated acute appendicitis (APPAC III): Randomized double-blind superiority trial</t>
  </si>
  <si>
    <t>https://www.scopus.com/inward/record.uri?eid=2-s2.0-85130102103&amp;doi=10.1093%2fbjs%2fznac086&amp;partnerID=40&amp;md5=e096144f60154789ee3eabbc5d908b71</t>
  </si>
  <si>
    <t>Effect of laparoscopic sleeve gastrectomy vs laparoscopic roux-en-y gastric bypass onweight loss at 5 years among patients with morbid obesity the SLEEVEPASS randomized clinical trial</t>
  </si>
  <si>
    <t>https://www.scopus.com/inward/record.uri?eid=2-s2.0-85040993545&amp;doi=10.1001%2fjama.2017.20313&amp;partnerID=40&amp;md5=b37ace1461a3b0d5e09ed739c8aa783e</t>
  </si>
  <si>
    <t>Robot-assisted laparoscopy versus laparotomy for infrarenal paraaortic lymphadenectomy in women with high-risk endometrial cancer: A randomised controlled trial</t>
  </si>
  <si>
    <t>https://www.scopus.com/inward/record.uri?eid=2-s2.0-85018284856&amp;doi=10.1016%2fj.ejca.2017.03.038&amp;partnerID=40&amp;md5=6fb26625e645c4f9c71fcc8adb170fc9</t>
  </si>
  <si>
    <t>Lymphedema, serious adverse events, and imaging 1 year after comprehensive staging for endometrial cancer: Results from the RASHEC trial</t>
  </si>
  <si>
    <t>International Journal of Gynecological Cancer</t>
  </si>
  <si>
    <t>https://www.scopus.com/inward/record.uri?eid=2-s2.0-85060055635&amp;doi=10.1136%2fijgc-2018-000019&amp;partnerID=40&amp;md5=82e12b7350d3c439c2f8b836ccc54818</t>
  </si>
  <si>
    <t>Continence definition and prognostic factors for early urinary continence recovery in posterior rhabdosphincter reconstruction after robot-assisted radical prostatectomy. Post-hoc analysis of a randomised controlled trial</t>
  </si>
  <si>
    <t>https://www.scopus.com/inward/record.uri?eid=2-s2.0-85124221193&amp;doi=10.1016%2fj.acuro.2021.06.004&amp;partnerID=40&amp;md5=6a9f3c91cdf0c272d316b2fe60750a82</t>
  </si>
  <si>
    <t>Delayed Gastric Emptying After Stapled Versus Hand-Sewn Anastomosis of Duodenojejunostomy in Pylorus-Preserving Pancreaticoduodenectomy: a Randomized Controlled trial</t>
  </si>
  <si>
    <t>https://www.scopus.com/inward/record.uri?eid=2-s2.0-84958125278&amp;doi=10.1007%2fs11605-015-2961-6&amp;partnerID=40&amp;md5=e6d1fa6dbdfceb56102a96bd84a23742</t>
  </si>
  <si>
    <t>Is a Central Venous Catheter Necessary for the Perioperative Management of Esophagectomy? A Prospective Randomized Pilot Study Comparing Two Different Perioperative Regimens</t>
  </si>
  <si>
    <t>https://www.scopus.com/inward/record.uri?eid=2-s2.0-84973582610&amp;doi=10.1159%2f000446572&amp;partnerID=40&amp;md5=297433bd75ec300a021d14e5c71f08a8</t>
  </si>
  <si>
    <t>Effect of ultrasound-guided erector spinae plane block on post-surgical pain in patients undergoing nephrectomy: a single-center, randomized, double-blind, controlled trial</t>
  </si>
  <si>
    <t>Journal of International Medical Research</t>
  </si>
  <si>
    <t>https://www.scopus.com/inward/record.uri?eid=2-s2.0-85127729761&amp;doi=10.1177%2f03000605221086737&amp;partnerID=40&amp;md5=1787bed014c5fdba706b0ad757432844</t>
  </si>
  <si>
    <t>Epidural anesthesia improves pancreatic perfusion and decreases the severity of acute pancreatitis</t>
  </si>
  <si>
    <t>https://www.scopus.com/inward/record.uri?eid=2-s2.0-84948950322&amp;doi=10.3748%2fwjg.v21.i43.12448&amp;partnerID=40&amp;md5=12996fa9a23e2420d1607663f2ac9ad8</t>
  </si>
  <si>
    <t>Micropercutaneous nephrolithotomy (microperc) vs retrograde intrarenal surgery for the management of small renal calculi: A randomized controlled trial</t>
  </si>
  <si>
    <t>https://www.scopus.com/inward/record.uri?eid=2-s2.0-84879859084&amp;doi=10.1111%2fbju.12164&amp;partnerID=40&amp;md5=b7aa3b34b2196a3c74098ce474b18444</t>
  </si>
  <si>
    <t>The value of post-operative antibiotic therapy after laparoscopic appendectomy for complicated acute appendicitis: A prospective, randomized, double-blinded, placebo-controlled phase III study (ABAP study)</t>
  </si>
  <si>
    <t>https://www.scopus.com/inward/record.uri?eid=2-s2.0-85085854921&amp;doi=10.1186%2fs13063-020-04411-1&amp;partnerID=40&amp;md5=9805f3fd417aac2ca5cd1e1cd4222136</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</si>
  <si>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</si>
  <si>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</si>
  <si>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Prospective randomized controlled trial comparing the efficacy and safety of Roux-en-Y gastric bypass and one-anastomosis gastric bypass (the RYSA trial): Trial protocol and interim analysis</t>
  </si>
  <si>
    <t>https://www.scopus.com/inward/record.uri?eid=2-s2.0-85077228605&amp;doi=10.1186%2fs13063-019-3898-y&amp;partnerID=40&amp;md5=e71148302eff5e8c30130fdc05865401</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</si>
  <si>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</si>
  <si>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</si>
  <si>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</si>
  <si>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</si>
  <si>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</si>
  <si>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Side-to-end vs. straight stapled colorectal anastomosis after low anterior resection: results of randomized clinical trial</t>
  </si>
  <si>
    <t>https://www.scopus.com/inward/record.uri?eid=2-s2.0-84973167225&amp;doi=10.1007%2fs00384-016-2608-4&amp;partnerID=40&amp;md5=ae1356efb55c51569e5eb7c9bddd7206</t>
  </si>
  <si>
    <t>Surgical site infections following short-term radiotherapy and total mesorectal excision: results of a randomized study examining the role of gentamicin collagen implant in rectal cancer surgery</t>
  </si>
  <si>
    <t>Techniques in Coloproctology</t>
  </si>
  <si>
    <t>https://www.scopus.com/inward/record.uri?eid=2-s2.0-84919389817&amp;doi=10.1007%2fs10151-014-1193-1&amp;partnerID=40&amp;md5=e831408d559a84a6422a8fd9fdf57b47</t>
  </si>
  <si>
    <t>Multicentre, randomised trial comparing acellular porcine collagen implant versus gluteus maximus myocutaneous flap for reconstruction of the pelvic floor after extended abdominoperineal excision of rectum: Study protocol for the Nordic Extended Abdominoperineal Excision (NEAPE) study</t>
  </si>
  <si>
    <t>https://www.scopus.com/inward/record.uri?eid=2-s2.0-85066619343&amp;doi=10.1136%2fbmjopen-2018-027255&amp;partnerID=40&amp;md5=18fac0a21f3781b8d3a6043ae23cdfc1</t>
  </si>
  <si>
    <t>Impact of perioperative symbiotic therapy on infectious morbidity after Hpb Surgery in jaundiced patients: A randomized controlled trial</t>
  </si>
  <si>
    <t>Updates in Surgery</t>
  </si>
  <si>
    <t>https://www.scopus.com/inward/record.uri?eid=2-s2.0-84906849693&amp;doi=10.1007%2fs13304-014-0259-y&amp;partnerID=40&amp;md5=82021f25133544987e5f886ec906318f</t>
  </si>
  <si>
    <t>Organ preservation for rectal cancer (GRECCAR 2): a prospective, randomised, open-label, multicentre, phase 3 trial</t>
  </si>
  <si>
    <t>https://www.scopus.com/inward/record.uri?eid=2-s2.0-85020404054&amp;doi=10.1016%2fS0140-6736%2817%2931056-5&amp;partnerID=40&amp;md5=52cb68cad6c56ce0963609da0b63d7fd</t>
  </si>
  <si>
    <t>Randomized clinical trial of the benefit of laparoscopy with closure of loop ileostomy</t>
  </si>
  <si>
    <t>https://www.scopus.com/inward/record.uri?eid=2-s2.0-84881631794&amp;doi=10.1002%2fbjs.9183&amp;partnerID=40&amp;md5=47cf2634723d718a52c43347b912a99b</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</si>
  <si>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</si>
  <si>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</si>
  <si>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Perioperative systemic therapy and cytoreductive surgery with HIPEC versus upfront cytoreductive surgery with HIPEC alone for isolated resectable colorectal peritoneal metastases: Protocol of a multicentre, open-label, parralel-group, phase II-III, randomised, superiority study (CAIRO6)</t>
  </si>
  <si>
    <t>https://www.scopus.com/inward/record.uri?eid=2-s2.0-85065332052&amp;doi=10.1186%2fs12885-019-5545-0&amp;partnerID=40&amp;md5=a0d93f0e380452321ed39319710634bc</t>
  </si>
  <si>
    <t>Perioperative Systemic Therapy vs Cytoreductive Surgery and Hyperthermic Intraperitoneal Chemotherapy Alone for Resectable Colorectal Peritoneal Metastases: A Phase 2 Randomized Clinical Trial</t>
  </si>
  <si>
    <t>https://www.scopus.com/inward/record.uri?eid=2-s2.0-85106914949&amp;doi=10.1001%2fjamasurg.2021.1642&amp;partnerID=40&amp;md5=e450374b8d6f2302899cb174cb6c7adc</t>
  </si>
  <si>
    <t>Early versus delayed cholecystectomy for acute cholecystitis, are the 72 hours still the rule? A randomized trial</t>
  </si>
  <si>
    <t>https://www.scopus.com/inward/record.uri?eid=2-s2.0-84978757675&amp;doi=10.1097%2fSLA.0000000000001886&amp;partnerID=40&amp;md5=6f9e19ddde082c51d9fa814bbe0756e7</t>
  </si>
  <si>
    <t>Perianal block with ropivacaine as a supplement to anaesthesia in proctological surgery: double-blind randomized placebo-controlled trial (PERCEPT)</t>
  </si>
  <si>
    <t>https://www.scopus.com/inward/record.uri?eid=2-s2.0-85082431157&amp;doi=10.1002%2fbjs.11520&amp;partnerID=40&amp;md5=1dd3ce8173b62431867db2ba452c7579</t>
  </si>
  <si>
    <t>DeloRes trial: Study protocol for a randomized trial comparing two standardized surgical approaches in rectal prolapse - Delorme's procedure versus resection rectopexy</t>
  </si>
  <si>
    <t>https://www.scopus.com/inward/record.uri?eid=2-s2.0-84865436938&amp;doi=10.1186%2f1745-6215-13-155&amp;partnerID=40&amp;md5=40e02b517745ebbbf1342aeccbb3aa41</t>
  </si>
  <si>
    <t>Readaptation of the peritoneum following extended pelvic lymphadenectomy and cystectomy has a significant beneficial impact on early postoperative recovery and complications: Results of a prospective randomized trial</t>
  </si>
  <si>
    <t>https://www.scopus.com/inward/record.uri?eid=2-s2.0-78650708886&amp;doi=10.1016%2fj.eururo.2010.10.030&amp;partnerID=40&amp;md5=c00fe5d4333c81ed05e812c267ed6c76</t>
  </si>
  <si>
    <t>Costs and quality of life of small-incision open cholecystectomy and laparoscopic cholecystectomy - an expertise-based randomised controlled trial</t>
  </si>
  <si>
    <t>https://www.scopus.com/inward/record.uri?eid=2-s2.0-85018512049&amp;doi=10.1186%2fs12876-017-0601-1&amp;partnerID=40&amp;md5=78a64e64561a473e7316cd3aa965c476</t>
  </si>
  <si>
    <t>Biologic vs Synthetic Mesh for Single-stage Repair of Contaminated Ventral Hernias: A Randomized Clinical Trial</t>
  </si>
  <si>
    <t>https://www.scopus.com/inward/record.uri?eid=2-s2.0-85123361508&amp;doi=10.1001%2fjamasurg.2021.6902&amp;partnerID=40&amp;md5=1817edece32387fdbbfbe33db2766372</t>
  </si>
  <si>
    <t>Minimal Open Hemorrhoidectomy Versus Transanal Hemorrhoidal Dearterialization: The Effect on Symptoms: An Open-Label Randomized Controlled Trial</t>
  </si>
  <si>
    <t>https://www.scopus.com/inward/record.uri?eid=2-s2.0-85083540941&amp;doi=10.1097%2fDCR.0000000000001588&amp;partnerID=40&amp;md5=9a7aa0596cc9828a30f9815301ac8cca</t>
  </si>
  <si>
    <t>High uterosacral vault suspension vs Sacrocolpopexy for treating apical defects: a randomized controlled trial with twelve months follow-up</t>
  </si>
  <si>
    <t>https://www.scopus.com/inward/record.uri?eid=2-s2.0-84938974303&amp;doi=10.1007%2fs00192-015-2666-0&amp;partnerID=40&amp;md5=163e52cbcc148de95646b3829bba660d</t>
  </si>
  <si>
    <t>Conservative surgery versus colorectal resection in deep endometriosis infiltrating the rectum: A randomized trial</t>
  </si>
  <si>
    <t>Human Reproduction</t>
  </si>
  <si>
    <t>https://www.scopus.com/inward/record.uri?eid=2-s2.0-85040075958&amp;doi=10.1093%2fhumrep%2fdex336&amp;partnerID=40&amp;md5=dee8058d80519e5383ba534c62513b3d</t>
  </si>
  <si>
    <t>The impact of low pressure pneumoperitoneum in robotic assisted radical prostatectomy: a prospective, randomized, double blinded trial</t>
  </si>
  <si>
    <t>https://www.scopus.com/inward/record.uri?eid=2-s2.0-85092455741&amp;doi=10.1007%2fs00345-020-03486-4&amp;partnerID=40&amp;md5=bf74511782c2869c6d8eba59f7dcfd96</t>
  </si>
  <si>
    <t>Short-term outcomes for open and laparoscopic midline incisional hernia repair: A randomized multicenter controlled trial: The prolove (prospective randomized trial on open versus laparoscopic operation of ventral eventrations) trial</t>
  </si>
  <si>
    <t>https://www.scopus.com/inward/record.uri?eid=2-s2.0-84879091716&amp;doi=10.1097%2fSLA.0b013e31828fe1b2&amp;partnerID=40&amp;md5=19c52c2ff130cde64e027341fad770c2</t>
  </si>
  <si>
    <t>Bariatric surgery in adolescents: A prospective randomized controlled trial comparing laparoscopic gastric banding to combined lifestyle interventions in adolescents with severe obesity (BASIC trial)</t>
  </si>
  <si>
    <t>BMC Pediatrics</t>
  </si>
  <si>
    <t>https://www.scopus.com/inward/record.uri?eid=2-s2.0-85060650739&amp;doi=10.1186%2fs12887-019-1395-9&amp;partnerID=40&amp;md5=b7c2c5fd2e6fb33057e728a85ba667e0</t>
  </si>
  <si>
    <t>Extended sampling at first biopsy improves cancer detection rate: Results of a prospective, randomized trial comparing 12 versus 18-core prostate biopsy</t>
  </si>
  <si>
    <t>https://www.scopus.com/inward/record.uri?eid=2-s2.0-79955789465&amp;doi=10.1016%2fj.juro.2011.02.010&amp;partnerID=40&amp;md5=77707674beb1803e3075eae079a0bd96</t>
  </si>
  <si>
    <t>Hepatic cytoprotective effect of ischemic and anesthetic preconditioning before liver resection when using intermittent vascular inflow occlusion: A randomized clinical trial</t>
  </si>
  <si>
    <t>https://www.scopus.com/inward/record.uri?eid=2-s2.0-84921377597&amp;doi=10.1016%2fj.surg.2014.09.005&amp;partnerID=40&amp;md5=e2fe30aee48e5d18a0f98a430e052907</t>
  </si>
  <si>
    <t>Open versus minimally invasive liver surgery for colorectal liver metastases (LapOpHuva): a prospective randomized controlled trial</t>
  </si>
  <si>
    <t>https://www.scopus.com/inward/record.uri?eid=2-s2.0-85071364285&amp;doi=10.1007%2fs00464-019-06679-0&amp;partnerID=40&amp;md5=926b51926c21cdd48ea3ee1dac85ab1e</t>
  </si>
  <si>
    <t>Prospective multicentre randomised trial comparing the efficacy and safety of single-anastomosis duodeno-ileal bypass with sleeve gastrectomy (SADI-S) versus Roux-en-Y gastric bypass (RYGB): SADISLEEVE study protocol</t>
  </si>
  <si>
    <t>https://www.scopus.com/inward/record.uri?eid=2-s2.0-85090179377&amp;doi=10.1136%2fbmjopen-2020-037576&amp;partnerID=40&amp;md5=2f756cf0671a6d7c617c2ff34a5e2cc1</t>
  </si>
  <si>
    <t>Prostatic injection of botulinum toxin is not inferior to optimized medical therapy in the management of lower urinary tract symptoms due to benign prostatic hyperplasia: results of a randomized clinical trial</t>
  </si>
  <si>
    <t>https://www.scopus.com/inward/record.uri?eid=2-s2.0-85041220673&amp;doi=10.1007%2fs00345-018-2193-y&amp;partnerID=40&amp;md5=94d032996ce65ca923a624e25ff1b2e8</t>
  </si>
  <si>
    <t>Perioperative oral nutrition supplementation reduces prevalence of sarcopenia following radical cystectomy: Results of a prospective randomized controlled trial</t>
  </si>
  <si>
    <t>https://www.scopus.com/inward/record.uri?eid=2-s2.0-85061572448&amp;doi=10.1016%2fj.juro.2018.10.010&amp;partnerID=40&amp;md5=3ce5c7eb84947fc0f7609ac5e110332f</t>
  </si>
  <si>
    <t>No Reduction in Parastomal Hernia Rate 3 Years after Stoma Construction with Prophylactic Mesh: Three-year Follow-up Results from STOMAMESH - A Multicenter Double-blind Randomized Controlled Trial</t>
  </si>
  <si>
    <t>https://www.scopus.com/inward/record.uri?eid=2-s2.0-85145304565&amp;doi=10.1097%2fSLA.0000000000005537&amp;partnerID=40&amp;md5=9d281fbec10fcbf0e3be91ef0f57c981</t>
  </si>
  <si>
    <t>Retropubic versus Transobturator Midurethral Slings for Stress Incontinence</t>
  </si>
  <si>
    <t>New England Journal of Medicine</t>
  </si>
  <si>
    <t>https://www.scopus.com/inward/record.uri?eid=2-s2.0-77953173228&amp;doi=10.1056%2fNEJMoa0912658&amp;partnerID=40&amp;md5=fe6449703f144866193e6070662e634c</t>
  </si>
  <si>
    <t>Short-Term Surgical Outcomes of Robotic Gastrectomy Compared to Open Gastrectomy for Patients with Gastric Cancer: a Randomized Trial</t>
  </si>
  <si>
    <t>https://www.scopus.com/inward/record.uri?eid=2-s2.0-85138391251&amp;doi=10.1007%2fs11605-022-05448-0&amp;partnerID=40&amp;md5=dbbb6e212fc2d75d153921a6a23c8f23</t>
  </si>
  <si>
    <t>Randomized clinical trial of local infiltration plus patient-controlled opiate analgesia vs. epidural analgesia following liver resection surgery</t>
  </si>
  <si>
    <t>https://www.scopus.com/inward/record.uri?eid=2-s2.0-84865121480&amp;doi=10.1111%2fj.1477-2574.2012.00490.x&amp;partnerID=40&amp;md5=0f7cdc8fcbeb894f3528d78055997199</t>
  </si>
  <si>
    <t>Pylorus resection versus pylorus preservation in pancreatoduodenectomy (PyloResPres): Study protocol and statistical analysis plan for a German multicentre, single-blind, surgical, registry-based randomised controlled trial</t>
  </si>
  <si>
    <t>https://www.scopus.com/inward/record.uri?eid=2-s2.0-85120737388&amp;doi=10.1136%2fbmjopen-2021-056191&amp;partnerID=40&amp;md5=d1218e3bf9372be3b4f4a49a9fa6919c</t>
  </si>
  <si>
    <t>Safety and efficacy of preoperative or postoperative chemotherapy for resectable pancreatic adenocarcinoma (PACT-15): a randomised, open-label, phase 2–3 trial</t>
  </si>
  <si>
    <t>https://www.scopus.com/inward/record.uri?eid=2-s2.0-85046258319&amp;doi=10.1016%2fS2468-1253%2818%2930081-5&amp;partnerID=40&amp;md5=d5479170d41b0a4abbd390828291de47</t>
  </si>
  <si>
    <t>A Full Enhanced Recovery after Surgery Program in Gynecologic Laparoscopic Procedures: A Randomized Controlled Trial</t>
  </si>
  <si>
    <t>https://www.scopus.com/inward/record.uri?eid=2-s2.0-85109454346&amp;doi=10.1016%2fj.jmig.2021.01.024&amp;partnerID=40&amp;md5=78a54ec67e4a6dcbd7f86e4578264535</t>
  </si>
  <si>
    <t>Hypothermic perfusion with retrograde outflow during right hepatectomy is safe and feasible</t>
  </si>
  <si>
    <t>https://www.scopus.com/inward/record.uri?eid=2-s2.0-85016041830&amp;doi=10.1016%2fj.surg.2017.01.024&amp;partnerID=40&amp;md5=6d0a0ab433ef582275fe593edd0cbc28</t>
  </si>
  <si>
    <t>VoiceS: voice quality after transoral CO2 laser surgery versus single vocal cord irradiation for unilateral stage 0 and I glottic larynx cancer—a randomized phase III trial</t>
  </si>
  <si>
    <t>https://www.scopus.com/inward/record.uri?eid=2-s2.0-85140589036&amp;doi=10.1186%2fs13063-022-06841-5&amp;partnerID=40&amp;md5=d5cd31dccb8a5a84378a60d2bb541711</t>
  </si>
  <si>
    <t>Effect of the Nutraceutical Micodigest 2.0 on the Complication Rate of Colorectal Cancer Surgery With Curative Intent: Protocol for a Placebo-Controlled Double-blind Randomized Clinical Trial</t>
  </si>
  <si>
    <t>https://www.scopus.com/inward/record.uri?eid=2-s2.0-85130576772&amp;doi=10.2196%2f34292&amp;partnerID=40&amp;md5=39c2f98c7f66f2c6f322e9b6b6ec2ad4</t>
  </si>
  <si>
    <t>Effect of postoperative antibiotic administration on postoperative infection following cholecystectomy for acute calculous cholecystitis: A randomized clinical trial</t>
  </si>
  <si>
    <t>JAMA</t>
  </si>
  <si>
    <t>https://www.scopus.com/inward/record.uri?eid=2-s2.0-84903878789&amp;doi=10.1001%2fjama.2014.7586&amp;partnerID=40&amp;md5=a17d265656c843b2c8f7dda4c2c3700e</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</si>
  <si>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</si>
  <si>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</si>
  <si>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Intraoperative monitoring of stroke volume variation versus central venous pressure in laparoscopic liver surgery: a randomized prospective comparative trial</t>
  </si>
  <si>
    <t>https://www.scopus.com/inward/record.uri?eid=2-s2.0-84976363323&amp;doi=10.1016%2fj.hpb.2015.09.005&amp;partnerID=40&amp;md5=c9842d19f99fc23dd2c7ba2eb9aaa57c</t>
  </si>
  <si>
    <t>Effect of puboprostatic ligament preservation during robotic-assisted laparoscopic radical prostatectomy on early continence: Randomized controlled trial</t>
  </si>
  <si>
    <t>Asian Journal of Urology</t>
  </si>
  <si>
    <t>https://www.scopus.com/inward/record.uri?eid=2-s2.0-85107616861&amp;doi=10.1016%2fj.ajur.2020.11.002&amp;partnerID=40&amp;md5=ab5ca84e5b8b768a2faa09f54c0ff47d</t>
  </si>
  <si>
    <t>EFFORT study: Comparing impact of operation and assisted reproductive technologies on fertility for women with deep infiltrating endometriosis-study protocol for a multicentre randomised trial</t>
  </si>
  <si>
    <t>https://www.scopus.com/inward/record.uri?eid=2-s2.0-85128095175&amp;doi=10.1136%2fbmjopen-2021-052877&amp;partnerID=40&amp;md5=eea3e37c53bdd6d8dc8e4109865e2cd6</t>
  </si>
  <si>
    <t>Scandinavian Olecranon Research in the Elderly (SCORE): Protocol for a non-inferiority, randomised, controlled, multicentre trial comparing operative and conservative treatment of olecranon fractures in the elderly</t>
  </si>
  <si>
    <t>https://www.scopus.com/inward/record.uri?eid=2-s2.0-85123973814&amp;doi=10.1136%2fbmjopen-2021-055097&amp;partnerID=40&amp;md5=d73c9c261c20e8516552cae962c368c1</t>
  </si>
  <si>
    <t>Screening and systematic follow-up for cardiopulmonary comorbidity in elective surgery for colorectal cancer: A randomised feasibility study</t>
  </si>
  <si>
    <t>https://www.scopus.com/inward/record.uri?eid=2-s2.0-85069771256&amp;doi=10.1186%2fs12957-019-1668-7&amp;partnerID=40&amp;md5=a95a4c73b4128a7e5b4ce44d9886f42f</t>
  </si>
  <si>
    <t>Infrahepatic inferior vena cava clamping for reduction of central venous pressure and blood loss during hepatic resection: A randomized controlled trial</t>
  </si>
  <si>
    <t>https://www.scopus.com/inward/record.uri?eid=2-s2.0-79957461716&amp;doi=10.1097%2fSLA.0b013e318214bee5&amp;partnerID=40&amp;md5=f6d6ce77493c147601f2e4bb6b72411a</t>
  </si>
  <si>
    <t>Randomized clinical trial of stapler versus clamp-crushing transection in elective liver resection</t>
  </si>
  <si>
    <t>https://www.scopus.com/inward/record.uri?eid=2-s2.0-84893688565&amp;doi=10.1002%2fbjs.9387&amp;partnerID=40&amp;md5=359bb980472540051277802b9428344b</t>
  </si>
  <si>
    <t>Randomized clinical trial of BioFoam® Surgical Matrix to achieve hemostasis after liver resection</t>
  </si>
  <si>
    <t>https://www.scopus.com/inward/record.uri?eid=2-s2.0-85074476730&amp;doi=10.1016%2fj.hpb.2019.10.1529&amp;partnerID=40&amp;md5=f56a0754a25b9187c40f53a54ea96588</t>
  </si>
  <si>
    <t>Impact of different intraoperative CO2 pressure levels (8 and 15 mmHg) during laparoscopic hysterectomy performed due to benign uterine pathologies on postoperative pain and arterial pCO2: a prospective randomised controlled clinical trial</t>
  </si>
  <si>
    <t>https://www.scopus.com/inward/record.uri?eid=2-s2.0-85070365820&amp;doi=10.1111%2f1471-0528.15826&amp;partnerID=40&amp;md5=06025d60aa33c955f811776a26d8cd80</t>
  </si>
  <si>
    <t>Five minutes of extended assisted ventilation with an open umbilical trocar valve significantly reduces postoperative abdominal and shoulder pain in patients undergoing laparoscopic hysterectomy</t>
  </si>
  <si>
    <t>European Journal of Obstetrics and Gynecology and Reproductive Biology</t>
  </si>
  <si>
    <t>https://www.scopus.com/inward/record.uri?eid=2-s2.0-84887037204&amp;doi=10.1016%2fj.ejogrb.2013.08.014&amp;partnerID=40&amp;md5=9d3b2658e6ae54258d116a77b9341eb5</t>
  </si>
  <si>
    <t>Posterior component separation with transversus abdominis muscle release versus mesh-only repair in the treatment of complex ventral-wall hernia: a randomized controlled trial</t>
  </si>
  <si>
    <t>https://www.scopus.com/inward/record.uri?eid=2-s2.0-85138158571&amp;doi=10.1186%2fs12893-022-01794-7&amp;partnerID=40&amp;md5=49342182a78df60b4b0fb95f16d76be0</t>
  </si>
  <si>
    <t>Retzius-sparing robot-assisted radical prostatectomy improves early recovery of urinary continence: a randomized, controlled, single-blind trial with a 1-year follow-up</t>
  </si>
  <si>
    <t>https://www.scopus.com/inward/record.uri?eid=2-s2.0-85089449875&amp;doi=10.1111%2fbju.15195&amp;partnerID=40&amp;md5=37d3c795d0cdcbbeb0aa8fb04d187cfc</t>
  </si>
  <si>
    <t>Safety and efficacy of enhanced recovery after surgery (ERAS) programs in patients undergoing hepatectomy: A prospective randomized controlled trial</t>
  </si>
  <si>
    <t>Journal of Clinical Laboratory Analysis</t>
  </si>
  <si>
    <t>https://www.scopus.com/inward/record.uri?eid=2-s2.0-85044362302&amp;doi=10.1002%2fjcla.22434&amp;partnerID=40&amp;md5=69b6ace299a2aac7f330974c8d1b2a78</t>
  </si>
  <si>
    <t>Effect of remote ischemic preconditioning among donors and recipients following pediatric liver transplantation: A randomized clinical trial</t>
  </si>
  <si>
    <t>https://www.scopus.com/inward/record.uri?eid=2-s2.0-85101181314&amp;doi=10.3748%2fWJG.V27.I4.345&amp;partnerID=40&amp;md5=ae8755c9b6e2cad3b8386cbde6fca0c4</t>
  </si>
  <si>
    <t>Low Versus Standard Urine Output Targets in Patients Undergoing Major Abdominal Surgery</t>
  </si>
  <si>
    <t>https://www.scopus.com/inward/record.uri?eid=2-s2.0-84992021798&amp;doi=10.1097%2fSLA.0000000000002044&amp;partnerID=40&amp;md5=d8fb532dc2524f8ee74e4b65e9e44dae</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</si>
  <si>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</si>
  <si>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</si>
  <si>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</si>
  <si>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</si>
  <si>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</si>
  <si>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</si>
  <si>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</si>
  <si>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Accelerated enhanced Recover y following M inimally i nvasive colorectal cancer surgery (RecoverMI): A study protocol for a novel randomised controlled trial</t>
  </si>
  <si>
    <t>https://www.scopus.com/inward/record.uri?eid=2-s2.0-85025134698&amp;doi=10.1136%2fbmjopen-2017-015960&amp;partnerID=40&amp;md5=4184db477f00582ad2031487da53ad42</t>
  </si>
  <si>
    <t>Adapted ERAS Pathway Versus Standard Care in Patients Undergoing Emergency Surgery for Perforation Peritonitis—a Randomized Controlled Trial</t>
  </si>
  <si>
    <t>https://www.scopus.com/inward/record.uri?eid=2-s2.0-85118665723&amp;doi=10.1007%2fs11605-021-05184-x&amp;partnerID=40&amp;md5=ae42afb597e4dfc39bbc0c06455c9307</t>
  </si>
  <si>
    <t>Retroperitoneoscopic versus open mini-incision ureterolithotomy for upper- and mid-ureteric stones: A prospective randomized study</t>
  </si>
  <si>
    <t>Urolithiasis</t>
  </si>
  <si>
    <t>https://www.scopus.com/inward/record.uri?eid=2-s2.0-84899492664&amp;doi=10.1007%2fs00240-013-0624-1&amp;partnerID=40&amp;md5=99d9ed5946e6ae98e09d6aa5235dd198</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</si>
  <si>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</si>
  <si>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</si>
  <si>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</si>
  <si>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</si>
  <si>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Efficacy of 'radioguided occult lesion localisation' (ROLL) versus 'wire-guided localisation' (WGL) in breast conserving surgery for non-palpable breast cancer: A randomised controlled multicentre trial</t>
  </si>
  <si>
    <t>Breast Cancer Research and Treatment</t>
  </si>
  <si>
    <t>https://www.scopus.com/inward/record.uri?eid=2-s2.0-84868213235&amp;doi=10.1007%2fs10549-012-2225-z&amp;partnerID=40&amp;md5=168ca146be2ecb443d3b88c37864f95f</t>
  </si>
  <si>
    <t>A Minimally Invasive Approach for Inguinal Lymphadenectomy in Melanoma and Genitourinary Malignancy: Long-Term Outcomes in an Attempted Randomized Control Trial</t>
  </si>
  <si>
    <t>https://www.scopus.com/inward/record.uri?eid=2-s2.0-85026775836&amp;doi=10.1245%2fs10434-017-5971-7&amp;partnerID=40&amp;md5=c8822b76861709814bf98001666546c6</t>
  </si>
  <si>
    <t>Prospective Comparison and Quality of Life for Single-Incision and Conventional Laparoscopic Sleeve Gastrectomy in a Series of Morbidly Obese Patients</t>
  </si>
  <si>
    <t>https://www.scopus.com/inward/record.uri?eid=2-s2.0-84989204612&amp;doi=10.1007%2fs11695-016-2338-2&amp;partnerID=40&amp;md5=2ff0321b467944c3ce3803d2056e945d</t>
  </si>
  <si>
    <t>The CanMoRe trial - Evaluating the effects of an exercise intervention after robotic-assisted radical cystectomy for urinary bladder cancer: The study protocol of a randomised controlled trial</t>
  </si>
  <si>
    <t>https://www.scopus.com/inward/record.uri?eid=2-s2.0-85089926672&amp;doi=10.1186%2fs12885-020-07140-5&amp;partnerID=40&amp;md5=14771671a72c7ab51bf09751e4ab3750</t>
  </si>
  <si>
    <t>Is a Drain Needed after Robotic Radical Prostatectomy with or without Pelvic Lymph Node Dissection? Results of a Single-Center Randomized Clinical Trial</t>
  </si>
  <si>
    <t>https://www.scopus.com/inward/record.uri?eid=2-s2.0-85074688349&amp;doi=10.1089%2fend.2018.0176&amp;partnerID=40&amp;md5=27e7a4fd0e3a32a5fc25ba623b5db91c</t>
  </si>
  <si>
    <t>Mesh Versus Patch Repair for Epigastric and Umbilical Hernia (MORPHEUS Trial); One-Year Results of a Randomized Controlled Trial</t>
  </si>
  <si>
    <t>https://www.scopus.com/inward/record.uri?eid=2-s2.0-85031404320&amp;doi=10.1007%2fs00268-017-4297-8&amp;partnerID=40&amp;md5=05ba1dccf0e3240866519c74f30000db</t>
  </si>
  <si>
    <t>Laparoscopic ileocaecal resection versus infliximab for terminal ileitis in Crohn's disease: a randomised controlled, open-label, multicentre trial</t>
  </si>
  <si>
    <t>https://www.scopus.com/inward/record.uri?eid=2-s2.0-85032295871&amp;doi=10.1016%2fS2468-1253%2817%2930248-0&amp;partnerID=40&amp;md5=8af1a2d2c23f9f5e6dd5e77f7bef5d5d</t>
  </si>
  <si>
    <t>Symptom relief and anejaculation after aquablation or transurethral resection of the prostate: subgroup analysis from a blinded randomized trial</t>
  </si>
  <si>
    <t>https://www.scopus.com/inward/record.uri?eid=2-s2.0-85051019100&amp;doi=10.1111%2fbju.14426&amp;partnerID=40&amp;md5=38ecf966449a9b28e3b70ad8fbd65b1a</t>
  </si>
  <si>
    <t>Perioperative immunonutrition in patients undergoing liver transplantation: A randomized double-blind trial</t>
  </si>
  <si>
    <t>Hepatology</t>
  </si>
  <si>
    <t>https://www.scopus.com/inward/record.uri?eid=2-s2.0-84921460696&amp;doi=10.1002%2fhep.27433&amp;partnerID=40&amp;md5=82675ef3d0bd6482e0a81f6754b9ad7a</t>
  </si>
  <si>
    <t>Extended Versus Standard Complete Mesocolon Excision in Sigmoid Colon Cancer: A Multicenter Randomized Controlled Trial</t>
  </si>
  <si>
    <t>https://www.scopus.com/inward/record.uri?eid=2-s2.0-85118582443&amp;doi=10.1097%2fSLA.0000000000005161&amp;partnerID=40&amp;md5=c2fb81b40ad4dd6f9116c9cd3a767af1</t>
  </si>
  <si>
    <t>Randomized clinical trial comparing side to end vs end to end techniques for colorectal anastomosis</t>
  </si>
  <si>
    <t>https://www.scopus.com/inward/record.uri?eid=2-s2.0-85092457959&amp;doi=10.1016%2fj.ijsu.2020.09.039&amp;partnerID=40&amp;md5=ffbf89c0195cd3ff840565246f2a7e55</t>
  </si>
  <si>
    <t>The Role of Ursodeoxycholic Acid (UDCA) in Cholelithiasis Management After One Anastomosis Gastric Bypass (OAGB) for Morbid Obesity: Results of a Monocentric Randomized Controlled Trial</t>
  </si>
  <si>
    <t>https://www.scopus.com/inward/record.uri?eid=2-s2.0-85086877429&amp;doi=10.1007%2fs11695-020-04801-z&amp;partnerID=40&amp;md5=0e5b9b55bfbf354600ca5d75c3e48688</t>
  </si>
  <si>
    <t>Does antrum size matter in sleeve gastrectomy? A prospective randomized study</t>
  </si>
  <si>
    <t>https://www.scopus.com/inward/record.uri?eid=2-s2.0-85088251014&amp;doi=10.1007%2fs00464-020-07811-1&amp;partnerID=40&amp;md5=ca30d18ad08bc60e25410018deccf474</t>
  </si>
  <si>
    <t>Is absorbable mesh useful in preventing parastomal hernia after emergency surgery? The PARTHENOPE study</t>
  </si>
  <si>
    <t>Hernia</t>
  </si>
  <si>
    <t>https://www.scopus.com/inward/record.uri?eid=2-s2.0-85125041056&amp;doi=10.1007%2fs10029-022-02579-w&amp;partnerID=40&amp;md5=ff502414b7b01dbcb0a03118d167a9d2</t>
  </si>
  <si>
    <t>Safety and efficacy of prophylactic resorbable biosynthetic mesh following midline laparotomy in clean/contemned field: preliminary results of a randomized double blind prospective trial</t>
  </si>
  <si>
    <t>https://www.scopus.com/inward/record.uri?eid=2-s2.0-85070830190&amp;doi=10.1007%2fs10029-019-02025-4&amp;partnerID=40&amp;md5=a3fa0d39cf14055bbe131cf50751e6a3</t>
  </si>
  <si>
    <t>Analgesia for major laparoscopic abdominal surgery: a randomised feasibility trial using intrathecal morphine</t>
  </si>
  <si>
    <t>Anaesthesia</t>
  </si>
  <si>
    <t>https://www.scopus.com/inward/record.uri?eid=2-s2.0-85122780248&amp;doi=10.1111%2fanae.15651&amp;partnerID=40&amp;md5=208814b4ac5c3b0c8a04b2fdfca2290d</t>
  </si>
  <si>
    <t>Implementation of the ERAS (Enhanced Recovery After Surgery) protocol for hysterectomy in the Piedmont Region with an audit&amp;feedback approach: Study protocol for a stepped wedge cluster randomized controlled trial. A study of the EASY-NET project</t>
  </si>
  <si>
    <t>5 May</t>
  </si>
  <si>
    <t>https://www.scopus.com/inward/record.uri?eid=2-s2.0-85130869197&amp;doi=10.1371%2fjournal.pone.0268655&amp;partnerID=40&amp;md5=798a3b19a354b2fdffbaa1eb275bfba6</t>
  </si>
  <si>
    <t>Phase II/III multicentre randomised controlled trial evaluating a strategy of primary surgery and adjuvant chemotherapy versus peri-operative chemotherapy for resectable gastric signet ring cell adenocarcinomas - PRODIGE 19 - FFCD1103 - ADCI002</t>
  </si>
  <si>
    <t>https://www.scopus.com/inward/record.uri?eid=2-s2.0-84879563734&amp;doi=10.1186%2f1471-2407-13-281&amp;partnerID=40&amp;md5=4631731165423baa510443ab18199894</t>
  </si>
  <si>
    <t>Open urethroplasty versus endoscopic urethrotomy for recurrent urethral stricture in men: The open rct</t>
  </si>
  <si>
    <t>https://www.scopus.com/inward/record.uri?eid=2-s2.0-85096734691&amp;doi=10.3310%2fhta24610&amp;partnerID=40&amp;md5=3677d5a966b2fdd1e9a9e309da83c1e8</t>
  </si>
  <si>
    <t>A prospective, randomized, controlled trial comparing intermittent portal triad clamping versus ischemic preconditioning with continuous clamping for major liver resection</t>
  </si>
  <si>
    <t>https://www.scopus.com/inward/record.uri?eid=2-s2.0-33751351636&amp;doi=10.1097%2f01.sla.0000246834.07130.5d&amp;partnerID=40&amp;md5=b6288880cee9cf9b3605049aef58eee0</t>
  </si>
  <si>
    <t>Effects of pentoxifylline on liver regeneration: A double-blinded, randomized, controlled trial in 101 patients undergoing major liver resection</t>
  </si>
  <si>
    <t>https://www.scopus.com/inward/record.uri?eid=2-s2.0-77955684027&amp;doi=10.1097%2fSLA.0b013e3181fcbc5e&amp;partnerID=40&amp;md5=88289668d57241a4d1838271d2493123</t>
  </si>
  <si>
    <t>Perioperative lipid-enriched enteral nutrition versus standard care in patients undergoing elective colorectal surgery (SANICS II): a multicentre, double-blind, randomised controlled trial</t>
  </si>
  <si>
    <t>https://www.scopus.com/inward/record.uri?eid=2-s2.0-85042869497&amp;doi=10.1016%2fS2468-1253%2818%2930031-1&amp;partnerID=40&amp;md5=1fae8bed3439271b2d5e7dc1b5622146</t>
  </si>
  <si>
    <t>Early results of the swiss multicentre bypass or sleeve study (SM-BOSS): A prospective randomized trial comparing laparoscopic sleeve gastrectomy and Roux-en-Y gastric bypass</t>
  </si>
  <si>
    <t>https://www.scopus.com/inward/record.uri?eid=2-s2.0-84886098688&amp;doi=10.1097%2fSLA.0b013e3182a67426&amp;partnerID=40&amp;md5=2d62ff9147b7e396c41662650cb0a842</t>
  </si>
  <si>
    <t>External pancreatic duct stent decreases pancreatic fistula rate after pancreaticoduodenectomy: Prospective multicenter randomized trial</t>
  </si>
  <si>
    <t>https://www.scopus.com/inward/record.uri?eid=2-s2.0-79954628519&amp;doi=10.1097%2fSLA.0b013e31821219af&amp;partnerID=40&amp;md5=6ac23ebda305c1f5d57b28fe2aa8b5d8</t>
  </si>
  <si>
    <t>Randomized clinical trial evaluating the need for routine nasogastric decompression after elective hepatic resection</t>
  </si>
  <si>
    <t>https://www.scopus.com/inward/record.uri?eid=2-s2.0-33947252971&amp;doi=10.1002%2fbjs.5728&amp;partnerID=40&amp;md5=761ec7f300d3c770dc47ada67ff346db</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</si>
  <si>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</si>
  <si>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</si>
  <si>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The effects of volume-controlled ventilation versus pressure-controlled ventilation on hemodynamic and respiratory parameters in patients undergoing lumbar spine fusion surgery: A randomized controlled trial</t>
  </si>
  <si>
    <t>Annals of Palliative Medicine</t>
  </si>
  <si>
    <t>https://www.scopus.com/inward/record.uri?eid=2-s2.0-85115845303&amp;doi=10.21037%2fapm-21-1932&amp;partnerID=40&amp;md5=e0562cf3c327a98aafd885d9301e2c6b</t>
  </si>
  <si>
    <t>Hemihepatic versus total hepatic inflow occlusion for laparoscopic hepatectomy: A randomized controlled trial</t>
  </si>
  <si>
    <t>https://www.scopus.com/inward/record.uri?eid=2-s2.0-85140268281&amp;doi=10.1016%2fj.ijsu.2022.106961&amp;partnerID=40&amp;md5=fd9ac491682d98058379522bc4596d15</t>
  </si>
  <si>
    <t>Photoselective Vaporization of the Prostate vs Plasmakinetic Resection of the Prostate: A Randomized Prospective Trial with 12-Month Follow-up in Mainland China</t>
  </si>
  <si>
    <t>https://www.scopus.com/inward/record.uri?eid=2-s2.0-84959263774&amp;doi=10.1016%2fj.urology.2014.08.038&amp;partnerID=40&amp;md5=7f4bcf2ccc45fc565e93f8648aaeb1bf</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</si>
  <si>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</si>
  <si>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</si>
  <si>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Protocol for extended antibiotic therapy after laparoscopic cholecystectomy for acute calculous cholecystitis (Cholecystectomy Antibiotic Randomised Trial, CHART)</t>
  </si>
  <si>
    <t>https://www.scopus.com/inward/record.uri?eid=2-s2.0-85017045630&amp;doi=10.1136%2fBMJOPEN-2015-009502&amp;partnerID=40&amp;md5=54c250c28e45bc34825dc86a09adfb3f</t>
  </si>
  <si>
    <t>Impact of early haemodynamic goal-directed therapy in patients undergoing emergency surgery: an open prospective, randomised trial</t>
  </si>
  <si>
    <t>Journal of Clinical Monitoring and Computing</t>
  </si>
  <si>
    <t>https://www.scopus.com/inward/record.uri?eid=2-s2.0-84957839631&amp;doi=10.1007%2fs10877-015-9691-x&amp;partnerID=40&amp;md5=e1ca3ceb15d41008c95ba1a0d9c291a8</t>
  </si>
  <si>
    <t>The ALLEGRO trial: a placebo controlled randomised trial of intravenous lidocaine in accelerating gastrointestinal recovery after colorectal surgery</t>
  </si>
  <si>
    <t>https://www.scopus.com/inward/record.uri?eid=2-s2.0-85123875708&amp;doi=10.1186%2fs13063-022-06021-5&amp;partnerID=40&amp;md5=fe6456b292c61628c4181fce2ef65de4</t>
  </si>
  <si>
    <t>Prospective randomized study of radiofrequency versus ultrasound scalpels on functional outcomes of laparoscopic radical prostatectomy</t>
  </si>
  <si>
    <t>https://www.scopus.com/inward/record.uri?eid=2-s2.0-84882934477&amp;doi=10.1089%2fend.2013.0033&amp;partnerID=40&amp;md5=b1d5a38c85fae59ed14e5409297dbab7</t>
  </si>
  <si>
    <t>Pulmonary recruitment maneuver reduces pain after laparoscopic bariatric surgery: a randomized controlled clinical trial</t>
  </si>
  <si>
    <t>Surgery for Obesity and Related Diseases</t>
  </si>
  <si>
    <t>https://www.scopus.com/inward/record.uri?eid=2-s2.0-85042311842&amp;doi=10.1016%2fj.soard.2017.11.017&amp;partnerID=40&amp;md5=400655c24ecd6db98a08fadf94aa023b</t>
  </si>
  <si>
    <t>Single-incision laparoscopic cholecystectomy versus traditional laparoscopic cholecystectomy performed by a single surgeon: findings of a randomized trial</t>
  </si>
  <si>
    <t>https://www.scopus.com/inward/record.uri?eid=2-s2.0-84957426942&amp;doi=10.1007%2fs00595-015-1182-7&amp;partnerID=40&amp;md5=adf6eb81c5a131f2dd5c540ef2f52d76</t>
  </si>
  <si>
    <t>Prospective randomized controlled trial of conventional laparoscopic versus laparoendoscopic single-site radical nephrectomy for localized renal cell carcinoma: a preliminary report regarding quality of life</t>
  </si>
  <si>
    <t>https://www.scopus.com/inward/record.uri?eid=2-s2.0-84939873216&amp;doi=10.1007%2fs00345-014-1322-5&amp;partnerID=40&amp;md5=15c0dfb38bcbea758c73b106fb185c97</t>
  </si>
  <si>
    <t>Effect of flowable thrombin-containing collagen-based hemostatic matrix for preventing pancreatic fistula after pancreatectomy: A randomized clinical trial</t>
  </si>
  <si>
    <t>https://www.scopus.com/inward/record.uri?eid=2-s2.0-85114281770&amp;doi=10.3390%2fjcm9103085&amp;partnerID=40&amp;md5=e6f76658c22a5991a493321117ca0d78</t>
  </si>
  <si>
    <t>Impact of non-muscle cutting periumbilical transverse incision on the risk of incisional hernia as compared to midline incision during laparoscopic colon cancer surgery: a study protocol for a multi-centre randomised controlled trial</t>
  </si>
  <si>
    <t>https://www.scopus.com/inward/record.uri?eid=2-s2.0-85149153370&amp;doi=10.1186%2fs13063-023-07162-x&amp;partnerID=40&amp;md5=3a25ca136939e81408f0ff6bcf5e2c72</t>
  </si>
  <si>
    <t>Standard follow-up after curative surgery for advanced gastric cancer: secondary analysis of a multicentre randomized clinical trial (KLASS-02)</t>
  </si>
  <si>
    <t>https://www.scopus.com/inward/record.uri?eid=2-s2.0-85151573985&amp;doi=10.1093%2fbjs%2fznad002&amp;partnerID=40&amp;md5=ad89ef3b26b340abd82783d4fd740f49</t>
  </si>
  <si>
    <t>Impact of the Deep Neuromuscular Block on Oncologic Quality of Laparoscopic Surgery in Obese Gastric Cancer Patients: A Randomized Clinical Trial</t>
  </si>
  <si>
    <t>https://www.scopus.com/inward/record.uri?eid=2-s2.0-85125548027&amp;doi=10.1097%2fXCS.0000000000000061&amp;partnerID=40&amp;md5=787638e6366878e7e7e7c0de9bbc5c08</t>
  </si>
  <si>
    <t>Assessment of laparoscopic stomach preserving surgery with sentinel basin dissection versus standard gastrectomy with lymphadenectomy in early gastric cancer-A multicenter randomized phase III clinical trial (SENORITA trial) protocol</t>
  </si>
  <si>
    <t>https://www.scopus.com/inward/record.uri?eid=2-s2.0-84971577829&amp;doi=10.1186%2fs12885-016-2336-8&amp;partnerID=40&amp;md5=163fbcd2ab9a026c41114f9aea45009b</t>
  </si>
  <si>
    <t>A prospective randomized controlled trial evaluating the safety and efficacy of patient blood management program in patients with gynecologic cancer (KGOG 4011/PBM)</t>
  </si>
  <si>
    <t>https://www.scopus.com/inward/record.uri?eid=2-s2.0-85159231062&amp;doi=10.1136%2fijgc-2023-004403&amp;partnerID=40&amp;md5=1296ddc983a7798c48366494d976bf25</t>
  </si>
  <si>
    <t>Comparison of Laparoscopic Versus Robot-Assisted Surgery for Rectal Cancers: The COLRAR Randomized Controlled Trial</t>
  </si>
  <si>
    <t>https://www.scopus.com/inward/record.uri?eid=2-s2.0-85162809971&amp;doi=10.1097%2fSLA.0000000000005788&amp;partnerID=40&amp;md5=87a9d849c2d651042c6775377d8aefce</t>
  </si>
  <si>
    <t>Use of TachoSil® patches to prevent pancreatic leaks after distal pancreatectomy: A prospective, multicenter, randomized controlled study</t>
  </si>
  <si>
    <t>https://www.scopus.com/inward/record.uri?eid=2-s2.0-84957678051&amp;doi=10.1002%2fjhbp.310&amp;partnerID=40&amp;md5=5fdc99668f9dfbc4bdada01185269451</t>
  </si>
  <si>
    <t>Randomized clinical trial of robot-assisted versus standard laparoscopic right colectomy</t>
  </si>
  <si>
    <t>https://www.scopus.com/inward/record.uri?eid=2-s2.0-84864655862&amp;doi=10.1002%2fbjs.8841&amp;partnerID=40&amp;md5=a14555553d843dee6fdac7db187d2b3b</t>
  </si>
  <si>
    <t>Comparison of the effects of intravenous propofol and inhalational desflurane on the quality of early recovery after hand-assisted laparoscopic donor nephrectomy: A prospective, randomised controlled trial</t>
  </si>
  <si>
    <t>https://www.scopus.com/inward/record.uri?eid=2-s2.0-85097868723&amp;doi=10.1136%2fbmjopen-2020-039881&amp;partnerID=40&amp;md5=5c6721b8bdd7a8b13abb88616e03cedd</t>
  </si>
  <si>
    <t>Randomized clinical trial of antibiotic therapy for uncomplicated appendicitis</t>
  </si>
  <si>
    <t>https://www.scopus.com/inward/record.uri?eid=2-s2.0-85030026635&amp;doi=10.1002%2fbjs.10660&amp;partnerID=40&amp;md5=abf67c598a28ebc379a686f5bb8fb948</t>
  </si>
  <si>
    <t>The role of primary tumor resection in colorectal cancer patients with asymptomatic, synchronous, unresectable metastasis: A multicenter randomized controlled trial</t>
  </si>
  <si>
    <t>https://www.scopus.com/inward/record.uri?eid=2-s2.0-85090259541&amp;doi=10.3390%2fcancers12082306&amp;partnerID=40&amp;md5=c3310cf7100c35215717661cb0945499</t>
  </si>
  <si>
    <t>Short-Term outcomes of a multicentre randomized clinical trial comparing laparoscopic pylorus-preserving gastrectomy with laparoscopic distal gastrectomy for gastric cancer (the KLASS-04 trial)</t>
  </si>
  <si>
    <t>https://www.scopus.com/inward/record.uri?eid=2-s2.0-85117739664&amp;doi=10.1093%2fbjs%2fznab295&amp;partnerID=40&amp;md5=b8266ecd7bf7712f03992ad6246c5dd6</t>
  </si>
  <si>
    <t>Perioperative outcomes and oncologic efficacy from a pilot prospective randomized clinical trial of open versus robotic assisted radical cystectomy</t>
  </si>
  <si>
    <t>https://www.scopus.com/inward/record.uri?eid=2-s2.0-84872160817&amp;doi=10.1016%2fj.juro.2012.09.077&amp;partnerID=40&amp;md5=2e8639dc0214c18acdba6f5af2581186</t>
  </si>
  <si>
    <t>Laparoscopy compared with laparoscopically guided minilaparotomy for large adnexal masses: A randomized controlled trial</t>
  </si>
  <si>
    <t>2 I</t>
  </si>
  <si>
    <t>https://www.scopus.com/inward/record.uri?eid=2-s2.0-34548429747&amp;doi=10.1097%2f01.AOG.0000275265.99653.64&amp;partnerID=40&amp;md5=1358707eb77ed7c9df3621f28a2942ad</t>
  </si>
  <si>
    <t>CD in methods zitiert, in results nicht angegeben</t>
  </si>
  <si>
    <t>One-layer versus two-layer duct-to-mucosa pancreaticojejunostomy after pancreaticoduodenectomy: Study protocol for a randomized controlled trial</t>
  </si>
  <si>
    <t>https://www.scopus.com/inward/record.uri?eid=2-s2.0-84982104074&amp;doi=10.1186%2fs13063-016-1517-8&amp;partnerID=40&amp;md5=91c043a0f69701bdeba725f9a0309a0b</t>
  </si>
  <si>
    <t>Antegrade arterial and portal flushing versus portal flushing only for right lobe live donor liver transplantation - A randomized control trial</t>
  </si>
  <si>
    <t>Transplantation</t>
  </si>
  <si>
    <t>https://www.scopus.com/inward/record.uri?eid=2-s2.0-85044784749&amp;doi=10.1097%2fTP.0000000000002088&amp;partnerID=40&amp;md5=ee50d5234eb0ad6b264df075350c0e8f</t>
  </si>
  <si>
    <t>A randomized controlled trial comparing three vaginal kits of single-incision mini-slings for stress urinary incontinence: Surgical data</t>
  </si>
  <si>
    <t>https://www.scopus.com/inward/record.uri?eid=2-s2.0-84862174571&amp;doi=10.1016%2fj.ejogrb.2012.03.038&amp;partnerID=40&amp;md5=5e48bd1220e64828a7408d36febc4036</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</si>
  <si>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</si>
  <si>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</si>
  <si>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Randomized clinical trial of laparoscopic versus open pancreatoduodenectomy for periampullary tumours</t>
  </si>
  <si>
    <t>https://www.scopus.com/inward/record.uri?eid=2-s2.0-85029351909&amp;doi=10.1002%2fbjs.10662&amp;partnerID=40&amp;md5=232dd13d648c7631b5946cb61b156326</t>
  </si>
  <si>
    <t>The efficacy of preoperative low-residue diet on postoperative ileus following cesarean section</t>
  </si>
  <si>
    <t>Journal of Maternal-Fetal and Neonatal Medicine</t>
  </si>
  <si>
    <t>https://www.scopus.com/inward/record.uri?eid=2-s2.0-85153295207&amp;doi=10.1080%2f14767058.2023.2203795&amp;partnerID=40&amp;md5=a6e9a3ad005680b434ad044b537ae673</t>
  </si>
  <si>
    <t>Bariatric surgery in the elderly: a randomized prospective study comparing safety of sleeve gastrectomy and Roux-en-Y gastric bypass (BASE Trial)</t>
  </si>
  <si>
    <t>https://www.scopus.com/inward/record.uri?eid=2-s2.0-85088867282&amp;doi=10.1016%2fj.soard.2020.05.030&amp;partnerID=40&amp;md5=a25417c9e756a11f4b8d2c2f281fc58b</t>
  </si>
  <si>
    <t>Morbidity in open versus minimally invasive hybrid esophagectomy (MIOMIE): Long-term results of a randomized controlled clinical study</t>
  </si>
  <si>
    <t>European Surgery - Acta Chirurgica Austriaca</t>
  </si>
  <si>
    <t>https://www.scopus.com/inward/record.uri?eid=2-s2.0-85051842788&amp;doi=10.1007%2fs10353-018-0552-y&amp;partnerID=40&amp;md5=b4a7e19199621bcb024f6a387628e77c</t>
  </si>
  <si>
    <t>Donor Simvastatin Treatment Is Safe and Might Improve Outcomes After Liver Transplantation: A Randomized Clinical Trial</t>
  </si>
  <si>
    <t>https://www.scopus.com/inward/record.uri?eid=2-s2.0-85136069994&amp;doi=10.1097%2fTP.0000000000004220&amp;partnerID=40&amp;md5=7ceb038b237193631d945556b19e3c52</t>
  </si>
  <si>
    <t>Prophylactic surgery plus hyperthermic intraperitoneal chemotherapy (HIPEC CO2) versus standard surgery in colorectal carcinoma at high risk of peritoneal carcinomatosis: short-term and long-term outcomes from the CHECK study - protocol for a randomised, multicentre, phase 3 trial</t>
  </si>
  <si>
    <t>https://www.scopus.com/inward/record.uri?eid=2-s2.0-85135292113&amp;doi=10.1136%2fbmjopen-2021-051324&amp;partnerID=40&amp;md5=952266cf110356c43172a15794afb943</t>
  </si>
  <si>
    <t>Do anesthesia methods in retrograde intrarenal surgery make difference regarding the success of ureteral access and surgical outcomes?</t>
  </si>
  <si>
    <t>Journal of Laparoendoscopic and Advanced Surgical Techniques</t>
  </si>
  <si>
    <t>https://www.scopus.com/inward/record.uri?eid=2-s2.0-85081945604&amp;doi=10.1089%2flap.2019.0548&amp;partnerID=40&amp;md5=da86dc683c63ef7f0242fdac50a56f41</t>
  </si>
  <si>
    <t>Comparison of Safety and Efficiency of General, Spinal and Epidural Anesthesia Methods Used for the Endoscopic Surgical Treatment of Ureteral Stones: Which One is Better To Access The Ureter and Reach The Stone?</t>
  </si>
  <si>
    <t>Urology Journal</t>
  </si>
  <si>
    <t>https://www.scopus.com/inward/record.uri?eid=2-s2.0-85085265934&amp;doi=10.22037%2fuj.v0i0.5638&amp;partnerID=40&amp;md5=0c7005068a01265484918498eef780f3</t>
  </si>
  <si>
    <t>Radical cystectomy (bladder removal) against intravesical BCG immunotherapy for high-risk non-muscle invasive bladder cancer (BRAVO): A protocol for a randomised controlled feasibility study</t>
  </si>
  <si>
    <t>https://www.scopus.com/inward/record.uri?eid=2-s2.0-85027404930&amp;doi=10.1136%2fbmjopen-2017-017913&amp;partnerID=40&amp;md5=1251067e2719ab813800f2565bfbfe69</t>
  </si>
  <si>
    <t>Fasting before living-kidney donation: effect on donor well-being and postoperative recovery: study protocol of a multicenter randomized controlled trial</t>
  </si>
  <si>
    <t>https://www.scopus.com/inward/record.uri?eid=2-s2.0-85122675298&amp;doi=10.1186%2fs13063-021-05950-x&amp;partnerID=40&amp;md5=5acd3077a2d9d057137f6352fa67b3a3</t>
  </si>
  <si>
    <t>Fasting Intervention for Children With Unilateral Renal Tumors to Reduce Toxicity</t>
  </si>
  <si>
    <t>Frontiers in Pediatrics</t>
  </si>
  <si>
    <t>https://www.scopus.com/inward/record.uri?eid=2-s2.0-85124553418&amp;doi=10.3389%2ffped.2022.828615&amp;partnerID=40&amp;md5=6254c9fb0ad25f02c6e472ad45de257a</t>
  </si>
  <si>
    <t>Can we decrease the duration of basal thumb joint distraction for early osteoarthritis from 8 to 6 weeks? Study protocol for a non-inferiority randomized controlled trial</t>
  </si>
  <si>
    <t>https://www.scopus.com/inward/record.uri?eid=2-s2.0-85105243891&amp;doi=10.1186%2fs13063-021-05283-9&amp;partnerID=40&amp;md5=da977484d97d932309900bfcea84b84c</t>
  </si>
  <si>
    <t>Randomized Controlled Trial of Enhanced Recovery Program Dedicated to Elderly Patients after Colorectal Surgery</t>
  </si>
  <si>
    <t>https://www.scopus.com/inward/record.uri?eid=2-s2.0-85071345446&amp;doi=10.1097%2fDCR.0000000000001442&amp;partnerID=40&amp;md5=a327845c5fe8276c444b0c6da5e4bcff</t>
  </si>
  <si>
    <t>Stapleless vs Stapled Gastric Bypass vs Hypocaloric Diet: a Three-Arm Randomized Controlled Trial of Body Mass Evolution with Secondary Outcomes for Telomere Length and Metabolic Syndrome Changes</t>
  </si>
  <si>
    <t>https://www.scopus.com/inward/record.uri?eid=2-s2.0-85105455598&amp;doi=10.1007%2fs11695-021-05454-2&amp;partnerID=40&amp;md5=2f07c4dea68e6502f8a0cb2f676f48c1</t>
  </si>
  <si>
    <t>Non-placement versus placement of a drainage tube around the cervical anastomosis in McKeown esophagectomy: Study protocol for a randomized controlled trial</t>
  </si>
  <si>
    <t>https://www.scopus.com/inward/record.uri?eid=2-s2.0-85077067493&amp;doi=10.1186%2fs13063-019-3750-4&amp;partnerID=40&amp;md5=73d0a044e415a6ebb4d6fc822b97cc49</t>
  </si>
  <si>
    <t>A randomised trial comparing two protocols for transrectal prostate repeat biopsy: six lateral posterior plus six anterior cores versus a standard posterior 12-core biopsy</t>
  </si>
  <si>
    <t>https://www.scopus.com/inward/record.uri?eid=2-s2.0-85067653091&amp;doi=10.1080%2f21681805.2019.1628102&amp;partnerID=40&amp;md5=f4e4242e830dda9b39d4fa7d862702fe</t>
  </si>
  <si>
    <t>Impact of Perioperative Steroid Administration in Patients Undergoing Major Hepatectomy with Extrahepatic Bile Duct Resection: A Randomized Controlled Trial</t>
  </si>
  <si>
    <t>https://www.scopus.com/inward/record.uri?eid=2-s2.0-85086785975&amp;doi=10.1245%2fs10434-020-08745-7&amp;partnerID=40&amp;md5=5eab121c6a9d2db9e01c19a684698819</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</si>
  <si>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</si>
  <si>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</si>
  <si>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t>Miniature semi-rigid ureteroscopy with holmium-yttrium-aluminium-garnet laser vs shockwave lithotripsy in the management of upper urinary tract stones &gt;1 cm in children</t>
  </si>
  <si>
    <t>Arab Journal of Urology</t>
  </si>
  <si>
    <t>https://www.scopus.com/inward/record.uri?eid=2-s2.0-85082422117&amp;doi=10.1080%2f2090598X.2020.1738105&amp;partnerID=40&amp;md5=0a5e268c5db5dfa896514bf5a214cb29</t>
  </si>
  <si>
    <t>A randomized controlled trial of single-port versus multi-port laparoscopic distal gastrectomy for gastric cancer</t>
  </si>
  <si>
    <t>https://www.scopus.com/inward/record.uri?eid=2-s2.0-85090156218&amp;doi=10.1007%2fs00464-020-07955-0&amp;partnerID=40&amp;md5=35dc413baff1713a8f262804d42933fc</t>
  </si>
  <si>
    <t>Preoperative geriatric assessment and tailored interventions in frail older patients with colorectal cancer: a randomized controlled trial</t>
  </si>
  <si>
    <t>https://www.scopus.com/inward/record.uri?eid=2-s2.0-85040118888&amp;doi=10.1111%2fcodi.13785&amp;partnerID=40&amp;md5=ce827a81eecd7464d2f83a2fc554eaf0</t>
  </si>
  <si>
    <t>Which implant is better for treating reverse obliquity fractures of the proximal femur: A standard or long nail?</t>
  </si>
  <si>
    <t>https://www.scopus.com/inward/record.uri?eid=2-s2.0-84881662702&amp;doi=10.1007%2fs11999-013-2948-0&amp;partnerID=40&amp;md5=ef44ac8930f30e05a21a4d6b082e9750</t>
  </si>
  <si>
    <t>The Design of and Rationale for the Effect of Perioperative Inhaled Tiotropium for Patients with Chronic Obstructive Pulmonary Disease in Esophageal Cancer Surgery (EPITOPE): An Open-Label, Randomized, Parallel-Group Study</t>
  </si>
  <si>
    <t>European Surgical Research</t>
  </si>
  <si>
    <t>ISOlation Procedure vs. conventional procedure during Distal Pancreatectomy (ISOP-DP trial): study protocol for a randomized controlled trial</t>
  </si>
  <si>
    <t>https://www.scopus.com/inward/record.uri?eid=2-s2.0-85115093861&amp;doi=10.1186%2fs13063-021-05523-y&amp;partnerID=40&amp;md5=6a4d56fd8c6ec69e7d1703ad918dbf2f</t>
  </si>
  <si>
    <t>Evaluation of the efficacy of daikenchuto (TJ -100) for the prevention of paralytic ileus after pancreaticoduodenectomy: A multicenter, double-blind, randomized, placebo-controlled trial</t>
  </si>
  <si>
    <t>https://www.scopus.com/inward/record.uri?eid=2-s2.0-84952026873&amp;doi=10.1016%2fj.surg.2015.11.019&amp;partnerID=40&amp;md5=7879c4bdcc872c130e5064b96c94b14d</t>
  </si>
  <si>
    <t>l-Carnitine Improves Postoperative Liver Function in Hepatectomized Patients</t>
  </si>
  <si>
    <t>https://www.scopus.com/inward/record.uri?eid=2-s2.0-85074042779&amp;doi=10.1002%2fjpen.1720&amp;partnerID=40&amp;md5=243dd3b3a736692e95cd706ba912cf5b</t>
  </si>
  <si>
    <t>Short-term Outcomes of Robotic Gastrectomy vs Laparoscopic Gastrectomy for Patients with Gastric Cancer: A Randomized Clinical Trial</t>
  </si>
  <si>
    <t>https://www.scopus.com/inward/record.uri?eid=2-s2.0-85114481066&amp;doi=10.1001%2fjamasurg.2021.3182&amp;partnerID=40&amp;md5=98c56dec04fb3ee62ddfcba843fa3d79</t>
  </si>
  <si>
    <t>Postoperative atrial fibrillation does not impact on overall survival after esophagectomy in patients with thoracic esophageal cancer: Results from a randomized, double-blind, placebo-controlled trial</t>
  </si>
  <si>
    <t>Oncotarget</t>
  </si>
  <si>
    <t>https://www.scopus.com/inward/record.uri?eid=2-s2.0-85090631989&amp;doi=10.18632%2foncotarget.27643&amp;partnerID=40&amp;md5=46ce9f4f48802bd1e69cc1189cea9fcb</t>
  </si>
  <si>
    <t>Randomized clinical trial of landiolol hydrochloride for the prevention of atrial fibrillation and postoperative complications after oesophagectomy for cancer</t>
  </si>
  <si>
    <t>https://www.scopus.com/inward/record.uri?eid=2-s2.0-85018722184&amp;doi=10.1002%2fbjs.10548&amp;partnerID=40&amp;md5=66f89de40e2e2f19a3fa6fab7cc77639</t>
  </si>
  <si>
    <t>Randomized controlled trial on efficacy of oligomeric formula (HINE E-GEL®) versus polymeric formula (MEIN®) enteral nutrition after esophagectomy for esophageal cancer with gastric tube reconstruction</t>
  </si>
  <si>
    <t>Diseases of the Esophagus</t>
  </si>
  <si>
    <t>https://www.scopus.com/inward/record.uri?eid=2-s2.0-85066869614&amp;doi=10.1093%2fdote%2fdoy084&amp;partnerID=40&amp;md5=19b8f2ce4c97a7b0a3dc246440ef3478</t>
  </si>
  <si>
    <t>Ultrasonically Activated Shears Reduce Blood Loss without Increasing Inflammatory Reactions in Open Distal Gastrectomy for Cancer: A Randomized Controlled Study</t>
  </si>
  <si>
    <t>https://www.scopus.com/inward/record.uri?eid=2-s2.0-84986308295&amp;doi=10.1245%2fs10434-016-5518-3&amp;partnerID=40&amp;md5=17171ecad434b5c722a423fac889a2ac</t>
  </si>
  <si>
    <t>Forced-air prewarming prevents hypothermia during living donor liver transplantation: a randomized controlled trial</t>
  </si>
  <si>
    <t>https://www.scopus.com/inward/record.uri?eid=2-s2.0-85151901839&amp;doi=10.1038%2fs41598-022-23930-2&amp;partnerID=40&amp;md5=63ad0eaf175f3a222dda939f0a4b6d92</t>
  </si>
  <si>
    <t>Hughes abdominal closure versus standard mass closure to reduce incisional hernias following surgery for colorectal cancer: the HART RCT</t>
  </si>
  <si>
    <t>https://www.scopus.com/inward/record.uri?eid=2-s2.0-85135551961&amp;doi=10.3310%2fCMWC8368&amp;partnerID=40&amp;md5=a8652564dc10153c29b4097899bbd7e7</t>
  </si>
  <si>
    <t>added51</t>
  </si>
  <si>
    <t xml:space="preserve">Catto JWF, Gordon K, Collinson M, Poad H, Twiddy M, Johnson M, Jain S, Chahal R, Simms M, Dooldeniya M, Bell R, Koenig P, Conroy S, Goodwin L, Noon AP, Croft J, Brown JM; BRAVO study group. </t>
  </si>
  <si>
    <t>J Clin Oncol</t>
  </si>
  <si>
    <t>10.1200/JCO.20.01665</t>
  </si>
  <si>
    <r>
      <t>0=</t>
    </r>
    <r>
      <rPr>
        <b/>
        <sz val="12"/>
        <color theme="1"/>
        <rFont val="Calibri"/>
        <family val="2"/>
        <scheme val="minor"/>
      </rPr>
      <t>no use</t>
    </r>
    <r>
      <rPr>
        <sz val="12"/>
        <color theme="1"/>
        <rFont val="Calibri"/>
        <family val="2"/>
        <scheme val="minor"/>
      </rPr>
      <t xml:space="preserve"> (although mentioned in the methods, the CDC was not used in the results), 1=</t>
    </r>
    <r>
      <rPr>
        <b/>
        <sz val="12"/>
        <color theme="1"/>
        <rFont val="Calibri"/>
        <family val="2"/>
        <scheme val="minor"/>
      </rPr>
      <t>correctly used</t>
    </r>
    <r>
      <rPr>
        <sz val="12"/>
        <color theme="1"/>
        <rFont val="Calibri"/>
        <family val="2"/>
        <scheme val="minor"/>
      </rPr>
      <t xml:space="preserve"> (each complication level is listed separately) , 2=</t>
    </r>
    <r>
      <rPr>
        <b/>
        <sz val="12"/>
        <color theme="1"/>
        <rFont val="Calibri"/>
        <family val="2"/>
        <scheme val="minor"/>
      </rPr>
      <t>incorrectly used</t>
    </r>
    <r>
      <rPr>
        <sz val="12"/>
        <color theme="1"/>
        <rFont val="Calibri"/>
        <family val="2"/>
        <scheme val="minor"/>
      </rPr>
      <t xml:space="preserve"> (specify in the next column), NA=</t>
    </r>
    <r>
      <rPr>
        <b/>
        <sz val="12"/>
        <color theme="1"/>
        <rFont val="Calibri"/>
        <family val="2"/>
        <scheme val="minor"/>
      </rPr>
      <t>not applicable</t>
    </r>
    <r>
      <rPr>
        <sz val="12"/>
        <color theme="1"/>
        <rFont val="Calibri"/>
        <family val="2"/>
        <scheme val="minor"/>
      </rPr>
      <t xml:space="preserve"> because CD was not reported as 1st endpoint</t>
    </r>
  </si>
  <si>
    <r>
      <t>0=</t>
    </r>
    <r>
      <rPr>
        <b/>
        <sz val="12"/>
        <color theme="1"/>
        <rFont val="Calibri"/>
        <family val="2"/>
        <scheme val="minor"/>
      </rPr>
      <t>no use</t>
    </r>
    <r>
      <rPr>
        <sz val="12"/>
        <color theme="1"/>
        <rFont val="Calibri"/>
        <family val="2"/>
        <scheme val="minor"/>
      </rPr>
      <t xml:space="preserve"> (although mentioned in the methods, the CDC was not used in the results), 1=</t>
    </r>
    <r>
      <rPr>
        <b/>
        <sz val="12"/>
        <color theme="1"/>
        <rFont val="Calibri"/>
        <family val="2"/>
        <scheme val="minor"/>
      </rPr>
      <t>correctly used</t>
    </r>
    <r>
      <rPr>
        <sz val="12"/>
        <color theme="1"/>
        <rFont val="Calibri"/>
        <family val="2"/>
        <scheme val="minor"/>
      </rPr>
      <t xml:space="preserve"> (each complication level is listed separately) , 2=</t>
    </r>
    <r>
      <rPr>
        <b/>
        <sz val="12"/>
        <color theme="1"/>
        <rFont val="Calibri"/>
        <family val="2"/>
        <scheme val="minor"/>
      </rPr>
      <t>incorrectly used</t>
    </r>
    <r>
      <rPr>
        <sz val="12"/>
        <color theme="1"/>
        <rFont val="Calibri"/>
        <family val="2"/>
        <scheme val="minor"/>
      </rPr>
      <t xml:space="preserve"> (specify in the next column), NA=</t>
    </r>
    <r>
      <rPr>
        <b/>
        <sz val="12"/>
        <color theme="1"/>
        <rFont val="Calibri"/>
        <family val="2"/>
        <scheme val="minor"/>
      </rPr>
      <t>not applicable</t>
    </r>
    <r>
      <rPr>
        <sz val="12"/>
        <color theme="1"/>
        <rFont val="Calibri"/>
        <family val="2"/>
        <scheme val="minor"/>
      </rPr>
      <t xml:space="preserve"> because CD was not reported as 2nd endpoint</t>
    </r>
  </si>
  <si>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</si>
  <si>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</si>
  <si>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xml:space="preserve">0= </t>
    </r>
    <r>
      <rPr>
        <b/>
        <sz val="12"/>
        <color theme="1"/>
        <rFont val="Calibri"/>
        <family val="2"/>
        <scheme val="minor"/>
      </rPr>
      <t>no modification</t>
    </r>
    <r>
      <rPr>
        <sz val="12"/>
        <color theme="1"/>
        <rFont val="Calibri"/>
        <family val="2"/>
        <scheme val="minor"/>
      </rPr>
      <t xml:space="preserve"> (i.e. correctly used), 1=</t>
    </r>
    <r>
      <rPr>
        <b/>
        <sz val="12"/>
        <color theme="1"/>
        <rFont val="Calibri"/>
        <family val="2"/>
        <scheme val="minor"/>
      </rPr>
      <t>only severe complications</t>
    </r>
    <r>
      <rPr>
        <sz val="12"/>
        <color theme="1"/>
        <rFont val="Calibri"/>
        <family val="2"/>
        <scheme val="minor"/>
      </rPr>
      <t>, 2=</t>
    </r>
    <r>
      <rPr>
        <b/>
        <sz val="12"/>
        <color theme="1"/>
        <rFont val="Calibri"/>
        <family val="2"/>
        <scheme val="minor"/>
      </rPr>
      <t>minor/major</t>
    </r>
    <r>
      <rPr>
        <sz val="12"/>
        <color theme="1"/>
        <rFont val="Calibri"/>
        <family val="2"/>
        <scheme val="minor"/>
      </rPr>
      <t>, 3=incomplete, NA=</t>
    </r>
    <r>
      <rPr>
        <b/>
        <sz val="12"/>
        <color theme="1"/>
        <rFont val="Calibri"/>
        <family val="2"/>
        <scheme val="minor"/>
      </rPr>
      <t>not applicable</t>
    </r>
    <r>
      <rPr>
        <sz val="12"/>
        <color theme="1"/>
        <rFont val="Calibri"/>
        <family val="2"/>
        <scheme val="minor"/>
      </rPr>
      <t xml:space="preserve"> because CD was not reported as 2nd endpoint</t>
    </r>
  </si>
  <si>
    <r>
      <t xml:space="preserve">Pat Kollektiv 2x publiziert, in der ersten Publikation von 2017 </t>
    </r>
    <r>
      <rPr>
        <b/>
        <sz val="12"/>
        <color theme="1"/>
        <rFont val="Calibri"/>
        <family val="2"/>
        <scheme val="minor"/>
      </rPr>
      <t>kein</t>
    </r>
    <r>
      <rPr>
        <sz val="12"/>
        <color theme="1"/>
        <rFont val="Calibri"/>
        <family val="2"/>
        <scheme val="minor"/>
      </rPr>
      <t xml:space="preserve"> CD/CCI genutzt: Dalela D, Jeong W, Prasad MA, Sood A, Abdollah F, Diaz M, Karabon P, Sammon J, Jamil M, Baize B, Simone A, Menon M. A Pragmatic Randomized Controlled Trial Examining the Impact of the Retzius-sparing Approach on Early Urinary Continence Recovery After Robot-assisted Radical Prostatectomy. Eur Urol. 2017 Nov;72(5):677-685. doi: 10.1016/j.eururo.2017.04.029. Epub 2017 May 6. PMID: 28483330.</t>
    </r>
  </si>
  <si>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</si>
  <si>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 80</t>
  </si>
  <si>
    <t>13 Alternative medicine</t>
  </si>
  <si>
    <t>13 physiotherapy</t>
  </si>
  <si>
    <t>13 biomedicine</t>
  </si>
  <si>
    <t>13 neurobiology</t>
  </si>
  <si>
    <t>13 health care</t>
  </si>
  <si>
    <t>13 Reconstructive surgery</t>
  </si>
  <si>
    <t>13 cardiac surgery</t>
  </si>
  <si>
    <t>13 statistics</t>
  </si>
  <si>
    <t>13 Geriatrics</t>
  </si>
  <si>
    <t>Radical Cystectomy Against Intravesical BCG for High-Risk High-Grade Nonmuscle Invasive Bladder Cancer: Results From the Randomized Controlled BRAVO-Feasibility Study.</t>
  </si>
  <si>
    <t>incomplete 1st</t>
  </si>
  <si>
    <t>incomplete 2nd</t>
  </si>
  <si>
    <t>Korrekt 335</t>
  </si>
  <si>
    <t>only severe 120</t>
  </si>
  <si>
    <t>major minor 127</t>
  </si>
  <si>
    <t>Inkomplete 370</t>
  </si>
  <si>
    <t>New RCTs with CD</t>
  </si>
  <si>
    <t>New RCTs with CCI</t>
  </si>
  <si>
    <t>Total number of RCTs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</si>
  <si>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</si>
  <si>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</si>
  <si>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</si>
  <si>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</si>
  <si>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</si>
  <si>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</si>
  <si>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</si>
  <si>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</si>
  <si>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</si>
  <si>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</si>
  <si>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</si>
  <si>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</si>
  <si>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</si>
  <si>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</si>
  <si>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</si>
  <si>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</si>
  <si>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</si>
  <si>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</si>
  <si>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</si>
  <si>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</si>
  <si>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</si>
  <si>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</si>
  <si>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</si>
  <si>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</si>
  <si>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</si>
  <si>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</si>
  <si>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</si>
  <si>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</si>
  <si>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</si>
  <si>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</si>
  <si>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</si>
  <si>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</si>
  <si>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</si>
  <si>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</si>
  <si>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</si>
  <si>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</si>
  <si>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</si>
  <si>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</si>
  <si>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</si>
  <si>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</si>
  <si>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</si>
  <si>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</si>
  <si>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</si>
  <si>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</si>
  <si>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</si>
  <si>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</si>
  <si>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</si>
  <si>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</si>
  <si>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</si>
  <si>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</si>
  <si>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</si>
  <si>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</si>
  <si>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</si>
  <si>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</si>
  <si>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</si>
  <si>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</si>
  <si>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</si>
  <si>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</si>
  <si>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</si>
  <si>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</si>
  <si>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</si>
  <si>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</si>
  <si>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</si>
  <si>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</si>
  <si>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</si>
  <si>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</si>
  <si>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</si>
  <si>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</si>
  <si>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</si>
  <si>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</si>
  <si>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</si>
  <si>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</si>
  <si>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</si>
  <si>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</si>
  <si>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</si>
  <si>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</si>
  <si>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</si>
  <si>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</si>
  <si>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</si>
  <si>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</si>
  <si>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</si>
  <si>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</si>
  <si>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</si>
  <si>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</si>
  <si>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</si>
  <si>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</si>
  <si>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</si>
  <si>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</si>
  <si>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</si>
  <si>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</si>
  <si>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</si>
  <si>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</si>
  <si>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</si>
  <si>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</si>
  <si>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</si>
  <si>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</si>
  <si>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</si>
  <si>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</si>
  <si>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</si>
  <si>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</si>
  <si>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</si>
  <si>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</si>
  <si>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</si>
  <si>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</si>
  <si>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</si>
  <si>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</si>
  <si>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</si>
  <si>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</si>
  <si>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</si>
  <si>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</si>
  <si>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</si>
  <si>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</si>
  <si>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</si>
  <si>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</si>
  <si>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</si>
  <si>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</si>
  <si>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</si>
  <si>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</si>
  <si>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</si>
  <si>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</si>
  <si>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</si>
  <si>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</si>
  <si>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</si>
  <si>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</si>
  <si>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</si>
  <si>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</si>
  <si>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</si>
  <si>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</si>
  <si>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</si>
  <si>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</si>
  <si>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</si>
  <si>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</si>
  <si>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</si>
  <si>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</si>
  <si>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</si>
  <si>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</si>
  <si>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</si>
  <si>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</si>
  <si>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</si>
  <si>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</si>
  <si>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</si>
  <si>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</si>
  <si>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</si>
  <si>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</si>
  <si>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</si>
  <si>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</si>
  <si>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</si>
  <si>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</si>
  <si>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</si>
  <si>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</si>
  <si>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</si>
  <si>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</si>
  <si>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</si>
  <si>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</si>
  <si>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</si>
  <si>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</si>
  <si>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</si>
  <si>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</si>
  <si>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</si>
  <si>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</si>
  <si>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</si>
  <si>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</si>
  <si>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</si>
  <si>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</si>
  <si>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</si>
  <si>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</si>
  <si>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</si>
  <si>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</si>
  <si>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</si>
  <si>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</si>
  <si>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</si>
  <si>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</si>
  <si>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</si>
  <si>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</si>
  <si>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</si>
  <si>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</si>
  <si>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</si>
  <si>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</si>
  <si>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</si>
  <si>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</si>
  <si>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</si>
  <si>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</si>
  <si>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</si>
  <si>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</si>
  <si>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</si>
  <si>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</si>
  <si>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</si>
  <si>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</si>
  <si>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</si>
  <si>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</si>
  <si>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</si>
  <si>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</si>
  <si>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</si>
  <si>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</si>
  <si>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</si>
  <si>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</si>
  <si>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</si>
  <si>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</si>
  <si>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</si>
  <si>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</si>
  <si>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</si>
  <si>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</si>
  <si>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</si>
  <si>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</si>
  <si>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</si>
  <si>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</si>
  <si>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</si>
  <si>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</si>
  <si>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</si>
  <si>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</si>
  <si>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</si>
  <si>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</si>
  <si>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</si>
  <si>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</si>
  <si>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</si>
  <si>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</si>
  <si>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</si>
  <si>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</si>
  <si>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</si>
  <si>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</si>
  <si>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</si>
  <si>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</si>
  <si>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</si>
  <si>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</si>
  <si>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</si>
  <si>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</si>
  <si>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</si>
  <si>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</si>
  <si>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</si>
  <si>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</si>
  <si>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</si>
  <si>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</si>
  <si>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</si>
  <si>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</si>
  <si>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</si>
  <si>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</si>
  <si>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</si>
  <si>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</si>
  <si>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</si>
  <si>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</si>
  <si>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</si>
  <si>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</si>
  <si>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</si>
  <si>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</si>
  <si>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</si>
  <si>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</si>
  <si>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</si>
  <si>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</si>
  <si>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</si>
  <si>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</si>
  <si>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</si>
  <si>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</si>
  <si>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</si>
  <si>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</si>
  <si>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</si>
  <si>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0=no, 1=yes (to specify in the freetext)</t>
  </si>
  <si>
    <t>Statistically significant difference for CCI?</t>
  </si>
  <si>
    <t>Between Group Difference of CCI</t>
  </si>
  <si>
    <t>CCI-points</t>
  </si>
  <si>
    <t>Between Group Difference of CCI ≥12?</t>
  </si>
  <si>
    <t>Mean or median used</t>
  </si>
  <si>
    <t>mean=0, median=1</t>
  </si>
  <si>
    <t>NCT03963427</t>
  </si>
  <si>
    <t>duplicate</t>
  </si>
  <si>
    <t>NCT04162860</t>
  </si>
  <si>
    <t>U1111-1285-9594</t>
  </si>
  <si>
    <t>NCT04223401</t>
  </si>
  <si>
    <t>review. Includes 3 RCT, one of them uses CCI and is already in the list.</t>
  </si>
  <si>
    <t>21-002816-30</t>
  </si>
  <si>
    <t>ISRCTN27483786</t>
  </si>
  <si>
    <t>NCT04070898</t>
  </si>
  <si>
    <t>NCT03828565</t>
  </si>
  <si>
    <t>NCT05083247</t>
  </si>
  <si>
    <t>NCT04812054</t>
  </si>
  <si>
    <t>NCT03785743</t>
  </si>
  <si>
    <t>not available yet</t>
  </si>
  <si>
    <t>NCT05567094</t>
  </si>
  <si>
    <t>ChiCTR2100045052</t>
  </si>
  <si>
    <t>used median, but then mean difference?</t>
  </si>
  <si>
    <t xml:space="preserve">Journal of clinical anesthesia
</t>
  </si>
  <si>
    <t>ChiCTR2100045560</t>
  </si>
  <si>
    <t xml:space="preserve">European Journal of Cardio-Thoracic surger
</t>
  </si>
  <si>
    <t>hepatotol commun</t>
  </si>
  <si>
    <t>longterm results of study nr. 10627</t>
  </si>
  <si>
    <t>BMC Trials</t>
  </si>
  <si>
    <t>KCT0009260</t>
  </si>
  <si>
    <t xml:space="preserve">Journal of clinical oncology
</t>
  </si>
  <si>
    <t>I dont understand exactely, what they report.</t>
  </si>
  <si>
    <t>NCT05005117</t>
  </si>
  <si>
    <t>NCT04281667</t>
  </si>
  <si>
    <t>BMJ open</t>
  </si>
  <si>
    <t>NCT06140797</t>
  </si>
  <si>
    <t>NCT05180864</t>
  </si>
  <si>
    <t>American Journal of Clinical Nutrition</t>
  </si>
  <si>
    <t>NCT03901937</t>
  </si>
  <si>
    <t>Eur Spine Journal</t>
  </si>
  <si>
    <t>NCT05023850</t>
  </si>
  <si>
    <t>NCT06510088</t>
  </si>
  <si>
    <t>used mean and median. In initial protocol they defined co-primary EP</t>
  </si>
  <si>
    <t>ACTRN12621000530820</t>
  </si>
  <si>
    <t>DRKS00027531</t>
  </si>
  <si>
    <t xml:space="preserve">The Lancet Regional health
</t>
  </si>
  <si>
    <t>NCT04744389</t>
  </si>
  <si>
    <t>NCT04947748</t>
  </si>
  <si>
    <t>Protocol of published RCT, already included in this database (129)</t>
  </si>
  <si>
    <t>protocol of this study is Nr. 180</t>
  </si>
  <si>
    <t>NCT04247776</t>
  </si>
  <si>
    <t>CCI for all and for those suffering a complication</t>
  </si>
  <si>
    <t>I DONT UNDERSTAND MEAN AND MEDIAN DIFFERENCES IN TABLE 2</t>
  </si>
  <si>
    <t>Journal Geriatric oncology</t>
  </si>
  <si>
    <t>NCT06611462</t>
  </si>
  <si>
    <t>PLOS</t>
  </si>
  <si>
    <t>NCT04397783</t>
  </si>
  <si>
    <t xml:space="preserve">Lancet Gastroenterol. Hepatol
</t>
  </si>
  <si>
    <t>TCTR20201203005</t>
  </si>
  <si>
    <t>NCT00356213</t>
  </si>
  <si>
    <t>NCT05523960</t>
  </si>
  <si>
    <t>REF/2021/08/046152</t>
  </si>
  <si>
    <t>BMJ Open Respir Res</t>
  </si>
  <si>
    <t>NCT05955248</t>
  </si>
  <si>
    <t>NCT06802991</t>
  </si>
  <si>
    <t>NCT05392452</t>
  </si>
  <si>
    <t>Surgery</t>
  </si>
  <si>
    <t>TCTR20210527003</t>
  </si>
  <si>
    <t>Eu Urol Open Sci</t>
  </si>
  <si>
    <t>NCT06416319</t>
  </si>
  <si>
    <t>NCT06650085</t>
  </si>
  <si>
    <t>cohort study within a RCT</t>
  </si>
  <si>
    <t>NCT06630858</t>
  </si>
  <si>
    <t>NCT04057586</t>
  </si>
  <si>
    <t>CCI, CCI for patients with complications</t>
  </si>
  <si>
    <t>0 and 1</t>
  </si>
  <si>
    <t>rate of CCI&lt;40</t>
  </si>
  <si>
    <t>rate of severe complications defined as CCI&gt;20</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</si>
  <si>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</si>
  <si>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</si>
  <si>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DOI Protocol</t>
  </si>
  <si>
    <t>CCI 1st EP in Protocol?</t>
  </si>
  <si>
    <t>CCI in SS Calculation of Protocol</t>
  </si>
  <si>
    <t>Specification of SS Calculation</t>
  </si>
  <si>
    <t>Type of Study</t>
  </si>
  <si>
    <t>0=Superiority, 1= non-inferiority</t>
  </si>
  <si>
    <t>Definition of non-inf.margin</t>
  </si>
  <si>
    <t>sample size calculated based on main outcome = neurocognitive functions via difference in Qmci-TW test score for a median score of 5</t>
  </si>
  <si>
    <t>sample size calculated based on main outcome of original RCT = reduction of 65% (AST)–59% (ALT) is expected in the mean peak transaminase levels following machine perfusion treatment</t>
  </si>
  <si>
    <t>sample size calculated based on main outcome = rate of achieving normalization of serum hemoglobin levels 3 months after initiating iron supplementation as 70% in the experimental arm and 40% in the control arm</t>
  </si>
  <si>
    <t>sample size calculated not based on main outcome (no data) but secondary outcome = LOS</t>
  </si>
  <si>
    <t>sample size calculated based on main outcome = postop morbidity % reduction</t>
  </si>
  <si>
    <t>sample size calculated based on main outcome = CCI difference of 10pts</t>
  </si>
  <si>
    <t>sample size calculated based on main outcome = 3-y OS of 50% vs. 45% expected events (death) betweeen groups</t>
  </si>
  <si>
    <t>sample size calculated based on main outcome = incidence of postoperative complications reduction from 40% to 20%;despite difference CCI of 0, p &lt;0.001; CCI for patients with complications, PP: difference CCI of 3.2pts, p=0.011</t>
  </si>
  <si>
    <t xml:space="preserve">sample size calculated based on main outcome = difference in QoR-40 scores of 7.3 as a clinically important difference </t>
  </si>
  <si>
    <t>sample size calculated to determine adherence rate  based on adherence rate of 75%. Primary outcome = determine primary outcome of definitive trial within following: CCI, blood loss etc</t>
  </si>
  <si>
    <t>sample size calculated based on main outcome =  1-day reduction in GI-2</t>
  </si>
  <si>
    <t>sample size calculated based on main outcome = QoL within 90 days after surgery with mean difference of 13%</t>
  </si>
  <si>
    <t>no sample size calculation (feasibility and safety study); also no mention of exact primary and secondary outcomes, hence the "na" for significativity of primary outcome column</t>
  </si>
  <si>
    <t>sample size calculated based on main outcome = CCI difference of 30%</t>
  </si>
  <si>
    <t>sample size calculated based on main outcome = LOS difference 2 days; also CCI in mean difference of 0.1 (p&gt;.05), whereas CCI in median difference of 8.7 (p&lt;.05)</t>
  </si>
  <si>
    <t>sample size calculated based on both main outcome and one other outcome = CDC grade difference with SD of 1.32 + effect on 6-min walk test</t>
  </si>
  <si>
    <t>sample size calculated based on main outcome = postop complication rate decreased from 20% to 10%</t>
  </si>
  <si>
    <t xml:space="preserve">sample size calculated based on main outcome = reduction from 50% to 20% of rates of parastomal hernia (PH) at 2 years </t>
  </si>
  <si>
    <t>sample size calculated based on main outcome = periop RBC transfusion incidence decrease of 10%</t>
  </si>
  <si>
    <t>sample size calculated based on main outcome = introp blood loss reduction of 30%</t>
  </si>
  <si>
    <t>sample size calculated based on main outcome = EBMIL for a minimal detectable difference of 10% in excessive BMI loss</t>
  </si>
  <si>
    <t>sample size calculated based on main outcome =major complications rate (with CDC≥II) difference of 10%</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</si>
  <si>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</si>
  <si>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sample size calculated based on main outcome = % of patients with postop complications in high risk patients for major abdominal surgery, difference of 20%</t>
  </si>
  <si>
    <t>sample size calculated based on main outcome =meaningful difference of 21 m (SD±33) in the 6MinWalkTest in those at nutritional risk (PG-SGA score&gt;2), between multimodal intervention and placebo-control groups</t>
  </si>
  <si>
    <t>sample size calculated based on main outcome = QoR difference of 10 pts</t>
  </si>
  <si>
    <t>sample size calculated based on main outcome = % time glucose concentration in target, difference of 20%</t>
  </si>
  <si>
    <t>terminated before sample size because primary outcome (posthepatectomy failure grade B and C) +++ significant. No mention mean or median (only written "X(min-max)")</t>
  </si>
  <si>
    <t>sample size calculated based on main outcome=increase in the average number of steps per day with difference of 25% (approx 1'000 steps)</t>
  </si>
  <si>
    <t>sample size calculated based on main outcome = CCI difference of 5pts</t>
  </si>
  <si>
    <t>sample size calculated based on main outcomes = difference in effect size of 0.5 (complication, readmission, symptom, QoL scores)</t>
  </si>
  <si>
    <t>no detail on sample size calculation</t>
  </si>
  <si>
    <t>sample size calculated based on main outcome = % of patients with postop complications (based on historical RCT)</t>
  </si>
  <si>
    <t>sample size calculated based on main outcome = time to transplant</t>
  </si>
  <si>
    <t>sample size calculated based on main outcome = CCI difference</t>
  </si>
  <si>
    <t>sample size calculated based on main outcome = acute urinary retention</t>
  </si>
  <si>
    <t>Sample size calculated based on main outcome = CCI difference of 6 (15% of 30 median CCI)</t>
  </si>
  <si>
    <t>sample size calculated based on main outcome = CCI difference of 10%</t>
  </si>
  <si>
    <t>sample size calculated based on main outcomes = R0 resection and DFS</t>
  </si>
  <si>
    <t>sample size calculated based on main outcome = risk of recurrence of Pilonidal disease</t>
  </si>
  <si>
    <t>sample size calculated based on main outcome = 5-year OS rate</t>
  </si>
  <si>
    <t>https://clinicaltrials.gov/study/NCT00994903?term=NCT00994903&amp;rank=1</t>
  </si>
  <si>
    <t>protocol in supplement 1 of original paper</t>
  </si>
  <si>
    <t>doi: 10.2196/resprot.7972</t>
  </si>
  <si>
    <t>asked the PI to send me the protocol</t>
  </si>
  <si>
    <t>doi: 10.1186/s13063-023-07571-y.</t>
  </si>
  <si>
    <t>https://clinicaltrials.gov/study/NCT04947748?tab=table&amp;a=</t>
  </si>
  <si>
    <t>https://clinicaltrials.gov/study/NCT06510088?tab=table</t>
  </si>
  <si>
    <t>https://trialsjournal.biomedcentral.com/articles/10.1186/s13063-020-4220-8</t>
  </si>
  <si>
    <t>http://www.sana-kl.de/unser-leistungsspektrum/kliniken-institute/allgemein-und-viszeralchirurgie/studien.html</t>
  </si>
  <si>
    <t>https://bmcsurg.biomedcentral.com/articles/10.1186/1471-2482-8-21</t>
  </si>
  <si>
    <t>https://clinicaltrials.gov/study/NCT03963427?term=NCT03963427&amp;rank=1</t>
  </si>
  <si>
    <t> https://pmc.ncbi.nlm.nih.gov/articles/instance/7042940/bin/jamasurg-155-291-s001.pdf</t>
  </si>
  <si>
    <t>https://www.scopus.com/pages/publications/84939173471?inward=</t>
  </si>
  <si>
    <t>https://pubmed.ncbi.nlm.nih.gov/31023380/</t>
  </si>
  <si>
    <t>https://clinicaltrials.gov/study/NCT01865071</t>
  </si>
  <si>
    <t>https://bmccancer.biomedcentral.com/articles/10.1186/s12885-018-5232-6</t>
  </si>
  <si>
    <t>doi: 10.1136/bmjopen-2021-051269.</t>
  </si>
  <si>
    <t>https://doi.org/10.1136/bmjopen-2020-038930</t>
  </si>
  <si>
    <t>Protocol published</t>
  </si>
  <si>
    <t>0=neither published nor registered, 1=published as paper, 2=registered without publication</t>
  </si>
  <si>
    <t>https://www.chictr.org.cn/showprojEN.html?proj=124431</t>
  </si>
  <si>
    <t>https://www.chictr.org.cn/showprojEN.html?proj=122535</t>
  </si>
  <si>
    <t>DOI 10.1186/s12885-015-1551-z</t>
  </si>
  <si>
    <t>9 CCI-points, because 10 point difference reflects CD grade 1.</t>
  </si>
  <si>
    <t>0 (CI crossed non-inferiority margin)</t>
  </si>
  <si>
    <t>post-hoc analysis. Difficult to use for our analysis!!</t>
  </si>
  <si>
    <t>CCI for SS used?</t>
  </si>
  <si>
    <t>if CCI used, Specification of SS calculation</t>
  </si>
  <si>
    <t>freetext</t>
  </si>
  <si>
    <t>this is a post-hoc analysis. Trial was powered for overall survival</t>
  </si>
  <si>
    <t>CCI reported in Results</t>
  </si>
  <si>
    <t>CCI is not the primary EP of this study</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</si>
  <si>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</si>
  <si>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</si>
  <si>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</si>
  <si>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</si>
  <si>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</si>
  <si>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</si>
  <si>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</si>
  <si>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</si>
  <si>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</si>
  <si>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ba</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</si>
  <si>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</si>
  <si>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</si>
  <si>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</si>
  <si>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</si>
  <si>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</si>
  <si>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</si>
  <si>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</si>
  <si>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</si>
  <si>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</si>
  <si>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secondary analysis. Initial primary EP was Length of hospital stay. CCI not even mentioned in the initial protocol and study</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</si>
  <si>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</si>
  <si>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</si>
  <si>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 protocol: RATE of complications as primary EP, in study morbidity measured by CCI</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</si>
  <si>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</si>
  <si>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</si>
  <si>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</si>
  <si>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</si>
  <si>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</si>
  <si>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</si>
  <si>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</si>
  <si>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0 but no sample size performed anyway</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</si>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</sst>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000000"/>
      <name val="Calibri"/>
      <family val="2"/>
    </font>
    <font>
      <sz val="14"/>
      <color rgb="FF35363F"/>
      <name val="Helvetica Neue"/>
      <family val="2"/>
    </font>
    <font>
      <b/>
      <sz val="16"/>
      <color rgb="FF595959"/>
      <name val="Calibri"/>
      <family val="2"/>
    </font>
    <font>
      <u/>
      <sz val="11"/>
      <color theme="10"/>
      <name val="Calibri"/>
      <family val="2"/>
    </font>
    <font>
      <vertAlign val="superscript"/>
      <sz val="12"/>
      <color theme="1"/>
      <name val="Calibri"/>
      <family val="2"/>
      <scheme val="minor"/>
    </font>
    <font>
      <b/>
      <sz val="12"/>
      <color theme="1"/>
      <name val="Calibri"/>
      <family val="2"/>
      <scheme val="minor"/>
    </font>
    <font>
      <sz val="12"/>
      <color rgb="FFFF0000"/>
      <name val="Calibri"/>
      <family val="2"/>
      <scheme val="minor"/>
    </font>
    <font>
      <sz val="12"/>
      <color rgb="FFFF0000"/>
      <name val="Arial"/>
      <family val="2"/>
    </font>
    <font>
      <sz val="12"/>
      <name val="Calibri"/>
      <family val="2"/>
      <scheme val="minor"/>
    </font>
    <font>
      <sz val="16"/>
      <color rgb="FF1B1B1B"/>
      <name val="Arial"/>
      <family val="2"/>
    </font>
    <font>
      <sz val="11"/>
      <color theme="10"/>
      <name val="Calibri"/>
      <family val="2"/>
    </font>
    <font>
      <sz val="12"/>
      <color rgb="FFFF0000"/>
      <name val="Calibri"/>
      <family val="2"/>
    </font>
    <font>
      <sz val="11"/>
      <color theme="1"/>
      <name val="Calibri"/>
      <family val="2"/>
    </font>
  </fonts>
  <fills count="13">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FFF00"/>
        <bgColor rgb="FF000000"/>
      </patternFill>
    </fill>
    <fill>
      <patternFill patternType="solid">
        <fgColor rgb="FFFFC000"/>
        <bgColor rgb="FF000000"/>
      </patternFill>
    </fill>
    <fill>
      <patternFill patternType="solid">
        <fgColor theme="9" tint="-0.249977111117893"/>
        <bgColor indexed="64"/>
      </patternFill>
    </fill>
    <fill>
      <patternFill patternType="solid">
        <fgColor rgb="FFFF00FF"/>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21" fillId="0" borderId="0" applyNumberFormat="0" applyFill="0" applyBorder="0" applyAlignment="0" applyProtection="0"/>
  </cellStyleXfs>
  <cellXfs count="172">
    <xf numFmtId="0" fontId="0" fillId="0" borderId="0" xfId="0"/>
    <xf numFmtId="0" fontId="18" fillId="0" borderId="0" xfId="0" applyFont="1"/>
    <xf numFmtId="0" fontId="19" fillId="0" borderId="0" xfId="0" applyFont="1"/>
    <xf numFmtId="17" fontId="18" fillId="0" borderId="0" xfId="0" applyNumberFormat="1" applyFont="1"/>
    <xf numFmtId="0" fontId="20" fillId="0" borderId="0" xfId="0" applyFont="1" applyAlignment="1">
      <alignment horizontal="center" vertical="center" readingOrder="1"/>
    </xf>
    <xf numFmtId="0" fontId="17" fillId="0" borderId="1" xfId="1" applyFont="1" applyFill="1" applyBorder="1" applyAlignment="1">
      <alignment horizontal="left" vertical="top" wrapText="1"/>
    </xf>
    <xf numFmtId="0" fontId="17" fillId="0" borderId="1" xfId="1" applyFont="1" applyFill="1" applyBorder="1" applyAlignment="1">
      <alignment horizontal="left" vertical="top"/>
    </xf>
    <xf numFmtId="0" fontId="17" fillId="0" borderId="1" xfId="0" applyFont="1" applyBorder="1" applyAlignment="1">
      <alignment horizontal="left" vertical="top" wrapText="1"/>
    </xf>
    <xf numFmtId="0" fontId="17" fillId="0" borderId="1" xfId="0" applyFont="1" applyBorder="1" applyAlignment="1">
      <alignment horizontal="left" vertical="top"/>
    </xf>
    <xf numFmtId="0" fontId="17" fillId="0" borderId="2" xfId="0" applyFont="1" applyBorder="1" applyAlignment="1">
      <alignment horizontal="left" vertical="top" wrapText="1"/>
    </xf>
    <xf numFmtId="0" fontId="17" fillId="0" borderId="3" xfId="0" applyFont="1" applyBorder="1" applyAlignment="1">
      <alignment horizontal="left" vertical="top" wrapText="1"/>
    </xf>
    <xf numFmtId="0" fontId="17" fillId="0" borderId="4" xfId="0" applyFont="1" applyBorder="1" applyAlignment="1">
      <alignment horizontal="left" vertical="top" wrapText="1"/>
    </xf>
    <xf numFmtId="0" fontId="17" fillId="0" borderId="4" xfId="0" applyFont="1" applyBorder="1" applyAlignment="1">
      <alignment horizontal="left" vertical="top"/>
    </xf>
    <xf numFmtId="16" fontId="17" fillId="0" borderId="4" xfId="0" applyNumberFormat="1" applyFont="1" applyBorder="1" applyAlignment="1">
      <alignment horizontal="left" vertical="top" wrapText="1"/>
    </xf>
    <xf numFmtId="0" fontId="17" fillId="0" borderId="1" xfId="0" quotePrefix="1" applyFont="1" applyBorder="1" applyAlignment="1">
      <alignment horizontal="left" vertical="top" wrapText="1"/>
    </xf>
    <xf numFmtId="0" fontId="23" fillId="0" borderId="1" xfId="0" applyFont="1" applyBorder="1" applyAlignment="1">
      <alignment horizontal="left" vertical="top" wrapText="1"/>
    </xf>
    <xf numFmtId="0" fontId="17" fillId="0" borderId="4" xfId="1" applyFont="1" applyFill="1" applyBorder="1" applyAlignment="1">
      <alignment horizontal="left" vertical="top"/>
    </xf>
    <xf numFmtId="0" fontId="16" fillId="0" borderId="4" xfId="0" applyFont="1" applyBorder="1" applyAlignment="1">
      <alignment horizontal="left" vertical="top" wrapText="1"/>
    </xf>
    <xf numFmtId="0" fontId="16" fillId="0" borderId="1" xfId="0" applyFont="1" applyBorder="1" applyAlignment="1">
      <alignment horizontal="left" vertical="top" wrapText="1"/>
    </xf>
    <xf numFmtId="0" fontId="17" fillId="2" borderId="1" xfId="0" applyFont="1" applyFill="1" applyBorder="1" applyAlignment="1">
      <alignment horizontal="left" vertical="top" wrapText="1"/>
    </xf>
    <xf numFmtId="0" fontId="15" fillId="0" borderId="1" xfId="0" applyFont="1" applyBorder="1" applyAlignment="1">
      <alignment horizontal="left" vertical="top" wrapText="1"/>
    </xf>
    <xf numFmtId="0" fontId="15" fillId="0" borderId="4" xfId="0" applyFont="1" applyBorder="1" applyAlignment="1">
      <alignment horizontal="left" vertical="top" wrapText="1"/>
    </xf>
    <xf numFmtId="0" fontId="14" fillId="0" borderId="4" xfId="0" applyFont="1" applyBorder="1" applyAlignment="1">
      <alignment horizontal="left" vertical="top" wrapText="1"/>
    </xf>
    <xf numFmtId="0" fontId="14" fillId="0" borderId="1" xfId="0" applyFont="1" applyBorder="1" applyAlignment="1">
      <alignment horizontal="left" vertical="top" wrapText="1"/>
    </xf>
    <xf numFmtId="0" fontId="14" fillId="0" borderId="2" xfId="0" applyFont="1" applyBorder="1" applyAlignment="1">
      <alignment horizontal="left" vertical="top" wrapText="1"/>
    </xf>
    <xf numFmtId="0" fontId="13" fillId="0" borderId="1" xfId="0" applyFont="1" applyBorder="1" applyAlignment="1">
      <alignment horizontal="left" vertical="top" wrapText="1"/>
    </xf>
    <xf numFmtId="0" fontId="12" fillId="0" borderId="1" xfId="0" applyFont="1" applyBorder="1" applyAlignment="1">
      <alignment horizontal="left" vertical="top" wrapText="1"/>
    </xf>
    <xf numFmtId="0" fontId="11" fillId="0" borderId="1" xfId="0" applyFont="1" applyBorder="1" applyAlignment="1">
      <alignment horizontal="left" vertical="top" wrapText="1"/>
    </xf>
    <xf numFmtId="0" fontId="10" fillId="0" borderId="4" xfId="0" applyFont="1" applyBorder="1" applyAlignment="1">
      <alignment horizontal="left" vertical="top" wrapText="1"/>
    </xf>
    <xf numFmtId="0" fontId="25" fillId="3" borderId="0" xfId="0" applyFont="1" applyFill="1" applyAlignment="1">
      <alignment horizontal="left" vertical="top" wrapText="1"/>
    </xf>
    <xf numFmtId="0" fontId="24" fillId="3" borderId="1" xfId="0" applyFont="1" applyFill="1" applyBorder="1" applyAlignment="1">
      <alignment horizontal="left" vertical="top" wrapText="1"/>
    </xf>
    <xf numFmtId="0" fontId="9" fillId="0" borderId="1" xfId="0" applyFont="1" applyBorder="1" applyAlignment="1">
      <alignment horizontal="left" vertical="top" wrapText="1"/>
    </xf>
    <xf numFmtId="0" fontId="9" fillId="0" borderId="3" xfId="0" applyFont="1" applyBorder="1" applyAlignment="1">
      <alignment horizontal="left" vertical="top" wrapText="1"/>
    </xf>
    <xf numFmtId="0" fontId="9" fillId="0" borderId="4" xfId="0" applyFont="1" applyBorder="1" applyAlignment="1">
      <alignment horizontal="left" vertical="top" wrapText="1"/>
    </xf>
    <xf numFmtId="0" fontId="9" fillId="0" borderId="4" xfId="0" applyFont="1" applyBorder="1" applyAlignment="1">
      <alignment horizontal="left" vertical="top"/>
    </xf>
    <xf numFmtId="0" fontId="9" fillId="0" borderId="4" xfId="1" applyFont="1" applyFill="1" applyBorder="1" applyAlignment="1">
      <alignment horizontal="left" vertical="top"/>
    </xf>
    <xf numFmtId="0" fontId="9" fillId="0" borderId="1" xfId="0" applyFont="1" applyBorder="1" applyAlignment="1">
      <alignment horizontal="left" vertical="top"/>
    </xf>
    <xf numFmtId="0" fontId="9" fillId="0" borderId="1" xfId="1" applyFont="1" applyFill="1" applyBorder="1" applyAlignment="1">
      <alignment horizontal="left" vertical="top" wrapText="1"/>
    </xf>
    <xf numFmtId="0" fontId="9" fillId="0" borderId="1" xfId="1" applyFont="1" applyFill="1" applyBorder="1" applyAlignment="1">
      <alignment horizontal="left" vertical="top"/>
    </xf>
    <xf numFmtId="0" fontId="9" fillId="0" borderId="0" xfId="0" applyFont="1" applyAlignment="1">
      <alignment horizontal="left" vertical="top" wrapText="1"/>
    </xf>
    <xf numFmtId="0" fontId="24" fillId="3" borderId="0" xfId="0" applyFont="1" applyFill="1" applyAlignment="1">
      <alignment horizontal="left" vertical="top" wrapText="1"/>
    </xf>
    <xf numFmtId="0" fontId="9" fillId="0" borderId="0" xfId="0" applyFont="1" applyAlignment="1">
      <alignment horizontal="left" vertical="top"/>
    </xf>
    <xf numFmtId="0" fontId="9" fillId="0" borderId="0" xfId="1" applyFont="1" applyFill="1" applyBorder="1" applyAlignment="1">
      <alignment horizontal="left" vertical="top"/>
    </xf>
    <xf numFmtId="0" fontId="8" fillId="0" borderId="1" xfId="0" applyFont="1" applyBorder="1" applyAlignment="1">
      <alignment horizontal="left" vertical="top" wrapText="1"/>
    </xf>
    <xf numFmtId="1" fontId="9" fillId="0" borderId="4" xfId="0" applyNumberFormat="1" applyFont="1" applyBorder="1" applyAlignment="1">
      <alignment horizontal="left" vertical="top" wrapText="1"/>
    </xf>
    <xf numFmtId="1" fontId="9" fillId="0" borderId="1" xfId="0" applyNumberFormat="1" applyFont="1" applyBorder="1" applyAlignment="1">
      <alignment horizontal="left" vertical="top" wrapText="1"/>
    </xf>
    <xf numFmtId="1" fontId="9" fillId="0" borderId="0" xfId="0" applyNumberFormat="1" applyFont="1" applyAlignment="1">
      <alignment horizontal="left" vertical="top" wrapText="1"/>
    </xf>
    <xf numFmtId="1" fontId="26" fillId="0" borderId="1" xfId="0" applyNumberFormat="1" applyFont="1" applyBorder="1" applyAlignment="1">
      <alignment horizontal="left" vertical="top" wrapText="1"/>
    </xf>
    <xf numFmtId="1" fontId="24" fillId="3" borderId="1" xfId="0" applyNumberFormat="1" applyFont="1" applyFill="1" applyBorder="1" applyAlignment="1">
      <alignment horizontal="left" vertical="top" wrapText="1"/>
    </xf>
    <xf numFmtId="1" fontId="8" fillId="0" borderId="1" xfId="0" applyNumberFormat="1" applyFont="1" applyBorder="1" applyAlignment="1">
      <alignment horizontal="left" vertical="top" wrapText="1"/>
    </xf>
    <xf numFmtId="1" fontId="26" fillId="0" borderId="4" xfId="0" applyNumberFormat="1" applyFont="1" applyBorder="1" applyAlignment="1">
      <alignment horizontal="left" vertical="top" wrapText="1"/>
    </xf>
    <xf numFmtId="0" fontId="23" fillId="4" borderId="1" xfId="0" applyFont="1" applyFill="1" applyBorder="1" applyAlignment="1">
      <alignment horizontal="left" vertical="top" wrapText="1"/>
    </xf>
    <xf numFmtId="0" fontId="17" fillId="4" borderId="1" xfId="0" applyFont="1" applyFill="1" applyBorder="1" applyAlignment="1">
      <alignment horizontal="left" vertical="top" wrapText="1"/>
    </xf>
    <xf numFmtId="0" fontId="9" fillId="4" borderId="4" xfId="0" applyFont="1" applyFill="1" applyBorder="1" applyAlignment="1">
      <alignment horizontal="left" vertical="top" wrapText="1"/>
    </xf>
    <xf numFmtId="0" fontId="9" fillId="4" borderId="1" xfId="0" applyFont="1" applyFill="1" applyBorder="1" applyAlignment="1">
      <alignment horizontal="left" vertical="top" wrapText="1"/>
    </xf>
    <xf numFmtId="0" fontId="24" fillId="4" borderId="1" xfId="0" applyFont="1" applyFill="1" applyBorder="1" applyAlignment="1">
      <alignment horizontal="left" vertical="top" wrapText="1"/>
    </xf>
    <xf numFmtId="0" fontId="9" fillId="4" borderId="0" xfId="0" applyFont="1" applyFill="1" applyAlignment="1">
      <alignment horizontal="left" vertical="top" wrapText="1"/>
    </xf>
    <xf numFmtId="0" fontId="27" fillId="0" borderId="0" xfId="0" applyFont="1"/>
    <xf numFmtId="0" fontId="24" fillId="5" borderId="1" xfId="0" applyFont="1" applyFill="1" applyBorder="1" applyAlignment="1">
      <alignment horizontal="left" vertical="top" wrapText="1"/>
    </xf>
    <xf numFmtId="1" fontId="26" fillId="5" borderId="4" xfId="0" applyNumberFormat="1" applyFont="1" applyFill="1" applyBorder="1" applyAlignment="1">
      <alignment horizontal="left" vertical="top" wrapText="1"/>
    </xf>
    <xf numFmtId="0" fontId="28" fillId="5" borderId="0" xfId="1" applyFont="1" applyFill="1" applyAlignment="1">
      <alignment vertical="top"/>
    </xf>
    <xf numFmtId="0" fontId="9" fillId="5" borderId="1" xfId="0" applyFont="1" applyFill="1" applyBorder="1" applyAlignment="1">
      <alignment horizontal="left" vertical="top" wrapText="1"/>
    </xf>
    <xf numFmtId="0" fontId="26" fillId="6" borderId="1" xfId="0" applyFont="1" applyFill="1" applyBorder="1" applyAlignment="1">
      <alignment horizontal="left" vertical="top" wrapText="1"/>
    </xf>
    <xf numFmtId="0" fontId="24" fillId="7" borderId="1" xfId="0" applyFont="1" applyFill="1" applyBorder="1" applyAlignment="1">
      <alignment horizontal="left" vertical="top" wrapText="1"/>
    </xf>
    <xf numFmtId="1" fontId="26" fillId="7" borderId="1" xfId="0" applyNumberFormat="1" applyFont="1" applyFill="1" applyBorder="1" applyAlignment="1">
      <alignment horizontal="left" vertical="top" wrapText="1"/>
    </xf>
    <xf numFmtId="0" fontId="9" fillId="7" borderId="1" xfId="0" applyFont="1" applyFill="1" applyBorder="1" applyAlignment="1">
      <alignment horizontal="left" vertical="top" wrapText="1"/>
    </xf>
    <xf numFmtId="1" fontId="26" fillId="7" borderId="4" xfId="0" applyNumberFormat="1" applyFont="1" applyFill="1" applyBorder="1" applyAlignment="1">
      <alignment horizontal="left" vertical="top" wrapText="1"/>
    </xf>
    <xf numFmtId="0" fontId="7" fillId="0" borderId="1" xfId="0" applyFont="1" applyBorder="1" applyAlignment="1">
      <alignment horizontal="left" vertical="top" wrapText="1"/>
    </xf>
    <xf numFmtId="0" fontId="24" fillId="8" borderId="1" xfId="0" applyFont="1" applyFill="1" applyBorder="1" applyAlignment="1">
      <alignment horizontal="left" vertical="top" wrapText="1"/>
    </xf>
    <xf numFmtId="1" fontId="24" fillId="8" borderId="4" xfId="0" applyNumberFormat="1" applyFont="1" applyFill="1" applyBorder="1" applyAlignment="1">
      <alignment horizontal="left" vertical="top" wrapText="1"/>
    </xf>
    <xf numFmtId="0" fontId="9" fillId="8" borderId="1" xfId="0" applyFont="1" applyFill="1" applyBorder="1" applyAlignment="1">
      <alignment horizontal="left" vertical="top" wrapText="1"/>
    </xf>
    <xf numFmtId="0" fontId="24" fillId="0" borderId="1" xfId="0" applyFont="1" applyBorder="1" applyAlignment="1">
      <alignment horizontal="left" vertical="top" wrapText="1"/>
    </xf>
    <xf numFmtId="0" fontId="26" fillId="0" borderId="1" xfId="0" applyFont="1" applyBorder="1" applyAlignment="1">
      <alignment horizontal="left" vertical="top" wrapText="1"/>
    </xf>
    <xf numFmtId="0" fontId="6" fillId="0" borderId="1" xfId="0" applyFont="1" applyBorder="1" applyAlignment="1">
      <alignment horizontal="left" vertical="top" wrapText="1"/>
    </xf>
    <xf numFmtId="0" fontId="29" fillId="9" borderId="1" xfId="0" applyFont="1" applyFill="1" applyBorder="1" applyAlignment="1">
      <alignment horizontal="left" vertical="top" wrapText="1"/>
    </xf>
    <xf numFmtId="0" fontId="29" fillId="9" borderId="3" xfId="0" applyFont="1" applyFill="1" applyBorder="1" applyAlignment="1">
      <alignment horizontal="left" vertical="top" wrapText="1"/>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0" fontId="21" fillId="0" borderId="1" xfId="1" applyBorder="1" applyAlignment="1">
      <alignment horizontal="left" vertical="top" wrapText="1"/>
    </xf>
    <xf numFmtId="0" fontId="9"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3" fillId="0" borderId="1" xfId="0" applyFont="1" applyBorder="1" applyAlignment="1">
      <alignment horizontal="left" vertical="top" wrapText="1"/>
    </xf>
    <xf numFmtId="0" fontId="30" fillId="0" borderId="1" xfId="1" applyFont="1" applyBorder="1" applyAlignment="1">
      <alignment horizontal="left" vertical="top" wrapText="1"/>
    </xf>
    <xf numFmtId="1" fontId="24" fillId="0" borderId="1" xfId="0" applyNumberFormat="1" applyFont="1" applyBorder="1" applyAlignment="1">
      <alignment horizontal="left" vertical="top" wrapText="1"/>
    </xf>
    <xf numFmtId="1" fontId="24" fillId="8" borderId="1" xfId="0" applyNumberFormat="1" applyFont="1" applyFill="1" applyBorder="1" applyAlignment="1">
      <alignment horizontal="left" vertical="top" wrapText="1"/>
    </xf>
    <xf numFmtId="0" fontId="6"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21" fillId="3" borderId="1" xfId="1" applyFill="1" applyBorder="1" applyAlignment="1">
      <alignment horizontal="left" vertical="top" wrapText="1"/>
    </xf>
    <xf numFmtId="0" fontId="21" fillId="8" borderId="1" xfId="1" applyFill="1" applyBorder="1" applyAlignment="1">
      <alignment horizontal="left" vertical="top" wrapText="1"/>
    </xf>
    <xf numFmtId="0" fontId="3" fillId="8" borderId="1" xfId="0" applyFont="1" applyFill="1" applyBorder="1" applyAlignment="1">
      <alignment horizontal="left" vertical="top" wrapText="1"/>
    </xf>
    <xf numFmtId="0" fontId="26" fillId="3"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0" borderId="1" xfId="1" applyFont="1" applyFill="1" applyBorder="1" applyAlignment="1">
      <alignment horizontal="left" vertical="top" wrapText="1"/>
    </xf>
    <xf numFmtId="1" fontId="9" fillId="6" borderId="1" xfId="0" applyNumberFormat="1" applyFont="1" applyFill="1" applyBorder="1" applyAlignment="1">
      <alignment horizontal="left" vertical="top" wrapText="1"/>
    </xf>
    <xf numFmtId="0" fontId="21" fillId="6" borderId="1" xfId="1" applyFill="1" applyBorder="1" applyAlignment="1">
      <alignment horizontal="left" vertical="top" wrapText="1"/>
    </xf>
    <xf numFmtId="0" fontId="2" fillId="0" borderId="4" xfId="0" applyFont="1" applyBorder="1" applyAlignment="1">
      <alignment horizontal="left" vertical="top" wrapText="1"/>
    </xf>
    <xf numFmtId="0" fontId="2" fillId="6" borderId="1" xfId="0" applyFont="1" applyFill="1" applyBorder="1" applyAlignment="1">
      <alignment horizontal="left" vertical="top" wrapText="1"/>
    </xf>
    <xf numFmtId="0" fontId="2" fillId="0" borderId="1" xfId="0" applyFont="1" applyBorder="1" applyAlignment="1">
      <alignment horizontal="left" vertical="top" wrapText="1"/>
    </xf>
    <xf numFmtId="0" fontId="24" fillId="11" borderId="1" xfId="0" applyFont="1" applyFill="1" applyBorder="1" applyAlignment="1">
      <alignment horizontal="left" vertical="top" wrapText="1"/>
    </xf>
    <xf numFmtId="1" fontId="26" fillId="11" borderId="1" xfId="0" applyNumberFormat="1" applyFont="1" applyFill="1" applyBorder="1" applyAlignment="1">
      <alignment horizontal="left" vertical="top" wrapText="1"/>
    </xf>
    <xf numFmtId="0" fontId="3" fillId="11" borderId="1" xfId="0" applyFont="1" applyFill="1" applyBorder="1" applyAlignment="1">
      <alignment horizontal="left" vertical="top" wrapText="1"/>
    </xf>
    <xf numFmtId="0" fontId="9" fillId="11" borderId="1" xfId="0" applyFont="1" applyFill="1" applyBorder="1" applyAlignment="1">
      <alignment horizontal="left" vertical="top" wrapText="1"/>
    </xf>
    <xf numFmtId="0" fontId="1" fillId="12" borderId="1" xfId="0" applyFont="1" applyFill="1" applyBorder="1" applyAlignment="1">
      <alignment horizontal="left" vertical="top" wrapText="1"/>
    </xf>
    <xf numFmtId="0" fontId="6" fillId="12" borderId="1" xfId="0" applyFont="1" applyFill="1" applyBorder="1" applyAlignment="1">
      <alignment horizontal="left" vertical="top" wrapText="1"/>
    </xf>
    <xf numFmtId="0" fontId="3" fillId="12" borderId="1" xfId="0" applyFont="1" applyFill="1" applyBorder="1" applyAlignment="1">
      <alignment horizontal="left" vertical="top" wrapText="1"/>
    </xf>
    <xf numFmtId="0" fontId="4" fillId="12" borderId="1" xfId="0" applyFont="1" applyFill="1" applyBorder="1" applyAlignment="1">
      <alignment horizontal="left" vertical="top" wrapText="1"/>
    </xf>
    <xf numFmtId="0" fontId="23" fillId="0" borderId="2" xfId="0" applyFont="1" applyBorder="1" applyAlignment="1">
      <alignment horizontal="left" vertical="top" wrapText="1"/>
    </xf>
    <xf numFmtId="0" fontId="9" fillId="6" borderId="2" xfId="0" applyFont="1" applyFill="1" applyBorder="1" applyAlignment="1">
      <alignment horizontal="left" vertical="top" wrapText="1"/>
    </xf>
    <xf numFmtId="0" fontId="9" fillId="0" borderId="2" xfId="0" applyFont="1" applyBorder="1" applyAlignment="1">
      <alignment horizontal="left" vertical="top" wrapText="1"/>
    </xf>
    <xf numFmtId="0" fontId="9" fillId="11" borderId="2" xfId="0" applyFont="1" applyFill="1" applyBorder="1" applyAlignment="1">
      <alignment horizontal="left" vertical="top" wrapText="1"/>
    </xf>
    <xf numFmtId="0" fontId="9" fillId="7" borderId="2" xfId="0" applyFont="1" applyFill="1" applyBorder="1" applyAlignment="1">
      <alignment horizontal="left" vertical="top" wrapText="1"/>
    </xf>
    <xf numFmtId="0" fontId="9" fillId="8" borderId="2" xfId="0" applyFont="1" applyFill="1" applyBorder="1" applyAlignment="1">
      <alignment horizontal="left" vertical="top" wrapText="1"/>
    </xf>
    <xf numFmtId="0" fontId="24" fillId="3" borderId="2" xfId="0" applyFont="1" applyFill="1" applyBorder="1" applyAlignment="1">
      <alignment horizontal="left" vertical="top" wrapText="1"/>
    </xf>
    <xf numFmtId="0" fontId="6" fillId="12" borderId="2" xfId="0" applyFont="1" applyFill="1" applyBorder="1" applyAlignment="1">
      <alignment horizontal="left" vertical="top"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1" fontId="9" fillId="0" borderId="6" xfId="0" applyNumberFormat="1" applyFont="1" applyBorder="1" applyAlignment="1">
      <alignment horizontal="left" vertical="top" wrapText="1"/>
    </xf>
    <xf numFmtId="0" fontId="9" fillId="4" borderId="6" xfId="0" applyFont="1" applyFill="1" applyBorder="1" applyAlignment="1">
      <alignment horizontal="left" vertical="top" wrapText="1"/>
    </xf>
    <xf numFmtId="0" fontId="9" fillId="0" borderId="7" xfId="0" applyFont="1" applyBorder="1" applyAlignment="1">
      <alignment horizontal="left" vertical="top" wrapText="1"/>
    </xf>
    <xf numFmtId="1" fontId="9" fillId="0" borderId="7" xfId="0" applyNumberFormat="1" applyFont="1" applyBorder="1" applyAlignment="1">
      <alignment horizontal="left" vertical="top" wrapText="1"/>
    </xf>
    <xf numFmtId="0" fontId="9" fillId="0" borderId="6" xfId="1" applyFont="1" applyFill="1" applyBorder="1" applyAlignment="1">
      <alignment horizontal="left" vertical="top"/>
    </xf>
    <xf numFmtId="0" fontId="9" fillId="4" borderId="7" xfId="0" applyFont="1" applyFill="1" applyBorder="1" applyAlignment="1">
      <alignment horizontal="left" vertical="top" wrapText="1"/>
    </xf>
    <xf numFmtId="0" fontId="9" fillId="0" borderId="7" xfId="0" applyFont="1" applyBorder="1" applyAlignment="1">
      <alignment horizontal="left" vertical="top"/>
    </xf>
    <xf numFmtId="0" fontId="24" fillId="5" borderId="7" xfId="0" applyFont="1" applyFill="1" applyBorder="1" applyAlignment="1">
      <alignment horizontal="left" vertical="top" wrapText="1"/>
    </xf>
    <xf numFmtId="1" fontId="9" fillId="5" borderId="7" xfId="0" applyNumberFormat="1" applyFont="1" applyFill="1" applyBorder="1" applyAlignment="1">
      <alignment horizontal="left" vertical="top" wrapText="1"/>
    </xf>
    <xf numFmtId="0" fontId="21" fillId="5" borderId="7" xfId="1" applyFill="1" applyBorder="1" applyAlignment="1">
      <alignment horizontal="left" vertical="top" wrapText="1"/>
    </xf>
    <xf numFmtId="0" fontId="9" fillId="5" borderId="7" xfId="0" applyFont="1" applyFill="1" applyBorder="1" applyAlignment="1">
      <alignment horizontal="left" vertical="top" wrapText="1"/>
    </xf>
    <xf numFmtId="0" fontId="9" fillId="0" borderId="7" xfId="1" applyFont="1" applyFill="1" applyBorder="1" applyAlignment="1">
      <alignment horizontal="left" vertical="top"/>
    </xf>
    <xf numFmtId="1" fontId="26" fillId="0" borderId="7" xfId="0" applyNumberFormat="1" applyFont="1" applyBorder="1" applyAlignment="1">
      <alignment horizontal="left" vertical="top" wrapText="1"/>
    </xf>
    <xf numFmtId="0" fontId="5" fillId="0" borderId="7" xfId="0" applyFont="1" applyBorder="1" applyAlignment="1">
      <alignment horizontal="left" vertical="top" wrapText="1"/>
    </xf>
    <xf numFmtId="1" fontId="26" fillId="0" borderId="6" xfId="0" applyNumberFormat="1" applyFont="1" applyBorder="1" applyAlignment="1">
      <alignment horizontal="left" vertical="top" wrapText="1"/>
    </xf>
    <xf numFmtId="1" fontId="26" fillId="5" borderId="6" xfId="0" applyNumberFormat="1" applyFont="1" applyFill="1" applyBorder="1" applyAlignment="1">
      <alignment horizontal="left" vertical="top" wrapText="1"/>
    </xf>
    <xf numFmtId="0" fontId="24" fillId="3" borderId="7" xfId="0" applyFont="1" applyFill="1" applyBorder="1" applyAlignment="1">
      <alignment horizontal="left" vertical="top" wrapText="1"/>
    </xf>
    <xf numFmtId="0" fontId="24" fillId="4" borderId="7" xfId="0" applyFont="1" applyFill="1" applyBorder="1" applyAlignment="1">
      <alignment horizontal="left" vertical="top" wrapText="1"/>
    </xf>
    <xf numFmtId="1" fontId="24" fillId="3" borderId="6" xfId="0" applyNumberFormat="1" applyFont="1" applyFill="1" applyBorder="1" applyAlignment="1">
      <alignment horizontal="left" vertical="top" wrapText="1"/>
    </xf>
    <xf numFmtId="0" fontId="29" fillId="9" borderId="5" xfId="0" applyFont="1" applyFill="1" applyBorder="1" applyAlignment="1">
      <alignment horizontal="left" vertical="top" wrapText="1"/>
    </xf>
    <xf numFmtId="0" fontId="24" fillId="3" borderId="7" xfId="0" quotePrefix="1" applyFont="1" applyFill="1" applyBorder="1" applyAlignment="1">
      <alignment horizontal="left" vertical="top" wrapText="1"/>
    </xf>
    <xf numFmtId="1" fontId="24" fillId="3" borderId="7" xfId="0" applyNumberFormat="1" applyFont="1" applyFill="1" applyBorder="1" applyAlignment="1">
      <alignment horizontal="left" vertical="top" wrapText="1"/>
    </xf>
    <xf numFmtId="1" fontId="8" fillId="0" borderId="7" xfId="0" applyNumberFormat="1" applyFont="1" applyBorder="1" applyAlignment="1">
      <alignment horizontal="left" vertical="top" wrapText="1"/>
    </xf>
    <xf numFmtId="1" fontId="9" fillId="0" borderId="3" xfId="0" applyNumberFormat="1" applyFont="1" applyBorder="1" applyAlignment="1">
      <alignment horizontal="left" vertical="top" wrapText="1"/>
    </xf>
    <xf numFmtId="1" fontId="9" fillId="0" borderId="5" xfId="0" applyNumberFormat="1" applyFont="1" applyBorder="1" applyAlignment="1">
      <alignment horizontal="left" vertical="top" wrapText="1"/>
    </xf>
    <xf numFmtId="0" fontId="9" fillId="0" borderId="5" xfId="0" applyFont="1" applyBorder="1" applyAlignment="1">
      <alignment horizontal="left" vertical="top"/>
    </xf>
    <xf numFmtId="0" fontId="9" fillId="4" borderId="5" xfId="0" applyFont="1" applyFill="1" applyBorder="1" applyAlignment="1">
      <alignment horizontal="left" vertical="top" wrapText="1"/>
    </xf>
    <xf numFmtId="0" fontId="9" fillId="4" borderId="3" xfId="0" applyFont="1" applyFill="1" applyBorder="1" applyAlignment="1">
      <alignment horizontal="left" vertical="top" wrapText="1"/>
    </xf>
    <xf numFmtId="0" fontId="9" fillId="0" borderId="3" xfId="0" applyFont="1" applyBorder="1" applyAlignment="1">
      <alignment horizontal="left" vertical="top"/>
    </xf>
    <xf numFmtId="0" fontId="24" fillId="5" borderId="5" xfId="0" applyFont="1" applyFill="1" applyBorder="1" applyAlignment="1">
      <alignment horizontal="left" vertical="top" wrapText="1"/>
    </xf>
    <xf numFmtId="1" fontId="9" fillId="5" borderId="5" xfId="0" applyNumberFormat="1" applyFont="1" applyFill="1" applyBorder="1" applyAlignment="1">
      <alignment horizontal="left" vertical="top" wrapText="1"/>
    </xf>
    <xf numFmtId="0" fontId="9" fillId="5" borderId="5" xfId="0" applyFont="1" applyFill="1" applyBorder="1" applyAlignment="1">
      <alignment horizontal="left" vertical="top" wrapText="1"/>
    </xf>
    <xf numFmtId="0" fontId="9" fillId="0" borderId="3" xfId="1" applyFont="1" applyFill="1" applyBorder="1" applyAlignment="1">
      <alignment horizontal="left" vertical="top"/>
    </xf>
    <xf numFmtId="0" fontId="24" fillId="3" borderId="3" xfId="0" applyFont="1" applyFill="1" applyBorder="1" applyAlignment="1">
      <alignment horizontal="left" vertical="top" wrapText="1"/>
    </xf>
    <xf numFmtId="0" fontId="24" fillId="4" borderId="3" xfId="0" applyFont="1" applyFill="1" applyBorder="1" applyAlignment="1">
      <alignment horizontal="left" vertical="top" wrapText="1"/>
    </xf>
    <xf numFmtId="1" fontId="26" fillId="0" borderId="3" xfId="0" applyNumberFormat="1" applyFont="1" applyBorder="1" applyAlignment="1">
      <alignment horizontal="left" vertical="top" wrapText="1"/>
    </xf>
    <xf numFmtId="1" fontId="26" fillId="0" borderId="5" xfId="0" applyNumberFormat="1" applyFont="1" applyBorder="1" applyAlignment="1">
      <alignment horizontal="left" vertical="top" wrapText="1"/>
    </xf>
    <xf numFmtId="0" fontId="5" fillId="0" borderId="5" xfId="0" applyFont="1" applyBorder="1" applyAlignment="1">
      <alignment horizontal="left" vertical="top" wrapText="1"/>
    </xf>
    <xf numFmtId="0" fontId="5" fillId="0" borderId="3" xfId="0" applyFont="1" applyBorder="1" applyAlignment="1">
      <alignment horizontal="left" vertical="top" wrapText="1"/>
    </xf>
    <xf numFmtId="0" fontId="24" fillId="5" borderId="3" xfId="0" applyFont="1" applyFill="1" applyBorder="1" applyAlignment="1">
      <alignment horizontal="left" vertical="top" wrapText="1"/>
    </xf>
    <xf numFmtId="1" fontId="26" fillId="5" borderId="3" xfId="0" applyNumberFormat="1" applyFont="1" applyFill="1" applyBorder="1" applyAlignment="1">
      <alignment horizontal="left" vertical="top" wrapText="1"/>
    </xf>
    <xf numFmtId="0" fontId="9" fillId="5" borderId="3" xfId="0" applyFont="1" applyFill="1" applyBorder="1" applyAlignment="1">
      <alignment horizontal="left" vertical="top" wrapText="1"/>
    </xf>
    <xf numFmtId="0" fontId="24" fillId="3" borderId="5" xfId="0" applyFont="1" applyFill="1" applyBorder="1" applyAlignment="1">
      <alignment horizontal="left" vertical="top" wrapText="1"/>
    </xf>
    <xf numFmtId="0" fontId="24" fillId="4" borderId="5" xfId="0" applyFont="1" applyFill="1" applyBorder="1" applyAlignment="1">
      <alignment horizontal="left" vertical="top" wrapText="1"/>
    </xf>
    <xf numFmtId="0" fontId="24" fillId="8" borderId="3" xfId="0" applyFont="1" applyFill="1" applyBorder="1" applyAlignment="1">
      <alignment horizontal="left" vertical="top" wrapText="1"/>
    </xf>
    <xf numFmtId="0" fontId="9" fillId="8" borderId="3" xfId="0" applyFont="1" applyFill="1" applyBorder="1" applyAlignment="1">
      <alignment horizontal="left" vertical="top" wrapText="1"/>
    </xf>
    <xf numFmtId="0" fontId="26" fillId="6" borderId="3" xfId="0" applyFont="1" applyFill="1" applyBorder="1" applyAlignment="1">
      <alignment horizontal="left" vertical="top" wrapText="1"/>
    </xf>
    <xf numFmtId="1" fontId="24" fillId="3" borderId="3" xfId="0" applyNumberFormat="1" applyFont="1" applyFill="1" applyBorder="1" applyAlignment="1">
      <alignment horizontal="left" vertical="top" wrapText="1"/>
    </xf>
    <xf numFmtId="1" fontId="24" fillId="3" borderId="5" xfId="0" applyNumberFormat="1" applyFont="1" applyFill="1" applyBorder="1" applyAlignment="1">
      <alignment horizontal="left" vertical="top" wrapText="1"/>
    </xf>
    <xf numFmtId="1" fontId="8" fillId="0" borderId="3" xfId="0" applyNumberFormat="1" applyFont="1" applyBorder="1" applyAlignment="1">
      <alignment horizontal="left" vertical="top" wrapText="1"/>
    </xf>
    <xf numFmtId="1" fontId="8" fillId="0" borderId="5" xfId="0" applyNumberFormat="1" applyFont="1" applyBorder="1" applyAlignment="1">
      <alignment horizontal="left" vertical="top" wrapText="1"/>
    </xf>
    <xf numFmtId="0" fontId="9" fillId="0" borderId="5" xfId="1" applyFont="1" applyFill="1" applyBorder="1" applyAlignment="1">
      <alignment horizontal="left" vertical="top"/>
    </xf>
    <xf numFmtId="0" fontId="9" fillId="0" borderId="1" xfId="0" quotePrefix="1" applyFont="1" applyBorder="1" applyAlignment="1">
      <alignment horizontal="left" vertical="top" wrapText="1"/>
    </xf>
    <xf numFmtId="1" fontId="24" fillId="7" borderId="1" xfId="0" applyNumberFormat="1" applyFont="1" applyFill="1" applyBorder="1" applyAlignment="1">
      <alignment horizontal="left" vertical="top" wrapText="1"/>
    </xf>
    <xf numFmtId="0" fontId="29" fillId="10" borderId="1" xfId="0" applyFont="1" applyFill="1" applyBorder="1" applyAlignment="1">
      <alignment horizontal="left" vertical="top" wrapText="1"/>
    </xf>
  </cellXfs>
  <cellStyles count="2">
    <cellStyle name="Hyperlink" xfId="1" xr:uid="{61644211-B438-B747-B89F-B087A9A8476A}"/>
    <cellStyle name="Normal" xfId="0" builtinId="0"/>
  </cellStyles>
  <dxfs count="0"/>
  <tableStyles count="0" defaultTableStyle="TableStyleMedium9"/>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06718814753419"/>
          <c:y val="0.22119399945696444"/>
          <c:w val="0.8748407065893079"/>
          <c:h val="0.65402604737698922"/>
        </c:manualLayout>
      </c:layout>
      <c:lineChart>
        <c:grouping val="standard"/>
        <c:varyColors val="0"/>
        <c:ser>
          <c:idx val="1"/>
          <c:order val="0"/>
          <c:tx>
            <c:strRef>
              <c:f>'3 (3)'!$B$1</c:f>
              <c:strCache>
                <c:ptCount val="1"/>
                <c:pt idx="0">
                  <c:v>New RCTs with CD</c:v>
                </c:pt>
              </c:strCache>
            </c:strRef>
          </c:tx>
          <c:spPr>
            <a:ln w="34925" cap="rnd" cmpd="sng">
              <a:solidFill>
                <a:schemeClr val="bg1">
                  <a:lumMod val="75000"/>
                </a:schemeClr>
              </a:solidFill>
              <a:round/>
            </a:ln>
            <a:effectLst/>
          </c:spPr>
          <c:marker>
            <c:symbol val="none"/>
          </c:marker>
          <c:dPt>
            <c:idx val="19"/>
            <c:marker>
              <c:symbol val="none"/>
            </c:marker>
            <c:bubble3D val="0"/>
            <c:spPr>
              <a:ln w="34925" cap="rnd" cmpd="sng">
                <a:solidFill>
                  <a:schemeClr val="bg1">
                    <a:lumMod val="75000"/>
                  </a:schemeClr>
                </a:solidFill>
                <a:prstDash val="sysDot"/>
                <a:round/>
              </a:ln>
              <a:effectLst/>
            </c:spPr>
            <c:extLst>
              <c:ext xmlns:c16="http://schemas.microsoft.com/office/drawing/2014/chart" uri="{C3380CC4-5D6E-409C-BE32-E72D297353CC}">
                <c16:uniqueId val="{00000004-D2DF-CE4B-BB0F-91A9BAAF2471}"/>
              </c:ext>
            </c:extLst>
          </c:dPt>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(3)'!$B$2:$B$20</c:f>
              <c:numCache>
                <c:formatCode>General</c:formatCode>
                <c:ptCount val="19"/>
                <c:pt idx="0">
                  <c:v>0</c:v>
                </c:pt>
                <c:pt idx="1">
                  <c:v>1</c:v>
                </c:pt>
                <c:pt idx="2">
                  <c:v>3</c:v>
                </c:pt>
                <c:pt idx="3">
                  <c:v>5</c:v>
                </c:pt>
                <c:pt idx="4">
                  <c:v>4</c:v>
                </c:pt>
                <c:pt idx="5">
                  <c:v>6</c:v>
                </c:pt>
                <c:pt idx="6">
                  <c:v>15</c:v>
                </c:pt>
                <c:pt idx="7">
                  <c:v>21</c:v>
                </c:pt>
                <c:pt idx="8">
                  <c:v>28</c:v>
                </c:pt>
                <c:pt idx="9">
                  <c:v>42</c:v>
                </c:pt>
                <c:pt idx="10">
                  <c:v>52</c:v>
                </c:pt>
                <c:pt idx="11">
                  <c:v>68</c:v>
                </c:pt>
                <c:pt idx="12">
                  <c:v>75</c:v>
                </c:pt>
                <c:pt idx="13">
                  <c:v>82</c:v>
                </c:pt>
                <c:pt idx="14">
                  <c:v>110</c:v>
                </c:pt>
                <c:pt idx="15">
                  <c:v>114</c:v>
                </c:pt>
                <c:pt idx="16">
                  <c:v>151</c:v>
                </c:pt>
                <c:pt idx="17">
                  <c:v>163</c:v>
                </c:pt>
                <c:pt idx="18">
                  <c:v>176</c:v>
                </c:pt>
              </c:numCache>
            </c:numRef>
          </c:val>
          <c:smooth val="0"/>
          <c:extLst>
            <c:ext xmlns:c16="http://schemas.microsoft.com/office/drawing/2014/chart" uri="{C3380CC4-5D6E-409C-BE32-E72D297353CC}">
              <c16:uniqueId val="{00000005-D2DF-CE4B-BB0F-91A9BAAF2471}"/>
            </c:ext>
          </c:extLst>
        </c:ser>
        <c:ser>
          <c:idx val="2"/>
          <c:order val="1"/>
          <c:tx>
            <c:strRef>
              <c:f>'3 (3)'!$C$1</c:f>
              <c:strCache>
                <c:ptCount val="1"/>
                <c:pt idx="0">
                  <c:v>New RCTs with CCI</c:v>
                </c:pt>
              </c:strCache>
            </c:strRef>
          </c:tx>
          <c:spPr>
            <a:ln w="34925" cap="rnd">
              <a:solidFill>
                <a:schemeClr val="bg1">
                  <a:lumMod val="50000"/>
                </a:schemeClr>
              </a:solidFill>
              <a:round/>
            </a:ln>
            <a:effectLst/>
          </c:spPr>
          <c:marker>
            <c:symbol val="none"/>
          </c:marker>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(3)'!$C$2:$C$20</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3</c:v>
                </c:pt>
                <c:pt idx="12">
                  <c:v>8</c:v>
                </c:pt>
                <c:pt idx="13">
                  <c:v>8</c:v>
                </c:pt>
                <c:pt idx="14">
                  <c:v>5</c:v>
                </c:pt>
                <c:pt idx="15">
                  <c:v>9</c:v>
                </c:pt>
                <c:pt idx="16">
                  <c:v>16</c:v>
                </c:pt>
                <c:pt idx="17">
                  <c:v>27</c:v>
                </c:pt>
                <c:pt idx="18">
                  <c:v>25</c:v>
                </c:pt>
              </c:numCache>
            </c:numRef>
          </c:val>
          <c:smooth val="0"/>
          <c:extLst>
            <c:ext xmlns:c16="http://schemas.microsoft.com/office/drawing/2014/chart" uri="{C3380CC4-5D6E-409C-BE32-E72D297353CC}">
              <c16:uniqueId val="{00000006-D2DF-CE4B-BB0F-91A9BAAF2471}"/>
            </c:ext>
          </c:extLst>
        </c:ser>
        <c:ser>
          <c:idx val="3"/>
          <c:order val="2"/>
          <c:tx>
            <c:strRef>
              <c:f>'3 (3)'!$D$1</c:f>
              <c:strCache>
                <c:ptCount val="1"/>
                <c:pt idx="0">
                  <c:v>Total number of RCTs</c:v>
                </c:pt>
              </c:strCache>
            </c:strRef>
          </c:tx>
          <c:spPr>
            <a:ln w="34925" cap="rnd">
              <a:solidFill>
                <a:schemeClr val="tx1"/>
              </a:solidFill>
              <a:round/>
            </a:ln>
            <a:effectLst/>
          </c:spPr>
          <c:marker>
            <c:symbol val="none"/>
          </c:marker>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(3)'!$D$2:$D$20</c:f>
              <c:numCache>
                <c:formatCode>General</c:formatCode>
                <c:ptCount val="19"/>
                <c:pt idx="0">
                  <c:v>0</c:v>
                </c:pt>
                <c:pt idx="1">
                  <c:v>1</c:v>
                </c:pt>
                <c:pt idx="2">
                  <c:v>4</c:v>
                </c:pt>
                <c:pt idx="3">
                  <c:v>9</c:v>
                </c:pt>
                <c:pt idx="4">
                  <c:v>13</c:v>
                </c:pt>
                <c:pt idx="5">
                  <c:v>19</c:v>
                </c:pt>
                <c:pt idx="6">
                  <c:v>34</c:v>
                </c:pt>
                <c:pt idx="7">
                  <c:v>55</c:v>
                </c:pt>
                <c:pt idx="8">
                  <c:v>83</c:v>
                </c:pt>
                <c:pt idx="9">
                  <c:v>125</c:v>
                </c:pt>
                <c:pt idx="10">
                  <c:v>177</c:v>
                </c:pt>
                <c:pt idx="11">
                  <c:v>248</c:v>
                </c:pt>
                <c:pt idx="12">
                  <c:v>331</c:v>
                </c:pt>
                <c:pt idx="13">
                  <c:v>421</c:v>
                </c:pt>
                <c:pt idx="14">
                  <c:v>536</c:v>
                </c:pt>
                <c:pt idx="15">
                  <c:v>659</c:v>
                </c:pt>
                <c:pt idx="16">
                  <c:v>826</c:v>
                </c:pt>
                <c:pt idx="17">
                  <c:v>1016</c:v>
                </c:pt>
                <c:pt idx="18">
                  <c:v>1217</c:v>
                </c:pt>
              </c:numCache>
            </c:numRef>
          </c:val>
          <c:smooth val="0"/>
          <c:extLst>
            <c:ext xmlns:c16="http://schemas.microsoft.com/office/drawing/2014/chart" uri="{C3380CC4-5D6E-409C-BE32-E72D297353CC}">
              <c16:uniqueId val="{00000007-D2DF-CE4B-BB0F-91A9BAAF2471}"/>
            </c:ext>
          </c:extLst>
        </c:ser>
        <c:dLbls>
          <c:showLegendKey val="0"/>
          <c:showVal val="0"/>
          <c:showCatName val="0"/>
          <c:showSerName val="0"/>
          <c:showPercent val="0"/>
          <c:showBubbleSize val="0"/>
        </c:dLbls>
        <c:smooth val="0"/>
        <c:axId val="210049008"/>
        <c:axId val="210051280"/>
      </c:lineChart>
      <c:dateAx>
        <c:axId val="21004900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de-DE" sz="1400" b="1">
                    <a:solidFill>
                      <a:schemeClr val="tx1"/>
                    </a:solidFill>
                  </a:rPr>
                  <a:t>Year</a:t>
                </a:r>
              </a:p>
            </c:rich>
          </c:tx>
          <c:layout>
            <c:manualLayout>
              <c:xMode val="edge"/>
              <c:yMode val="edge"/>
              <c:x val="0.47615688458350597"/>
              <c:y val="0.9504789195654340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de-D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crossAx val="210051280"/>
        <c:crosses val="autoZero"/>
        <c:auto val="0"/>
        <c:lblOffset val="100"/>
        <c:baseTimeUnit val="days"/>
      </c:dateAx>
      <c:valAx>
        <c:axId val="210051280"/>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de-DE" sz="1400" b="1">
                    <a:solidFill>
                      <a:schemeClr val="tx1"/>
                    </a:solidFill>
                  </a:rPr>
                  <a:t>Number of RCTs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crossAx val="210049008"/>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de-DE"/>
          </a:p>
        </c:txPr>
      </c:legendEntry>
      <c:layout>
        <c:manualLayout>
          <c:xMode val="edge"/>
          <c:yMode val="edge"/>
          <c:x val="0.1484113163739148"/>
          <c:y val="0.24759028539154124"/>
          <c:w val="0.7335497425802544"/>
          <c:h val="4.580434565932423E-2"/>
        </c:manualLayout>
      </c:layout>
      <c:overlay val="0"/>
      <c:spPr>
        <a:noFill/>
        <a:ln>
          <a:noFill/>
        </a:ln>
        <a:effectLst/>
      </c:spPr>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06718814753419"/>
          <c:y val="0.22119399945696444"/>
          <c:w val="0.8748407065893079"/>
          <c:h val="0.65402604737698922"/>
        </c:manualLayout>
      </c:layout>
      <c:lineChart>
        <c:grouping val="standard"/>
        <c:varyColors val="0"/>
        <c:ser>
          <c:idx val="0"/>
          <c:order val="0"/>
          <c:tx>
            <c:strRef>
              <c:f>'3'!$B$1</c:f>
              <c:strCache>
                <c:ptCount val="1"/>
                <c:pt idx="0">
                  <c:v>New trials per year</c:v>
                </c:pt>
              </c:strCache>
            </c:strRef>
          </c:tx>
          <c:spPr>
            <a:ln w="34925" cap="rnd">
              <a:solidFill>
                <a:schemeClr val="bg1">
                  <a:lumMod val="75000"/>
                </a:schemeClr>
              </a:solidFill>
              <a:round/>
            </a:ln>
            <a:effectLst/>
          </c:spPr>
          <c:marker>
            <c:symbol val="none"/>
          </c:marker>
          <c:dPt>
            <c:idx val="19"/>
            <c:marker>
              <c:symbol val="none"/>
            </c:marker>
            <c:bubble3D val="0"/>
            <c:spPr>
              <a:ln w="34925" cap="rnd">
                <a:solidFill>
                  <a:schemeClr val="bg1">
                    <a:lumMod val="75000"/>
                  </a:schemeClr>
                </a:solidFill>
                <a:prstDash val="sysDot"/>
                <a:round/>
              </a:ln>
              <a:effectLst/>
            </c:spPr>
            <c:extLst>
              <c:ext xmlns:c16="http://schemas.microsoft.com/office/drawing/2014/chart" uri="{C3380CC4-5D6E-409C-BE32-E72D297353CC}">
                <c16:uniqueId val="{00000000-5D5D-0C40-9DA1-9072D3550086}"/>
              </c:ext>
            </c:extLst>
          </c:dPt>
          <c:cat>
            <c:numRef>
              <c:f>'3'!$A$2:$A$20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'3'!$B$2:$B$20</c:f>
              <c:numCache>
                <c:formatCode>General</c:formatCode>
                <c:ptCount val="19"/>
                <c:pt idx="0">
                  <c:v>0</c:v>
                </c:pt>
                <c:pt idx="1">
                  <c:v>1</c:v>
                </c:pt>
                <c:pt idx="2">
                  <c:v>3</c:v>
                </c:pt>
                <c:pt idx="3">
                  <c:v>5</c:v>
                </c:pt>
                <c:pt idx="4">
                  <c:v>4</c:v>
                </c:pt>
                <c:pt idx="5">
                  <c:v>6</c:v>
                </c:pt>
                <c:pt idx="6">
                  <c:v>15</c:v>
                </c:pt>
                <c:pt idx="7">
                  <c:v>21</c:v>
                </c:pt>
                <c:pt idx="8">
                  <c:v>28</c:v>
                </c:pt>
                <c:pt idx="9">
                  <c:v>42</c:v>
                </c:pt>
                <c:pt idx="10">
                  <c:v>52</c:v>
                </c:pt>
                <c:pt idx="11">
                  <c:v>71</c:v>
                </c:pt>
                <c:pt idx="12">
                  <c:v>83</c:v>
                </c:pt>
                <c:pt idx="13">
                  <c:v>90</c:v>
                </c:pt>
                <c:pt idx="14">
                  <c:v>115</c:v>
                </c:pt>
                <c:pt idx="15">
                  <c:v>123</c:v>
                </c:pt>
                <c:pt idx="16">
                  <c:v>167</c:v>
                </c:pt>
                <c:pt idx="17">
                  <c:v>190</c:v>
                </c:pt>
                <c:pt idx="18">
                  <c:v>201</c:v>
                </c:pt>
              </c:numCache>
            </c:numRef>
          </c:val>
          <c:smooth val="0"/>
          <c:extLst>
            <c:ext xmlns:c16="http://schemas.microsoft.com/office/drawing/2014/chart" uri="{C3380CC4-5D6E-409C-BE32-E72D297353CC}">
              <c16:uniqueId val="{00000000-1626-E742-8C2C-E15A1655CDF2}"/>
            </c:ext>
          </c:extLst>
        </c:ser>
        <c:ser>
          <c:idx val="1"/>
          <c:order val="1"/>
          <c:tx>
            <c:strRef>
              <c:f>'3'!$C$1</c:f>
              <c:strCache>
                <c:ptCount val="1"/>
                <c:pt idx="0">
                  <c:v>Total number of trials</c:v>
                </c:pt>
              </c:strCache>
            </c:strRef>
          </c:tx>
          <c:spPr>
            <a:ln w="34925" cap="rnd" cmpd="sng">
              <a:solidFill>
                <a:schemeClr val="tx1">
                  <a:lumMod val="75000"/>
                  <a:lumOff val="25000"/>
                </a:schemeClr>
              </a:solidFill>
              <a:round/>
            </a:ln>
            <a:effectLst/>
          </c:spPr>
          <c:marker>
            <c:symbol val="none"/>
          </c:marker>
          <c:dPt>
            <c:idx val="19"/>
            <c:marker>
              <c:symbol val="none"/>
            </c:marker>
            <c:bubble3D val="0"/>
            <c:spPr>
              <a:ln w="34925" cap="rnd" cmpd="sng">
                <a:solidFill>
                  <a:schemeClr val="tx1">
                    <a:lumMod val="75000"/>
                    <a:lumOff val="25000"/>
                  </a:schemeClr>
                </a:solidFill>
                <a:prstDash val="sysDot"/>
                <a:round/>
              </a:ln>
              <a:effectLst/>
            </c:spPr>
            <c:extLst>
              <c:ext xmlns:c16="http://schemas.microsoft.com/office/drawing/2014/chart" uri="{C3380CC4-5D6E-409C-BE32-E72D297353CC}">
                <c16:uniqueId val="{00000001-5D5D-0C40-9DA1-9072D3550086}"/>
              </c:ext>
            </c:extLst>
          </c:dPt>
          <c:cat>
            <c:numRef>
              <c:f>'3'!$A$2:$A$20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'3'!$C$2:$C$20</c:f>
              <c:numCache>
                <c:formatCode>General</c:formatCode>
                <c:ptCount val="19"/>
                <c:pt idx="0">
                  <c:v>0</c:v>
                </c:pt>
                <c:pt idx="1">
                  <c:v>1</c:v>
                </c:pt>
                <c:pt idx="2">
                  <c:v>4</c:v>
                </c:pt>
                <c:pt idx="3">
                  <c:v>9</c:v>
                </c:pt>
                <c:pt idx="4">
                  <c:v>13</c:v>
                </c:pt>
                <c:pt idx="5">
                  <c:v>19</c:v>
                </c:pt>
                <c:pt idx="6">
                  <c:v>34</c:v>
                </c:pt>
                <c:pt idx="7">
                  <c:v>55</c:v>
                </c:pt>
                <c:pt idx="8">
                  <c:v>83</c:v>
                </c:pt>
                <c:pt idx="9">
                  <c:v>125</c:v>
                </c:pt>
                <c:pt idx="10">
                  <c:v>177</c:v>
                </c:pt>
                <c:pt idx="11">
                  <c:v>248</c:v>
                </c:pt>
                <c:pt idx="12">
                  <c:v>331</c:v>
                </c:pt>
                <c:pt idx="13">
                  <c:v>421</c:v>
                </c:pt>
                <c:pt idx="14">
                  <c:v>536</c:v>
                </c:pt>
                <c:pt idx="15">
                  <c:v>659</c:v>
                </c:pt>
                <c:pt idx="16">
                  <c:v>826</c:v>
                </c:pt>
                <c:pt idx="17">
                  <c:v>1016</c:v>
                </c:pt>
                <c:pt idx="18">
                  <c:v>1217</c:v>
                </c:pt>
              </c:numCache>
            </c:numRef>
          </c:val>
          <c:smooth val="0"/>
          <c:extLst>
            <c:ext xmlns:c16="http://schemas.microsoft.com/office/drawing/2014/chart" uri="{C3380CC4-5D6E-409C-BE32-E72D297353CC}">
              <c16:uniqueId val="{00000001-1626-E742-8C2C-E15A1655CDF2}"/>
            </c:ext>
          </c:extLst>
        </c:ser>
        <c:dLbls>
          <c:showLegendKey val="0"/>
          <c:showVal val="0"/>
          <c:showCatName val="0"/>
          <c:showSerName val="0"/>
          <c:showPercent val="0"/>
          <c:showBubbleSize val="0"/>
        </c:dLbls>
        <c:smooth val="0"/>
        <c:axId val="210049008"/>
        <c:axId val="210051280"/>
      </c:lineChart>
      <c:dateAx>
        <c:axId val="21004900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solidFill>
                    <a:latin typeface=""/>
                    <a:ea typeface="+mn-ea"/>
                    <a:cs typeface="+mn-cs"/>
                  </a:defRPr>
                </a:pPr>
                <a:r>
                  <a:rPr lang="de-DE" sz="1400" b="1">
                    <a:solidFill>
                      <a:schemeClr val="tx1"/>
                    </a:solidFill>
                    <a:latin typeface=""/>
                  </a:rPr>
                  <a:t>Year</a:t>
                </a:r>
              </a:p>
            </c:rich>
          </c:tx>
          <c:layout>
            <c:manualLayout>
              <c:xMode val="edge"/>
              <c:yMode val="edge"/>
              <c:x val="0.47615688458350597"/>
              <c:y val="0.9504789195654340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
                  <a:ea typeface="+mn-ea"/>
                  <a:cs typeface="+mn-cs"/>
                </a:defRPr>
              </a:pPr>
              <a:endParaRPr lang="de-D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
                <a:ea typeface="+mn-ea"/>
                <a:cs typeface="+mn-cs"/>
              </a:defRPr>
            </a:pPr>
            <a:endParaRPr lang="de-DE"/>
          </a:p>
        </c:txPr>
        <c:crossAx val="210051280"/>
        <c:crosses val="autoZero"/>
        <c:auto val="0"/>
        <c:lblOffset val="100"/>
        <c:baseTimeUnit val="days"/>
      </c:dateAx>
      <c:valAx>
        <c:axId val="210051280"/>
        <c:scaling>
          <c:orientation val="minMax"/>
          <c:max val="13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
                    <a:ea typeface="+mn-ea"/>
                    <a:cs typeface="+mn-cs"/>
                  </a:defRPr>
                </a:pPr>
                <a:r>
                  <a:rPr lang="de-DE" sz="1400" b="1">
                    <a:solidFill>
                      <a:schemeClr val="tx1"/>
                    </a:solidFill>
                    <a:latin typeface=""/>
                  </a:rPr>
                  <a:t>Number of RCTs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
                <a:ea typeface="+mn-ea"/>
                <a:cs typeface="+mn-cs"/>
              </a:defRPr>
            </a:pPr>
            <a:endParaRPr lang="de-DE"/>
          </a:p>
        </c:txPr>
        <c:crossAx val="210049008"/>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400" b="1" i="0" u="none" strike="noStrike" kern="1200" baseline="0">
                <a:solidFill>
                  <a:schemeClr val="tx1"/>
                </a:solidFill>
                <a:latin typeface=""/>
                <a:ea typeface="+mn-ea"/>
                <a:cs typeface="Arial" panose="020B0604020202020204" pitchFamily="34" charset="0"/>
              </a:defRPr>
            </a:pPr>
            <a:endParaRPr lang="de-DE"/>
          </a:p>
        </c:txPr>
      </c:legendEntry>
      <c:legendEntry>
        <c:idx val="1"/>
        <c:txPr>
          <a:bodyPr rot="0" spcFirstLastPara="1" vertOverflow="ellipsis" vert="horz" wrap="square" anchor="ctr" anchorCtr="1"/>
          <a:lstStyle/>
          <a:p>
            <a:pPr>
              <a:defRPr sz="1400" b="1" i="0" u="none" strike="noStrike" kern="1200" baseline="0">
                <a:solidFill>
                  <a:schemeClr val="tx1"/>
                </a:solidFill>
                <a:latin typeface=""/>
                <a:ea typeface="+mn-ea"/>
                <a:cs typeface="Arial" panose="020B0604020202020204" pitchFamily="34" charset="0"/>
              </a:defRPr>
            </a:pPr>
            <a:endParaRPr lang="de-DE"/>
          </a:p>
        </c:txPr>
      </c:legendEntry>
      <c:layout>
        <c:manualLayout>
          <c:xMode val="edge"/>
          <c:yMode val="edge"/>
          <c:x val="0.14166364484044758"/>
          <c:y val="0.18429914615103493"/>
          <c:w val="0.71502797347699953"/>
          <c:h val="4.939434564213956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749300</xdr:colOff>
      <xdr:row>6</xdr:row>
      <xdr:rowOff>38100</xdr:rowOff>
    </xdr:from>
    <xdr:to>
      <xdr:col>16</xdr:col>
      <xdr:colOff>419100</xdr:colOff>
      <xdr:row>37</xdr:row>
      <xdr:rowOff>76200</xdr:rowOff>
    </xdr:to>
    <xdr:graphicFrame macro="">
      <xdr:nvGraphicFramePr>
        <xdr:cNvPr id="2" name="Diagramm 1">
          <a:extLst>
            <a:ext uri="{FF2B5EF4-FFF2-40B4-BE49-F238E27FC236}">
              <a16:creationId xmlns:a16="http://schemas.microsoft.com/office/drawing/2014/main" id="{F30E18C8-F7F9-A046-95C3-C187110B9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0.01645</cdr:x>
      <cdr:y>0.13235</cdr:y>
    </cdr:from>
    <cdr:to>
      <cdr:x>1</cdr:x>
      <cdr:y>0.19269</cdr:y>
    </cdr:to>
    <cdr:sp macro="" textlink="">
      <cdr:nvSpPr>
        <cdr:cNvPr id="3" name="Textfeld 2">
          <a:extLst xmlns:a="http://schemas.openxmlformats.org/drawingml/2006/main">
            <a:ext uri="{FF2B5EF4-FFF2-40B4-BE49-F238E27FC236}">
              <a16:creationId xmlns:a16="http://schemas.microsoft.com/office/drawing/2014/main" id="{39836364-3B21-4D4A-16CD-B42922C1AEC1}"/>
            </a:ext>
          </a:extLst>
        </cdr:cNvPr>
        <cdr:cNvSpPr txBox="1"/>
      </cdr:nvSpPr>
      <cdr:spPr>
        <a:xfrm xmlns:a="http://schemas.openxmlformats.org/drawingml/2006/main">
          <a:off x="130363" y="796731"/>
          <a:ext cx="7794437" cy="3632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de-DE" sz="1500" b="1"/>
            <a:t>Figure</a:t>
          </a:r>
          <a:r>
            <a:rPr lang="de-DE" sz="1500" b="1" baseline="0"/>
            <a:t> 1</a:t>
          </a:r>
          <a:r>
            <a:rPr lang="de-DE" sz="1500" b="1"/>
            <a:t>. </a:t>
          </a:r>
          <a:r>
            <a:rPr lang="de-DE" sz="1500"/>
            <a:t>Use of the Clavien-Dindo Classification and Comprehensive Complication Index in RCTs</a:t>
          </a:r>
        </a:p>
      </cdr:txBody>
    </cdr:sp>
  </cdr:relSizeAnchor>
</c:userShapes>
</file>

<file path=xl/drawings/drawing3.xml><?xml version="1.0" encoding="utf-8"?>
<xdr:wsDr xmlns:xdr="http://schemas.openxmlformats.org/drawingml/2006/spreadsheetDrawing" xmlns:a="http://schemas.openxmlformats.org/drawingml/2006/main">
  <xdr:twoCellAnchor>
    <xdr:from>
      <xdr:col>6</xdr:col>
      <xdr:colOff>292100</xdr:colOff>
      <xdr:row>2</xdr:row>
      <xdr:rowOff>152400</xdr:rowOff>
    </xdr:from>
    <xdr:to>
      <xdr:col>15</xdr:col>
      <xdr:colOff>584200</xdr:colOff>
      <xdr:row>34</xdr:row>
      <xdr:rowOff>0</xdr:rowOff>
    </xdr:to>
    <xdr:graphicFrame macro="">
      <xdr:nvGraphicFramePr>
        <xdr:cNvPr id="6" name="Diagramm 5">
          <a:extLst>
            <a:ext uri="{FF2B5EF4-FFF2-40B4-BE49-F238E27FC236}">
              <a16:creationId xmlns:a16="http://schemas.microsoft.com/office/drawing/2014/main" id="{5270BA6C-36E2-835F-E380-392FCACC4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0.01316</cdr:x>
      <cdr:y>0.07328</cdr:y>
    </cdr:from>
    <cdr:to>
      <cdr:x>0.99671</cdr:x>
      <cdr:y>0.13362</cdr:y>
    </cdr:to>
    <cdr:sp macro="" textlink="">
      <cdr:nvSpPr>
        <cdr:cNvPr id="3" name="Textfeld 2">
          <a:extLst xmlns:a="http://schemas.openxmlformats.org/drawingml/2006/main">
            <a:ext uri="{FF2B5EF4-FFF2-40B4-BE49-F238E27FC236}">
              <a16:creationId xmlns:a16="http://schemas.microsoft.com/office/drawing/2014/main" id="{39836364-3B21-4D4A-16CD-B42922C1AEC1}"/>
            </a:ext>
          </a:extLst>
        </cdr:cNvPr>
        <cdr:cNvSpPr txBox="1"/>
      </cdr:nvSpPr>
      <cdr:spPr>
        <a:xfrm xmlns:a="http://schemas.openxmlformats.org/drawingml/2006/main">
          <a:off x="101600" y="441106"/>
          <a:ext cx="7594600" cy="3632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de-DE" sz="1500" b="1"/>
            <a:t>Figure2. </a:t>
          </a:r>
          <a:r>
            <a:rPr lang="de-DE" sz="1500"/>
            <a:t>Use of the Clavien-Dindo Classification and Comprehensive Complication Index in RCTs</a:t>
          </a:r>
        </a:p>
      </cdr:txBody>
    </cdr:sp>
  </cdr:relSizeAnchor>
</c:userShape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I12" dT="2024-02-05T14:47:56.22" personId="{B7A1488B-8F3F-1546-87F2-157533B41B95}" id="{6172FD35-FF88-9042-AFA5-B879FE9B556E}">
    <text>da hier zusätzlich noch CCI einbezogen wurde, würde ich die posthoc analyse zählen.</text>
  </threadedComment>
  <threadedComment ref="AI106" dT="2024-01-20T19:09:55.30" personId="{B7A1488B-8F3F-1546-87F2-157533B41B95}" id="{84F665BA-1249-BF4D-95D7-9E560868BA51}">
    <text>main outcome is length of stay.</text>
  </threadedComment>
  <threadedComment ref="AI127" dT="2024-01-05T09:53:44.65" personId="{B7A1488B-8F3F-1546-87F2-157533B41B95}" id="{DC364AE1-1B7C-8E4F-8439-9567D5C632E6}">
    <text>gibt es ein studienprotokoll das wir anstelle des abstracts analysieren können?</text>
  </threadedComment>
</ThreadedComments>
</file>

<file path=xl/threadedComments/threadedComment2.xml><?xml version="1.0" encoding="utf-8"?>
<ThreadedComments xmlns="http://schemas.microsoft.com/office/spreadsheetml/2018/threadedcomments" xmlns:x="http://schemas.openxmlformats.org/spreadsheetml/2006/main">
  <threadedComment ref="AN241" dT="2024-01-20T19:09:55.30" personId="{B7A1488B-8F3F-1546-87F2-157533B41B95}" id="{86D2FECD-80ED-BA47-8ACD-798990C89525}">
    <text>main outcome is length of stay.</text>
  </threadedComment>
  <threadedComment ref="AN770" dT="2024-01-20T11:35:15.00" personId="{B7A1488B-8F3F-1546-87F2-157533B41B95}" id="{251C4B54-0C9F-744B-A9DB-DCA109EECE95}">
    <text>NA passt bestens</text>
  </threadedComment>
  <threadedComment ref="AN789" dT="2024-01-20T11:51:09.94" personId="{B7A1488B-8F3F-1546-87F2-157533B41B95}" id="{F88578B7-DDEE-B34C-A6C8-399A7240469E}">
    <text>ja, wenns irgendwie geht, dann shcon.</text>
  </threadedComment>
  <threadedComment ref="AK816" dT="2024-01-20T12:07:27.52" personId="{B7A1488B-8F3F-1546-87F2-157533B41B95}" id="{B3415536-6B6C-B84B-9983-2814B57E34CC}">
    <text>not used ist korrekt</text>
  </threadedComment>
  <threadedComment ref="AN953" dT="2024-02-05T14:47:56.22" personId="{B7A1488B-8F3F-1546-87F2-157533B41B95}" id="{5E02544E-89AC-3749-84DA-10F40C607CBD}">
    <text>da hier zusätzlich noch CCI einbezogen wurde, würde ich die posthoc analyse zählen.</text>
  </threadedComment>
  <threadedComment ref="AE1105" dT="2024-02-13T19:20:10.57" personId="{B7A1488B-8F3F-1546-87F2-157533B41B95}" id="{F8D23A47-155C-E941-A891-82A8B72D8623}">
    <text>minus 6 —&gt; 22</text>
  </threadedComment>
  <threadedComment ref="AG1105" dT="2024-02-08T13:14:51.30" personId="{B7A1488B-8F3F-1546-87F2-157533B41B95}" id="{BFE7B091-804F-4642-9831-9EFF40C7B558}">
    <text>eine studie verwendet sowohl für 1st als auch 2nd EP CD korrekt --&gt; muss abgezogen werden —&gt; insgesamt 335 studien mit korrekter anwendung</text>
  </threadedComment>
  <threadedComment ref="AH1105" dT="2024-02-13T19:24:36.91" personId="{B7A1488B-8F3F-1546-87F2-157533B41B95}" id="{C4B4605C-6E56-5F4C-8C5B-80409DB76F4E}">
    <text>minus 4 —&gt; 101</text>
  </threadedComment>
  <threadedComment ref="AK1105" dT="2024-02-08T13:14:51.30" personId="{B7A1488B-8F3F-1546-87F2-157533B41B95}" id="{5C1ED649-4180-6548-8A99-0B787E602E22}">
    <text>alle welche keine subgrades verwenden</text>
  </threadedComment>
  <threadedComment ref="AE1106" dT="2024-02-13T19:12:36.93" personId="{B7A1488B-8F3F-1546-87F2-157533B41B95}" id="{EA1971E1-A3B5-D346-BB5B-AA2C393BC81A}">
    <text>minus 2 —&gt; 15</text>
  </threadedComment>
  <threadedComment ref="AH1106" dT="2024-02-13T19:29:09.12" personId="{B7A1488B-8F3F-1546-87F2-157533B41B95}" id="{5E9A15F1-0A10-0247-B509-661508E2F17E}">
    <text>111 zählen</text>
  </threadedComment>
  <threadedComment ref="AH1107" dT="2024-02-13T19:17:57.20" personId="{B7A1488B-8F3F-1546-87F2-157533B41B95}" id="{FFF8A227-299C-024B-A5E5-AE69593FBCC2}">
    <text>minus 7 —&gt; 321</text>
  </threadedComment>
  <threadedComment ref="AQ1108" dT="2024-02-13T19:51:11.19" personId="{B7A1488B-8F3F-1546-87F2-157533B41B95}" id="{6491AF7B-1DFE-284D-A4B7-D286E97A509E}">
    <text>no subgrades</text>
  </threadedComment>
  <threadedComment ref="AS1108" dT="2024-02-13T19:51:38.33" personId="{B7A1488B-8F3F-1546-87F2-157533B41B95}" id="{03C4D185-F640-D444-B060-23DFBB6BCC05}">
    <text>inkomplettes reporting</text>
  </threadedComment>
</ThreadedComments>
</file>

<file path=xl/threadedComments/threadedComment3.xml><?xml version="1.0" encoding="utf-8"?>
<ThreadedComments xmlns="http://schemas.microsoft.com/office/spreadsheetml/2018/threadedcomments" xmlns:x="http://schemas.openxmlformats.org/spreadsheetml/2006/main">
  <threadedComment ref="AN297" dT="2024-01-20T19:09:55.30" personId="{B7A1488B-8F3F-1546-87F2-157533B41B95}" id="{966DE9C2-C9CB-1C4C-8AFC-683F97D474C0}">
    <text>main outcome is length of stay.</text>
  </threadedComment>
  <threadedComment ref="AN956" dT="2024-01-20T11:35:15.00" personId="{B7A1488B-8F3F-1546-87F2-157533B41B95}" id="{C3728238-DA72-5C46-B80F-1577AAD4E474}">
    <text>NA passt bestens</text>
  </threadedComment>
  <threadedComment ref="AN975" dT="2024-01-20T11:51:09.94" personId="{B7A1488B-8F3F-1546-87F2-157533B41B95}" id="{25E54F30-CA9A-B74D-A39A-B7C09A3035AA}">
    <text>ja, wenns irgendwie geht, dann shcon.</text>
  </threadedComment>
  <threadedComment ref="AK1005" dT="2024-01-20T12:07:27.52" personId="{B7A1488B-8F3F-1546-87F2-157533B41B95}" id="{C90D8685-928F-B647-89D2-48DA1C9B7FCE}">
    <text>not used ist korrekt</text>
  </threadedComment>
  <threadedComment ref="AN1162" dT="2024-02-05T14:47:56.22" personId="{B7A1488B-8F3F-1546-87F2-157533B41B95}" id="{32E8963B-CE9E-7A45-9166-29BAFC944CEC}">
    <text>da hier zusätzlich noch CCI einbezogen wurde, würde ich die posthoc analyse zählen.</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4088968" TargetMode="External"/><Relationship Id="rId21" Type="http://schemas.openxmlformats.org/officeDocument/2006/relationships/hyperlink" Target="https://clinicaltrials.gov/ct2/show/NCT00478348" TargetMode="External"/><Relationship Id="rId34" Type="http://schemas.openxmlformats.org/officeDocument/2006/relationships/hyperlink" Target="http://clinicaltrials.gov/show/NCT01047462" TargetMode="External"/><Relationship Id="rId42" Type="http://schemas.openxmlformats.org/officeDocument/2006/relationships/hyperlink" Target="https://www.scopus.com/inward/record.uri?eid=2-s2.0-85083539150&amp;doi=10.1002%2fags3.12298&amp;partnerID=40&amp;md5=03ef26294f719d2de60f32ddbc72075a" TargetMode="External"/><Relationship Id="rId47" Type="http://schemas.openxmlformats.org/officeDocument/2006/relationships/hyperlink" Target="https://doi.org/10.1016/j.jamcollsurg.2016.04.004" TargetMode="External"/><Relationship Id="rId50" Type="http://schemas.openxmlformats.org/officeDocument/2006/relationships/hyperlink" Target="https://bmcsurg.biomedcentral.com/articles/10.1186/1471-2482-8-21" TargetMode="External"/><Relationship Id="rId55" Type="http://schemas.openxmlformats.org/officeDocument/2006/relationships/hyperlink" Target="https://pubmed.ncbi.nlm.nih.gov/31023380/" TargetMode="External"/><Relationship Id="rId63" Type="http://schemas.openxmlformats.org/officeDocument/2006/relationships/hyperlink" Target="https://clinicaltrials.gov/study/NCT06510088?tab=table" TargetMode="External"/><Relationship Id="rId7" Type="http://schemas.openxmlformats.org/officeDocument/2006/relationships/hyperlink" Target="http://clinicaltrials.gov/show/NCT037812016"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jamanetwork.com/journals/jamasurgery/fullarticle/2779968" TargetMode="External"/><Relationship Id="rId29" Type="http://schemas.openxmlformats.org/officeDocument/2006/relationships/hyperlink" Target="http://clinicaltrials.gov/show/NCT03331718" TargetMode="External"/><Relationship Id="rId11" Type="http://schemas.openxmlformats.org/officeDocument/2006/relationships/hyperlink" Target="http://clinicaltrials.gov/show/NCT02667860" TargetMode="External"/><Relationship Id="rId24" Type="http://schemas.openxmlformats.org/officeDocument/2006/relationships/hyperlink" Target="http://clinicaltrials.gov/show/NCT03460938" TargetMode="External"/><Relationship Id="rId32" Type="http://schemas.openxmlformats.org/officeDocument/2006/relationships/hyperlink" Target="http://clinicaltrials.gov/show/NCT01308190" TargetMode="External"/><Relationship Id="rId37" Type="http://schemas.openxmlformats.org/officeDocument/2006/relationships/hyperlink" Target="http://clinicaltrials.gov/show/NCT01847703" TargetMode="External"/><Relationship Id="rId40" Type="http://schemas.openxmlformats.org/officeDocument/2006/relationships/hyperlink" Target="http://clinicaltrials.gov/show/NCT02451176" TargetMode="External"/><Relationship Id="rId45" Type="http://schemas.openxmlformats.org/officeDocument/2006/relationships/hyperlink" Target="http://www.sana-kl.de/unser-leistungsspektrum/kliniken-institute/allgemein-und-viszeralchirurgie/studien.html" TargetMode="External"/><Relationship Id="rId53" Type="http://schemas.openxmlformats.org/officeDocument/2006/relationships/hyperlink" Target="http://clinicaltrials.gov/show/NCT02775227" TargetMode="External"/><Relationship Id="rId58" Type="http://schemas.openxmlformats.org/officeDocument/2006/relationships/hyperlink" Target="https://cdn.clinicaltrials.gov/large-docs/19/NCT03587519/Prot_SAP_000.pdf" TargetMode="External"/><Relationship Id="rId66" Type="http://schemas.openxmlformats.org/officeDocument/2006/relationships/comments" Target="../comments1.xml"/><Relationship Id="rId5" Type="http://schemas.openxmlformats.org/officeDocument/2006/relationships/hyperlink" Target="http://clinicaltrials.gov/show/NCT01899547" TargetMode="External"/><Relationship Id="rId61" Type="http://schemas.openxmlformats.org/officeDocument/2006/relationships/hyperlink" Target="https://doi.org/10.1136/bmjopen-2020-038930" TargetMode="External"/><Relationship Id="rId19" Type="http://schemas.openxmlformats.org/officeDocument/2006/relationships/hyperlink" Target="http://clinicaltrials.gov/show/NCT02243735" TargetMode="External"/><Relationship Id="rId14" Type="http://schemas.openxmlformats.org/officeDocument/2006/relationships/hyperlink" Target="http://clinicaltrials.gov/show/NCT04461301" TargetMode="External"/><Relationship Id="rId22" Type="http://schemas.openxmlformats.org/officeDocument/2006/relationships/hyperlink" Target="http://clinicaltrials.gov/show/NCT03138213" TargetMode="External"/><Relationship Id="rId27" Type="http://schemas.openxmlformats.org/officeDocument/2006/relationships/hyperlink" Target="http://clinicaltrials.gov/show/NCT04306458" TargetMode="External"/><Relationship Id="rId30" Type="http://schemas.openxmlformats.org/officeDocument/2006/relationships/hyperlink" Target="http://clinicaltrials.gov/show/NCT03978325" TargetMode="External"/><Relationship Id="rId35" Type="http://schemas.openxmlformats.org/officeDocument/2006/relationships/hyperlink" Target="http://clinicaltrials.gov/show/NCT01317342" TargetMode="External"/><Relationship Id="rId43" Type="http://schemas.openxmlformats.org/officeDocument/2006/relationships/hyperlink" Target="https://bmjopen.bmj.com/lookup/external-ref?link_type=CLINTRIALGOV&amp;access_num=NCT04461301&amp;atom=%2Fbmjopen%2F13%2F1%2Fe070253.atom" TargetMode="External"/><Relationship Id="rId48" Type="http://schemas.openxmlformats.org/officeDocument/2006/relationships/hyperlink" Target="http://clinicaltrials.gov/show/NCT00994903" TargetMode="External"/><Relationship Id="rId56" Type="http://schemas.openxmlformats.org/officeDocument/2006/relationships/hyperlink" Target="https://clinicaltrials.gov/study/NCT01865071" TargetMode="External"/><Relationship Id="rId64" Type="http://schemas.openxmlformats.org/officeDocument/2006/relationships/hyperlink" Target="https://clinicaltrials.gov/study/NCT04947748?tab=table&amp;a=" TargetMode="External"/><Relationship Id="rId8" Type="http://schemas.openxmlformats.org/officeDocument/2006/relationships/hyperlink" Target="https://www.drks.de/drks_web/navigate.do?navigationId=trial.HTML&amp;TRIAL_ID=DRKS00024395" TargetMode="External"/><Relationship Id="rId51" Type="http://schemas.openxmlformats.org/officeDocument/2006/relationships/hyperlink" Target="http://clinicaltrials.gov/show/NCT03963427"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007952" TargetMode="External"/><Relationship Id="rId17" Type="http://schemas.openxmlformats.org/officeDocument/2006/relationships/hyperlink" Target="https://doi.org/10.1016/s2352-3026(22)00402-1" TargetMode="External"/><Relationship Id="rId25" Type="http://schemas.openxmlformats.org/officeDocument/2006/relationships/hyperlink" Target="http://clinicaltrials.gov/show/NCT03807518" TargetMode="External"/><Relationship Id="rId33" Type="http://schemas.openxmlformats.org/officeDocument/2006/relationships/hyperlink" Target="http://clinicaltrials.gov/show/NCT01308190" TargetMode="External"/><Relationship Id="rId38" Type="http://schemas.openxmlformats.org/officeDocument/2006/relationships/hyperlink" Target="http://clinicaltrials.gov/show/NCT02803814" TargetMode="External"/><Relationship Id="rId46" Type="http://schemas.openxmlformats.org/officeDocument/2006/relationships/hyperlink" Target="https://journals.lww.com/journalacs/fulltext/2016/08000/perioperative_simvastatin_therapy_in_major.12.aspx" TargetMode="External"/><Relationship Id="rId59" Type="http://schemas.openxmlformats.org/officeDocument/2006/relationships/hyperlink" Target="https://www.chictr.org.cn/showprojEN.html?proj=122535" TargetMode="External"/><Relationship Id="rId67" Type="http://schemas.microsoft.com/office/2017/10/relationships/threadedComment" Target="../threadedComments/threadedComment1.xml"/><Relationship Id="rId20" Type="http://schemas.openxmlformats.org/officeDocument/2006/relationships/hyperlink" Target="https://clinicaltrials.gov/ct2/show/NCT0264487" TargetMode="External"/><Relationship Id="rId41" Type="http://schemas.openxmlformats.org/officeDocument/2006/relationships/hyperlink" Target="http://clinicaltrials.gov/show/NCT01499979" TargetMode="External"/><Relationship Id="rId54" Type="http://schemas.openxmlformats.org/officeDocument/2006/relationships/hyperlink" Target="https://www.scopus.com/pages/publications/84939173471?inward=" TargetMode="External"/><Relationship Id="rId62" Type="http://schemas.openxmlformats.org/officeDocument/2006/relationships/hyperlink" Target="https://trialsjournal.biomedcentral.com/articles/10.1186/s13063-020-4220-8" TargetMode="External"/><Relationship Id="rId1" Type="http://schemas.openxmlformats.org/officeDocument/2006/relationships/hyperlink" Target="http://clinicaltrials.gov/show/NCT04219787" TargetMode="External"/><Relationship Id="rId6" Type="http://schemas.openxmlformats.org/officeDocument/2006/relationships/hyperlink" Target="http://www.isrctn.com/ISRCTN56164274" TargetMode="External"/><Relationship Id="rId15" Type="http://schemas.openxmlformats.org/officeDocument/2006/relationships/hyperlink" Target="https://doi.org/10.1001/jamasurg.2021.1555" TargetMode="External"/><Relationship Id="rId23" Type="http://schemas.openxmlformats.org/officeDocument/2006/relationships/hyperlink" Target="http://clinicaltrials.gov/show/NCT04122261" TargetMode="External"/><Relationship Id="rId28" Type="http://schemas.openxmlformats.org/officeDocument/2006/relationships/hyperlink" Target="http://clinicaltrials.gov/show/NCT03962244" TargetMode="External"/><Relationship Id="rId36" Type="http://schemas.openxmlformats.org/officeDocument/2006/relationships/hyperlink" Target="https://clinicaltrials.gov/show/NCT02172638" TargetMode="External"/><Relationship Id="rId49" Type="http://schemas.openxmlformats.org/officeDocument/2006/relationships/hyperlink" Target="https://clinicaltrials.gov/study/NCT00994903?term=NCT00994903&amp;rank=1" TargetMode="External"/><Relationship Id="rId57" Type="http://schemas.openxmlformats.org/officeDocument/2006/relationships/hyperlink" Target="https://bmccancer.biomedcentral.com/articles/10.1186/s12885-018-5232-6" TargetMode="External"/><Relationship Id="rId10" Type="http://schemas.openxmlformats.org/officeDocument/2006/relationships/hyperlink" Target="http://clinicaltrials.gov/show/NCT02243735" TargetMode="External"/><Relationship Id="rId31" Type="http://schemas.openxmlformats.org/officeDocument/2006/relationships/hyperlink" Target="http://clinicaltrials.gov/show/NCT02550769" TargetMode="External"/><Relationship Id="rId44" Type="http://schemas.openxmlformats.org/officeDocument/2006/relationships/hyperlink" Target="http://clinicaltrials.gov/show/NCT00994903" TargetMode="External"/><Relationship Id="rId52" Type="http://schemas.openxmlformats.org/officeDocument/2006/relationships/hyperlink" Target="https://clinicaltrials.gov/study/NCT03963427?term=NCT03963427&amp;rank=1" TargetMode="External"/><Relationship Id="rId60" Type="http://schemas.openxmlformats.org/officeDocument/2006/relationships/hyperlink" Target="https://www.chictr.org.cn/showprojEN.html?proj=124431" TargetMode="External"/><Relationship Id="rId65" Type="http://schemas.openxmlformats.org/officeDocument/2006/relationships/vmlDrawing" Target="../drawings/vmlDrawing1.vm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371304" TargetMode="External"/><Relationship Id="rId13" Type="http://schemas.openxmlformats.org/officeDocument/2006/relationships/hyperlink" Target="http://clinicaltrials.gov/show/NCT04558151" TargetMode="External"/><Relationship Id="rId18" Type="http://schemas.openxmlformats.org/officeDocument/2006/relationships/hyperlink" Target="https://www.sciencedirect.com/science/article/pii/S2352302622004021?via%3Dihub" TargetMode="External"/><Relationship Id="rId39" Type="http://schemas.openxmlformats.org/officeDocument/2006/relationships/hyperlink" Target="http://clinicaltrials.gov/show/NCT0278092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clinicaltrials.gov/study/NCT03963427?term=NCT03963427&amp;rank=1" TargetMode="External"/><Relationship Id="rId13" Type="http://schemas.openxmlformats.org/officeDocument/2006/relationships/hyperlink" Target="https://bmcsurg.biomedcentral.com/articles/10.1186/1471-2482-8-21" TargetMode="External"/><Relationship Id="rId18" Type="http://schemas.openxmlformats.org/officeDocument/2006/relationships/hyperlink" Target="https://www.chictr.org.cn/showprojEN.html?proj=124431" TargetMode="External"/><Relationship Id="rId3" Type="http://schemas.openxmlformats.org/officeDocument/2006/relationships/hyperlink" Target="https://doi.org/10.1016/j.jamcollsurg.2016.04.004" TargetMode="External"/><Relationship Id="rId7" Type="http://schemas.openxmlformats.org/officeDocument/2006/relationships/hyperlink" Target="http://www.sana-kl.de/unser-leistungsspektrum/kliniken-institute/allgemein-und-viszeralchirurgie/studien.html" TargetMode="External"/><Relationship Id="rId12" Type="http://schemas.openxmlformats.org/officeDocument/2006/relationships/hyperlink" Target="https://bmccancer.biomedcentral.com/articles/10.1186/s12885-018-5232-6" TargetMode="External"/><Relationship Id="rId17" Type="http://schemas.openxmlformats.org/officeDocument/2006/relationships/hyperlink" Target="https://doi.org/10.1136/bmjopen-2020-038930" TargetMode="External"/><Relationship Id="rId2" Type="http://schemas.openxmlformats.org/officeDocument/2006/relationships/hyperlink" Target="https://journals.lww.com/journalacs/fulltext/2016/08000/perioperative_simvastatin_therapy_in_major.12.aspx" TargetMode="External"/><Relationship Id="rId16" Type="http://schemas.openxmlformats.org/officeDocument/2006/relationships/hyperlink" Target="https://trialsjournal.biomedcentral.com/articles/10.1186/s13063-020-4220-8" TargetMode="External"/><Relationship Id="rId20" Type="http://schemas.openxmlformats.org/officeDocument/2006/relationships/hyperlink" Target="https://cdn.clinicaltrials.gov/large-docs/19/NCT03587519/Prot_SAP_000.pdf" TargetMode="External"/><Relationship Id="rId1" Type="http://schemas.openxmlformats.org/officeDocument/2006/relationships/hyperlink" Target="http://clinicaltrials.gov/show/NCT03963427" TargetMode="External"/><Relationship Id="rId6" Type="http://schemas.openxmlformats.org/officeDocument/2006/relationships/hyperlink" Target="https://clinicaltrials.gov/study/NCT00994903?term=NCT00994903&amp;rank=1" TargetMode="External"/><Relationship Id="rId11" Type="http://schemas.openxmlformats.org/officeDocument/2006/relationships/hyperlink" Target="https://clinicaltrials.gov/study/NCT01865071" TargetMode="External"/><Relationship Id="rId5" Type="http://schemas.openxmlformats.org/officeDocument/2006/relationships/hyperlink" Target="http://clinicaltrials.gov/show/NCT02775227" TargetMode="External"/><Relationship Id="rId15" Type="http://schemas.openxmlformats.org/officeDocument/2006/relationships/hyperlink" Target="https://clinicaltrials.gov/study/NCT06510088?tab=table" TargetMode="External"/><Relationship Id="rId10" Type="http://schemas.openxmlformats.org/officeDocument/2006/relationships/hyperlink" Target="https://pubmed.ncbi.nlm.nih.gov/31023380/" TargetMode="External"/><Relationship Id="rId19" Type="http://schemas.openxmlformats.org/officeDocument/2006/relationships/hyperlink" Target="https://www.chictr.org.cn/showprojEN.html?proj=122535" TargetMode="External"/><Relationship Id="rId4" Type="http://schemas.openxmlformats.org/officeDocument/2006/relationships/hyperlink" Target="http://clinicaltrials.gov/show/NCT00994903" TargetMode="External"/><Relationship Id="rId9" Type="http://schemas.openxmlformats.org/officeDocument/2006/relationships/hyperlink" Target="https://www.scopus.com/pages/publications/84939173471?inward=" TargetMode="External"/><Relationship Id="rId14" Type="http://schemas.openxmlformats.org/officeDocument/2006/relationships/hyperlink" Target="https://clinicaltrials.gov/study/NCT04947748?tab=table&amp;a="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clinicaltrials.gov/show/NCT02891187" TargetMode="External"/><Relationship Id="rId21" Type="http://schemas.openxmlformats.org/officeDocument/2006/relationships/hyperlink" Target="http://clinicaltrials.gov/show/NCT01675999" TargetMode="External"/><Relationship Id="rId42" Type="http://schemas.openxmlformats.org/officeDocument/2006/relationships/hyperlink" Target="http://clinicaltrials.gov/show/NCT04243967" TargetMode="External"/><Relationship Id="rId63" Type="http://schemas.openxmlformats.org/officeDocument/2006/relationships/hyperlink" Target="https://clinicaltrials.gov/show/NCT00359320" TargetMode="External"/><Relationship Id="rId84" Type="http://schemas.openxmlformats.org/officeDocument/2006/relationships/hyperlink" Target="http://clinicaltrials.gov/show/NCT02243735" TargetMode="External"/><Relationship Id="rId138" Type="http://schemas.openxmlformats.org/officeDocument/2006/relationships/hyperlink" Target="http://clinicaltrials.gov/show/NCT03419676" TargetMode="External"/><Relationship Id="rId159" Type="http://schemas.openxmlformats.org/officeDocument/2006/relationships/hyperlink" Target="http://clinicaltrials.gov/show/NCT01548339" TargetMode="External"/><Relationship Id="rId170" Type="http://schemas.openxmlformats.org/officeDocument/2006/relationships/hyperlink" Target="http://clinicaltrials.gov/show/NCT01042054" TargetMode="External"/><Relationship Id="rId107" Type="http://schemas.openxmlformats.org/officeDocument/2006/relationships/hyperlink" Target="http://clinicaltrials.gov/show/NCT01157676" TargetMode="External"/><Relationship Id="rId11" Type="http://schemas.openxmlformats.org/officeDocument/2006/relationships/hyperlink" Target="http://clinicaltrials.gov/show/NCT01595230" TargetMode="External"/><Relationship Id="rId32" Type="http://schemas.openxmlformats.org/officeDocument/2006/relationships/hyperlink" Target="http://clinicaltrials.gov/show/NCT02950324" TargetMode="External"/><Relationship Id="rId53" Type="http://schemas.openxmlformats.org/officeDocument/2006/relationships/hyperlink" Target="http://clinicaltrials.gov/show/NCT03963427" TargetMode="External"/><Relationship Id="rId74" Type="http://schemas.openxmlformats.org/officeDocument/2006/relationships/hyperlink" Target="http://clinicaltrials.gov/show/NCT02618720" TargetMode="External"/><Relationship Id="rId128" Type="http://schemas.openxmlformats.org/officeDocument/2006/relationships/hyperlink" Target="http://clinicaltrials.gov/show/NCT04055233" TargetMode="External"/><Relationship Id="rId149" Type="http://schemas.openxmlformats.org/officeDocument/2006/relationships/hyperlink" Target="http://clinicaltrials.gov/show/NCT01408693" TargetMode="External"/><Relationship Id="rId5" Type="http://schemas.openxmlformats.org/officeDocument/2006/relationships/hyperlink" Target="http://clinicaltrials.gov/show/NCT01317485" TargetMode="External"/><Relationship Id="rId95" Type="http://schemas.openxmlformats.org/officeDocument/2006/relationships/hyperlink" Target="https://pubmed.ncbi.nlm.nih.gov/34657367/" TargetMode="External"/><Relationship Id="rId160" Type="http://schemas.openxmlformats.org/officeDocument/2006/relationships/hyperlink" Target="http://clinicaltrials.gov/show/NCT03405922" TargetMode="External"/><Relationship Id="rId181" Type="http://schemas.microsoft.com/office/2017/10/relationships/threadedComment" Target="../threadedComments/threadedComment2.xml"/><Relationship Id="rId22" Type="http://schemas.openxmlformats.org/officeDocument/2006/relationships/hyperlink" Target="http://clinicaltrials.gov/show/NCT01960049" TargetMode="External"/><Relationship Id="rId43" Type="http://schemas.openxmlformats.org/officeDocument/2006/relationships/hyperlink" Target="http://clinicaltrials.gov/show/NCT037812016" TargetMode="External"/><Relationship Id="rId64" Type="http://schemas.openxmlformats.org/officeDocument/2006/relationships/hyperlink" Target="https://clinicaltrials.gov/ct2/show/NCT03281460" TargetMode="External"/><Relationship Id="rId118" Type="http://schemas.openxmlformats.org/officeDocument/2006/relationships/hyperlink" Target="http://clinicaltrials.gov/show/NCT00427375" TargetMode="External"/><Relationship Id="rId139" Type="http://schemas.openxmlformats.org/officeDocument/2006/relationships/hyperlink" Target="http://clinicaltrials.gov/show/NCT02574702" TargetMode="External"/><Relationship Id="rId85" Type="http://schemas.openxmlformats.org/officeDocument/2006/relationships/hyperlink" Target="https://journals.lww.com/journalacs/fulltext/2016/08000/perioperative_simvastatin_therapy_in_major.12.aspx" TargetMode="External"/><Relationship Id="rId150" Type="http://schemas.openxmlformats.org/officeDocument/2006/relationships/hyperlink" Target="https://clinicaltrials.gov/show/NCT02172638" TargetMode="External"/><Relationship Id="rId171" Type="http://schemas.openxmlformats.org/officeDocument/2006/relationships/hyperlink" Target="http://clinicaltrials.gov/show/NCT01150630" TargetMode="External"/><Relationship Id="rId12" Type="http://schemas.openxmlformats.org/officeDocument/2006/relationships/hyperlink" Target="http://clinicaltrials.gov/show/NCT01921985" TargetMode="External"/><Relationship Id="rId33" Type="http://schemas.openxmlformats.org/officeDocument/2006/relationships/hyperlink" Target="http://clinicaltrials.gov/show/NCT03045107" TargetMode="External"/><Relationship Id="rId108" Type="http://schemas.openxmlformats.org/officeDocument/2006/relationships/hyperlink" Target="http://clinicaltrials.gov/show/NCT01240772" TargetMode="External"/><Relationship Id="rId129" Type="http://schemas.openxmlformats.org/officeDocument/2006/relationships/hyperlink" Target="http://clinicaltrials.gov/show/NCT01137201" TargetMode="External"/><Relationship Id="rId54" Type="http://schemas.openxmlformats.org/officeDocument/2006/relationships/hyperlink" Target="http://clinicaltrials.gov/show/NCT%2000692393" TargetMode="External"/><Relationship Id="rId75" Type="http://schemas.openxmlformats.org/officeDocument/2006/relationships/hyperlink" Target="https://doi.org/10.1001/jamasurg.2021.1555" TargetMode="External"/><Relationship Id="rId96" Type="http://schemas.openxmlformats.org/officeDocument/2006/relationships/hyperlink" Target="https://doi.org/10.1111/bju.15619" TargetMode="External"/><Relationship Id="rId140" Type="http://schemas.openxmlformats.org/officeDocument/2006/relationships/hyperlink" Target="http://clinicaltrials.gov/show/NCT02550769" TargetMode="External"/><Relationship Id="rId161" Type="http://schemas.openxmlformats.org/officeDocument/2006/relationships/hyperlink" Target="http://clinicaltrials.gov/show/NCT00370344" TargetMode="External"/><Relationship Id="rId6" Type="http://schemas.openxmlformats.org/officeDocument/2006/relationships/hyperlink" Target="http://clinicaltrials.gov/show/NCT01460615" TargetMode="External"/><Relationship Id="rId23" Type="http://schemas.openxmlformats.org/officeDocument/2006/relationships/hyperlink" Target="http://clinicaltrials.gov/show/NCT03009227" TargetMode="External"/><Relationship Id="rId119" Type="http://schemas.openxmlformats.org/officeDocument/2006/relationships/hyperlink" Target="http://clinicaltrials.gov/show/NCT03930888" TargetMode="External"/><Relationship Id="rId44" Type="http://schemas.openxmlformats.org/officeDocument/2006/relationships/hyperlink" Target="http://clinicaltrials.gov/show/NCT00227526" TargetMode="External"/><Relationship Id="rId60" Type="http://schemas.openxmlformats.org/officeDocument/2006/relationships/hyperlink" Target="http://clinicaltrials.gov/show/NCT01766661" TargetMode="External"/><Relationship Id="rId65" Type="http://schemas.openxmlformats.org/officeDocument/2006/relationships/hyperlink" Target="http://clinicaltrials.gov/show/NCT02613728" TargetMode="External"/><Relationship Id="rId81" Type="http://schemas.openxmlformats.org/officeDocument/2006/relationships/hyperlink" Target="http://clinicaltrials.gov/show/NCT01544790" TargetMode="External"/><Relationship Id="rId86" Type="http://schemas.openxmlformats.org/officeDocument/2006/relationships/hyperlink" Target="https://doi.org/10.1016/j.jamcollsurg.2016.04.004" TargetMode="External"/><Relationship Id="rId130" Type="http://schemas.openxmlformats.org/officeDocument/2006/relationships/hyperlink" Target="http://clinicaltrials.gov/show/NCT00911391" TargetMode="External"/><Relationship Id="rId135" Type="http://schemas.openxmlformats.org/officeDocument/2006/relationships/hyperlink" Target="http://clinicaltrials.gov/show/NCT00994903" TargetMode="External"/><Relationship Id="rId151" Type="http://schemas.openxmlformats.org/officeDocument/2006/relationships/hyperlink" Target="http://clinicaltrials.gov/show/NCT00642005" TargetMode="External"/><Relationship Id="rId156" Type="http://schemas.openxmlformats.org/officeDocument/2006/relationships/hyperlink" Target="http://clinicaltrials.gov/show/NCT02803814" TargetMode="External"/><Relationship Id="rId177" Type="http://schemas.openxmlformats.org/officeDocument/2006/relationships/hyperlink" Target="http://clinicaltrials.gov/show/NCT02612220" TargetMode="External"/><Relationship Id="rId172" Type="http://schemas.openxmlformats.org/officeDocument/2006/relationships/hyperlink" Target="http://clinicaltrials.gov/show/NCT01499979" TargetMode="External"/><Relationship Id="rId13" Type="http://schemas.openxmlformats.org/officeDocument/2006/relationships/hyperlink" Target="http://clinicaltrials.gov/show/NCT02481427" TargetMode="External"/><Relationship Id="rId18" Type="http://schemas.openxmlformats.org/officeDocument/2006/relationships/hyperlink" Target="http://clinicaltrials.gov/show/NCT02026687" TargetMode="External"/><Relationship Id="rId39" Type="http://schemas.openxmlformats.org/officeDocument/2006/relationships/hyperlink" Target="http://clinicaltrials.gov/show/NCT02054013" TargetMode="External"/><Relationship Id="rId109" Type="http://schemas.openxmlformats.org/officeDocument/2006/relationships/hyperlink" Target="http://clinicaltrials.gov/show/NCT03460938" TargetMode="External"/><Relationship Id="rId34" Type="http://schemas.openxmlformats.org/officeDocument/2006/relationships/hyperlink" Target="http://clinicaltrials.gov/show/NCT00064662" TargetMode="External"/><Relationship Id="rId50" Type="http://schemas.openxmlformats.org/officeDocument/2006/relationships/hyperlink" Target="http://clinicaltrials.gov/show/NCT03984734" TargetMode="External"/><Relationship Id="rId55" Type="http://schemas.openxmlformats.org/officeDocument/2006/relationships/hyperlink" Target="http://clinicaltrials.gov/show/NCT00554892" TargetMode="External"/><Relationship Id="rId76" Type="http://schemas.openxmlformats.org/officeDocument/2006/relationships/hyperlink" Target="https://jamanetwork.com/journals/jamasurgery/fullarticle/2779968" TargetMode="External"/><Relationship Id="rId97" Type="http://schemas.openxmlformats.org/officeDocument/2006/relationships/hyperlink" Target="http://clinicaltrials.gov/show/NCT02834338" TargetMode="External"/><Relationship Id="rId104" Type="http://schemas.openxmlformats.org/officeDocument/2006/relationships/hyperlink" Target="http://clinicaltrials.gov/show/NCT04454866" TargetMode="External"/><Relationship Id="rId120" Type="http://schemas.openxmlformats.org/officeDocument/2006/relationships/hyperlink" Target="http://clinicaltrials.gov/show/NCT02212717" TargetMode="External"/><Relationship Id="rId125" Type="http://schemas.openxmlformats.org/officeDocument/2006/relationships/hyperlink" Target="http://clinicaltrials.gov/show/NCT03335527" TargetMode="External"/><Relationship Id="rId141" Type="http://schemas.openxmlformats.org/officeDocument/2006/relationships/hyperlink" Target="http://clinicaltrials.gov/show/NCT01308190" TargetMode="External"/><Relationship Id="rId146" Type="http://schemas.openxmlformats.org/officeDocument/2006/relationships/hyperlink" Target="http://clinicaltrials.gov/show/NCT01317342" TargetMode="External"/><Relationship Id="rId167" Type="http://schemas.openxmlformats.org/officeDocument/2006/relationships/hyperlink" Target="http://clinicaltrials.gov/show/NCT01275521" TargetMode="External"/><Relationship Id="rId7" Type="http://schemas.openxmlformats.org/officeDocument/2006/relationships/hyperlink" Target="http://clinicaltrials.gov/show/NCT04575233" TargetMode="External"/><Relationship Id="rId71" Type="http://schemas.openxmlformats.org/officeDocument/2006/relationships/hyperlink" Target="https://doi.org/10.1007/s00432-020-03327-2" TargetMode="External"/><Relationship Id="rId92" Type="http://schemas.openxmlformats.org/officeDocument/2006/relationships/hyperlink" Target="https://www.nature.com/articles/s41467-020-16251-3" TargetMode="External"/><Relationship Id="rId162" Type="http://schemas.openxmlformats.org/officeDocument/2006/relationships/hyperlink" Target="http://clinicaltrials.gov/show/NCT02451176" TargetMode="External"/><Relationship Id="rId2" Type="http://schemas.openxmlformats.org/officeDocument/2006/relationships/hyperlink" Target="http://clinicaltrials.gov/show/NCT00730743" TargetMode="External"/><Relationship Id="rId29" Type="http://schemas.openxmlformats.org/officeDocument/2006/relationships/hyperlink" Target="http://clinicaltrials.gov/show/NCT02533271" TargetMode="External"/><Relationship Id="rId24" Type="http://schemas.openxmlformats.org/officeDocument/2006/relationships/hyperlink" Target="http://clinicaltrials.gov/show/NCT01480128" TargetMode="External"/><Relationship Id="rId40" Type="http://schemas.openxmlformats.org/officeDocument/2006/relationships/hyperlink" Target="http://clinicaltrials.gov/show/NCT02085902" TargetMode="External"/><Relationship Id="rId45" Type="http://schemas.openxmlformats.org/officeDocument/2006/relationships/hyperlink" Target="https://clinicaltrials.gov/ct2/show/NCT02502760" TargetMode="External"/><Relationship Id="rId66" Type="http://schemas.openxmlformats.org/officeDocument/2006/relationships/hyperlink" Target="http://clinicaltrials.gov/show/NCT02555293" TargetMode="External"/><Relationship Id="rId87" Type="http://schemas.openxmlformats.org/officeDocument/2006/relationships/hyperlink" Target="http://clinicaltrials.gov/show/NCT00994903" TargetMode="External"/><Relationship Id="rId110" Type="http://schemas.openxmlformats.org/officeDocument/2006/relationships/hyperlink" Target="http://clinicaltrials.gov/show/NCT02248519" TargetMode="External"/><Relationship Id="rId115" Type="http://schemas.openxmlformats.org/officeDocument/2006/relationships/hyperlink" Target="http://clinicaltrials.gov/show/NCT00830778" TargetMode="External"/><Relationship Id="rId131" Type="http://schemas.openxmlformats.org/officeDocument/2006/relationships/hyperlink" Target="http://clinicaltrials.gov/show/NCT00488904" TargetMode="External"/><Relationship Id="rId136" Type="http://schemas.openxmlformats.org/officeDocument/2006/relationships/hyperlink" Target="http://clinicaltrials.gov/show/NCT01523626" TargetMode="External"/><Relationship Id="rId157" Type="http://schemas.openxmlformats.org/officeDocument/2006/relationships/hyperlink" Target="http://clinicaltrials.gov/show/NCT00427375" TargetMode="External"/><Relationship Id="rId178" Type="http://schemas.openxmlformats.org/officeDocument/2006/relationships/hyperlink" Target="http://clinicaltrials.gov/show/NCT04516031" TargetMode="External"/><Relationship Id="rId61" Type="http://schemas.openxmlformats.org/officeDocument/2006/relationships/hyperlink" Target="http://clinicaltrials.gov/show/NCT04781049" TargetMode="External"/><Relationship Id="rId82" Type="http://schemas.openxmlformats.org/officeDocument/2006/relationships/hyperlink" Target="https://doi.org/10.1016/s2352-3026(22)00402-1" TargetMode="External"/><Relationship Id="rId152" Type="http://schemas.openxmlformats.org/officeDocument/2006/relationships/hyperlink" Target="http://clinicaltrials.gov/show/NCT03234296" TargetMode="External"/><Relationship Id="rId173" Type="http://schemas.openxmlformats.org/officeDocument/2006/relationships/hyperlink" Target="http://clinicaltrials.gov/show/NCT01015417" TargetMode="External"/><Relationship Id="rId19" Type="http://schemas.openxmlformats.org/officeDocument/2006/relationships/hyperlink" Target="http://clinicaltrials.gov/show/NCT01384617" TargetMode="External"/><Relationship Id="rId14" Type="http://schemas.openxmlformats.org/officeDocument/2006/relationships/hyperlink" Target="http://clinicaltrials.gov/show/NCT01362127" TargetMode="External"/><Relationship Id="rId30" Type="http://schemas.openxmlformats.org/officeDocument/2006/relationships/hyperlink" Target="http://clinicaltrials.gov/show/NCT01899547" TargetMode="External"/><Relationship Id="rId35" Type="http://schemas.openxmlformats.org/officeDocument/2006/relationships/hyperlink" Target="http://clinicaltrials.gov/show/NCT01256034" TargetMode="External"/><Relationship Id="rId56" Type="http://schemas.openxmlformats.org/officeDocument/2006/relationships/hyperlink" Target="http://clinicaltrials.gov/show/NCT01870817" TargetMode="External"/><Relationship Id="rId77" Type="http://schemas.openxmlformats.org/officeDocument/2006/relationships/hyperlink" Target="https://www.sciencedirect.com/science/article/pii/S2666776223000923" TargetMode="External"/><Relationship Id="rId100" Type="http://schemas.openxmlformats.org/officeDocument/2006/relationships/hyperlink" Target="http://clinicaltrials.gov/show/NCT02435758" TargetMode="External"/><Relationship Id="rId105" Type="http://schemas.openxmlformats.org/officeDocument/2006/relationships/hyperlink" Target="http://clinicaltrials.gov/show/NCT04122261" TargetMode="External"/><Relationship Id="rId126" Type="http://schemas.openxmlformats.org/officeDocument/2006/relationships/hyperlink" Target="http://clinicaltrials.gov/show/NCT02853981" TargetMode="External"/><Relationship Id="rId147" Type="http://schemas.openxmlformats.org/officeDocument/2006/relationships/hyperlink" Target="http://clinicaltrials.gov/show/NCT03376347" TargetMode="External"/><Relationship Id="rId168" Type="http://schemas.openxmlformats.org/officeDocument/2006/relationships/hyperlink" Target="http://clinicaltrials.gov/show/NCT00325039" TargetMode="External"/><Relationship Id="rId8" Type="http://schemas.openxmlformats.org/officeDocument/2006/relationships/hyperlink" Target="http://clinicaltrials.gov/show/NCT03957109" TargetMode="External"/><Relationship Id="rId51" Type="http://schemas.openxmlformats.org/officeDocument/2006/relationships/hyperlink" Target="http://clinicaltrials.gov/show/NCT00915863" TargetMode="External"/><Relationship Id="rId72" Type="http://schemas.openxmlformats.org/officeDocument/2006/relationships/hyperlink" Target="https://doi.org/10.1136/bmj-2022-071476" TargetMode="External"/><Relationship Id="rId93" Type="http://schemas.openxmlformats.org/officeDocument/2006/relationships/hyperlink" Target="https://doi.org/10.1038/s41467-020-16251-3" TargetMode="External"/><Relationship Id="rId98" Type="http://schemas.openxmlformats.org/officeDocument/2006/relationships/hyperlink" Target="https://clinicaltrials.gov/ct2/show/NCT00478348" TargetMode="External"/><Relationship Id="rId121" Type="http://schemas.openxmlformats.org/officeDocument/2006/relationships/hyperlink" Target="http://clinicaltrials.gov/show/NCT02775227" TargetMode="External"/><Relationship Id="rId142" Type="http://schemas.openxmlformats.org/officeDocument/2006/relationships/hyperlink" Target="http://clinicaltrials.gov/show/NCT01785212" TargetMode="External"/><Relationship Id="rId163" Type="http://schemas.openxmlformats.org/officeDocument/2006/relationships/hyperlink" Target="http://clinicaltrials.gov/show/NCT02061176" TargetMode="External"/><Relationship Id="rId3" Type="http://schemas.openxmlformats.org/officeDocument/2006/relationships/hyperlink" Target="http://clinicaltrials.gov/show/NCT02727322" TargetMode="External"/><Relationship Id="rId25" Type="http://schemas.openxmlformats.org/officeDocument/2006/relationships/hyperlink" Target="http://clinicaltrials.gov/show/NCT05080114" TargetMode="External"/><Relationship Id="rId46" Type="http://schemas.openxmlformats.org/officeDocument/2006/relationships/hyperlink" Target="http://clinicaltrials.gov/show/NCT02662257" TargetMode="External"/><Relationship Id="rId67" Type="http://schemas.openxmlformats.org/officeDocument/2006/relationships/hyperlink" Target="http://clinicaltrials.gov/show/NCT00516711" TargetMode="External"/><Relationship Id="rId116" Type="http://schemas.openxmlformats.org/officeDocument/2006/relationships/hyperlink" Target="http://clinicaltrials.gov/show/NCT03440398" TargetMode="External"/><Relationship Id="rId137" Type="http://schemas.openxmlformats.org/officeDocument/2006/relationships/hyperlink" Target="http://clinicaltrials.gov/show/NCT04891874" TargetMode="External"/><Relationship Id="rId158" Type="http://schemas.openxmlformats.org/officeDocument/2006/relationships/hyperlink" Target="http://clinicaltrials.gov/show/NCT02758951" TargetMode="External"/><Relationship Id="rId20" Type="http://schemas.openxmlformats.org/officeDocument/2006/relationships/hyperlink" Target="http://clinicaltrials.gov/show/NCT01526668" TargetMode="External"/><Relationship Id="rId41" Type="http://schemas.openxmlformats.org/officeDocument/2006/relationships/hyperlink" Target="http://clinicaltrials.gov/show/NCT01974388" TargetMode="External"/><Relationship Id="rId62" Type="http://schemas.openxmlformats.org/officeDocument/2006/relationships/hyperlink" Target="http://clinicaltrials.gov/show/NCT05130918" TargetMode="External"/><Relationship Id="rId83" Type="http://schemas.openxmlformats.org/officeDocument/2006/relationships/hyperlink" Target="https://www.sciencedirect.com/science/article/pii/S2352302622004021?via%3Dihub" TargetMode="External"/><Relationship Id="rId88" Type="http://schemas.openxmlformats.org/officeDocument/2006/relationships/hyperlink" Target="https://www.sciencedirect.com/science/article/pii/S2468125323002431?via%3Dihub" TargetMode="External"/><Relationship Id="rId111" Type="http://schemas.openxmlformats.org/officeDocument/2006/relationships/hyperlink" Target="http://clinicaltrials.gov/show/NCT01256047" TargetMode="External"/><Relationship Id="rId132" Type="http://schemas.openxmlformats.org/officeDocument/2006/relationships/hyperlink" Target="http://clinicaltrials.gov/show/NCT01533038" TargetMode="External"/><Relationship Id="rId153" Type="http://schemas.openxmlformats.org/officeDocument/2006/relationships/hyperlink" Target="http://clinicaltrials.gov/show/NCT00793143" TargetMode="External"/><Relationship Id="rId174" Type="http://schemas.openxmlformats.org/officeDocument/2006/relationships/hyperlink" Target="http://clinicaltrials.gov/show/NCT02328365" TargetMode="External"/><Relationship Id="rId179" Type="http://schemas.openxmlformats.org/officeDocument/2006/relationships/vmlDrawing" Target="../drawings/vmlDrawing2.vml"/><Relationship Id="rId15" Type="http://schemas.openxmlformats.org/officeDocument/2006/relationships/hyperlink" Target="http://clinicaltrials.gov/show/NCT02415335" TargetMode="External"/><Relationship Id="rId36" Type="http://schemas.openxmlformats.org/officeDocument/2006/relationships/hyperlink" Target="http://clinicaltrials.gov/show/NCT02542085" TargetMode="External"/><Relationship Id="rId57" Type="http://schemas.openxmlformats.org/officeDocument/2006/relationships/hyperlink" Target="http://clinicaltrials.gov/show/NCT01344018" TargetMode="External"/><Relationship Id="rId106" Type="http://schemas.openxmlformats.org/officeDocument/2006/relationships/hyperlink" Target="http://clinicaltrials.gov/show/NCT00325039" TargetMode="External"/><Relationship Id="rId127" Type="http://schemas.openxmlformats.org/officeDocument/2006/relationships/hyperlink" Target="https://clinicaltrials.gov/ct2/show/NCT02375529" TargetMode="External"/><Relationship Id="rId10" Type="http://schemas.openxmlformats.org/officeDocument/2006/relationships/hyperlink" Target="http://clinicaltrials.gov/show/NCT03522259" TargetMode="External"/><Relationship Id="rId31" Type="http://schemas.openxmlformats.org/officeDocument/2006/relationships/hyperlink" Target="http://clinicaltrials.gov/show/NCT02279771" TargetMode="External"/><Relationship Id="rId52" Type="http://schemas.openxmlformats.org/officeDocument/2006/relationships/hyperlink" Target="http://clinicaltrials.gov/show/NCT02838134" TargetMode="External"/><Relationship Id="rId73" Type="http://schemas.openxmlformats.org/officeDocument/2006/relationships/hyperlink" Target="https://www.bmj.com/content/379/bmj-2022-071476" TargetMode="External"/><Relationship Id="rId78" Type="http://schemas.openxmlformats.org/officeDocument/2006/relationships/hyperlink" Target="https://doi.org/10.1016/j.lanepe.2023.100673" TargetMode="External"/><Relationship Id="rId94" Type="http://schemas.openxmlformats.org/officeDocument/2006/relationships/hyperlink" Target="http://clinicaltrials.gov/show/NCT02740608" TargetMode="External"/><Relationship Id="rId99" Type="http://schemas.openxmlformats.org/officeDocument/2006/relationships/hyperlink" Target="http://clinicaltrials.gov/show/NCT03436329" TargetMode="External"/><Relationship Id="rId101" Type="http://schemas.openxmlformats.org/officeDocument/2006/relationships/hyperlink" Target="http://clinicaltrials.gov/show/NCT00537927" TargetMode="External"/><Relationship Id="rId122" Type="http://schemas.openxmlformats.org/officeDocument/2006/relationships/hyperlink" Target="http://clinicaltrials.gov/show/NCT01189292" TargetMode="External"/><Relationship Id="rId143" Type="http://schemas.openxmlformats.org/officeDocument/2006/relationships/hyperlink" Target="http://clinicaltrials.gov/show/NCT01047462" TargetMode="External"/><Relationship Id="rId148" Type="http://schemas.openxmlformats.org/officeDocument/2006/relationships/hyperlink" Target="http://clinicaltrials.gov/show/NCT00908245" TargetMode="External"/><Relationship Id="rId164" Type="http://schemas.openxmlformats.org/officeDocument/2006/relationships/hyperlink" Target="http://clinicaltrials.gov/show/NCT%2001291576" TargetMode="External"/><Relationship Id="rId169" Type="http://schemas.openxmlformats.org/officeDocument/2006/relationships/hyperlink" Target="http://clinicaltrials.gov/show/NCT02292914" TargetMode="External"/><Relationship Id="rId4" Type="http://schemas.openxmlformats.org/officeDocument/2006/relationships/hyperlink" Target="http://clinicaltrials.gov/show/NCT01986699" TargetMode="External"/><Relationship Id="rId9" Type="http://schemas.openxmlformats.org/officeDocument/2006/relationships/hyperlink" Target="http://clinicaltrials.gov/show/NCT03269955" TargetMode="External"/><Relationship Id="rId180" Type="http://schemas.openxmlformats.org/officeDocument/2006/relationships/comments" Target="../comments2.xml"/><Relationship Id="rId26" Type="http://schemas.openxmlformats.org/officeDocument/2006/relationships/hyperlink" Target="http://clinicaltrials.gov/show/NCT00722709" TargetMode="External"/><Relationship Id="rId47" Type="http://schemas.openxmlformats.org/officeDocument/2006/relationships/hyperlink" Target="http://clinicaltrials.gov/show/NCT02479685" TargetMode="External"/><Relationship Id="rId68" Type="http://schemas.openxmlformats.org/officeDocument/2006/relationships/hyperlink" Target="http://clinicaltrials.gov/show/NCT00913276" TargetMode="External"/><Relationship Id="rId89" Type="http://schemas.openxmlformats.org/officeDocument/2006/relationships/hyperlink" Target="https://doi.org/10.1016/s2468-1253(23)00243-1" TargetMode="External"/><Relationship Id="rId112" Type="http://schemas.openxmlformats.org/officeDocument/2006/relationships/hyperlink" Target="http://clinicaltrials.gov/show/NCT02453165" TargetMode="External"/><Relationship Id="rId133" Type="http://schemas.openxmlformats.org/officeDocument/2006/relationships/hyperlink" Target="http://clinicaltrials.gov/show/NCT04893642" TargetMode="External"/><Relationship Id="rId154" Type="http://schemas.openxmlformats.org/officeDocument/2006/relationships/hyperlink" Target="http://clinicaltrials.gov/show/NCT01847703" TargetMode="External"/><Relationship Id="rId175" Type="http://schemas.openxmlformats.org/officeDocument/2006/relationships/hyperlink" Target="http://clinicaltrials.gov/show/NCT00732979" TargetMode="External"/><Relationship Id="rId16" Type="http://schemas.openxmlformats.org/officeDocument/2006/relationships/hyperlink" Target="http://clinicaltrials.gov/show/NCT02711449" TargetMode="External"/><Relationship Id="rId37" Type="http://schemas.openxmlformats.org/officeDocument/2006/relationships/hyperlink" Target="http://clinicaltrials.gov/show/NCT00487409" TargetMode="External"/><Relationship Id="rId58" Type="http://schemas.openxmlformats.org/officeDocument/2006/relationships/hyperlink" Target="http://clinicaltrials.gov/show/NCT02162563" TargetMode="External"/><Relationship Id="rId79" Type="http://schemas.openxmlformats.org/officeDocument/2006/relationships/hyperlink" Target="https://doi.org/10.1097/sla.0000000000003031" TargetMode="External"/><Relationship Id="rId102" Type="http://schemas.openxmlformats.org/officeDocument/2006/relationships/hyperlink" Target="http://clinicaltrials.gov/show/NCT02464215" TargetMode="External"/><Relationship Id="rId123" Type="http://schemas.openxmlformats.org/officeDocument/2006/relationships/hyperlink" Target="http://clinicaltrials.gov/show/NCT03570541" TargetMode="External"/><Relationship Id="rId144" Type="http://schemas.openxmlformats.org/officeDocument/2006/relationships/hyperlink" Target="http://clinicaltrials.gov/show/NCT02919683" TargetMode="External"/><Relationship Id="rId90" Type="http://schemas.openxmlformats.org/officeDocument/2006/relationships/hyperlink" Target="http://clinicaltrials.gov/show/NCT01726452" TargetMode="External"/><Relationship Id="rId165" Type="http://schemas.openxmlformats.org/officeDocument/2006/relationships/hyperlink" Target="http://clinicaltrials.gov/show/NCT00472537" TargetMode="External"/><Relationship Id="rId27" Type="http://schemas.openxmlformats.org/officeDocument/2006/relationships/hyperlink" Target="http://clinicaltrials.gov/show/NCT00915265" TargetMode="External"/><Relationship Id="rId48" Type="http://schemas.openxmlformats.org/officeDocument/2006/relationships/hyperlink" Target="http://clinicaltrials.gov/show/NCT02430168" TargetMode="External"/><Relationship Id="rId69" Type="http://schemas.openxmlformats.org/officeDocument/2006/relationships/hyperlink" Target="https://doi.org/10.3390/nu14030615" TargetMode="External"/><Relationship Id="rId113" Type="http://schemas.openxmlformats.org/officeDocument/2006/relationships/hyperlink" Target="http://clinicaltrials.gov/show/NCT02654249" TargetMode="External"/><Relationship Id="rId134" Type="http://schemas.openxmlformats.org/officeDocument/2006/relationships/hyperlink" Target="http://clinicaltrials.gov/show/NCT03236961" TargetMode="External"/><Relationship Id="rId80" Type="http://schemas.openxmlformats.org/officeDocument/2006/relationships/hyperlink" Target="https://journals.lww.com/annalsofsurgery/fulltext/2019/04000/robot_assisted_minimally_invasive.8.aspx" TargetMode="External"/><Relationship Id="rId155" Type="http://schemas.openxmlformats.org/officeDocument/2006/relationships/hyperlink" Target="http://clinicaltrials.gov/show/NCT03302169" TargetMode="External"/><Relationship Id="rId176" Type="http://schemas.openxmlformats.org/officeDocument/2006/relationships/hyperlink" Target="http://clinicaltrials.gov/show/NCT01049607" TargetMode="External"/><Relationship Id="rId17" Type="http://schemas.openxmlformats.org/officeDocument/2006/relationships/hyperlink" Target="http://clinicaltrials.gov/show/NCT01084070" TargetMode="External"/><Relationship Id="rId38" Type="http://schemas.openxmlformats.org/officeDocument/2006/relationships/hyperlink" Target="http://clinicaltrials.gov/show/NCT03406975" TargetMode="External"/><Relationship Id="rId59" Type="http://schemas.openxmlformats.org/officeDocument/2006/relationships/hyperlink" Target="http://clinicaltrials.gov/show/NCT02667860" TargetMode="External"/><Relationship Id="rId103" Type="http://schemas.openxmlformats.org/officeDocument/2006/relationships/hyperlink" Target="http://clinicaltrials.gov/show/NCT03138213" TargetMode="External"/><Relationship Id="rId124" Type="http://schemas.openxmlformats.org/officeDocument/2006/relationships/hyperlink" Target="http://clinicaltrials.gov/show/NCT01972490" TargetMode="External"/><Relationship Id="rId70" Type="http://schemas.openxmlformats.org/officeDocument/2006/relationships/hyperlink" Target="https://doi.org/10.1007/s00432-020-03327-2" TargetMode="External"/><Relationship Id="rId91" Type="http://schemas.openxmlformats.org/officeDocument/2006/relationships/hyperlink" Target="https://doi.org/10.1002/bjs5.71" TargetMode="External"/><Relationship Id="rId145" Type="http://schemas.openxmlformats.org/officeDocument/2006/relationships/hyperlink" Target="http://clinicaltrials.gov/show/NCT01278537" TargetMode="External"/><Relationship Id="rId166" Type="http://schemas.openxmlformats.org/officeDocument/2006/relationships/hyperlink" Target="http://clinicaltrials.gov/show/NCT02727179" TargetMode="External"/><Relationship Id="rId1" Type="http://schemas.openxmlformats.org/officeDocument/2006/relationships/hyperlink" Target="http://clinicaltrials.gov/show/NCT01759901" TargetMode="External"/><Relationship Id="rId28" Type="http://schemas.openxmlformats.org/officeDocument/2006/relationships/hyperlink" Target="http://clinicaltrials.gov/show/NCT03134534" TargetMode="External"/><Relationship Id="rId49" Type="http://schemas.openxmlformats.org/officeDocument/2006/relationships/hyperlink" Target="http://clinicaltrials.gov/show/NCT01728116" TargetMode="External"/><Relationship Id="rId114" Type="http://schemas.openxmlformats.org/officeDocument/2006/relationships/hyperlink" Target="http://clinicaltrials.gov/show/NCT01460550"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clinicaltrials.gov/show/NCT01726452" TargetMode="External"/><Relationship Id="rId21" Type="http://schemas.openxmlformats.org/officeDocument/2006/relationships/hyperlink" Target="http://clinicaltrials.gov/show/NCT02481427" TargetMode="External"/><Relationship Id="rId42" Type="http://schemas.openxmlformats.org/officeDocument/2006/relationships/hyperlink" Target="http://clinicaltrials.gov/show/NCT00915265" TargetMode="External"/><Relationship Id="rId63" Type="http://schemas.openxmlformats.org/officeDocument/2006/relationships/hyperlink" Target="http://clinicaltrials.gov/show/NCT037812016" TargetMode="External"/><Relationship Id="rId84" Type="http://schemas.openxmlformats.org/officeDocument/2006/relationships/hyperlink" Target="http://clinicaltrials.gov/show/NCT04558151" TargetMode="External"/><Relationship Id="rId138" Type="http://schemas.openxmlformats.org/officeDocument/2006/relationships/hyperlink" Target="http://clinicaltrials.gov/show/NCT03460938" TargetMode="External"/><Relationship Id="rId159" Type="http://schemas.openxmlformats.org/officeDocument/2006/relationships/hyperlink" Target="http://clinicaltrials.gov/show/NCT03962244" TargetMode="External"/><Relationship Id="rId170" Type="http://schemas.openxmlformats.org/officeDocument/2006/relationships/hyperlink" Target="http://clinicaltrials.gov/show/NCT03443856" TargetMode="External"/><Relationship Id="rId191" Type="http://schemas.openxmlformats.org/officeDocument/2006/relationships/hyperlink" Target="http://clinicaltrials.gov/show/NCT03376347" TargetMode="External"/><Relationship Id="rId205" Type="http://schemas.openxmlformats.org/officeDocument/2006/relationships/hyperlink" Target="https://bmjopen.bmj.com/lookup/external-ref?link_type=CLINTRIALGOV&amp;access_num=NCT01347697&amp;atom=%2Fbmjopen%2F9%2F5%2Fe027255.atom" TargetMode="External"/><Relationship Id="rId226" Type="http://schemas.openxmlformats.org/officeDocument/2006/relationships/hyperlink" Target="http://clinicaltrials.gov/show/NCT04057209" TargetMode="External"/><Relationship Id="rId107" Type="http://schemas.openxmlformats.org/officeDocument/2006/relationships/hyperlink" Target="https://journals.lww.com/annalsofsurgery/fulltext/2019/04000/robot_assisted_minimally_invasive.8.aspx" TargetMode="External"/><Relationship Id="rId11" Type="http://schemas.openxmlformats.org/officeDocument/2006/relationships/hyperlink" Target="http://clinicaltrials.gov/show/NCT03957109" TargetMode="External"/><Relationship Id="rId32" Type="http://schemas.openxmlformats.org/officeDocument/2006/relationships/hyperlink" Target="http://clinicaltrials.gov/show/NCT01526668" TargetMode="External"/><Relationship Id="rId53" Type="http://schemas.openxmlformats.org/officeDocument/2006/relationships/hyperlink" Target="http://clinicaltrials.gov/show/NCT05480735" TargetMode="External"/><Relationship Id="rId74" Type="http://schemas.openxmlformats.org/officeDocument/2006/relationships/hyperlink" Target="http://clinicaltrials.gov/show/NCT02838134" TargetMode="External"/><Relationship Id="rId128" Type="http://schemas.openxmlformats.org/officeDocument/2006/relationships/hyperlink" Target="http://clinicaltrials.gov/show/NCT00537927" TargetMode="External"/><Relationship Id="rId149" Type="http://schemas.openxmlformats.org/officeDocument/2006/relationships/hyperlink" Target="http://clinicaltrials.gov/show/NCT02891187" TargetMode="External"/><Relationship Id="rId5" Type="http://schemas.openxmlformats.org/officeDocument/2006/relationships/hyperlink" Target="http://clinicaltrials.gov/show/NCT05513443" TargetMode="External"/><Relationship Id="rId95" Type="http://schemas.openxmlformats.org/officeDocument/2006/relationships/hyperlink" Target="http://clinicaltrials.gov/show/NCT00913276" TargetMode="External"/><Relationship Id="rId160" Type="http://schemas.openxmlformats.org/officeDocument/2006/relationships/hyperlink" Target="http://clinicaltrials.gov/show/NCT03335527" TargetMode="External"/><Relationship Id="rId181" Type="http://schemas.openxmlformats.org/officeDocument/2006/relationships/hyperlink" Target="http://clinicaltrials.gov/show/NCT03978325" TargetMode="External"/><Relationship Id="rId216" Type="http://schemas.openxmlformats.org/officeDocument/2006/relationships/hyperlink" Target="http://clinicaltrials.gov/show/NCT00472537" TargetMode="External"/><Relationship Id="rId237" Type="http://schemas.openxmlformats.org/officeDocument/2006/relationships/comments" Target="../comments3.xml"/><Relationship Id="rId22" Type="http://schemas.openxmlformats.org/officeDocument/2006/relationships/hyperlink" Target="http://clinicaltrials.gov/show/NCT02848820" TargetMode="External"/><Relationship Id="rId43" Type="http://schemas.openxmlformats.org/officeDocument/2006/relationships/hyperlink" Target="http://clinicaltrials.gov/show/NCT05042882" TargetMode="External"/><Relationship Id="rId64" Type="http://schemas.openxmlformats.org/officeDocument/2006/relationships/hyperlink" Target="http://clinicaltrials.gov/show/NCT00227526" TargetMode="External"/><Relationship Id="rId118" Type="http://schemas.openxmlformats.org/officeDocument/2006/relationships/hyperlink" Target="https://doi.org/10.1002/bjs5.71" TargetMode="External"/><Relationship Id="rId139" Type="http://schemas.openxmlformats.org/officeDocument/2006/relationships/hyperlink" Target="http://clinicaltrials.gov/show/NCT05385887" TargetMode="External"/><Relationship Id="rId85" Type="http://schemas.openxmlformats.org/officeDocument/2006/relationships/hyperlink" Target="http://clinicaltrials.gov/show/NCT01766661" TargetMode="External"/><Relationship Id="rId150" Type="http://schemas.openxmlformats.org/officeDocument/2006/relationships/hyperlink" Target="http://clinicaltrials.gov/show/NCT05244772" TargetMode="External"/><Relationship Id="rId171" Type="http://schemas.openxmlformats.org/officeDocument/2006/relationships/hyperlink" Target="http://clinicaltrials.gov/show/NCT03097081" TargetMode="External"/><Relationship Id="rId192" Type="http://schemas.openxmlformats.org/officeDocument/2006/relationships/hyperlink" Target="http://clinicaltrials.gov/show/NCT00908245" TargetMode="External"/><Relationship Id="rId206" Type="http://schemas.openxmlformats.org/officeDocument/2006/relationships/hyperlink" Target="http://clinicaltrials.gov/show/NCT00427375" TargetMode="External"/><Relationship Id="rId227" Type="http://schemas.openxmlformats.org/officeDocument/2006/relationships/hyperlink" Target="http://clinicaltrials.gov/show/NCT04821258" TargetMode="External"/><Relationship Id="rId12" Type="http://schemas.openxmlformats.org/officeDocument/2006/relationships/hyperlink" Target="http://clinicaltrials.gov/show/NCT03269955" TargetMode="External"/><Relationship Id="rId33" Type="http://schemas.openxmlformats.org/officeDocument/2006/relationships/hyperlink" Target="http://clinicaltrials.gov/show/NCT01675999" TargetMode="External"/><Relationship Id="rId108" Type="http://schemas.openxmlformats.org/officeDocument/2006/relationships/hyperlink" Target="http://clinicaltrials.gov/show/NCT01544790" TargetMode="External"/><Relationship Id="rId129" Type="http://schemas.openxmlformats.org/officeDocument/2006/relationships/hyperlink" Target="http://clinicaltrials.gov/show/NCT02464215" TargetMode="External"/><Relationship Id="rId54" Type="http://schemas.openxmlformats.org/officeDocument/2006/relationships/hyperlink" Target="http://clinicaltrials.gov/show/NCT01256034" TargetMode="External"/><Relationship Id="rId75" Type="http://schemas.openxmlformats.org/officeDocument/2006/relationships/hyperlink" Target="http://clinicaltrials.gov/show/NCT03963427" TargetMode="External"/><Relationship Id="rId96" Type="http://schemas.openxmlformats.org/officeDocument/2006/relationships/hyperlink" Target="https://doi.org/10.3390/nu14030615" TargetMode="External"/><Relationship Id="rId140" Type="http://schemas.openxmlformats.org/officeDocument/2006/relationships/hyperlink" Target="http://clinicaltrials.gov/show/NCT02248519" TargetMode="External"/><Relationship Id="rId161" Type="http://schemas.openxmlformats.org/officeDocument/2006/relationships/hyperlink" Target="http://clinicaltrials.gov/show/NCT04138212" TargetMode="External"/><Relationship Id="rId182" Type="http://schemas.openxmlformats.org/officeDocument/2006/relationships/hyperlink" Target="http://clinicaltrials.gov/show/NCT03419676" TargetMode="External"/><Relationship Id="rId217" Type="http://schemas.openxmlformats.org/officeDocument/2006/relationships/hyperlink" Target="http://clinicaltrials.gov/show/NCT01172899" TargetMode="External"/><Relationship Id="rId6" Type="http://schemas.openxmlformats.org/officeDocument/2006/relationships/hyperlink" Target="http://clinicaltrials.gov/show/NCT01317485" TargetMode="External"/><Relationship Id="rId238" Type="http://schemas.microsoft.com/office/2017/10/relationships/threadedComment" Target="../threadedComments/threadedComment3.xml"/><Relationship Id="rId23" Type="http://schemas.openxmlformats.org/officeDocument/2006/relationships/hyperlink" Target="http://clinicaltrials.gov/show/NCT01362127" TargetMode="External"/><Relationship Id="rId119" Type="http://schemas.openxmlformats.org/officeDocument/2006/relationships/hyperlink" Target="https://www.nature.com/articles/s41467-020-16251-3" TargetMode="External"/><Relationship Id="rId44" Type="http://schemas.openxmlformats.org/officeDocument/2006/relationships/hyperlink" Target="http://clinicaltrials.gov/show/NCT03134534" TargetMode="External"/><Relationship Id="rId65" Type="http://schemas.openxmlformats.org/officeDocument/2006/relationships/hyperlink" Target="https://clinicaltrials.gov/ct2/show/NCT02502760" TargetMode="External"/><Relationship Id="rId86" Type="http://schemas.openxmlformats.org/officeDocument/2006/relationships/hyperlink" Target="http://clinicaltrials.gov/show/NCT03872271" TargetMode="External"/><Relationship Id="rId130" Type="http://schemas.openxmlformats.org/officeDocument/2006/relationships/hyperlink" Target="http://clinicaltrials.gov/show/NCT03138213" TargetMode="External"/><Relationship Id="rId151" Type="http://schemas.openxmlformats.org/officeDocument/2006/relationships/hyperlink" Target="http://clinicaltrials.gov/show/NCT00427375" TargetMode="External"/><Relationship Id="rId172" Type="http://schemas.openxmlformats.org/officeDocument/2006/relationships/hyperlink" Target="http://clinicaltrials.gov/show/NCT02008656" TargetMode="External"/><Relationship Id="rId193" Type="http://schemas.openxmlformats.org/officeDocument/2006/relationships/hyperlink" Target="http://clinicaltrials.gov/show/NCT03969602" TargetMode="External"/><Relationship Id="rId207" Type="http://schemas.openxmlformats.org/officeDocument/2006/relationships/hyperlink" Target="http://clinicaltrials.gov/show/NCT02780921" TargetMode="External"/><Relationship Id="rId228" Type="http://schemas.openxmlformats.org/officeDocument/2006/relationships/hyperlink" Target="http://clinicaltrials.gov/show/NCT01015417" TargetMode="External"/><Relationship Id="rId13" Type="http://schemas.openxmlformats.org/officeDocument/2006/relationships/hyperlink" Target="http://clinicaltrials.gov/show/NCT03317184" TargetMode="External"/><Relationship Id="rId109" Type="http://schemas.openxmlformats.org/officeDocument/2006/relationships/hyperlink" Target="https://doi.org/10.1016/s2352-3026(22)00402-1" TargetMode="External"/><Relationship Id="rId34" Type="http://schemas.openxmlformats.org/officeDocument/2006/relationships/hyperlink" Target="http://clinicaltrials.gov/show/NCT01675999" TargetMode="External"/><Relationship Id="rId55" Type="http://schemas.openxmlformats.org/officeDocument/2006/relationships/hyperlink" Target="http://clinicaltrials.gov/show/NCT02542085" TargetMode="External"/><Relationship Id="rId76" Type="http://schemas.openxmlformats.org/officeDocument/2006/relationships/hyperlink" Target="http://clinicaltrials.gov/show/NCT%2000692393" TargetMode="External"/><Relationship Id="rId97" Type="http://schemas.openxmlformats.org/officeDocument/2006/relationships/hyperlink" Target="https://doi.org/10.1007/s00432-020-03327-2" TargetMode="External"/><Relationship Id="rId120" Type="http://schemas.openxmlformats.org/officeDocument/2006/relationships/hyperlink" Target="https://doi.org/10.1038/s41467-020-16251-3" TargetMode="External"/><Relationship Id="rId141" Type="http://schemas.openxmlformats.org/officeDocument/2006/relationships/hyperlink" Target="http://clinicaltrials.gov/show/NCT01256047" TargetMode="External"/><Relationship Id="rId7" Type="http://schemas.openxmlformats.org/officeDocument/2006/relationships/hyperlink" Target="https://clinicaltrials.gov/ct2/show/NCT03875989?cond=Prolapse%3B+Female&amp;cntry=FR&amp;draw=3&amp;rank=12" TargetMode="External"/><Relationship Id="rId162" Type="http://schemas.openxmlformats.org/officeDocument/2006/relationships/hyperlink" Target="http://clinicaltrials.gov/show/NCT02853981" TargetMode="External"/><Relationship Id="rId183" Type="http://schemas.openxmlformats.org/officeDocument/2006/relationships/hyperlink" Target="http://clinicaltrials.gov/show/NCT02574702" TargetMode="External"/><Relationship Id="rId218" Type="http://schemas.openxmlformats.org/officeDocument/2006/relationships/hyperlink" Target="http://clinicaltrials.gov/show/NCT02727179" TargetMode="External"/><Relationship Id="rId24" Type="http://schemas.openxmlformats.org/officeDocument/2006/relationships/hyperlink" Target="http://clinicaltrials.gov/show/NCT02415335" TargetMode="External"/><Relationship Id="rId45" Type="http://schemas.openxmlformats.org/officeDocument/2006/relationships/hyperlink" Target="http://clinicaltrials.gov/show/NCT02533271" TargetMode="External"/><Relationship Id="rId66" Type="http://schemas.openxmlformats.org/officeDocument/2006/relationships/hyperlink" Target="http://clinicaltrials.gov/show/NCT02662257" TargetMode="External"/><Relationship Id="rId87" Type="http://schemas.openxmlformats.org/officeDocument/2006/relationships/hyperlink" Target="http://clinicaltrials.gov/show/NCT04781049" TargetMode="External"/><Relationship Id="rId110" Type="http://schemas.openxmlformats.org/officeDocument/2006/relationships/hyperlink" Target="https://www.sciencedirect.com/science/article/pii/S2352302622004021?via%3Dihub" TargetMode="External"/><Relationship Id="rId131" Type="http://schemas.openxmlformats.org/officeDocument/2006/relationships/hyperlink" Target="http://clinicaltrials.gov/show/NCT04454866" TargetMode="External"/><Relationship Id="rId152" Type="http://schemas.openxmlformats.org/officeDocument/2006/relationships/hyperlink" Target="http://clinicaltrials.gov/show/NCT03930888" TargetMode="External"/><Relationship Id="rId173" Type="http://schemas.openxmlformats.org/officeDocument/2006/relationships/hyperlink" Target="http://clinicaltrials.gov/show/NCT04893642" TargetMode="External"/><Relationship Id="rId194" Type="http://schemas.openxmlformats.org/officeDocument/2006/relationships/hyperlink" Target="http://clinicaltrials.gov/show/NCT01408693" TargetMode="External"/><Relationship Id="rId208" Type="http://schemas.openxmlformats.org/officeDocument/2006/relationships/hyperlink" Target="http://clinicaltrials.gov/show/NCT02758951" TargetMode="External"/><Relationship Id="rId229" Type="http://schemas.openxmlformats.org/officeDocument/2006/relationships/hyperlink" Target="http://clinicaltrials.gov/show/NCT04610710" TargetMode="External"/><Relationship Id="rId14" Type="http://schemas.openxmlformats.org/officeDocument/2006/relationships/hyperlink" Target="http://clinicaltrials.gov/show/NCT03522259" TargetMode="External"/><Relationship Id="rId35" Type="http://schemas.openxmlformats.org/officeDocument/2006/relationships/hyperlink" Target="https://bmjopen.bmj.com/lookup/external-ref?link_type=CLINTRIALGOV&amp;access_num=NCT02261415&amp;atom=%2Fbmjopen%2F12%2F2%2Fe058850.atom" TargetMode="External"/><Relationship Id="rId56" Type="http://schemas.openxmlformats.org/officeDocument/2006/relationships/hyperlink" Target="http://clinicaltrials.gov/show/NCT00487409" TargetMode="External"/><Relationship Id="rId77" Type="http://schemas.openxmlformats.org/officeDocument/2006/relationships/hyperlink" Target="http://clinicaltrials.gov/show/NCT00554892" TargetMode="External"/><Relationship Id="rId100" Type="http://schemas.openxmlformats.org/officeDocument/2006/relationships/hyperlink" Target="https://www.bmj.com/content/379/bmj-2022-071476" TargetMode="External"/><Relationship Id="rId8" Type="http://schemas.openxmlformats.org/officeDocument/2006/relationships/hyperlink" Target="http://clinicaltrials.gov/show/NCT02919787" TargetMode="External"/><Relationship Id="rId98" Type="http://schemas.openxmlformats.org/officeDocument/2006/relationships/hyperlink" Target="https://doi.org/10.1007/s00432-020-03327-2" TargetMode="External"/><Relationship Id="rId121" Type="http://schemas.openxmlformats.org/officeDocument/2006/relationships/hyperlink" Target="http://clinicaltrials.gov/show/NCT02740608" TargetMode="External"/><Relationship Id="rId142" Type="http://schemas.openxmlformats.org/officeDocument/2006/relationships/hyperlink" Target="http://clinicaltrials.gov/show/NCT02453165" TargetMode="External"/><Relationship Id="rId163" Type="http://schemas.openxmlformats.org/officeDocument/2006/relationships/hyperlink" Target="https://clinicaltrials.gov/ct2/show/NCT02375529" TargetMode="External"/><Relationship Id="rId184" Type="http://schemas.openxmlformats.org/officeDocument/2006/relationships/hyperlink" Target="http://clinicaltrials.gov/show/NCT02550769" TargetMode="External"/><Relationship Id="rId219" Type="http://schemas.openxmlformats.org/officeDocument/2006/relationships/hyperlink" Target="http://clinicaltrials.gov/show/NCT03610256" TargetMode="External"/><Relationship Id="rId230" Type="http://schemas.openxmlformats.org/officeDocument/2006/relationships/hyperlink" Target="http://clinicaltrials.gov/show/NCT04401462" TargetMode="External"/><Relationship Id="rId25" Type="http://schemas.openxmlformats.org/officeDocument/2006/relationships/hyperlink" Target="http://clinicaltrials.gov/show/NCT02711449" TargetMode="External"/><Relationship Id="rId46" Type="http://schemas.openxmlformats.org/officeDocument/2006/relationships/hyperlink" Target="http://clinicaltrials.gov/show/NCT04400357" TargetMode="External"/><Relationship Id="rId67" Type="http://schemas.openxmlformats.org/officeDocument/2006/relationships/hyperlink" Target="http://clinicaltrials.gov/show/NCT02479685" TargetMode="External"/><Relationship Id="rId88" Type="http://schemas.openxmlformats.org/officeDocument/2006/relationships/hyperlink" Target="http://clinicaltrials.gov/show/NCT05130918" TargetMode="External"/><Relationship Id="rId111" Type="http://schemas.openxmlformats.org/officeDocument/2006/relationships/hyperlink" Target="http://clinicaltrials.gov/show/NCT02243735" TargetMode="External"/><Relationship Id="rId132" Type="http://schemas.openxmlformats.org/officeDocument/2006/relationships/hyperlink" Target="http://clinicaltrials.gov/show/NCT04122261" TargetMode="External"/><Relationship Id="rId153" Type="http://schemas.openxmlformats.org/officeDocument/2006/relationships/hyperlink" Target="http://clinicaltrials.gov/show/NCT02212717" TargetMode="External"/><Relationship Id="rId174" Type="http://schemas.openxmlformats.org/officeDocument/2006/relationships/hyperlink" Target="http://clinicaltrials.gov/show/NCT02931890" TargetMode="External"/><Relationship Id="rId195" Type="http://schemas.openxmlformats.org/officeDocument/2006/relationships/hyperlink" Target="http://clinicaltrials.gov/show/NCT04402346" TargetMode="External"/><Relationship Id="rId209" Type="http://schemas.openxmlformats.org/officeDocument/2006/relationships/hyperlink" Target="http://clinicaltrials.gov/show/NCT02758951" TargetMode="External"/><Relationship Id="rId190" Type="http://schemas.openxmlformats.org/officeDocument/2006/relationships/hyperlink" Target="http://clinicaltrials.gov/show/NCT01317342" TargetMode="External"/><Relationship Id="rId204" Type="http://schemas.openxmlformats.org/officeDocument/2006/relationships/hyperlink" Target="http://clinicaltrials.gov/show/NCT02882685" TargetMode="External"/><Relationship Id="rId220" Type="http://schemas.openxmlformats.org/officeDocument/2006/relationships/hyperlink" Target="http://clinicaltrials.gov/show/NCT01275521" TargetMode="External"/><Relationship Id="rId225" Type="http://schemas.openxmlformats.org/officeDocument/2006/relationships/hyperlink" Target="http://clinicaltrials.gov/show/NCT01499979" TargetMode="External"/><Relationship Id="rId15" Type="http://schemas.openxmlformats.org/officeDocument/2006/relationships/hyperlink" Target="http://clinicaltrials.gov/show/NCT01595230" TargetMode="External"/><Relationship Id="rId36" Type="http://schemas.openxmlformats.org/officeDocument/2006/relationships/hyperlink" Target="http://clinicaltrials.gov/show/NCT01960049" TargetMode="External"/><Relationship Id="rId57" Type="http://schemas.openxmlformats.org/officeDocument/2006/relationships/hyperlink" Target="http://clinicaltrials.gov/show/NCT03406975" TargetMode="External"/><Relationship Id="rId106" Type="http://schemas.openxmlformats.org/officeDocument/2006/relationships/hyperlink" Target="https://doi.org/10.1097/sla.0000000000003031" TargetMode="External"/><Relationship Id="rId127" Type="http://schemas.openxmlformats.org/officeDocument/2006/relationships/hyperlink" Target="http://clinicaltrials.gov/show/NCT02435758" TargetMode="External"/><Relationship Id="rId10" Type="http://schemas.openxmlformats.org/officeDocument/2006/relationships/hyperlink" Target="http://clinicaltrials.gov/show/NCT04575233" TargetMode="External"/><Relationship Id="rId31" Type="http://schemas.openxmlformats.org/officeDocument/2006/relationships/hyperlink" Target="http://clinicaltrials.gov/show/NCT01384617" TargetMode="External"/><Relationship Id="rId52" Type="http://schemas.openxmlformats.org/officeDocument/2006/relationships/hyperlink" Target="http://clinicaltrials.gov/show/NCT00064662" TargetMode="External"/><Relationship Id="rId73" Type="http://schemas.openxmlformats.org/officeDocument/2006/relationships/hyperlink" Target="https://www.drks.de/drks_web/navigate.do?navigationId=trial.HTML&amp;TRIAL_ID=DRKS00024395" TargetMode="External"/><Relationship Id="rId78" Type="http://schemas.openxmlformats.org/officeDocument/2006/relationships/hyperlink" Target="http://clinicaltrials.gov/show/NCT01870817" TargetMode="External"/><Relationship Id="rId94" Type="http://schemas.openxmlformats.org/officeDocument/2006/relationships/hyperlink" Target="http://clinicaltrials.gov/show/NCT00516711" TargetMode="External"/><Relationship Id="rId99" Type="http://schemas.openxmlformats.org/officeDocument/2006/relationships/hyperlink" Target="https://doi.org/10.1136/bmj-2022-071476" TargetMode="External"/><Relationship Id="rId101" Type="http://schemas.openxmlformats.org/officeDocument/2006/relationships/hyperlink" Target="http://clinicaltrials.gov/show/NCT02618720" TargetMode="External"/><Relationship Id="rId122" Type="http://schemas.openxmlformats.org/officeDocument/2006/relationships/hyperlink" Target="https://pubmed.ncbi.nlm.nih.gov/34657367/" TargetMode="External"/><Relationship Id="rId143" Type="http://schemas.openxmlformats.org/officeDocument/2006/relationships/hyperlink" Target="http://clinicaltrials.gov/show/NCT03807518" TargetMode="External"/><Relationship Id="rId148" Type="http://schemas.openxmlformats.org/officeDocument/2006/relationships/hyperlink" Target="http://clinicaltrials.gov/show/NCT03440398" TargetMode="External"/><Relationship Id="rId164" Type="http://schemas.openxmlformats.org/officeDocument/2006/relationships/hyperlink" Target="http://clinicaltrials.gov/show/NCT04055233" TargetMode="External"/><Relationship Id="rId169" Type="http://schemas.openxmlformats.org/officeDocument/2006/relationships/hyperlink" Target="http://clinicaltrials.gov/show/NCT04910789" TargetMode="External"/><Relationship Id="rId185" Type="http://schemas.openxmlformats.org/officeDocument/2006/relationships/hyperlink" Target="http://clinicaltrials.gov/show/NCT01308190" TargetMode="External"/><Relationship Id="rId4" Type="http://schemas.openxmlformats.org/officeDocument/2006/relationships/hyperlink" Target="http://clinicaltrials.gov/show/NCT01986699" TargetMode="External"/><Relationship Id="rId9" Type="http://schemas.openxmlformats.org/officeDocument/2006/relationships/hyperlink" Target="http://clinicaltrials.gov/show/NCT01460615" TargetMode="External"/><Relationship Id="rId180" Type="http://schemas.openxmlformats.org/officeDocument/2006/relationships/hyperlink" Target="http://clinicaltrials.gov/show/NCT04891874" TargetMode="External"/><Relationship Id="rId210" Type="http://schemas.openxmlformats.org/officeDocument/2006/relationships/hyperlink" Target="http://clinicaltrials.gov/show/NCT01548339" TargetMode="External"/><Relationship Id="rId215" Type="http://schemas.openxmlformats.org/officeDocument/2006/relationships/hyperlink" Target="http://clinicaltrials.gov/show/NCT%2001291576" TargetMode="External"/><Relationship Id="rId236" Type="http://schemas.openxmlformats.org/officeDocument/2006/relationships/vmlDrawing" Target="../drawings/vmlDrawing3.vml"/><Relationship Id="rId26" Type="http://schemas.openxmlformats.org/officeDocument/2006/relationships/hyperlink" Target="http://clinicaltrials.gov/show/NCT01084070" TargetMode="External"/><Relationship Id="rId231" Type="http://schemas.openxmlformats.org/officeDocument/2006/relationships/hyperlink" Target="http://clinicaltrials.gov/show/NCT02328365" TargetMode="External"/><Relationship Id="rId47" Type="http://schemas.openxmlformats.org/officeDocument/2006/relationships/hyperlink" Target="http://clinicaltrials.gov/show/NCT01899547" TargetMode="External"/><Relationship Id="rId68" Type="http://schemas.openxmlformats.org/officeDocument/2006/relationships/hyperlink" Target="http://clinicaltrials.gov/show/NCT02430168" TargetMode="External"/><Relationship Id="rId89" Type="http://schemas.openxmlformats.org/officeDocument/2006/relationships/hyperlink" Target="https://clinicaltrials.gov/show/NCT00359320" TargetMode="External"/><Relationship Id="rId112" Type="http://schemas.openxmlformats.org/officeDocument/2006/relationships/hyperlink" Target="https://journals.lww.com/journalacs/fulltext/2016/08000/perioperative_simvastatin_therapy_in_major.12.aspx" TargetMode="External"/><Relationship Id="rId133" Type="http://schemas.openxmlformats.org/officeDocument/2006/relationships/hyperlink" Target="http://clinicaltrials.gov/show/NCT00325039" TargetMode="External"/><Relationship Id="rId154" Type="http://schemas.openxmlformats.org/officeDocument/2006/relationships/hyperlink" Target="http://clinicaltrials.gov/show/NCT02775227" TargetMode="External"/><Relationship Id="rId175" Type="http://schemas.openxmlformats.org/officeDocument/2006/relationships/hyperlink" Target="http://clinicaltrials.gov/show/NCT03236961" TargetMode="External"/><Relationship Id="rId196" Type="http://schemas.openxmlformats.org/officeDocument/2006/relationships/hyperlink" Target="https://clinicaltrials.gov/show/NCT02172638" TargetMode="External"/><Relationship Id="rId200" Type="http://schemas.openxmlformats.org/officeDocument/2006/relationships/hyperlink" Target="http://clinicaltrials.gov/show/NCT01847703" TargetMode="External"/><Relationship Id="rId16" Type="http://schemas.openxmlformats.org/officeDocument/2006/relationships/hyperlink" Target="http://clinicaltrials.gov/show/NCT04219787" TargetMode="External"/><Relationship Id="rId221" Type="http://schemas.openxmlformats.org/officeDocument/2006/relationships/hyperlink" Target="http://clinicaltrials.gov/show/NCT00325039" TargetMode="External"/><Relationship Id="rId37" Type="http://schemas.openxmlformats.org/officeDocument/2006/relationships/hyperlink" Target="http://clinicaltrials.gov/show/NCT03009227" TargetMode="External"/><Relationship Id="rId58" Type="http://schemas.openxmlformats.org/officeDocument/2006/relationships/hyperlink" Target="http://clinicaltrials.gov/show/NCT02054013" TargetMode="External"/><Relationship Id="rId79" Type="http://schemas.openxmlformats.org/officeDocument/2006/relationships/hyperlink" Target="http://clinicaltrials.gov/show/NCT02371304" TargetMode="External"/><Relationship Id="rId102" Type="http://schemas.openxmlformats.org/officeDocument/2006/relationships/hyperlink" Target="https://doi.org/10.1001/jamasurg.2021.1555" TargetMode="External"/><Relationship Id="rId123" Type="http://schemas.openxmlformats.org/officeDocument/2006/relationships/hyperlink" Target="https://doi.org/10.1111/bju.15619" TargetMode="External"/><Relationship Id="rId144" Type="http://schemas.openxmlformats.org/officeDocument/2006/relationships/hyperlink" Target="http://clinicaltrials.gov/show/NCT02654249" TargetMode="External"/><Relationship Id="rId90" Type="http://schemas.openxmlformats.org/officeDocument/2006/relationships/hyperlink" Target="https://clinicaltrials.gov/ct2/show/NCT03281460" TargetMode="External"/><Relationship Id="rId165" Type="http://schemas.openxmlformats.org/officeDocument/2006/relationships/hyperlink" Target="http://clinicaltrials.gov/show/NCT01137201" TargetMode="External"/><Relationship Id="rId186" Type="http://schemas.openxmlformats.org/officeDocument/2006/relationships/hyperlink" Target="http://clinicaltrials.gov/show/NCT01785212" TargetMode="External"/><Relationship Id="rId211" Type="http://schemas.openxmlformats.org/officeDocument/2006/relationships/hyperlink" Target="http://clinicaltrials.gov/show/NCT03405922" TargetMode="External"/><Relationship Id="rId232" Type="http://schemas.openxmlformats.org/officeDocument/2006/relationships/hyperlink" Target="http://clinicaltrials.gov/show/NCT00732979" TargetMode="External"/><Relationship Id="rId27" Type="http://schemas.openxmlformats.org/officeDocument/2006/relationships/hyperlink" Target="http://clinicaltrials.gov/show/NCT02026687" TargetMode="External"/><Relationship Id="rId48" Type="http://schemas.openxmlformats.org/officeDocument/2006/relationships/hyperlink" Target="http://clinicaltrials.gov/show/NCT02279771" TargetMode="External"/><Relationship Id="rId69" Type="http://schemas.openxmlformats.org/officeDocument/2006/relationships/hyperlink" Target="http://clinicaltrials.gov/show/NCT01728116" TargetMode="External"/><Relationship Id="rId113" Type="http://schemas.openxmlformats.org/officeDocument/2006/relationships/hyperlink" Target="https://doi.org/10.1016/j.jamcollsurg.2016.04.004" TargetMode="External"/><Relationship Id="rId134" Type="http://schemas.openxmlformats.org/officeDocument/2006/relationships/hyperlink" Target="http://clinicaltrials.gov/show/NCT02205047" TargetMode="External"/><Relationship Id="rId80" Type="http://schemas.openxmlformats.org/officeDocument/2006/relationships/hyperlink" Target="http://clinicaltrials.gov/show/NCT01344018" TargetMode="External"/><Relationship Id="rId155" Type="http://schemas.openxmlformats.org/officeDocument/2006/relationships/hyperlink" Target="http://clinicaltrials.gov/show/NCT01189292" TargetMode="External"/><Relationship Id="rId176" Type="http://schemas.openxmlformats.org/officeDocument/2006/relationships/hyperlink" Target="http://clinicaltrials.gov/show/NCT00994903" TargetMode="External"/><Relationship Id="rId197" Type="http://schemas.openxmlformats.org/officeDocument/2006/relationships/hyperlink" Target="http://clinicaltrials.gov/show/NCT00642005" TargetMode="External"/><Relationship Id="rId201" Type="http://schemas.openxmlformats.org/officeDocument/2006/relationships/hyperlink" Target="http://clinicaltrials.gov/show/NCT03302169" TargetMode="External"/><Relationship Id="rId222" Type="http://schemas.openxmlformats.org/officeDocument/2006/relationships/hyperlink" Target="http://clinicaltrials.gov/show/NCT02292914" TargetMode="External"/><Relationship Id="rId17" Type="http://schemas.openxmlformats.org/officeDocument/2006/relationships/hyperlink" Target="http://clinicaltrials.gov/show/NCT02601092" TargetMode="External"/><Relationship Id="rId38" Type="http://schemas.openxmlformats.org/officeDocument/2006/relationships/hyperlink" Target="http://clinicaltrials.gov/show/NCT04293146" TargetMode="External"/><Relationship Id="rId59" Type="http://schemas.openxmlformats.org/officeDocument/2006/relationships/hyperlink" Target="http://clinicaltrials.gov/show/NCT02085902" TargetMode="External"/><Relationship Id="rId103" Type="http://schemas.openxmlformats.org/officeDocument/2006/relationships/hyperlink" Target="https://jamanetwork.com/journals/jamasurgery/fullarticle/2779968" TargetMode="External"/><Relationship Id="rId124" Type="http://schemas.openxmlformats.org/officeDocument/2006/relationships/hyperlink" Target="http://clinicaltrials.gov/show/NCT02834338" TargetMode="External"/><Relationship Id="rId70" Type="http://schemas.openxmlformats.org/officeDocument/2006/relationships/hyperlink" Target="http://clinicaltrials.gov/show/NCT03984734" TargetMode="External"/><Relationship Id="rId91" Type="http://schemas.openxmlformats.org/officeDocument/2006/relationships/hyperlink" Target="http://clinicaltrials.gov/show/NCT04461301" TargetMode="External"/><Relationship Id="rId145" Type="http://schemas.openxmlformats.org/officeDocument/2006/relationships/hyperlink" Target="http://clinicaltrials.gov/show/NCT01460550" TargetMode="External"/><Relationship Id="rId166" Type="http://schemas.openxmlformats.org/officeDocument/2006/relationships/hyperlink" Target="http://clinicaltrials.gov/show/NCT00911391" TargetMode="External"/><Relationship Id="rId187" Type="http://schemas.openxmlformats.org/officeDocument/2006/relationships/hyperlink" Target="http://clinicaltrials.gov/show/NCT01047462" TargetMode="External"/><Relationship Id="rId1" Type="http://schemas.openxmlformats.org/officeDocument/2006/relationships/hyperlink" Target="http://clinicaltrials.gov/show/NCT01759901" TargetMode="External"/><Relationship Id="rId212" Type="http://schemas.openxmlformats.org/officeDocument/2006/relationships/hyperlink" Target="http://clinicaltrials.gov/show/NCT00370344" TargetMode="External"/><Relationship Id="rId233" Type="http://schemas.openxmlformats.org/officeDocument/2006/relationships/hyperlink" Target="http://clinicaltrials.gov/show/NCT01049607" TargetMode="External"/><Relationship Id="rId28" Type="http://schemas.openxmlformats.org/officeDocument/2006/relationships/hyperlink" Target="http://clinicaltrials.gov/show/NCT04801238" TargetMode="External"/><Relationship Id="rId49" Type="http://schemas.openxmlformats.org/officeDocument/2006/relationships/hyperlink" Target="http://clinicaltrials.gov/show/NCT02950324" TargetMode="External"/><Relationship Id="rId114" Type="http://schemas.openxmlformats.org/officeDocument/2006/relationships/hyperlink" Target="http://clinicaltrials.gov/show/NCT00994903" TargetMode="External"/><Relationship Id="rId60" Type="http://schemas.openxmlformats.org/officeDocument/2006/relationships/hyperlink" Target="http://clinicaltrials.gov/show/NCT01974388" TargetMode="External"/><Relationship Id="rId81" Type="http://schemas.openxmlformats.org/officeDocument/2006/relationships/hyperlink" Target="http://clinicaltrials.gov/show/NCT02162563" TargetMode="External"/><Relationship Id="rId135" Type="http://schemas.openxmlformats.org/officeDocument/2006/relationships/hyperlink" Target="http://clinicaltrials.gov/show/NCT03572348" TargetMode="External"/><Relationship Id="rId156" Type="http://schemas.openxmlformats.org/officeDocument/2006/relationships/hyperlink" Target="http://clinicaltrials.gov/show/NCT03570541" TargetMode="External"/><Relationship Id="rId177" Type="http://schemas.openxmlformats.org/officeDocument/2006/relationships/hyperlink" Target="http://clinicaltrials.gov/show/NCT02076984" TargetMode="External"/><Relationship Id="rId198" Type="http://schemas.openxmlformats.org/officeDocument/2006/relationships/hyperlink" Target="http://clinicaltrials.gov/show/NCT03234296" TargetMode="External"/><Relationship Id="rId202" Type="http://schemas.openxmlformats.org/officeDocument/2006/relationships/hyperlink" Target="http://clinicaltrials.gov/show/NCT03688295" TargetMode="External"/><Relationship Id="rId223" Type="http://schemas.openxmlformats.org/officeDocument/2006/relationships/hyperlink" Target="http://clinicaltrials.gov/show/NCT01042054" TargetMode="External"/><Relationship Id="rId18" Type="http://schemas.openxmlformats.org/officeDocument/2006/relationships/hyperlink" Target="https://bmjopen.bmj.com/lookup/external-ref?link_type=CLINTRIALGOV&amp;access_num=NCT04534998&amp;atom=%2Fbmjopen%2F11%2F11%2Fe052087.atom" TargetMode="External"/><Relationship Id="rId39" Type="http://schemas.openxmlformats.org/officeDocument/2006/relationships/hyperlink" Target="http://clinicaltrials.gov/show/NCT01480128" TargetMode="External"/><Relationship Id="rId50" Type="http://schemas.openxmlformats.org/officeDocument/2006/relationships/hyperlink" Target="http://clinicaltrials.gov/show/NCT03045107" TargetMode="External"/><Relationship Id="rId104" Type="http://schemas.openxmlformats.org/officeDocument/2006/relationships/hyperlink" Target="https://www.sciencedirect.com/science/article/pii/S2666776223000923" TargetMode="External"/><Relationship Id="rId125" Type="http://schemas.openxmlformats.org/officeDocument/2006/relationships/hyperlink" Target="https://clinicaltrials.gov/ct2/show/NCT00478348" TargetMode="External"/><Relationship Id="rId146" Type="http://schemas.openxmlformats.org/officeDocument/2006/relationships/hyperlink" Target="http://clinicaltrials.gov/show/NCT00830778" TargetMode="External"/><Relationship Id="rId167" Type="http://schemas.openxmlformats.org/officeDocument/2006/relationships/hyperlink" Target="http://clinicaltrials.gov/show/NCT00488904" TargetMode="External"/><Relationship Id="rId188" Type="http://schemas.openxmlformats.org/officeDocument/2006/relationships/hyperlink" Target="http://clinicaltrials.gov/show/NCT02919683" TargetMode="External"/><Relationship Id="rId71" Type="http://schemas.openxmlformats.org/officeDocument/2006/relationships/hyperlink" Target="http://clinicaltrials.gov/show/NCT00915863" TargetMode="External"/><Relationship Id="rId92" Type="http://schemas.openxmlformats.org/officeDocument/2006/relationships/hyperlink" Target="http://clinicaltrials.gov/show/NCT02613728" TargetMode="External"/><Relationship Id="rId213" Type="http://schemas.openxmlformats.org/officeDocument/2006/relationships/hyperlink" Target="http://clinicaltrials.gov/show/NCT02451176" TargetMode="External"/><Relationship Id="rId234" Type="http://schemas.openxmlformats.org/officeDocument/2006/relationships/hyperlink" Target="http://clinicaltrials.gov/show/NCT02612220" TargetMode="External"/><Relationship Id="rId2" Type="http://schemas.openxmlformats.org/officeDocument/2006/relationships/hyperlink" Target="http://clinicaltrials.gov/show/NCT00730743" TargetMode="External"/><Relationship Id="rId29" Type="http://schemas.openxmlformats.org/officeDocument/2006/relationships/hyperlink" Target="http://clinicaltrials.gov/show/NCT02843191" TargetMode="External"/><Relationship Id="rId40" Type="http://schemas.openxmlformats.org/officeDocument/2006/relationships/hyperlink" Target="http://clinicaltrials.gov/show/NCT05080114" TargetMode="External"/><Relationship Id="rId115" Type="http://schemas.openxmlformats.org/officeDocument/2006/relationships/hyperlink" Target="https://www.sciencedirect.com/science/article/pii/S2468125323002431?via%3Dihub" TargetMode="External"/><Relationship Id="rId136" Type="http://schemas.openxmlformats.org/officeDocument/2006/relationships/hyperlink" Target="http://clinicaltrials.gov/show/NCT01157676" TargetMode="External"/><Relationship Id="rId157" Type="http://schemas.openxmlformats.org/officeDocument/2006/relationships/hyperlink" Target="http://clinicaltrials.gov/show/NCT01972490" TargetMode="External"/><Relationship Id="rId178" Type="http://schemas.openxmlformats.org/officeDocument/2006/relationships/hyperlink" Target="http://clinicaltrials.gov/show/NCT01523626" TargetMode="External"/><Relationship Id="rId61" Type="http://schemas.openxmlformats.org/officeDocument/2006/relationships/hyperlink" Target="http://clinicaltrials.gov/show/NCT04243967" TargetMode="External"/><Relationship Id="rId82" Type="http://schemas.openxmlformats.org/officeDocument/2006/relationships/hyperlink" Target="http://clinicaltrials.gov/show/NCT02667860" TargetMode="External"/><Relationship Id="rId199" Type="http://schemas.openxmlformats.org/officeDocument/2006/relationships/hyperlink" Target="http://clinicaltrials.gov/show/NCT00793143" TargetMode="External"/><Relationship Id="rId203" Type="http://schemas.openxmlformats.org/officeDocument/2006/relationships/hyperlink" Target="http://clinicaltrials.gov/show/NCT02803814" TargetMode="External"/><Relationship Id="rId19" Type="http://schemas.openxmlformats.org/officeDocument/2006/relationships/hyperlink" Target="http://clinicaltrials.gov/show/NCT03772028" TargetMode="External"/><Relationship Id="rId224" Type="http://schemas.openxmlformats.org/officeDocument/2006/relationships/hyperlink" Target="http://clinicaltrials.gov/show/NCT01150630" TargetMode="External"/><Relationship Id="rId30" Type="http://schemas.openxmlformats.org/officeDocument/2006/relationships/hyperlink" Target="http://clinicaltrials.gov/show/NCT05356962" TargetMode="External"/><Relationship Id="rId105" Type="http://schemas.openxmlformats.org/officeDocument/2006/relationships/hyperlink" Target="https://doi.org/10.1016/j.lanepe.2023.100673" TargetMode="External"/><Relationship Id="rId126" Type="http://schemas.openxmlformats.org/officeDocument/2006/relationships/hyperlink" Target="http://clinicaltrials.gov/show/NCT03436329" TargetMode="External"/><Relationship Id="rId147" Type="http://schemas.openxmlformats.org/officeDocument/2006/relationships/hyperlink" Target="http://clinicaltrials.gov/show/NCT04088968" TargetMode="External"/><Relationship Id="rId168" Type="http://schemas.openxmlformats.org/officeDocument/2006/relationships/hyperlink" Target="http://clinicaltrials.gov/show/NCT01533038" TargetMode="External"/><Relationship Id="rId51" Type="http://schemas.openxmlformats.org/officeDocument/2006/relationships/hyperlink" Target="http://clinicaltrials.gov/show/NCT03658863" TargetMode="External"/><Relationship Id="rId72" Type="http://schemas.openxmlformats.org/officeDocument/2006/relationships/hyperlink" Target="http://clinicaltrials.gov/show/NCT02841293" TargetMode="External"/><Relationship Id="rId93" Type="http://schemas.openxmlformats.org/officeDocument/2006/relationships/hyperlink" Target="http://clinicaltrials.gov/show/NCT02555293" TargetMode="External"/><Relationship Id="rId189" Type="http://schemas.openxmlformats.org/officeDocument/2006/relationships/hyperlink" Target="http://clinicaltrials.gov/show/NCT01278537" TargetMode="External"/><Relationship Id="rId3" Type="http://schemas.openxmlformats.org/officeDocument/2006/relationships/hyperlink" Target="http://clinicaltrials.gov/show/NCT02727322" TargetMode="External"/><Relationship Id="rId214" Type="http://schemas.openxmlformats.org/officeDocument/2006/relationships/hyperlink" Target="http://clinicaltrials.gov/show/NCT02061176" TargetMode="External"/><Relationship Id="rId235" Type="http://schemas.openxmlformats.org/officeDocument/2006/relationships/hyperlink" Target="http://clinicaltrials.gov/show/NCT04516031" TargetMode="External"/><Relationship Id="rId116" Type="http://schemas.openxmlformats.org/officeDocument/2006/relationships/hyperlink" Target="https://doi.org/10.1016/s2468-1253(23)00243-1" TargetMode="External"/><Relationship Id="rId137" Type="http://schemas.openxmlformats.org/officeDocument/2006/relationships/hyperlink" Target="http://clinicaltrials.gov/show/NCT01240772" TargetMode="External"/><Relationship Id="rId158" Type="http://schemas.openxmlformats.org/officeDocument/2006/relationships/hyperlink" Target="http://clinicaltrials.gov/show/NCT04306458" TargetMode="External"/><Relationship Id="rId20" Type="http://schemas.openxmlformats.org/officeDocument/2006/relationships/hyperlink" Target="http://clinicaltrials.gov/show/NCT01921985" TargetMode="External"/><Relationship Id="rId41" Type="http://schemas.openxmlformats.org/officeDocument/2006/relationships/hyperlink" Target="http://clinicaltrials.gov/show/NCT00722709" TargetMode="External"/><Relationship Id="rId62" Type="http://schemas.openxmlformats.org/officeDocument/2006/relationships/hyperlink" Target="http://clinicaltrials.gov/show/NCT04053595" TargetMode="External"/><Relationship Id="rId83" Type="http://schemas.openxmlformats.org/officeDocument/2006/relationships/hyperlink" Target="http://clinicaltrials.gov/show/NCT04007952" TargetMode="External"/><Relationship Id="rId179" Type="http://schemas.openxmlformats.org/officeDocument/2006/relationships/hyperlink" Target="http://clinicaltrials.gov/show/NCT03331718"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F90A4-0CEE-6946-A5B9-D4469769CD69}">
  <sheetPr filterMode="1"/>
  <dimension ref="A1:AS265"/>
  <sheetViews>
    <sheetView tabSelected="1" topLeftCell="AJ256" zoomScale="88" zoomScaleNormal="88" workbookViewId="0">
      <pane ySplit="2800" activePane="bottomLeft"/>
      <selection activeCell="B256" sqref="B1:B1048576"/>
      <selection pane="bottomLeft" activeCell="J29" sqref="J29"/>
    </sheetView>
  </sheetViews>
  <sheetFormatPr baseColWidth="10" defaultColWidth="8.83203125" defaultRowHeight="63" customHeight="1" x14ac:dyDescent="0.2"/>
  <cols>
    <col min="1" max="1" width="8.83203125" style="31"/>
    <col min="2" max="2" width="37.5" style="31" customWidth="1"/>
    <col min="3" max="3" width="30.33203125" style="31" customWidth="1"/>
    <col min="4" max="4" width="8.1640625" style="31" customWidth="1"/>
    <col min="5" max="5" width="11.6640625" style="31" customWidth="1"/>
    <col min="6" max="6" width="9.33203125" style="31" customWidth="1"/>
    <col min="7" max="7" width="8.6640625" style="31" customWidth="1"/>
    <col min="8" max="8" width="18" style="31" customWidth="1"/>
    <col min="9" max="9" width="11.83203125" style="31" customWidth="1"/>
    <col min="10" max="10" width="59.83203125" style="31" customWidth="1"/>
    <col min="11" max="11" width="28.83203125" style="31" customWidth="1"/>
    <col min="12" max="12" width="17.83203125" style="31" customWidth="1"/>
    <col min="13" max="15" width="15" style="31" customWidth="1"/>
    <col min="16" max="16" width="18.5" style="31" customWidth="1"/>
    <col min="17" max="18" width="17.83203125" style="31" customWidth="1"/>
    <col min="19" max="20" width="16.6640625" style="31" customWidth="1"/>
    <col min="21" max="21" width="14.1640625" style="31" customWidth="1"/>
    <col min="22" max="24" width="12.83203125" style="31" customWidth="1"/>
    <col min="25" max="25" width="14.5" style="31" customWidth="1"/>
    <col min="26" max="26" width="25.83203125" style="31" customWidth="1"/>
    <col min="27" max="27" width="26.5" style="31" customWidth="1"/>
    <col min="28" max="28" width="22.83203125" style="31" customWidth="1"/>
    <col min="29" max="34" width="19.6640625" style="31" customWidth="1"/>
    <col min="35" max="36" width="17.1640625" style="54" customWidth="1"/>
    <col min="37" max="37" width="48.1640625" style="31" customWidth="1"/>
    <col min="38" max="38" width="44.83203125" style="31" customWidth="1"/>
    <col min="39" max="16384" width="8.83203125" style="31"/>
  </cols>
  <sheetData>
    <row r="1" spans="1:45" s="15" customFormat="1" ht="63" customHeight="1" x14ac:dyDescent="0.2">
      <c r="A1" s="15" t="s">
        <v>0</v>
      </c>
      <c r="B1" s="15" t="s">
        <v>1</v>
      </c>
      <c r="C1" s="15" t="s">
        <v>2</v>
      </c>
      <c r="D1" s="15" t="s">
        <v>3</v>
      </c>
      <c r="E1" s="15" t="s">
        <v>7</v>
      </c>
      <c r="F1" s="15" t="s">
        <v>5031</v>
      </c>
      <c r="G1" s="15" t="s">
        <v>5032</v>
      </c>
      <c r="H1" s="15" t="s">
        <v>5033</v>
      </c>
      <c r="I1" s="15" t="s">
        <v>4</v>
      </c>
      <c r="J1" s="15" t="s">
        <v>5</v>
      </c>
      <c r="K1" s="15" t="s">
        <v>6</v>
      </c>
      <c r="L1" s="15" t="s">
        <v>5014</v>
      </c>
      <c r="M1" s="15" t="s">
        <v>5015</v>
      </c>
      <c r="N1" s="15" t="s">
        <v>5091</v>
      </c>
      <c r="O1" s="15" t="s">
        <v>5092</v>
      </c>
      <c r="P1" s="15" t="s">
        <v>5017</v>
      </c>
      <c r="Q1" s="15" t="s">
        <v>5018</v>
      </c>
      <c r="R1" s="15" t="s">
        <v>5019</v>
      </c>
      <c r="S1" s="15" t="s">
        <v>5026</v>
      </c>
      <c r="T1" s="15" t="s">
        <v>5027</v>
      </c>
      <c r="U1" s="15" t="s">
        <v>5037</v>
      </c>
      <c r="V1" s="15" t="s">
        <v>5023</v>
      </c>
      <c r="W1" s="15" t="s">
        <v>5024</v>
      </c>
      <c r="X1" s="15" t="s">
        <v>5025</v>
      </c>
      <c r="Y1" s="15" t="s">
        <v>8099</v>
      </c>
      <c r="Z1" s="15" t="s">
        <v>5051</v>
      </c>
      <c r="AA1" s="15" t="s">
        <v>5029</v>
      </c>
      <c r="AB1" s="15" t="s">
        <v>5063</v>
      </c>
      <c r="AC1" s="15" t="s">
        <v>7941</v>
      </c>
      <c r="AD1" s="15" t="s">
        <v>7942</v>
      </c>
      <c r="AE1" s="15" t="s">
        <v>7944</v>
      </c>
      <c r="AF1" s="15" t="s">
        <v>7945</v>
      </c>
      <c r="AG1" s="15" t="s">
        <v>8095</v>
      </c>
      <c r="AH1" s="15" t="s">
        <v>8096</v>
      </c>
      <c r="AI1" s="51" t="s">
        <v>5061</v>
      </c>
      <c r="AJ1" s="51" t="s">
        <v>5102</v>
      </c>
      <c r="AK1" s="15" t="s">
        <v>5040</v>
      </c>
      <c r="AL1" s="15" t="s">
        <v>8021</v>
      </c>
      <c r="AM1" s="15" t="s">
        <v>8087</v>
      </c>
      <c r="AN1" s="15" t="s">
        <v>8022</v>
      </c>
      <c r="AO1" s="15" t="s">
        <v>8023</v>
      </c>
      <c r="AP1" s="15" t="s">
        <v>8024</v>
      </c>
      <c r="AQ1" s="15" t="s">
        <v>8025</v>
      </c>
      <c r="AR1" s="15" t="s">
        <v>8027</v>
      </c>
      <c r="AS1" s="107"/>
    </row>
    <row r="2" spans="1:45" s="7" customFormat="1" ht="75" customHeight="1" x14ac:dyDescent="0.2">
      <c r="L2" s="7" t="s">
        <v>5062</v>
      </c>
      <c r="M2" s="7" t="s">
        <v>5016</v>
      </c>
      <c r="N2" s="7" t="s">
        <v>5016</v>
      </c>
      <c r="O2" s="7" t="s">
        <v>5016</v>
      </c>
      <c r="P2" s="7" t="s">
        <v>5016</v>
      </c>
      <c r="Q2" s="7" t="s">
        <v>5016</v>
      </c>
      <c r="R2" s="7" t="s">
        <v>5016</v>
      </c>
      <c r="S2" s="7" t="s">
        <v>7661</v>
      </c>
      <c r="T2" s="7" t="s">
        <v>5028</v>
      </c>
      <c r="V2" s="7" t="s">
        <v>5016</v>
      </c>
      <c r="W2" s="7" t="s">
        <v>5016</v>
      </c>
      <c r="X2" s="7" t="s">
        <v>5016</v>
      </c>
      <c r="Y2" s="7" t="s">
        <v>5056</v>
      </c>
      <c r="Z2" s="43" t="s">
        <v>7940</v>
      </c>
      <c r="AA2" s="7" t="s">
        <v>5030</v>
      </c>
      <c r="AB2" s="7" t="s">
        <v>7660</v>
      </c>
      <c r="AC2" s="7" t="s">
        <v>5016</v>
      </c>
      <c r="AD2" s="43" t="s">
        <v>7943</v>
      </c>
      <c r="AE2" s="7" t="s">
        <v>5016</v>
      </c>
      <c r="AF2" s="43" t="s">
        <v>7946</v>
      </c>
      <c r="AG2" s="7" t="s">
        <v>5016</v>
      </c>
      <c r="AH2" s="77" t="s">
        <v>8097</v>
      </c>
      <c r="AI2" s="52" t="s">
        <v>5016</v>
      </c>
      <c r="AJ2" s="52" t="s">
        <v>5103</v>
      </c>
      <c r="AM2" s="98" t="s">
        <v>8088</v>
      </c>
      <c r="AN2" s="7" t="s">
        <v>5016</v>
      </c>
      <c r="AO2" s="7" t="s">
        <v>5016</v>
      </c>
      <c r="AP2" s="73" t="s">
        <v>5030</v>
      </c>
      <c r="AQ2" s="73" t="s">
        <v>8026</v>
      </c>
      <c r="AR2" s="73" t="s">
        <v>5030</v>
      </c>
      <c r="AS2" s="9"/>
    </row>
    <row r="3" spans="1:45" ht="63" hidden="1" customHeight="1" x14ac:dyDescent="0.2">
      <c r="A3" s="32">
        <v>9686</v>
      </c>
      <c r="B3" s="33" t="s">
        <v>3541</v>
      </c>
      <c r="C3" s="33" t="s">
        <v>3542</v>
      </c>
      <c r="D3" s="44">
        <v>2013</v>
      </c>
      <c r="E3" s="33" t="s">
        <v>305</v>
      </c>
      <c r="F3" s="33" t="s">
        <v>299</v>
      </c>
      <c r="G3" s="33" t="s">
        <v>52</v>
      </c>
      <c r="H3" s="33" t="s">
        <v>53</v>
      </c>
      <c r="I3" s="33" t="s">
        <v>13</v>
      </c>
      <c r="J3" s="33" t="s">
        <v>3543</v>
      </c>
      <c r="K3" s="33" t="s">
        <v>3544</v>
      </c>
      <c r="L3" s="33" t="s">
        <v>6011</v>
      </c>
      <c r="M3" s="33" t="s">
        <v>5318</v>
      </c>
      <c r="N3" s="33" t="s">
        <v>5318</v>
      </c>
      <c r="O3" s="33" t="s">
        <v>5318</v>
      </c>
      <c r="P3" s="33" t="s">
        <v>5318</v>
      </c>
      <c r="Q3" s="33" t="s">
        <v>5318</v>
      </c>
      <c r="R3" s="33" t="s">
        <v>5318</v>
      </c>
      <c r="S3" s="33" t="s">
        <v>5318</v>
      </c>
      <c r="T3" s="33" t="s">
        <v>5318</v>
      </c>
      <c r="U3" s="33" t="s">
        <v>5318</v>
      </c>
      <c r="V3" s="33" t="s">
        <v>5318</v>
      </c>
      <c r="W3" s="33" t="s">
        <v>5318</v>
      </c>
      <c r="X3" s="33" t="s">
        <v>5318</v>
      </c>
      <c r="Y3" s="33" t="s">
        <v>5318</v>
      </c>
      <c r="Z3" s="33" t="s">
        <v>5318</v>
      </c>
      <c r="AA3" s="33" t="s">
        <v>5318</v>
      </c>
      <c r="AB3" s="33" t="s">
        <v>5318</v>
      </c>
      <c r="AC3" s="33"/>
      <c r="AD3" s="33"/>
      <c r="AE3" s="33"/>
      <c r="AF3" s="33"/>
      <c r="AG3" s="33"/>
      <c r="AH3" s="33"/>
      <c r="AI3" s="53">
        <v>1</v>
      </c>
      <c r="AJ3" s="53">
        <v>0</v>
      </c>
      <c r="AK3" s="33" t="s">
        <v>6286</v>
      </c>
      <c r="AL3" s="33"/>
      <c r="AM3" s="33"/>
      <c r="AN3" s="33"/>
      <c r="AO3" s="32"/>
      <c r="AP3" s="32"/>
      <c r="AQ3" s="32"/>
      <c r="AR3" s="32"/>
    </row>
    <row r="4" spans="1:45" ht="63" hidden="1" customHeight="1" x14ac:dyDescent="0.2">
      <c r="A4" s="32">
        <v>5867</v>
      </c>
      <c r="B4" s="33" t="s">
        <v>1775</v>
      </c>
      <c r="C4" s="33" t="s">
        <v>1776</v>
      </c>
      <c r="D4" s="44">
        <v>2013</v>
      </c>
      <c r="E4" s="33"/>
      <c r="F4" s="33" t="s">
        <v>944</v>
      </c>
      <c r="G4" s="33" t="s">
        <v>18</v>
      </c>
      <c r="H4" s="33" t="s">
        <v>12</v>
      </c>
      <c r="I4" s="33" t="s">
        <v>13</v>
      </c>
      <c r="J4" s="33" t="s">
        <v>1777</v>
      </c>
      <c r="K4" s="33" t="s">
        <v>1778</v>
      </c>
      <c r="L4" s="33" t="s">
        <v>5809</v>
      </c>
      <c r="M4" s="33">
        <v>0</v>
      </c>
      <c r="N4" s="33" t="s">
        <v>5318</v>
      </c>
      <c r="O4" s="33" t="s">
        <v>5318</v>
      </c>
      <c r="P4" s="33" t="s">
        <v>5318</v>
      </c>
      <c r="Q4" s="33" t="s">
        <v>5318</v>
      </c>
      <c r="R4" s="33">
        <v>1</v>
      </c>
      <c r="S4" s="33" t="s">
        <v>5318</v>
      </c>
      <c r="T4" s="33" t="s">
        <v>5318</v>
      </c>
      <c r="U4" s="33" t="s">
        <v>5318</v>
      </c>
      <c r="V4" s="33" t="s">
        <v>5318</v>
      </c>
      <c r="W4" s="33" t="s">
        <v>5318</v>
      </c>
      <c r="X4" s="33" t="s">
        <v>5318</v>
      </c>
      <c r="Y4" s="33" t="s">
        <v>5318</v>
      </c>
      <c r="Z4" s="33" t="s">
        <v>5318</v>
      </c>
      <c r="AA4" s="33" t="s">
        <v>5318</v>
      </c>
      <c r="AB4" s="33" t="s">
        <v>5318</v>
      </c>
      <c r="AC4" s="33"/>
      <c r="AD4" s="33"/>
      <c r="AE4" s="33"/>
      <c r="AF4" s="33"/>
      <c r="AG4" s="33"/>
      <c r="AH4" s="33"/>
      <c r="AI4" s="53">
        <v>1</v>
      </c>
      <c r="AJ4" s="53">
        <v>0</v>
      </c>
      <c r="AK4" s="33" t="s">
        <v>6256</v>
      </c>
      <c r="AL4" s="33"/>
      <c r="AM4" s="33"/>
      <c r="AN4" s="33"/>
    </row>
    <row r="5" spans="1:45" ht="63" hidden="1" customHeight="1" x14ac:dyDescent="0.2">
      <c r="A5" s="32">
        <v>8899</v>
      </c>
      <c r="B5" s="33" t="s">
        <v>3143</v>
      </c>
      <c r="C5" s="33" t="s">
        <v>3144</v>
      </c>
      <c r="D5" s="44">
        <v>2013</v>
      </c>
      <c r="E5" s="33"/>
      <c r="F5" s="33" t="s">
        <v>250</v>
      </c>
      <c r="G5" s="33" t="s">
        <v>18</v>
      </c>
      <c r="H5" s="33" t="s">
        <v>390</v>
      </c>
      <c r="I5" s="33" t="s">
        <v>13</v>
      </c>
      <c r="J5" s="33" t="s">
        <v>3145</v>
      </c>
      <c r="K5" s="33" t="s">
        <v>3146</v>
      </c>
      <c r="L5" s="33" t="s">
        <v>5918</v>
      </c>
      <c r="M5" s="33">
        <v>0</v>
      </c>
      <c r="N5" s="33" t="s">
        <v>5044</v>
      </c>
      <c r="O5" s="33" t="s">
        <v>5044</v>
      </c>
      <c r="P5" s="33">
        <v>0</v>
      </c>
      <c r="Q5" s="33">
        <v>0</v>
      </c>
      <c r="R5" s="33">
        <v>0</v>
      </c>
      <c r="S5" s="33">
        <v>5</v>
      </c>
      <c r="T5" s="33">
        <v>2</v>
      </c>
      <c r="U5" s="33" t="s">
        <v>5318</v>
      </c>
      <c r="V5" s="33" t="s">
        <v>5318</v>
      </c>
      <c r="W5" s="33" t="s">
        <v>5318</v>
      </c>
      <c r="X5" s="33" t="s">
        <v>5318</v>
      </c>
      <c r="Y5" s="33" t="s">
        <v>5318</v>
      </c>
      <c r="Z5" s="33" t="s">
        <v>5318</v>
      </c>
      <c r="AA5" s="33" t="s">
        <v>5318</v>
      </c>
      <c r="AB5" s="33" t="s">
        <v>5318</v>
      </c>
      <c r="AC5" s="33"/>
      <c r="AD5" s="33"/>
      <c r="AE5" s="33"/>
      <c r="AF5" s="33"/>
      <c r="AG5" s="33"/>
      <c r="AH5" s="33"/>
      <c r="AI5" s="53">
        <v>1</v>
      </c>
      <c r="AJ5" s="53">
        <v>0</v>
      </c>
      <c r="AK5" s="33" t="s">
        <v>6263</v>
      </c>
      <c r="AL5" s="33"/>
      <c r="AM5" s="33"/>
      <c r="AN5" s="33"/>
    </row>
    <row r="6" spans="1:45" ht="63" hidden="1" customHeight="1" x14ac:dyDescent="0.2">
      <c r="A6" s="32">
        <v>8643</v>
      </c>
      <c r="B6" s="33" t="s">
        <v>3036</v>
      </c>
      <c r="C6" s="33" t="s">
        <v>3037</v>
      </c>
      <c r="D6" s="44">
        <v>2014</v>
      </c>
      <c r="E6" s="33"/>
      <c r="F6" s="33" t="s">
        <v>107</v>
      </c>
      <c r="G6" s="33" t="s">
        <v>47</v>
      </c>
      <c r="H6" s="33" t="s">
        <v>157</v>
      </c>
      <c r="I6" s="33" t="s">
        <v>13</v>
      </c>
      <c r="J6" s="33" t="s">
        <v>3038</v>
      </c>
      <c r="K6" s="33" t="s">
        <v>3039</v>
      </c>
      <c r="L6" s="33" t="s">
        <v>5318</v>
      </c>
      <c r="M6" s="33" t="s">
        <v>5318</v>
      </c>
      <c r="N6" s="33" t="s">
        <v>5318</v>
      </c>
      <c r="O6" s="33" t="s">
        <v>5318</v>
      </c>
      <c r="P6" s="33" t="s">
        <v>5318</v>
      </c>
      <c r="Q6" s="33" t="s">
        <v>5318</v>
      </c>
      <c r="R6" s="33">
        <v>1</v>
      </c>
      <c r="S6" s="33" t="s">
        <v>5318</v>
      </c>
      <c r="T6" s="33" t="s">
        <v>5318</v>
      </c>
      <c r="U6" s="33" t="s">
        <v>5318</v>
      </c>
      <c r="V6" s="33" t="s">
        <v>5318</v>
      </c>
      <c r="W6" s="33" t="s">
        <v>5318</v>
      </c>
      <c r="X6" s="33" t="s">
        <v>5318</v>
      </c>
      <c r="Y6" s="33" t="s">
        <v>5318</v>
      </c>
      <c r="Z6" s="33" t="s">
        <v>5318</v>
      </c>
      <c r="AA6" s="33" t="s">
        <v>5318</v>
      </c>
      <c r="AB6" s="33" t="s">
        <v>5318</v>
      </c>
      <c r="AC6" s="33"/>
      <c r="AD6" s="33"/>
      <c r="AE6" s="33"/>
      <c r="AF6" s="33"/>
      <c r="AG6" s="33"/>
      <c r="AH6" s="33"/>
      <c r="AI6" s="53">
        <v>1</v>
      </c>
      <c r="AJ6" s="53">
        <v>0</v>
      </c>
      <c r="AK6" s="33" t="s">
        <v>6262</v>
      </c>
      <c r="AL6" s="33"/>
      <c r="AM6" s="33"/>
      <c r="AN6" s="33"/>
    </row>
    <row r="7" spans="1:45" ht="63" hidden="1" customHeight="1" x14ac:dyDescent="0.2">
      <c r="A7" s="32">
        <v>12192</v>
      </c>
      <c r="B7" s="33" t="s">
        <v>4733</v>
      </c>
      <c r="C7" s="33" t="s">
        <v>4734</v>
      </c>
      <c r="D7" s="44">
        <v>2014</v>
      </c>
      <c r="E7" s="33" t="s">
        <v>305</v>
      </c>
      <c r="F7" s="33" t="s">
        <v>293</v>
      </c>
      <c r="G7" s="33" t="s">
        <v>52</v>
      </c>
      <c r="H7" s="33" t="s">
        <v>53</v>
      </c>
      <c r="I7" s="33" t="s">
        <v>13</v>
      </c>
      <c r="J7" s="33" t="s">
        <v>4735</v>
      </c>
      <c r="K7" s="33" t="s">
        <v>4736</v>
      </c>
      <c r="L7" s="33" t="s">
        <v>5166</v>
      </c>
      <c r="M7" s="33">
        <v>1</v>
      </c>
      <c r="N7" s="33">
        <v>1</v>
      </c>
      <c r="O7" s="33">
        <v>1</v>
      </c>
      <c r="P7" s="33"/>
      <c r="Q7" s="33"/>
      <c r="R7" s="33"/>
      <c r="S7" s="33">
        <v>1</v>
      </c>
      <c r="T7" s="33"/>
      <c r="U7" s="33"/>
      <c r="V7" s="33"/>
      <c r="W7" s="33"/>
      <c r="X7" s="33"/>
      <c r="Y7" s="33"/>
      <c r="Z7" s="33"/>
      <c r="AA7" s="33"/>
      <c r="AB7" s="33"/>
      <c r="AC7" s="33"/>
      <c r="AD7" s="33"/>
      <c r="AE7" s="33"/>
      <c r="AF7" s="33"/>
      <c r="AG7" s="33"/>
      <c r="AH7" s="33"/>
      <c r="AI7" s="53">
        <v>1</v>
      </c>
      <c r="AJ7" s="53">
        <v>0</v>
      </c>
      <c r="AK7" s="33" t="s">
        <v>6157</v>
      </c>
      <c r="AL7" s="33"/>
      <c r="AM7" s="33"/>
      <c r="AN7" s="33"/>
    </row>
    <row r="8" spans="1:45" ht="63" hidden="1" customHeight="1" x14ac:dyDescent="0.2">
      <c r="A8" s="32">
        <v>914</v>
      </c>
      <c r="B8" s="33" t="s">
        <v>6747</v>
      </c>
      <c r="C8" s="33" t="s">
        <v>292</v>
      </c>
      <c r="D8" s="44">
        <v>2014</v>
      </c>
      <c r="E8" s="33" t="s">
        <v>5318</v>
      </c>
      <c r="F8" s="33">
        <v>15</v>
      </c>
      <c r="G8" s="33">
        <v>1</v>
      </c>
      <c r="H8" s="33" t="s">
        <v>6538</v>
      </c>
      <c r="I8" s="33" t="s">
        <v>6516</v>
      </c>
      <c r="J8" s="33" t="s">
        <v>5318</v>
      </c>
      <c r="K8" s="33" t="s">
        <v>294</v>
      </c>
      <c r="L8" s="33" t="s">
        <v>5139</v>
      </c>
      <c r="M8" s="33">
        <v>1</v>
      </c>
      <c r="N8" s="33">
        <v>1</v>
      </c>
      <c r="O8" s="33">
        <v>1</v>
      </c>
      <c r="P8" s="33" t="s">
        <v>5318</v>
      </c>
      <c r="Q8" s="33" t="s">
        <v>5318</v>
      </c>
      <c r="R8" s="33" t="s">
        <v>5318</v>
      </c>
      <c r="S8" s="33" t="s">
        <v>5318</v>
      </c>
      <c r="T8" s="33" t="s">
        <v>5318</v>
      </c>
      <c r="U8" s="33" t="s">
        <v>5318</v>
      </c>
      <c r="V8" s="33" t="s">
        <v>5318</v>
      </c>
      <c r="W8" s="33" t="s">
        <v>5318</v>
      </c>
      <c r="X8" s="33" t="s">
        <v>5318</v>
      </c>
      <c r="Y8" s="33" t="s">
        <v>5318</v>
      </c>
      <c r="Z8" s="33" t="s">
        <v>5318</v>
      </c>
      <c r="AA8" s="33" t="s">
        <v>5318</v>
      </c>
      <c r="AB8" s="33" t="s">
        <v>5041</v>
      </c>
      <c r="AC8" s="33"/>
      <c r="AD8" s="33"/>
      <c r="AE8" s="33"/>
      <c r="AF8" s="33"/>
      <c r="AG8" s="33"/>
      <c r="AH8" s="33"/>
      <c r="AI8" s="53">
        <v>1</v>
      </c>
      <c r="AJ8" s="53">
        <v>0</v>
      </c>
      <c r="AK8" s="33" t="s">
        <v>6143</v>
      </c>
      <c r="AL8" s="33" t="s">
        <v>5318</v>
      </c>
      <c r="AM8" s="33" t="s">
        <v>5318</v>
      </c>
      <c r="AN8" s="33" t="s">
        <v>5318</v>
      </c>
    </row>
    <row r="9" spans="1:45" ht="63" hidden="1" customHeight="1" x14ac:dyDescent="0.2">
      <c r="A9" s="32">
        <v>6253</v>
      </c>
      <c r="B9" s="33" t="s">
        <v>1961</v>
      </c>
      <c r="C9" s="33" t="s">
        <v>1962</v>
      </c>
      <c r="D9" s="44">
        <v>2015</v>
      </c>
      <c r="E9" s="33" t="s">
        <v>305</v>
      </c>
      <c r="F9" s="33" t="s">
        <v>293</v>
      </c>
      <c r="G9" s="33" t="s">
        <v>52</v>
      </c>
      <c r="H9" s="33" t="s">
        <v>66</v>
      </c>
      <c r="I9" s="33" t="s">
        <v>13</v>
      </c>
      <c r="J9" s="33" t="s">
        <v>1963</v>
      </c>
      <c r="K9" s="33" t="s">
        <v>1964</v>
      </c>
      <c r="L9" s="33" t="s">
        <v>5849</v>
      </c>
      <c r="M9" s="33">
        <v>1</v>
      </c>
      <c r="N9" s="33">
        <v>1</v>
      </c>
      <c r="O9" s="33">
        <v>1</v>
      </c>
      <c r="P9" s="33" t="s">
        <v>5318</v>
      </c>
      <c r="Q9" s="33" t="s">
        <v>5318</v>
      </c>
      <c r="R9" s="33" t="s">
        <v>5318</v>
      </c>
      <c r="S9" s="33" t="s">
        <v>5318</v>
      </c>
      <c r="T9" s="33" t="s">
        <v>5318</v>
      </c>
      <c r="U9" s="33" t="s">
        <v>5318</v>
      </c>
      <c r="V9" s="33" t="s">
        <v>5318</v>
      </c>
      <c r="W9" s="33" t="s">
        <v>5318</v>
      </c>
      <c r="X9" s="33" t="s">
        <v>5318</v>
      </c>
      <c r="Y9" s="33" t="s">
        <v>5318</v>
      </c>
      <c r="Z9" s="33" t="s">
        <v>5318</v>
      </c>
      <c r="AA9" s="33" t="s">
        <v>5318</v>
      </c>
      <c r="AB9" s="33" t="s">
        <v>5318</v>
      </c>
      <c r="AC9" s="33"/>
      <c r="AD9" s="33"/>
      <c r="AE9" s="33"/>
      <c r="AF9" s="33"/>
      <c r="AG9" s="33"/>
      <c r="AH9" s="33"/>
      <c r="AI9" s="53">
        <v>1</v>
      </c>
      <c r="AJ9" s="53">
        <v>0</v>
      </c>
      <c r="AK9" s="33" t="s">
        <v>6151</v>
      </c>
      <c r="AL9" s="33"/>
      <c r="AM9" s="33"/>
      <c r="AN9" s="33"/>
    </row>
    <row r="10" spans="1:45" ht="63" hidden="1" customHeight="1" x14ac:dyDescent="0.2">
      <c r="A10" s="32">
        <v>11057</v>
      </c>
      <c r="B10" s="33" t="s">
        <v>4143</v>
      </c>
      <c r="C10" s="33" t="s">
        <v>4144</v>
      </c>
      <c r="D10" s="44">
        <v>2015</v>
      </c>
      <c r="E10" s="33" t="s">
        <v>305</v>
      </c>
      <c r="F10" s="33" t="s">
        <v>746</v>
      </c>
      <c r="G10" s="33" t="s">
        <v>52</v>
      </c>
      <c r="H10" s="33" t="s">
        <v>53</v>
      </c>
      <c r="I10" s="33" t="s">
        <v>13</v>
      </c>
      <c r="J10" s="33" t="s">
        <v>4145</v>
      </c>
      <c r="K10" s="33" t="s">
        <v>4146</v>
      </c>
      <c r="L10" s="33" t="s">
        <v>5375</v>
      </c>
      <c r="M10" s="33">
        <v>1</v>
      </c>
      <c r="N10" s="33">
        <v>1</v>
      </c>
      <c r="O10" s="33"/>
      <c r="P10" s="33">
        <v>0</v>
      </c>
      <c r="Q10" s="33">
        <v>0</v>
      </c>
      <c r="R10" s="33">
        <v>0</v>
      </c>
      <c r="S10" s="33">
        <v>1</v>
      </c>
      <c r="T10" s="33">
        <v>4</v>
      </c>
      <c r="U10" s="33"/>
      <c r="V10" s="33"/>
      <c r="W10" s="33"/>
      <c r="X10" s="33"/>
      <c r="Y10" s="33"/>
      <c r="Z10" s="33"/>
      <c r="AA10" s="33"/>
      <c r="AB10" s="33"/>
      <c r="AC10" s="33"/>
      <c r="AD10" s="33"/>
      <c r="AE10" s="33"/>
      <c r="AF10" s="33"/>
      <c r="AG10" s="33"/>
      <c r="AH10" s="33"/>
      <c r="AI10" s="53">
        <v>1</v>
      </c>
      <c r="AJ10" s="53">
        <v>0</v>
      </c>
      <c r="AK10" s="33" t="s">
        <v>5462</v>
      </c>
      <c r="AL10" s="33"/>
      <c r="AM10" s="33"/>
      <c r="AN10" s="33"/>
    </row>
    <row r="11" spans="1:45" ht="63" hidden="1" customHeight="1" x14ac:dyDescent="0.2">
      <c r="A11" s="115">
        <v>12154</v>
      </c>
      <c r="B11" s="116" t="s">
        <v>4716</v>
      </c>
      <c r="C11" s="116" t="s">
        <v>4717</v>
      </c>
      <c r="D11" s="117">
        <v>2015</v>
      </c>
      <c r="E11" s="116"/>
      <c r="F11" s="116" t="s">
        <v>1967</v>
      </c>
      <c r="G11" s="116" t="s">
        <v>144</v>
      </c>
      <c r="H11" s="116" t="s">
        <v>4718</v>
      </c>
      <c r="I11" s="116" t="s">
        <v>13</v>
      </c>
      <c r="J11" s="116" t="s">
        <v>4719</v>
      </c>
      <c r="K11" s="116" t="s">
        <v>4720</v>
      </c>
      <c r="L11" s="116"/>
      <c r="M11" s="116"/>
      <c r="N11" s="116"/>
      <c r="O11" s="116"/>
      <c r="P11" s="116"/>
      <c r="Q11" s="116"/>
      <c r="R11" s="116"/>
      <c r="S11" s="116"/>
      <c r="T11" s="116"/>
      <c r="U11" s="116"/>
      <c r="V11" s="116"/>
      <c r="W11" s="116"/>
      <c r="X11" s="116"/>
      <c r="Y11" s="116"/>
      <c r="Z11" s="116"/>
      <c r="AA11" s="116"/>
      <c r="AB11" s="116"/>
      <c r="AC11" s="116"/>
      <c r="AD11" s="116"/>
      <c r="AE11" s="116"/>
      <c r="AF11" s="116"/>
      <c r="AG11" s="116"/>
      <c r="AH11" s="116"/>
      <c r="AI11" s="118">
        <v>1</v>
      </c>
      <c r="AJ11" s="118">
        <v>0</v>
      </c>
      <c r="AK11" s="116" t="s">
        <v>5193</v>
      </c>
      <c r="AL11" s="116"/>
      <c r="AM11" s="116"/>
      <c r="AN11" s="116"/>
      <c r="AO11" s="119"/>
      <c r="AP11" s="119"/>
      <c r="AQ11" s="119"/>
      <c r="AR11" s="119"/>
    </row>
    <row r="12" spans="1:45" s="79" customFormat="1" ht="63" customHeight="1" x14ac:dyDescent="0.2">
      <c r="A12" s="79">
        <v>11587</v>
      </c>
      <c r="B12" s="80" t="s">
        <v>4431</v>
      </c>
      <c r="C12" s="79" t="s">
        <v>4432</v>
      </c>
      <c r="D12" s="94">
        <v>2015</v>
      </c>
      <c r="E12" s="79" t="s">
        <v>4435</v>
      </c>
      <c r="F12" s="79" t="s">
        <v>865</v>
      </c>
      <c r="G12" s="79" t="s">
        <v>48</v>
      </c>
      <c r="H12" s="79" t="s">
        <v>160</v>
      </c>
      <c r="I12" s="79" t="s">
        <v>13</v>
      </c>
      <c r="J12" s="79" t="s">
        <v>4433</v>
      </c>
      <c r="K12" s="92" t="s">
        <v>4434</v>
      </c>
      <c r="L12" s="80"/>
      <c r="M12" s="79">
        <v>0</v>
      </c>
      <c r="N12" s="80" t="s">
        <v>5044</v>
      </c>
      <c r="O12" s="80" t="s">
        <v>5044</v>
      </c>
      <c r="P12" s="79">
        <v>0</v>
      </c>
      <c r="Q12" s="79">
        <v>0</v>
      </c>
      <c r="R12" s="79">
        <v>1</v>
      </c>
      <c r="S12" s="79">
        <v>1</v>
      </c>
      <c r="T12" s="79">
        <v>1</v>
      </c>
      <c r="U12" s="79">
        <v>97</v>
      </c>
      <c r="V12" s="79">
        <v>1</v>
      </c>
      <c r="W12" s="79">
        <v>0</v>
      </c>
      <c r="X12" s="79">
        <v>0</v>
      </c>
      <c r="Y12" s="79">
        <v>1</v>
      </c>
      <c r="Z12" s="79">
        <v>0</v>
      </c>
      <c r="AB12" s="79">
        <v>0</v>
      </c>
      <c r="AH12" s="92" t="s">
        <v>5044</v>
      </c>
      <c r="AI12" s="79">
        <v>1</v>
      </c>
      <c r="AJ12" s="79">
        <v>0</v>
      </c>
      <c r="AK12" s="80" t="s">
        <v>8094</v>
      </c>
      <c r="AL12" s="95" t="s">
        <v>8077</v>
      </c>
      <c r="AM12" s="95"/>
      <c r="AS12" s="108"/>
    </row>
    <row r="13" spans="1:45" ht="63" customHeight="1" x14ac:dyDescent="0.2">
      <c r="A13" s="31">
        <v>6010</v>
      </c>
      <c r="B13" s="31" t="s">
        <v>1822</v>
      </c>
      <c r="C13" s="31" t="s">
        <v>1823</v>
      </c>
      <c r="D13" s="45">
        <v>2015</v>
      </c>
      <c r="F13" s="31" t="s">
        <v>419</v>
      </c>
      <c r="G13" s="31" t="s">
        <v>11</v>
      </c>
      <c r="H13" s="31" t="s">
        <v>43</v>
      </c>
      <c r="I13" s="31" t="s">
        <v>13</v>
      </c>
      <c r="J13" s="31" t="s">
        <v>1824</v>
      </c>
      <c r="K13" s="31" t="s">
        <v>1825</v>
      </c>
      <c r="L13" s="31" t="s">
        <v>5817</v>
      </c>
      <c r="M13" s="31">
        <v>0</v>
      </c>
      <c r="N13" s="31" t="s">
        <v>5044</v>
      </c>
      <c r="O13" s="31" t="s">
        <v>5044</v>
      </c>
      <c r="P13" s="31">
        <v>0</v>
      </c>
      <c r="Q13" s="31">
        <v>0</v>
      </c>
      <c r="R13" s="31">
        <v>0</v>
      </c>
      <c r="S13" s="31">
        <v>1</v>
      </c>
      <c r="T13" s="31">
        <v>1</v>
      </c>
      <c r="U13" s="31">
        <v>110</v>
      </c>
      <c r="V13" s="31">
        <v>0</v>
      </c>
      <c r="W13" s="31">
        <v>1</v>
      </c>
      <c r="X13" s="31">
        <v>0</v>
      </c>
      <c r="Y13" s="31">
        <v>1</v>
      </c>
      <c r="Z13" s="31">
        <v>1</v>
      </c>
      <c r="AA13" s="169" t="s">
        <v>7664</v>
      </c>
      <c r="AB13" s="31">
        <v>1</v>
      </c>
      <c r="AI13" s="54">
        <v>0</v>
      </c>
      <c r="AJ13" s="54">
        <v>0</v>
      </c>
      <c r="AS13" s="109"/>
    </row>
    <row r="14" spans="1:45" ht="63" hidden="1" customHeight="1" x14ac:dyDescent="0.2">
      <c r="A14" s="32">
        <v>8228</v>
      </c>
      <c r="B14" s="33" t="s">
        <v>2855</v>
      </c>
      <c r="C14" s="33" t="s">
        <v>2856</v>
      </c>
      <c r="D14" s="44">
        <v>2015</v>
      </c>
      <c r="E14" s="33"/>
      <c r="F14" s="33" t="s">
        <v>293</v>
      </c>
      <c r="G14" s="33" t="s">
        <v>52</v>
      </c>
      <c r="H14" s="33" t="s">
        <v>119</v>
      </c>
      <c r="I14" s="33" t="s">
        <v>13</v>
      </c>
      <c r="J14" s="33" t="s">
        <v>2857</v>
      </c>
      <c r="K14" s="33" t="s">
        <v>2858</v>
      </c>
      <c r="L14" s="33" t="s">
        <v>5660</v>
      </c>
      <c r="M14" s="33">
        <v>1</v>
      </c>
      <c r="N14" s="33">
        <v>1</v>
      </c>
      <c r="O14" s="33">
        <v>1</v>
      </c>
      <c r="P14" s="33" t="s">
        <v>5318</v>
      </c>
      <c r="Q14" s="33" t="s">
        <v>5318</v>
      </c>
      <c r="R14" s="33" t="s">
        <v>5318</v>
      </c>
      <c r="S14" s="33" t="s">
        <v>5318</v>
      </c>
      <c r="T14" s="33" t="s">
        <v>5318</v>
      </c>
      <c r="U14" s="33" t="s">
        <v>5318</v>
      </c>
      <c r="V14" s="33" t="s">
        <v>5318</v>
      </c>
      <c r="W14" s="33" t="s">
        <v>5318</v>
      </c>
      <c r="X14" s="33" t="s">
        <v>5318</v>
      </c>
      <c r="Y14" s="33" t="s">
        <v>5318</v>
      </c>
      <c r="Z14" s="33" t="s">
        <v>5318</v>
      </c>
      <c r="AA14" s="33" t="s">
        <v>5318</v>
      </c>
      <c r="AB14" s="33" t="s">
        <v>5318</v>
      </c>
      <c r="AC14" s="33"/>
      <c r="AD14" s="33"/>
      <c r="AE14" s="33"/>
      <c r="AF14" s="33"/>
      <c r="AG14" s="33"/>
      <c r="AH14" s="33"/>
      <c r="AI14" s="53">
        <v>1</v>
      </c>
      <c r="AJ14" s="53">
        <v>0</v>
      </c>
      <c r="AK14" s="33" t="s">
        <v>6260</v>
      </c>
      <c r="AL14" s="33"/>
      <c r="AM14" s="33"/>
      <c r="AN14" s="33"/>
      <c r="AO14" s="32"/>
      <c r="AP14" s="32"/>
      <c r="AQ14" s="32"/>
      <c r="AR14" s="32"/>
    </row>
    <row r="15" spans="1:45" ht="63" hidden="1" customHeight="1" x14ac:dyDescent="0.2">
      <c r="A15" s="32">
        <v>8223</v>
      </c>
      <c r="B15" s="33" t="s">
        <v>2847</v>
      </c>
      <c r="C15" s="33" t="s">
        <v>2848</v>
      </c>
      <c r="D15" s="44">
        <v>2015</v>
      </c>
      <c r="E15" s="33"/>
      <c r="F15" s="33" t="s">
        <v>746</v>
      </c>
      <c r="G15" s="33" t="s">
        <v>52</v>
      </c>
      <c r="H15" s="33" t="s">
        <v>53</v>
      </c>
      <c r="I15" s="33" t="s">
        <v>13</v>
      </c>
      <c r="J15" s="33" t="s">
        <v>2849</v>
      </c>
      <c r="K15" s="33" t="s">
        <v>2850</v>
      </c>
      <c r="L15" s="33" t="s">
        <v>6221</v>
      </c>
      <c r="M15" s="33">
        <v>1</v>
      </c>
      <c r="N15" s="33">
        <v>1</v>
      </c>
      <c r="O15" s="33" t="s">
        <v>5318</v>
      </c>
      <c r="P15" s="33" t="s">
        <v>5318</v>
      </c>
      <c r="Q15" s="33" t="s">
        <v>5318</v>
      </c>
      <c r="R15" s="33" t="s">
        <v>5318</v>
      </c>
      <c r="S15" s="33">
        <v>1</v>
      </c>
      <c r="T15" s="33">
        <v>1</v>
      </c>
      <c r="U15" s="33">
        <v>1154</v>
      </c>
      <c r="V15" s="33" t="s">
        <v>5318</v>
      </c>
      <c r="W15" s="33" t="s">
        <v>5318</v>
      </c>
      <c r="X15" s="33" t="s">
        <v>5318</v>
      </c>
      <c r="Y15" s="33" t="s">
        <v>5318</v>
      </c>
      <c r="Z15" s="33" t="s">
        <v>5318</v>
      </c>
      <c r="AA15" s="33" t="s">
        <v>5318</v>
      </c>
      <c r="AB15" s="33" t="s">
        <v>5318</v>
      </c>
      <c r="AC15" s="33"/>
      <c r="AD15" s="33"/>
      <c r="AE15" s="33"/>
      <c r="AF15" s="33"/>
      <c r="AG15" s="33"/>
      <c r="AH15" s="33"/>
      <c r="AI15" s="53">
        <v>1</v>
      </c>
      <c r="AJ15" s="53">
        <v>0</v>
      </c>
      <c r="AK15" s="33" t="s">
        <v>6259</v>
      </c>
      <c r="AL15" s="33"/>
      <c r="AM15" s="33"/>
      <c r="AN15" s="33"/>
    </row>
    <row r="16" spans="1:45" ht="63" hidden="1" customHeight="1" x14ac:dyDescent="0.2">
      <c r="A16" s="115">
        <v>8658</v>
      </c>
      <c r="B16" s="116" t="s">
        <v>3040</v>
      </c>
      <c r="C16" s="116" t="s">
        <v>3041</v>
      </c>
      <c r="D16" s="117">
        <v>2015</v>
      </c>
      <c r="E16" s="116"/>
      <c r="F16" s="116" t="s">
        <v>293</v>
      </c>
      <c r="G16" s="116" t="s">
        <v>52</v>
      </c>
      <c r="H16" s="116" t="s">
        <v>119</v>
      </c>
      <c r="I16" s="116" t="s">
        <v>13</v>
      </c>
      <c r="J16" s="116" t="s">
        <v>3042</v>
      </c>
      <c r="K16" s="116" t="s">
        <v>3043</v>
      </c>
      <c r="L16" s="116" t="s">
        <v>5423</v>
      </c>
      <c r="M16" s="116">
        <v>1</v>
      </c>
      <c r="N16" s="116">
        <v>1</v>
      </c>
      <c r="O16" s="116" t="s">
        <v>5318</v>
      </c>
      <c r="P16" s="116" t="s">
        <v>5318</v>
      </c>
      <c r="Q16" s="116" t="s">
        <v>5318</v>
      </c>
      <c r="R16" s="116" t="s">
        <v>5318</v>
      </c>
      <c r="S16" s="116" t="s">
        <v>5318</v>
      </c>
      <c r="T16" s="116" t="s">
        <v>5318</v>
      </c>
      <c r="U16" s="116" t="s">
        <v>5318</v>
      </c>
      <c r="V16" s="116" t="s">
        <v>5318</v>
      </c>
      <c r="W16" s="116" t="s">
        <v>5318</v>
      </c>
      <c r="X16" s="116" t="s">
        <v>5318</v>
      </c>
      <c r="Y16" s="116" t="s">
        <v>5318</v>
      </c>
      <c r="Z16" s="116" t="s">
        <v>5318</v>
      </c>
      <c r="AA16" s="116" t="s">
        <v>5318</v>
      </c>
      <c r="AB16" s="116" t="s">
        <v>5318</v>
      </c>
      <c r="AC16" s="116"/>
      <c r="AD16" s="116"/>
      <c r="AE16" s="116"/>
      <c r="AF16" s="116"/>
      <c r="AG16" s="116"/>
      <c r="AH16" s="116"/>
      <c r="AI16" s="118">
        <v>1</v>
      </c>
      <c r="AJ16" s="118">
        <v>0</v>
      </c>
      <c r="AK16" s="116" t="s">
        <v>6153</v>
      </c>
      <c r="AL16" s="116"/>
      <c r="AM16" s="116"/>
      <c r="AN16" s="116"/>
      <c r="AO16" s="119"/>
      <c r="AP16" s="119"/>
      <c r="AQ16" s="119"/>
      <c r="AR16" s="119"/>
    </row>
    <row r="17" spans="1:45" ht="63" customHeight="1" x14ac:dyDescent="0.2">
      <c r="A17" s="31">
        <v>7207</v>
      </c>
      <c r="B17" s="31" t="s">
        <v>2378</v>
      </c>
      <c r="C17" s="31" t="s">
        <v>2379</v>
      </c>
      <c r="D17" s="45">
        <v>2015</v>
      </c>
      <c r="F17" s="31" t="s">
        <v>194</v>
      </c>
      <c r="G17" s="31" t="s">
        <v>175</v>
      </c>
      <c r="H17" s="31" t="s">
        <v>1321</v>
      </c>
      <c r="I17" s="31" t="s">
        <v>13</v>
      </c>
      <c r="J17" s="31" t="s">
        <v>2380</v>
      </c>
      <c r="K17" s="31" t="s">
        <v>2381</v>
      </c>
      <c r="L17" s="38" t="s">
        <v>6117</v>
      </c>
      <c r="M17" s="31">
        <v>0</v>
      </c>
      <c r="P17" s="31">
        <v>0</v>
      </c>
      <c r="Q17" s="31">
        <v>0</v>
      </c>
      <c r="R17" s="31">
        <v>0</v>
      </c>
      <c r="S17" s="31">
        <v>1</v>
      </c>
      <c r="T17" s="31">
        <v>1</v>
      </c>
      <c r="U17" s="31">
        <v>181</v>
      </c>
      <c r="V17" s="31">
        <v>0</v>
      </c>
      <c r="W17" s="31">
        <v>1</v>
      </c>
      <c r="X17" s="31">
        <v>0</v>
      </c>
      <c r="Y17" s="31">
        <v>1</v>
      </c>
      <c r="Z17" s="31">
        <v>0</v>
      </c>
      <c r="AB17" s="31" t="s">
        <v>5044</v>
      </c>
      <c r="AI17" s="54">
        <v>0</v>
      </c>
      <c r="AJ17" s="54">
        <v>0</v>
      </c>
      <c r="AK17" s="31" t="s">
        <v>6118</v>
      </c>
      <c r="AS17" s="109"/>
    </row>
    <row r="18" spans="1:45" ht="63" hidden="1" customHeight="1" x14ac:dyDescent="0.2">
      <c r="A18" s="32">
        <v>11575</v>
      </c>
      <c r="B18" s="33" t="s">
        <v>4414</v>
      </c>
      <c r="C18" s="33" t="s">
        <v>4415</v>
      </c>
      <c r="D18" s="140">
        <v>2015</v>
      </c>
      <c r="E18" s="33" t="s">
        <v>305</v>
      </c>
      <c r="F18" s="33" t="s">
        <v>293</v>
      </c>
      <c r="G18" s="33" t="s">
        <v>52</v>
      </c>
      <c r="H18" s="33" t="s">
        <v>656</v>
      </c>
      <c r="I18" s="33" t="s">
        <v>13</v>
      </c>
      <c r="J18" s="33" t="s">
        <v>4416</v>
      </c>
      <c r="K18" s="33" t="s">
        <v>4417</v>
      </c>
      <c r="L18" s="35" t="s">
        <v>5284</v>
      </c>
      <c r="M18" s="33">
        <v>1</v>
      </c>
      <c r="N18" s="33">
        <v>1</v>
      </c>
      <c r="O18" s="33">
        <v>0</v>
      </c>
      <c r="P18" s="33">
        <v>0</v>
      </c>
      <c r="Q18" s="33">
        <v>0</v>
      </c>
      <c r="R18" s="33">
        <v>0</v>
      </c>
      <c r="S18" s="33">
        <v>1</v>
      </c>
      <c r="T18" s="33">
        <v>1</v>
      </c>
      <c r="U18" s="33">
        <v>198</v>
      </c>
      <c r="V18" s="33">
        <v>0</v>
      </c>
      <c r="W18" s="33">
        <v>1</v>
      </c>
      <c r="X18" s="33">
        <v>0</v>
      </c>
      <c r="Y18" s="33" t="s">
        <v>5044</v>
      </c>
      <c r="Z18" s="33" t="s">
        <v>5044</v>
      </c>
      <c r="AA18" s="33"/>
      <c r="AB18" s="33" t="s">
        <v>5044</v>
      </c>
      <c r="AC18" s="33"/>
      <c r="AD18" s="33"/>
      <c r="AE18" s="33"/>
      <c r="AF18" s="33"/>
      <c r="AG18" s="33"/>
      <c r="AH18" s="33"/>
      <c r="AI18" s="53">
        <v>1</v>
      </c>
      <c r="AJ18" s="53">
        <v>0</v>
      </c>
      <c r="AK18" s="33" t="s">
        <v>5462</v>
      </c>
      <c r="AL18" s="33"/>
      <c r="AM18" s="33"/>
      <c r="AN18" s="33"/>
      <c r="AO18" s="32"/>
      <c r="AP18" s="32"/>
      <c r="AQ18" s="32"/>
      <c r="AR18" s="32"/>
    </row>
    <row r="19" spans="1:45" ht="63" hidden="1" customHeight="1" x14ac:dyDescent="0.2">
      <c r="A19" s="32">
        <v>8248</v>
      </c>
      <c r="B19" s="33" t="s">
        <v>2859</v>
      </c>
      <c r="C19" s="33" t="s">
        <v>2860</v>
      </c>
      <c r="D19" s="45">
        <v>2015</v>
      </c>
      <c r="E19" s="33"/>
      <c r="F19" s="33" t="s">
        <v>746</v>
      </c>
      <c r="G19" s="33" t="s">
        <v>52</v>
      </c>
      <c r="H19" s="33" t="s">
        <v>53</v>
      </c>
      <c r="I19" s="33" t="s">
        <v>13</v>
      </c>
      <c r="J19" s="33" t="s">
        <v>2861</v>
      </c>
      <c r="K19" s="33" t="s">
        <v>2862</v>
      </c>
      <c r="L19" s="33" t="s">
        <v>6222</v>
      </c>
      <c r="M19" s="33">
        <v>1</v>
      </c>
      <c r="N19" s="33">
        <v>1</v>
      </c>
      <c r="O19" s="33">
        <v>1</v>
      </c>
      <c r="P19" s="33" t="s">
        <v>5318</v>
      </c>
      <c r="Q19" s="33" t="s">
        <v>5318</v>
      </c>
      <c r="R19" s="33" t="s">
        <v>5318</v>
      </c>
      <c r="S19" s="33" t="s">
        <v>5318</v>
      </c>
      <c r="T19" s="33" t="s">
        <v>5318</v>
      </c>
      <c r="U19" s="33" t="s">
        <v>5318</v>
      </c>
      <c r="V19" s="33" t="s">
        <v>5318</v>
      </c>
      <c r="W19" s="33" t="s">
        <v>5318</v>
      </c>
      <c r="X19" s="33" t="s">
        <v>5318</v>
      </c>
      <c r="Y19" s="33" t="s">
        <v>5318</v>
      </c>
      <c r="Z19" s="33" t="s">
        <v>5318</v>
      </c>
      <c r="AA19" s="33" t="s">
        <v>5318</v>
      </c>
      <c r="AB19" s="33" t="s">
        <v>5318</v>
      </c>
      <c r="AC19" s="33"/>
      <c r="AD19" s="33"/>
      <c r="AE19" s="33"/>
      <c r="AF19" s="33"/>
      <c r="AG19" s="33"/>
      <c r="AH19" s="33"/>
      <c r="AI19" s="53">
        <v>1</v>
      </c>
      <c r="AJ19" s="53">
        <v>0</v>
      </c>
      <c r="AK19" s="33" t="s">
        <v>6261</v>
      </c>
      <c r="AL19" s="33"/>
      <c r="AM19" s="33"/>
      <c r="AN19" s="33"/>
    </row>
    <row r="20" spans="1:45" ht="63" hidden="1" customHeight="1" x14ac:dyDescent="0.2">
      <c r="A20" s="32">
        <v>932</v>
      </c>
      <c r="B20" s="33" t="s">
        <v>6754</v>
      </c>
      <c r="C20" s="33" t="s">
        <v>302</v>
      </c>
      <c r="D20" s="45">
        <v>2015</v>
      </c>
      <c r="E20" s="33" t="s">
        <v>305</v>
      </c>
      <c r="F20" s="33">
        <v>67</v>
      </c>
      <c r="G20" s="33">
        <v>1</v>
      </c>
      <c r="H20" s="33" t="s">
        <v>6515</v>
      </c>
      <c r="I20" s="33" t="s">
        <v>6755</v>
      </c>
      <c r="J20" s="33" t="s">
        <v>6756</v>
      </c>
      <c r="K20" s="33" t="s">
        <v>304</v>
      </c>
      <c r="L20" s="34" t="s">
        <v>5142</v>
      </c>
      <c r="M20" s="33">
        <v>1</v>
      </c>
      <c r="N20" s="33">
        <v>1</v>
      </c>
      <c r="O20" s="33">
        <v>0</v>
      </c>
      <c r="P20" s="33" t="s">
        <v>5318</v>
      </c>
      <c r="Q20" s="33" t="s">
        <v>5318</v>
      </c>
      <c r="R20" s="33" t="s">
        <v>5318</v>
      </c>
      <c r="S20" s="33" t="s">
        <v>5318</v>
      </c>
      <c r="T20" s="33" t="s">
        <v>5318</v>
      </c>
      <c r="U20" s="33" t="s">
        <v>5318</v>
      </c>
      <c r="V20" s="33" t="s">
        <v>5318</v>
      </c>
      <c r="W20" s="33" t="s">
        <v>5318</v>
      </c>
      <c r="X20" s="33" t="s">
        <v>5318</v>
      </c>
      <c r="Y20" s="33" t="s">
        <v>5318</v>
      </c>
      <c r="Z20" s="33" t="s">
        <v>5318</v>
      </c>
      <c r="AA20" s="33" t="s">
        <v>5318</v>
      </c>
      <c r="AB20" s="33" t="s">
        <v>5041</v>
      </c>
      <c r="AC20" s="33"/>
      <c r="AD20" s="33"/>
      <c r="AE20" s="33"/>
      <c r="AF20" s="33"/>
      <c r="AG20" s="33"/>
      <c r="AH20" s="33"/>
      <c r="AI20" s="53">
        <v>1</v>
      </c>
      <c r="AJ20" s="53">
        <v>0</v>
      </c>
      <c r="AK20" s="33" t="s">
        <v>6757</v>
      </c>
      <c r="AL20" s="33" t="s">
        <v>5318</v>
      </c>
      <c r="AM20" s="33" t="s">
        <v>5318</v>
      </c>
      <c r="AN20" s="33" t="s">
        <v>6489</v>
      </c>
    </row>
    <row r="21" spans="1:45" ht="63" hidden="1" customHeight="1" x14ac:dyDescent="0.2">
      <c r="A21" s="32">
        <v>9064</v>
      </c>
      <c r="B21" s="33" t="s">
        <v>3254</v>
      </c>
      <c r="C21" s="33" t="s">
        <v>3255</v>
      </c>
      <c r="D21" s="45">
        <v>2015</v>
      </c>
      <c r="E21" s="33"/>
      <c r="F21" s="33" t="s">
        <v>299</v>
      </c>
      <c r="G21" s="33" t="s">
        <v>52</v>
      </c>
      <c r="H21" s="33" t="s">
        <v>3256</v>
      </c>
      <c r="I21" s="33" t="s">
        <v>13</v>
      </c>
      <c r="J21" s="33" t="s">
        <v>3257</v>
      </c>
      <c r="K21" s="33" t="s">
        <v>3258</v>
      </c>
      <c r="L21" s="33" t="s">
        <v>5950</v>
      </c>
      <c r="M21" s="33">
        <v>0</v>
      </c>
      <c r="N21" s="33" t="s">
        <v>5044</v>
      </c>
      <c r="O21" s="33" t="s">
        <v>5044</v>
      </c>
      <c r="P21" s="33">
        <v>0</v>
      </c>
      <c r="Q21" s="33">
        <v>0</v>
      </c>
      <c r="R21" s="33">
        <v>1</v>
      </c>
      <c r="S21" s="33" t="s">
        <v>5951</v>
      </c>
      <c r="T21" s="33">
        <v>1</v>
      </c>
      <c r="U21" s="33">
        <v>152</v>
      </c>
      <c r="V21" s="33" t="s">
        <v>5044</v>
      </c>
      <c r="W21" s="33" t="s">
        <v>5044</v>
      </c>
      <c r="X21" s="33" t="s">
        <v>5044</v>
      </c>
      <c r="Y21" s="33">
        <v>1</v>
      </c>
      <c r="Z21" s="33" t="s">
        <v>5044</v>
      </c>
      <c r="AA21" s="33" t="s">
        <v>5952</v>
      </c>
      <c r="AB21" s="33" t="s">
        <v>5044</v>
      </c>
      <c r="AC21" s="33"/>
      <c r="AD21" s="33"/>
      <c r="AE21" s="33"/>
      <c r="AF21" s="33"/>
      <c r="AG21" s="33"/>
      <c r="AH21" s="33"/>
      <c r="AI21" s="53">
        <v>1</v>
      </c>
      <c r="AJ21" s="53">
        <v>0</v>
      </c>
      <c r="AK21" s="33" t="s">
        <v>6291</v>
      </c>
      <c r="AL21" s="33"/>
      <c r="AM21" s="33"/>
      <c r="AN21" s="33"/>
    </row>
    <row r="22" spans="1:45" ht="63" hidden="1" customHeight="1" x14ac:dyDescent="0.2">
      <c r="A22" s="32">
        <v>4135</v>
      </c>
      <c r="B22" s="33" t="s">
        <v>7523</v>
      </c>
      <c r="C22" s="33" t="s">
        <v>1115</v>
      </c>
      <c r="D22" s="45">
        <v>2015</v>
      </c>
      <c r="E22" s="33" t="s">
        <v>5318</v>
      </c>
      <c r="F22" s="33">
        <v>5</v>
      </c>
      <c r="G22" s="33">
        <v>11</v>
      </c>
      <c r="H22" s="33" t="s">
        <v>6519</v>
      </c>
      <c r="I22" s="33" t="s">
        <v>6516</v>
      </c>
      <c r="J22" s="33" t="s">
        <v>7524</v>
      </c>
      <c r="K22" s="33" t="s">
        <v>1116</v>
      </c>
      <c r="L22" s="33" t="s">
        <v>5218</v>
      </c>
      <c r="M22" s="33">
        <v>1</v>
      </c>
      <c r="N22" s="33">
        <v>1</v>
      </c>
      <c r="O22" s="33">
        <v>1</v>
      </c>
      <c r="P22" s="33" t="s">
        <v>5318</v>
      </c>
      <c r="Q22" s="33" t="s">
        <v>5318</v>
      </c>
      <c r="R22" s="33" t="s">
        <v>5318</v>
      </c>
      <c r="S22" s="33">
        <v>1</v>
      </c>
      <c r="T22" s="33">
        <v>3</v>
      </c>
      <c r="U22" s="33" t="s">
        <v>5318</v>
      </c>
      <c r="V22" s="33" t="s">
        <v>5318</v>
      </c>
      <c r="W22" s="33" t="s">
        <v>5318</v>
      </c>
      <c r="X22" s="33" t="s">
        <v>5318</v>
      </c>
      <c r="Y22" s="33" t="s">
        <v>5318</v>
      </c>
      <c r="Z22" s="33" t="s">
        <v>5318</v>
      </c>
      <c r="AA22" s="33" t="s">
        <v>5318</v>
      </c>
      <c r="AB22" s="33" t="s">
        <v>5318</v>
      </c>
      <c r="AC22" s="33"/>
      <c r="AD22" s="33"/>
      <c r="AE22" s="33"/>
      <c r="AF22" s="33"/>
      <c r="AG22" s="33"/>
      <c r="AH22" s="33"/>
      <c r="AI22" s="53">
        <v>1</v>
      </c>
      <c r="AJ22" s="53">
        <v>0</v>
      </c>
      <c r="AK22" s="33" t="s">
        <v>6147</v>
      </c>
      <c r="AL22" s="33" t="s">
        <v>5318</v>
      </c>
      <c r="AM22" s="33" t="s">
        <v>5318</v>
      </c>
      <c r="AN22" s="33" t="s">
        <v>5318</v>
      </c>
    </row>
    <row r="23" spans="1:45" ht="63" hidden="1" customHeight="1" x14ac:dyDescent="0.2">
      <c r="A23" s="32">
        <v>9483</v>
      </c>
      <c r="B23" s="33" t="s">
        <v>3415</v>
      </c>
      <c r="C23" s="33" t="s">
        <v>3416</v>
      </c>
      <c r="D23" s="45">
        <v>2015</v>
      </c>
      <c r="E23" s="33"/>
      <c r="F23" s="33" t="s">
        <v>32</v>
      </c>
      <c r="G23" s="33" t="s">
        <v>52</v>
      </c>
      <c r="H23" s="33" t="s">
        <v>3417</v>
      </c>
      <c r="I23" s="33" t="s">
        <v>13</v>
      </c>
      <c r="J23" s="33" t="s">
        <v>3418</v>
      </c>
      <c r="K23" s="33" t="s">
        <v>3419</v>
      </c>
      <c r="L23" s="33" t="s">
        <v>5985</v>
      </c>
      <c r="M23" s="33">
        <v>1</v>
      </c>
      <c r="N23" s="33">
        <v>1</v>
      </c>
      <c r="O23" s="33">
        <v>0</v>
      </c>
      <c r="P23" s="33" t="s">
        <v>5318</v>
      </c>
      <c r="Q23" s="33" t="s">
        <v>5318</v>
      </c>
      <c r="R23" s="33" t="s">
        <v>5318</v>
      </c>
      <c r="S23" s="33" t="s">
        <v>5318</v>
      </c>
      <c r="T23" s="33" t="s">
        <v>5318</v>
      </c>
      <c r="U23" s="33" t="s">
        <v>5318</v>
      </c>
      <c r="V23" s="33" t="s">
        <v>5318</v>
      </c>
      <c r="W23" s="33" t="s">
        <v>5318</v>
      </c>
      <c r="X23" s="33" t="s">
        <v>5318</v>
      </c>
      <c r="Y23" s="33" t="s">
        <v>5318</v>
      </c>
      <c r="Z23" s="33" t="s">
        <v>5318</v>
      </c>
      <c r="AA23" s="33" t="s">
        <v>5318</v>
      </c>
      <c r="AB23" s="33" t="s">
        <v>5318</v>
      </c>
      <c r="AC23" s="33"/>
      <c r="AD23" s="33"/>
      <c r="AE23" s="33"/>
      <c r="AF23" s="33"/>
      <c r="AG23" s="33"/>
      <c r="AH23" s="33"/>
      <c r="AI23" s="53">
        <v>1</v>
      </c>
      <c r="AJ23" s="53">
        <v>0</v>
      </c>
      <c r="AK23" s="33" t="s">
        <v>5462</v>
      </c>
      <c r="AL23" s="33"/>
      <c r="AM23" s="33"/>
      <c r="AN23" s="33"/>
    </row>
    <row r="24" spans="1:45" ht="63" hidden="1" customHeight="1" x14ac:dyDescent="0.2">
      <c r="A24" s="32">
        <v>12093</v>
      </c>
      <c r="B24" s="33" t="s">
        <v>4667</v>
      </c>
      <c r="C24" s="33" t="s">
        <v>4668</v>
      </c>
      <c r="D24" s="45">
        <v>2015</v>
      </c>
      <c r="E24" s="33"/>
      <c r="F24" s="33" t="s">
        <v>746</v>
      </c>
      <c r="G24" s="33" t="s">
        <v>52</v>
      </c>
      <c r="H24" s="33" t="s">
        <v>53</v>
      </c>
      <c r="I24" s="33" t="s">
        <v>13</v>
      </c>
      <c r="J24" s="33"/>
      <c r="K24" s="33" t="s">
        <v>4669</v>
      </c>
      <c r="L24" s="35" t="s">
        <v>5156</v>
      </c>
      <c r="M24" s="33">
        <v>1</v>
      </c>
      <c r="N24" s="33">
        <v>1</v>
      </c>
      <c r="O24" s="33">
        <v>1</v>
      </c>
      <c r="P24" s="33"/>
      <c r="Q24" s="33"/>
      <c r="R24" s="33"/>
      <c r="S24" s="33"/>
      <c r="T24" s="33"/>
      <c r="U24" s="33"/>
      <c r="V24" s="33"/>
      <c r="W24" s="33"/>
      <c r="X24" s="33"/>
      <c r="Y24" s="33"/>
      <c r="Z24" s="33"/>
      <c r="AA24" s="33"/>
      <c r="AB24" s="33"/>
      <c r="AC24" s="33"/>
      <c r="AD24" s="33"/>
      <c r="AE24" s="33"/>
      <c r="AF24" s="33"/>
      <c r="AG24" s="33"/>
      <c r="AH24" s="33"/>
      <c r="AI24" s="53">
        <v>1</v>
      </c>
      <c r="AJ24" s="53">
        <v>0</v>
      </c>
      <c r="AK24" s="33" t="s">
        <v>6156</v>
      </c>
      <c r="AL24" s="33"/>
      <c r="AM24" s="33"/>
      <c r="AN24" s="33"/>
    </row>
    <row r="25" spans="1:45" ht="63" hidden="1" customHeight="1" x14ac:dyDescent="0.2">
      <c r="A25" s="32">
        <v>11574</v>
      </c>
      <c r="B25" s="33" t="s">
        <v>4410</v>
      </c>
      <c r="C25" s="33" t="s">
        <v>4411</v>
      </c>
      <c r="D25" s="45">
        <v>2016</v>
      </c>
      <c r="E25" s="33" t="s">
        <v>305</v>
      </c>
      <c r="F25" s="33" t="s">
        <v>746</v>
      </c>
      <c r="G25" s="33" t="s">
        <v>52</v>
      </c>
      <c r="H25" s="33" t="s">
        <v>119</v>
      </c>
      <c r="I25" s="33" t="s">
        <v>13</v>
      </c>
      <c r="J25" s="33" t="s">
        <v>4412</v>
      </c>
      <c r="K25" s="33" t="s">
        <v>4413</v>
      </c>
      <c r="L25" s="35" t="s">
        <v>5283</v>
      </c>
      <c r="M25" s="33">
        <v>1</v>
      </c>
      <c r="N25" s="33">
        <v>0</v>
      </c>
      <c r="O25" s="33"/>
      <c r="P25" s="33">
        <v>0</v>
      </c>
      <c r="Q25" s="33">
        <v>0</v>
      </c>
      <c r="R25" s="33">
        <v>0</v>
      </c>
      <c r="S25" s="33">
        <v>1</v>
      </c>
      <c r="T25" s="33">
        <v>1</v>
      </c>
      <c r="U25" s="33">
        <v>302</v>
      </c>
      <c r="V25" s="33">
        <v>0</v>
      </c>
      <c r="W25" s="33">
        <v>1</v>
      </c>
      <c r="X25" s="33">
        <v>0</v>
      </c>
      <c r="Y25" s="33" t="s">
        <v>5044</v>
      </c>
      <c r="Z25" s="33" t="s">
        <v>5044</v>
      </c>
      <c r="AA25" s="33"/>
      <c r="AB25" s="33" t="s">
        <v>5044</v>
      </c>
      <c r="AC25" s="33"/>
      <c r="AD25" s="33"/>
      <c r="AE25" s="33"/>
      <c r="AF25" s="33"/>
      <c r="AG25" s="33"/>
      <c r="AH25" s="33"/>
      <c r="AI25" s="53">
        <v>0</v>
      </c>
      <c r="AJ25" s="53">
        <v>0</v>
      </c>
      <c r="AK25" s="33"/>
      <c r="AL25" s="33"/>
      <c r="AM25" s="33"/>
      <c r="AN25" s="33"/>
    </row>
    <row r="26" spans="1:45" ht="63" hidden="1" customHeight="1" x14ac:dyDescent="0.2">
      <c r="A26" s="115">
        <v>4275</v>
      </c>
      <c r="B26" s="116" t="s">
        <v>7547</v>
      </c>
      <c r="C26" s="116" t="s">
        <v>1139</v>
      </c>
      <c r="D26" s="120">
        <v>2016</v>
      </c>
      <c r="E26" s="116" t="s">
        <v>5318</v>
      </c>
      <c r="F26" s="116">
        <v>16</v>
      </c>
      <c r="G26" s="116">
        <v>1</v>
      </c>
      <c r="H26" s="116" t="s">
        <v>6595</v>
      </c>
      <c r="I26" s="116" t="s">
        <v>6516</v>
      </c>
      <c r="J26" s="116" t="s">
        <v>7548</v>
      </c>
      <c r="K26" s="116" t="s">
        <v>1140</v>
      </c>
      <c r="L26" s="116" t="s">
        <v>5187</v>
      </c>
      <c r="M26" s="116">
        <v>1</v>
      </c>
      <c r="N26" s="116">
        <v>1</v>
      </c>
      <c r="O26" s="116">
        <v>1</v>
      </c>
      <c r="P26" s="116" t="s">
        <v>5318</v>
      </c>
      <c r="Q26" s="116" t="s">
        <v>5318</v>
      </c>
      <c r="R26" s="116" t="s">
        <v>5318</v>
      </c>
      <c r="S26" s="116" t="s">
        <v>5318</v>
      </c>
      <c r="T26" s="116" t="s">
        <v>5318</v>
      </c>
      <c r="U26" s="116" t="s">
        <v>5318</v>
      </c>
      <c r="V26" s="116" t="s">
        <v>5318</v>
      </c>
      <c r="W26" s="116" t="s">
        <v>5318</v>
      </c>
      <c r="X26" s="116" t="s">
        <v>5318</v>
      </c>
      <c r="Y26" s="116" t="s">
        <v>5318</v>
      </c>
      <c r="Z26" s="116" t="s">
        <v>5318</v>
      </c>
      <c r="AA26" s="116" t="s">
        <v>5318</v>
      </c>
      <c r="AB26" s="116" t="s">
        <v>5318</v>
      </c>
      <c r="AC26" s="116"/>
      <c r="AD26" s="116"/>
      <c r="AE26" s="116"/>
      <c r="AF26" s="116"/>
      <c r="AG26" s="116"/>
      <c r="AH26" s="116"/>
      <c r="AI26" s="118">
        <v>1</v>
      </c>
      <c r="AJ26" s="118">
        <v>0</v>
      </c>
      <c r="AK26" s="116" t="s">
        <v>6148</v>
      </c>
      <c r="AL26" s="116" t="s">
        <v>5318</v>
      </c>
      <c r="AM26" s="116" t="s">
        <v>5318</v>
      </c>
      <c r="AN26" s="116" t="s">
        <v>5318</v>
      </c>
      <c r="AO26" s="119"/>
      <c r="AP26" s="119"/>
      <c r="AQ26" s="119"/>
      <c r="AR26" s="119"/>
    </row>
    <row r="27" spans="1:45" ht="63" customHeight="1" x14ac:dyDescent="0.2">
      <c r="A27" s="31">
        <v>4067</v>
      </c>
      <c r="B27" s="31" t="s">
        <v>7512</v>
      </c>
      <c r="C27" s="31" t="s">
        <v>1105</v>
      </c>
      <c r="D27" s="45">
        <v>2016</v>
      </c>
      <c r="E27" s="31" t="s">
        <v>5318</v>
      </c>
      <c r="F27" s="31">
        <v>264</v>
      </c>
      <c r="G27" s="31">
        <v>5</v>
      </c>
      <c r="H27" s="31" t="s">
        <v>6533</v>
      </c>
      <c r="I27" s="31" t="s">
        <v>6516</v>
      </c>
      <c r="J27" s="31" t="s">
        <v>7513</v>
      </c>
      <c r="K27" s="31" t="s">
        <v>1106</v>
      </c>
      <c r="L27" s="31" t="s">
        <v>5044</v>
      </c>
      <c r="M27" s="31">
        <v>0</v>
      </c>
      <c r="N27" s="31" t="s">
        <v>5318</v>
      </c>
      <c r="O27" s="31" t="s">
        <v>5318</v>
      </c>
      <c r="P27" s="31">
        <v>0</v>
      </c>
      <c r="Q27" s="31">
        <v>0</v>
      </c>
      <c r="R27" s="31">
        <v>0</v>
      </c>
      <c r="S27" s="31">
        <v>1</v>
      </c>
      <c r="T27" s="31">
        <v>1</v>
      </c>
      <c r="U27" s="31">
        <v>212</v>
      </c>
      <c r="V27" s="31">
        <v>0</v>
      </c>
      <c r="W27" s="31">
        <v>1</v>
      </c>
      <c r="X27" s="31">
        <v>0</v>
      </c>
      <c r="Y27" s="31">
        <v>1</v>
      </c>
      <c r="Z27" s="31">
        <v>0</v>
      </c>
      <c r="AA27" s="31" t="s">
        <v>5318</v>
      </c>
      <c r="AB27" s="31">
        <v>1</v>
      </c>
      <c r="AI27" s="54">
        <v>0</v>
      </c>
      <c r="AJ27" s="54">
        <v>0</v>
      </c>
      <c r="AK27" s="31" t="s">
        <v>5318</v>
      </c>
      <c r="AL27" s="31" t="s">
        <v>5318</v>
      </c>
      <c r="AM27" s="31" t="s">
        <v>5318</v>
      </c>
      <c r="AN27" s="31" t="s">
        <v>5318</v>
      </c>
      <c r="AS27" s="109"/>
    </row>
    <row r="28" spans="1:45" ht="63" hidden="1" customHeight="1" x14ac:dyDescent="0.2">
      <c r="A28" s="115">
        <v>3325</v>
      </c>
      <c r="B28" s="116" t="s">
        <v>7336</v>
      </c>
      <c r="C28" s="116" t="s">
        <v>922</v>
      </c>
      <c r="D28" s="141">
        <v>2016</v>
      </c>
      <c r="E28" s="116" t="s">
        <v>305</v>
      </c>
      <c r="F28" s="116">
        <v>6</v>
      </c>
      <c r="G28" s="116">
        <v>12</v>
      </c>
      <c r="H28" s="116" t="s">
        <v>6519</v>
      </c>
      <c r="I28" s="116" t="s">
        <v>6516</v>
      </c>
      <c r="J28" s="116" t="s">
        <v>7337</v>
      </c>
      <c r="K28" s="116" t="s">
        <v>923</v>
      </c>
      <c r="L28" s="121" t="s">
        <v>5618</v>
      </c>
      <c r="M28" s="116">
        <v>1</v>
      </c>
      <c r="N28" s="116">
        <v>1</v>
      </c>
      <c r="O28" s="116">
        <v>1</v>
      </c>
      <c r="P28" s="116">
        <v>0</v>
      </c>
      <c r="Q28" s="116">
        <v>0</v>
      </c>
      <c r="R28" s="116">
        <v>0</v>
      </c>
      <c r="S28" s="116">
        <v>1</v>
      </c>
      <c r="T28" s="116">
        <v>1</v>
      </c>
      <c r="U28" s="116">
        <v>120</v>
      </c>
      <c r="V28" s="116">
        <v>0</v>
      </c>
      <c r="W28" s="116">
        <v>1</v>
      </c>
      <c r="X28" s="116">
        <v>0</v>
      </c>
      <c r="Y28" s="116" t="s">
        <v>5044</v>
      </c>
      <c r="Z28" s="116" t="s">
        <v>5044</v>
      </c>
      <c r="AA28" s="116" t="s">
        <v>5318</v>
      </c>
      <c r="AB28" s="116" t="s">
        <v>5044</v>
      </c>
      <c r="AC28" s="116"/>
      <c r="AD28" s="116"/>
      <c r="AE28" s="116"/>
      <c r="AF28" s="116"/>
      <c r="AG28" s="116"/>
      <c r="AH28" s="116"/>
      <c r="AI28" s="118">
        <v>0</v>
      </c>
      <c r="AJ28" s="118">
        <v>0</v>
      </c>
      <c r="AK28" s="116"/>
      <c r="AL28" s="116" t="s">
        <v>5318</v>
      </c>
      <c r="AM28" s="116" t="s">
        <v>5318</v>
      </c>
      <c r="AN28" s="116" t="s">
        <v>5318</v>
      </c>
      <c r="AO28" s="115"/>
      <c r="AP28" s="115"/>
      <c r="AQ28" s="115"/>
      <c r="AR28" s="115"/>
    </row>
    <row r="29" spans="1:45" ht="63" customHeight="1" x14ac:dyDescent="0.2">
      <c r="A29" s="31">
        <v>2643</v>
      </c>
      <c r="B29" s="31" t="s">
        <v>6375</v>
      </c>
      <c r="C29" s="31" t="s">
        <v>739</v>
      </c>
      <c r="D29" s="45">
        <v>2016</v>
      </c>
      <c r="E29" s="31" t="s">
        <v>5318</v>
      </c>
      <c r="F29" s="31">
        <v>223</v>
      </c>
      <c r="G29" s="31">
        <v>2</v>
      </c>
      <c r="H29" s="31" t="s">
        <v>6377</v>
      </c>
      <c r="I29" s="31" t="s">
        <v>6878</v>
      </c>
      <c r="J29" s="31" t="s">
        <v>7162</v>
      </c>
      <c r="K29" s="31" t="s">
        <v>741</v>
      </c>
      <c r="L29" s="38" t="s">
        <v>5552</v>
      </c>
      <c r="M29" s="31">
        <v>0</v>
      </c>
      <c r="N29" s="31" t="s">
        <v>5318</v>
      </c>
      <c r="O29" s="31" t="s">
        <v>5318</v>
      </c>
      <c r="P29" s="31">
        <v>0</v>
      </c>
      <c r="Q29" s="31">
        <v>0</v>
      </c>
      <c r="R29" s="31">
        <v>0</v>
      </c>
      <c r="S29" s="31">
        <v>1</v>
      </c>
      <c r="T29" s="31">
        <v>5</v>
      </c>
      <c r="U29" s="31">
        <v>144</v>
      </c>
      <c r="V29" s="31">
        <v>1</v>
      </c>
      <c r="W29" s="31">
        <v>0</v>
      </c>
      <c r="X29" s="31">
        <v>0</v>
      </c>
      <c r="Y29" s="31">
        <v>1</v>
      </c>
      <c r="Z29" s="31">
        <v>0</v>
      </c>
      <c r="AA29" s="31" t="s">
        <v>6510</v>
      </c>
      <c r="AB29" s="31">
        <v>0</v>
      </c>
      <c r="AI29" s="54">
        <v>0</v>
      </c>
      <c r="AJ29" s="54">
        <v>0</v>
      </c>
      <c r="AK29" s="31" t="s">
        <v>5318</v>
      </c>
      <c r="AL29" s="31" t="s">
        <v>5318</v>
      </c>
      <c r="AM29" s="31" t="s">
        <v>5318</v>
      </c>
      <c r="AN29" s="31" t="s">
        <v>5318</v>
      </c>
      <c r="AS29" s="109"/>
    </row>
    <row r="30" spans="1:45" ht="63" customHeight="1" x14ac:dyDescent="0.2">
      <c r="A30" s="31" t="s">
        <v>6374</v>
      </c>
      <c r="B30" s="31" t="s">
        <v>6375</v>
      </c>
      <c r="C30" s="31" t="s">
        <v>6376</v>
      </c>
      <c r="D30" s="45">
        <v>2016</v>
      </c>
      <c r="H30" s="31" t="s">
        <v>6377</v>
      </c>
      <c r="J30" s="37" t="s">
        <v>6378</v>
      </c>
      <c r="K30" s="93" t="s">
        <v>741</v>
      </c>
      <c r="L30" s="37" t="s">
        <v>5552</v>
      </c>
      <c r="M30" s="31">
        <v>0</v>
      </c>
      <c r="N30" s="77" t="s">
        <v>5044</v>
      </c>
      <c r="O30" s="77" t="s">
        <v>5044</v>
      </c>
      <c r="P30" s="31">
        <v>0</v>
      </c>
      <c r="Q30" s="31">
        <v>0</v>
      </c>
      <c r="R30" s="31">
        <v>0</v>
      </c>
      <c r="S30" s="31">
        <v>1</v>
      </c>
      <c r="T30" s="31">
        <v>5</v>
      </c>
      <c r="U30" s="31">
        <v>144</v>
      </c>
      <c r="V30" s="31">
        <v>1</v>
      </c>
      <c r="W30" s="31">
        <v>0</v>
      </c>
      <c r="X30" s="31">
        <v>0</v>
      </c>
      <c r="Y30" s="31">
        <v>1</v>
      </c>
      <c r="Z30" s="31">
        <v>0</v>
      </c>
      <c r="AB30" s="31">
        <v>0</v>
      </c>
      <c r="AC30" s="31">
        <v>0</v>
      </c>
      <c r="AD30" s="31">
        <v>0</v>
      </c>
      <c r="AE30" s="31">
        <v>0</v>
      </c>
      <c r="AF30" s="31">
        <v>1</v>
      </c>
      <c r="AG30" s="31">
        <v>0</v>
      </c>
      <c r="AH30" s="77" t="s">
        <v>8130</v>
      </c>
      <c r="AI30" s="54">
        <v>0</v>
      </c>
      <c r="AJ30" s="54">
        <v>0</v>
      </c>
      <c r="AL30" s="78" t="s">
        <v>8069</v>
      </c>
      <c r="AM30" s="82">
        <v>2</v>
      </c>
      <c r="AN30" s="31">
        <v>0</v>
      </c>
      <c r="AO30" s="77" t="s">
        <v>5044</v>
      </c>
      <c r="AP30" s="77" t="s">
        <v>5044</v>
      </c>
      <c r="AQ30" s="31">
        <v>0</v>
      </c>
      <c r="AR30" s="77" t="s">
        <v>5044</v>
      </c>
      <c r="AS30" s="109"/>
    </row>
    <row r="31" spans="1:45" ht="63" hidden="1" customHeight="1" x14ac:dyDescent="0.2">
      <c r="A31" s="115">
        <v>7950</v>
      </c>
      <c r="B31" s="116" t="s">
        <v>2718</v>
      </c>
      <c r="C31" s="116" t="s">
        <v>2719</v>
      </c>
      <c r="D31" s="117">
        <v>2016</v>
      </c>
      <c r="E31" s="116"/>
      <c r="F31" s="116" t="s">
        <v>829</v>
      </c>
      <c r="G31" s="116" t="s">
        <v>32</v>
      </c>
      <c r="H31" s="116" t="s">
        <v>390</v>
      </c>
      <c r="I31" s="116" t="s">
        <v>437</v>
      </c>
      <c r="J31" s="116" t="s">
        <v>2720</v>
      </c>
      <c r="K31" s="116" t="s">
        <v>2721</v>
      </c>
      <c r="L31" s="116" t="s">
        <v>5402</v>
      </c>
      <c r="M31" s="116" t="s">
        <v>5318</v>
      </c>
      <c r="N31" s="116" t="s">
        <v>5318</v>
      </c>
      <c r="O31" s="116" t="s">
        <v>5318</v>
      </c>
      <c r="P31" s="116" t="s">
        <v>5318</v>
      </c>
      <c r="Q31" s="116" t="s">
        <v>5318</v>
      </c>
      <c r="R31" s="116">
        <v>1</v>
      </c>
      <c r="S31" s="116" t="s">
        <v>5318</v>
      </c>
      <c r="T31" s="116" t="s">
        <v>5318</v>
      </c>
      <c r="U31" s="116" t="s">
        <v>5318</v>
      </c>
      <c r="V31" s="116" t="s">
        <v>5318</v>
      </c>
      <c r="W31" s="116" t="s">
        <v>5318</v>
      </c>
      <c r="X31" s="116" t="s">
        <v>5318</v>
      </c>
      <c r="Y31" s="116" t="s">
        <v>5318</v>
      </c>
      <c r="Z31" s="116" t="s">
        <v>5318</v>
      </c>
      <c r="AA31" s="116" t="s">
        <v>5318</v>
      </c>
      <c r="AB31" s="116" t="s">
        <v>5318</v>
      </c>
      <c r="AC31" s="116"/>
      <c r="AD31" s="116"/>
      <c r="AE31" s="116"/>
      <c r="AF31" s="116"/>
      <c r="AG31" s="116"/>
      <c r="AH31" s="116"/>
      <c r="AI31" s="118">
        <v>1</v>
      </c>
      <c r="AJ31" s="118">
        <v>0</v>
      </c>
      <c r="AK31" s="116" t="s">
        <v>5193</v>
      </c>
      <c r="AL31" s="116"/>
      <c r="AM31" s="116"/>
      <c r="AN31" s="116"/>
      <c r="AO31" s="115"/>
      <c r="AP31" s="115"/>
      <c r="AQ31" s="115"/>
      <c r="AR31" s="115"/>
    </row>
    <row r="32" spans="1:45" ht="63" customHeight="1" x14ac:dyDescent="0.2">
      <c r="A32" s="31">
        <v>3801</v>
      </c>
      <c r="B32" s="31" t="s">
        <v>7443</v>
      </c>
      <c r="C32" s="31" t="s">
        <v>1035</v>
      </c>
      <c r="D32" s="45">
        <v>2016</v>
      </c>
      <c r="E32" s="31" t="s">
        <v>5318</v>
      </c>
      <c r="F32" s="31">
        <v>20</v>
      </c>
      <c r="G32" s="31" t="s">
        <v>5318</v>
      </c>
      <c r="H32" s="31" t="s">
        <v>7444</v>
      </c>
      <c r="I32" s="31" t="s">
        <v>6516</v>
      </c>
      <c r="J32" s="31" t="s">
        <v>5318</v>
      </c>
      <c r="K32" s="31" t="s">
        <v>1036</v>
      </c>
      <c r="L32" s="31" t="s">
        <v>5470</v>
      </c>
      <c r="M32" s="31">
        <v>0</v>
      </c>
      <c r="N32" s="31" t="s">
        <v>5318</v>
      </c>
      <c r="O32" s="31" t="s">
        <v>5318</v>
      </c>
      <c r="P32" s="31">
        <v>1</v>
      </c>
      <c r="Q32" s="31">
        <v>0</v>
      </c>
      <c r="R32" s="31">
        <v>0</v>
      </c>
      <c r="S32" s="31">
        <v>1</v>
      </c>
      <c r="T32" s="31">
        <v>1</v>
      </c>
      <c r="U32" s="31">
        <v>20</v>
      </c>
      <c r="V32" s="31">
        <v>0</v>
      </c>
      <c r="W32" s="31">
        <v>1</v>
      </c>
      <c r="X32" s="31">
        <v>0</v>
      </c>
      <c r="Y32" s="31">
        <v>1</v>
      </c>
      <c r="Z32" s="31">
        <v>0</v>
      </c>
      <c r="AA32" s="31" t="s">
        <v>5318</v>
      </c>
      <c r="AB32" s="31" t="s">
        <v>5044</v>
      </c>
      <c r="AI32" s="54">
        <v>0</v>
      </c>
      <c r="AJ32" s="54">
        <v>0</v>
      </c>
      <c r="AK32" s="31" t="s">
        <v>7445</v>
      </c>
      <c r="AL32" s="31" t="s">
        <v>5318</v>
      </c>
      <c r="AM32" s="31" t="s">
        <v>5318</v>
      </c>
      <c r="AN32" s="31" t="s">
        <v>5318</v>
      </c>
      <c r="AS32" s="109"/>
    </row>
    <row r="33" spans="1:45" ht="63" hidden="1" customHeight="1" x14ac:dyDescent="0.2">
      <c r="A33" s="32">
        <v>5054</v>
      </c>
      <c r="B33" s="33" t="s">
        <v>1409</v>
      </c>
      <c r="C33" s="33" t="s">
        <v>1410</v>
      </c>
      <c r="D33" s="44">
        <v>2016</v>
      </c>
      <c r="E33" s="33"/>
      <c r="F33" s="33" t="s">
        <v>37</v>
      </c>
      <c r="G33" s="33" t="s">
        <v>175</v>
      </c>
      <c r="H33" s="33" t="s">
        <v>19</v>
      </c>
      <c r="I33" s="33" t="s">
        <v>13</v>
      </c>
      <c r="J33" s="33" t="s">
        <v>1411</v>
      </c>
      <c r="K33" s="33" t="s">
        <v>1412</v>
      </c>
      <c r="L33" s="33" t="s">
        <v>5754</v>
      </c>
      <c r="M33" s="33">
        <v>1</v>
      </c>
      <c r="N33" s="33">
        <v>1</v>
      </c>
      <c r="O33" s="33">
        <v>0</v>
      </c>
      <c r="P33" s="33"/>
      <c r="Q33" s="33"/>
      <c r="R33" s="33"/>
      <c r="S33" s="33">
        <v>1</v>
      </c>
      <c r="T33" s="33">
        <v>5</v>
      </c>
      <c r="U33" s="33"/>
      <c r="V33" s="33"/>
      <c r="W33" s="33"/>
      <c r="X33" s="33"/>
      <c r="Y33" s="33"/>
      <c r="Z33" s="33"/>
      <c r="AA33" s="33"/>
      <c r="AB33" s="33"/>
      <c r="AC33" s="33"/>
      <c r="AD33" s="33"/>
      <c r="AE33" s="33"/>
      <c r="AF33" s="33"/>
      <c r="AG33" s="33"/>
      <c r="AH33" s="33"/>
      <c r="AI33" s="53">
        <v>1</v>
      </c>
      <c r="AJ33" s="53">
        <v>0</v>
      </c>
      <c r="AK33" s="33" t="s">
        <v>5462</v>
      </c>
      <c r="AL33" s="33"/>
      <c r="AM33" s="33"/>
      <c r="AN33" s="33"/>
      <c r="AO33" s="32"/>
      <c r="AP33" s="32"/>
      <c r="AQ33" s="32"/>
      <c r="AR33" s="32"/>
    </row>
    <row r="34" spans="1:45" ht="63" hidden="1" customHeight="1" x14ac:dyDescent="0.2">
      <c r="A34" s="115">
        <v>4864</v>
      </c>
      <c r="B34" s="116" t="s">
        <v>1332</v>
      </c>
      <c r="C34" s="116" t="s">
        <v>1333</v>
      </c>
      <c r="D34" s="117">
        <v>2016</v>
      </c>
      <c r="E34" s="116"/>
      <c r="F34" s="116" t="s">
        <v>168</v>
      </c>
      <c r="G34" s="116" t="s">
        <v>18</v>
      </c>
      <c r="H34" s="116" t="s">
        <v>1334</v>
      </c>
      <c r="I34" s="116" t="s">
        <v>437</v>
      </c>
      <c r="J34" s="116" t="s">
        <v>1335</v>
      </c>
      <c r="K34" s="116" t="s">
        <v>1336</v>
      </c>
      <c r="L34" s="116" t="s">
        <v>5740</v>
      </c>
      <c r="M34" s="116">
        <v>0</v>
      </c>
      <c r="N34" s="116"/>
      <c r="O34" s="116"/>
      <c r="P34" s="116">
        <v>0</v>
      </c>
      <c r="Q34" s="116">
        <v>0</v>
      </c>
      <c r="R34" s="116">
        <v>1</v>
      </c>
      <c r="S34" s="116"/>
      <c r="T34" s="116"/>
      <c r="U34" s="116"/>
      <c r="V34" s="116"/>
      <c r="W34" s="116"/>
      <c r="X34" s="116"/>
      <c r="Y34" s="116"/>
      <c r="Z34" s="116"/>
      <c r="AA34" s="116"/>
      <c r="AB34" s="116"/>
      <c r="AC34" s="116"/>
      <c r="AD34" s="116"/>
      <c r="AE34" s="116"/>
      <c r="AF34" s="116"/>
      <c r="AG34" s="116"/>
      <c r="AH34" s="116"/>
      <c r="AI34" s="118">
        <v>1</v>
      </c>
      <c r="AJ34" s="118">
        <v>0</v>
      </c>
      <c r="AK34" s="116" t="s">
        <v>6281</v>
      </c>
      <c r="AL34" s="116"/>
      <c r="AM34" s="116"/>
      <c r="AN34" s="116"/>
      <c r="AO34" s="119"/>
      <c r="AP34" s="119"/>
      <c r="AQ34" s="119"/>
      <c r="AR34" s="119"/>
    </row>
    <row r="35" spans="1:45" s="79" customFormat="1" ht="63" customHeight="1" x14ac:dyDescent="0.2">
      <c r="A35" s="79">
        <v>4890</v>
      </c>
      <c r="B35" s="79" t="s">
        <v>1347</v>
      </c>
      <c r="C35" s="79" t="s">
        <v>1348</v>
      </c>
      <c r="D35" s="94">
        <v>2016</v>
      </c>
      <c r="F35" s="79" t="s">
        <v>118</v>
      </c>
      <c r="G35" s="79" t="s">
        <v>17</v>
      </c>
      <c r="H35" s="79" t="s">
        <v>157</v>
      </c>
      <c r="I35" s="79" t="s">
        <v>13</v>
      </c>
      <c r="J35" s="79" t="s">
        <v>1349</v>
      </c>
      <c r="K35" s="80" t="s">
        <v>1350</v>
      </c>
      <c r="L35" s="79" t="s">
        <v>5742</v>
      </c>
      <c r="M35" s="79">
        <v>0</v>
      </c>
      <c r="N35" s="80" t="s">
        <v>5044</v>
      </c>
      <c r="O35" s="80" t="s">
        <v>5044</v>
      </c>
      <c r="P35" s="79">
        <v>0</v>
      </c>
      <c r="Q35" s="79">
        <v>0</v>
      </c>
      <c r="R35" s="79">
        <v>1</v>
      </c>
      <c r="S35" s="79">
        <v>1</v>
      </c>
      <c r="T35" s="79">
        <v>1</v>
      </c>
      <c r="U35" s="79">
        <v>322</v>
      </c>
      <c r="V35" s="79">
        <v>1</v>
      </c>
      <c r="W35" s="79">
        <v>0</v>
      </c>
      <c r="X35" s="79">
        <v>0</v>
      </c>
      <c r="Y35" s="79">
        <v>1</v>
      </c>
      <c r="Z35" s="79">
        <v>0</v>
      </c>
      <c r="AB35" s="79">
        <v>0</v>
      </c>
      <c r="AC35" s="79">
        <v>0</v>
      </c>
      <c r="AD35" s="79">
        <v>0.48</v>
      </c>
      <c r="AE35" s="79">
        <v>0</v>
      </c>
      <c r="AF35" s="79">
        <v>1</v>
      </c>
      <c r="AG35" s="79">
        <v>0</v>
      </c>
      <c r="AH35" s="80" t="s">
        <v>5044</v>
      </c>
      <c r="AI35" s="79">
        <v>0</v>
      </c>
      <c r="AJ35" s="79">
        <v>0</v>
      </c>
      <c r="AK35" s="80" t="s">
        <v>8098</v>
      </c>
      <c r="AL35" s="95" t="s">
        <v>8078</v>
      </c>
      <c r="AM35" s="95">
        <v>1</v>
      </c>
      <c r="AN35" s="79">
        <v>0</v>
      </c>
      <c r="AO35" s="79">
        <v>0</v>
      </c>
      <c r="AP35" s="80" t="s">
        <v>5044</v>
      </c>
      <c r="AQ35" s="80">
        <v>0</v>
      </c>
      <c r="AR35" s="80" t="s">
        <v>5044</v>
      </c>
      <c r="AS35" s="108"/>
    </row>
    <row r="36" spans="1:45" ht="63" customHeight="1" x14ac:dyDescent="0.2">
      <c r="A36" s="31">
        <v>11917</v>
      </c>
      <c r="B36" s="31" t="s">
        <v>4581</v>
      </c>
      <c r="C36" s="31" t="s">
        <v>4582</v>
      </c>
      <c r="D36" s="45">
        <v>2016</v>
      </c>
      <c r="F36" s="31" t="s">
        <v>3534</v>
      </c>
      <c r="G36" s="31" t="s">
        <v>32</v>
      </c>
      <c r="H36" s="31" t="s">
        <v>224</v>
      </c>
      <c r="I36" s="31" t="s">
        <v>13</v>
      </c>
      <c r="J36" s="31" t="s">
        <v>4583</v>
      </c>
      <c r="K36" s="31" t="s">
        <v>4584</v>
      </c>
      <c r="L36" s="36" t="s">
        <v>5315</v>
      </c>
      <c r="M36" s="31">
        <v>0</v>
      </c>
      <c r="P36" s="31">
        <v>0</v>
      </c>
      <c r="Q36" s="31">
        <v>0</v>
      </c>
      <c r="R36" s="31">
        <v>0</v>
      </c>
      <c r="S36" s="31">
        <v>13</v>
      </c>
      <c r="T36" s="31">
        <v>1</v>
      </c>
      <c r="U36" s="31">
        <v>460</v>
      </c>
      <c r="V36" s="31">
        <v>0</v>
      </c>
      <c r="W36" s="31">
        <v>1</v>
      </c>
      <c r="X36" s="31">
        <v>0</v>
      </c>
      <c r="Y36" s="31">
        <v>1</v>
      </c>
      <c r="Z36" s="31">
        <v>0</v>
      </c>
      <c r="AB36" s="31">
        <v>0</v>
      </c>
      <c r="AI36" s="54">
        <v>0</v>
      </c>
      <c r="AJ36" s="54">
        <v>0</v>
      </c>
      <c r="AS36" s="109"/>
    </row>
    <row r="37" spans="1:45" ht="63" hidden="1" customHeight="1" x14ac:dyDescent="0.2">
      <c r="A37" s="32">
        <v>3805</v>
      </c>
      <c r="B37" s="33" t="s">
        <v>7446</v>
      </c>
      <c r="C37" s="33" t="s">
        <v>1037</v>
      </c>
      <c r="D37" s="44">
        <v>2017</v>
      </c>
      <c r="E37" s="33" t="s">
        <v>305</v>
      </c>
      <c r="F37" s="33">
        <v>7</v>
      </c>
      <c r="G37" s="33">
        <v>7</v>
      </c>
      <c r="H37" s="33" t="s">
        <v>6519</v>
      </c>
      <c r="I37" s="33" t="s">
        <v>6516</v>
      </c>
      <c r="J37" s="33" t="s">
        <v>7447</v>
      </c>
      <c r="K37" s="33" t="s">
        <v>1038</v>
      </c>
      <c r="L37" s="33" t="s">
        <v>5311</v>
      </c>
      <c r="M37" s="33">
        <v>1</v>
      </c>
      <c r="N37" s="33">
        <v>1</v>
      </c>
      <c r="O37" s="33">
        <v>1</v>
      </c>
      <c r="P37" s="33" t="s">
        <v>5318</v>
      </c>
      <c r="Q37" s="33" t="s">
        <v>5318</v>
      </c>
      <c r="R37" s="33" t="s">
        <v>5318</v>
      </c>
      <c r="S37" s="33">
        <v>1</v>
      </c>
      <c r="T37" s="33">
        <v>2</v>
      </c>
      <c r="U37" s="33" t="s">
        <v>5318</v>
      </c>
      <c r="V37" s="33" t="s">
        <v>5318</v>
      </c>
      <c r="W37" s="33" t="s">
        <v>5318</v>
      </c>
      <c r="X37" s="33" t="s">
        <v>5318</v>
      </c>
      <c r="Y37" s="33" t="s">
        <v>5318</v>
      </c>
      <c r="Z37" s="33" t="s">
        <v>5318</v>
      </c>
      <c r="AA37" s="33" t="s">
        <v>5318</v>
      </c>
      <c r="AB37" s="33" t="s">
        <v>5318</v>
      </c>
      <c r="AC37" s="33"/>
      <c r="AD37" s="33"/>
      <c r="AE37" s="33"/>
      <c r="AF37" s="33"/>
      <c r="AG37" s="33"/>
      <c r="AH37" s="33"/>
      <c r="AI37" s="53">
        <v>1</v>
      </c>
      <c r="AJ37" s="53">
        <v>0</v>
      </c>
      <c r="AK37" s="33" t="s">
        <v>6146</v>
      </c>
      <c r="AL37" s="33" t="s">
        <v>5318</v>
      </c>
      <c r="AM37" s="33" t="s">
        <v>5318</v>
      </c>
      <c r="AN37" s="33" t="s">
        <v>5318</v>
      </c>
      <c r="AO37" s="32"/>
      <c r="AP37" s="32"/>
      <c r="AQ37" s="32"/>
      <c r="AR37" s="32"/>
    </row>
    <row r="38" spans="1:45" ht="63" hidden="1" customHeight="1" x14ac:dyDescent="0.2">
      <c r="A38" s="115">
        <v>5460</v>
      </c>
      <c r="B38" s="116" t="s">
        <v>1641</v>
      </c>
      <c r="C38" s="116" t="s">
        <v>1642</v>
      </c>
      <c r="D38" s="117">
        <v>2017</v>
      </c>
      <c r="E38" s="116"/>
      <c r="F38" s="116" t="s">
        <v>37</v>
      </c>
      <c r="G38" s="116" t="s">
        <v>48</v>
      </c>
      <c r="H38" s="116" t="s">
        <v>616</v>
      </c>
      <c r="I38" s="116" t="s">
        <v>13</v>
      </c>
      <c r="J38" s="116" t="s">
        <v>1643</v>
      </c>
      <c r="K38" s="116" t="s">
        <v>1644</v>
      </c>
      <c r="L38" s="116" t="s">
        <v>5781</v>
      </c>
      <c r="M38" s="116">
        <v>1</v>
      </c>
      <c r="N38" s="116">
        <v>1</v>
      </c>
      <c r="O38" s="116">
        <v>1</v>
      </c>
      <c r="P38" s="116" t="s">
        <v>5318</v>
      </c>
      <c r="Q38" s="116" t="s">
        <v>5318</v>
      </c>
      <c r="R38" s="116" t="s">
        <v>5318</v>
      </c>
      <c r="S38" s="116" t="s">
        <v>5318</v>
      </c>
      <c r="T38" s="116" t="s">
        <v>5318</v>
      </c>
      <c r="U38" s="116" t="s">
        <v>5318</v>
      </c>
      <c r="V38" s="116" t="s">
        <v>5318</v>
      </c>
      <c r="W38" s="116" t="s">
        <v>5318</v>
      </c>
      <c r="X38" s="116" t="s">
        <v>5318</v>
      </c>
      <c r="Y38" s="116" t="s">
        <v>5318</v>
      </c>
      <c r="Z38" s="116" t="s">
        <v>5318</v>
      </c>
      <c r="AA38" s="116" t="s">
        <v>5318</v>
      </c>
      <c r="AB38" s="116" t="s">
        <v>5318</v>
      </c>
      <c r="AC38" s="116"/>
      <c r="AD38" s="116"/>
      <c r="AE38" s="116"/>
      <c r="AF38" s="116"/>
      <c r="AG38" s="116"/>
      <c r="AH38" s="116"/>
      <c r="AI38" s="118">
        <v>1</v>
      </c>
      <c r="AJ38" s="118">
        <v>0</v>
      </c>
      <c r="AK38" s="116" t="s">
        <v>6150</v>
      </c>
      <c r="AL38" s="116"/>
      <c r="AM38" s="116"/>
      <c r="AN38" s="116"/>
      <c r="AO38" s="119"/>
      <c r="AP38" s="119"/>
      <c r="AQ38" s="119"/>
      <c r="AR38" s="119"/>
    </row>
    <row r="39" spans="1:45" ht="63" customHeight="1" x14ac:dyDescent="0.2">
      <c r="A39" s="31">
        <v>10575</v>
      </c>
      <c r="B39" s="31" t="s">
        <v>3946</v>
      </c>
      <c r="C39" s="31" t="s">
        <v>3947</v>
      </c>
      <c r="D39" s="45">
        <v>2017</v>
      </c>
      <c r="F39" s="31" t="s">
        <v>1028</v>
      </c>
      <c r="G39" s="31" t="s">
        <v>32</v>
      </c>
      <c r="H39" s="31" t="s">
        <v>43</v>
      </c>
      <c r="I39" s="31" t="s">
        <v>13</v>
      </c>
      <c r="J39" s="31" t="s">
        <v>3948</v>
      </c>
      <c r="K39" s="31" t="s">
        <v>3949</v>
      </c>
      <c r="L39" s="31" t="s">
        <v>5336</v>
      </c>
      <c r="M39" s="31">
        <v>0</v>
      </c>
      <c r="P39" s="31">
        <v>0</v>
      </c>
      <c r="Q39" s="31">
        <v>0</v>
      </c>
      <c r="R39" s="31">
        <v>0</v>
      </c>
      <c r="S39" s="31">
        <v>11</v>
      </c>
      <c r="T39" s="31">
        <v>1</v>
      </c>
      <c r="U39" s="31">
        <v>127</v>
      </c>
      <c r="V39" s="31">
        <v>0</v>
      </c>
      <c r="W39" s="31">
        <v>1</v>
      </c>
      <c r="X39" s="31">
        <v>0</v>
      </c>
      <c r="Y39" s="31">
        <v>1</v>
      </c>
      <c r="Z39" s="31">
        <v>0</v>
      </c>
      <c r="AB39" s="31">
        <v>1</v>
      </c>
      <c r="AI39" s="54">
        <v>0</v>
      </c>
      <c r="AJ39" s="54">
        <v>0</v>
      </c>
      <c r="AS39" s="109"/>
    </row>
    <row r="40" spans="1:45" ht="63" hidden="1" customHeight="1" x14ac:dyDescent="0.2">
      <c r="A40" s="115">
        <v>10036</v>
      </c>
      <c r="B40" s="116" t="s">
        <v>3695</v>
      </c>
      <c r="C40" s="116" t="s">
        <v>3696</v>
      </c>
      <c r="D40" s="117">
        <v>2017</v>
      </c>
      <c r="E40" s="116" t="s">
        <v>3699</v>
      </c>
      <c r="F40" s="116" t="s">
        <v>688</v>
      </c>
      <c r="G40" s="116" t="s">
        <v>144</v>
      </c>
      <c r="H40" s="116" t="s">
        <v>202</v>
      </c>
      <c r="I40" s="116" t="s">
        <v>13</v>
      </c>
      <c r="J40" s="116" t="s">
        <v>3697</v>
      </c>
      <c r="K40" s="116" t="s">
        <v>3698</v>
      </c>
      <c r="L40" s="116" t="s">
        <v>5318</v>
      </c>
      <c r="M40" s="116" t="s">
        <v>5318</v>
      </c>
      <c r="N40" s="116" t="s">
        <v>5318</v>
      </c>
      <c r="O40" s="116" t="s">
        <v>5318</v>
      </c>
      <c r="P40" s="116" t="s">
        <v>5318</v>
      </c>
      <c r="Q40" s="116" t="s">
        <v>5318</v>
      </c>
      <c r="R40" s="116" t="s">
        <v>5318</v>
      </c>
      <c r="S40" s="116" t="s">
        <v>5318</v>
      </c>
      <c r="T40" s="116" t="s">
        <v>5318</v>
      </c>
      <c r="U40" s="116" t="s">
        <v>5318</v>
      </c>
      <c r="V40" s="116" t="s">
        <v>5318</v>
      </c>
      <c r="W40" s="116" t="s">
        <v>5318</v>
      </c>
      <c r="X40" s="116" t="s">
        <v>5318</v>
      </c>
      <c r="Y40" s="116" t="s">
        <v>5318</v>
      </c>
      <c r="Z40" s="116" t="s">
        <v>5318</v>
      </c>
      <c r="AA40" s="116" t="s">
        <v>5318</v>
      </c>
      <c r="AB40" s="116" t="s">
        <v>5318</v>
      </c>
      <c r="AC40" s="116"/>
      <c r="AD40" s="116"/>
      <c r="AE40" s="116"/>
      <c r="AF40" s="116"/>
      <c r="AG40" s="116"/>
      <c r="AH40" s="116"/>
      <c r="AI40" s="118">
        <v>1</v>
      </c>
      <c r="AJ40" s="118">
        <v>0</v>
      </c>
      <c r="AK40" s="116" t="s">
        <v>6269</v>
      </c>
      <c r="AL40" s="116"/>
      <c r="AM40" s="116"/>
      <c r="AN40" s="116"/>
      <c r="AO40" s="115"/>
      <c r="AP40" s="115"/>
      <c r="AQ40" s="115"/>
      <c r="AR40" s="115"/>
    </row>
    <row r="41" spans="1:45" ht="63" customHeight="1" x14ac:dyDescent="0.2">
      <c r="A41" s="31">
        <v>9679</v>
      </c>
      <c r="B41" s="31" t="s">
        <v>3528</v>
      </c>
      <c r="C41" s="31" t="s">
        <v>3529</v>
      </c>
      <c r="D41" s="45">
        <v>2017</v>
      </c>
      <c r="F41" s="31" t="s">
        <v>1801</v>
      </c>
      <c r="G41" s="31" t="s">
        <v>32</v>
      </c>
      <c r="H41" s="31" t="s">
        <v>43</v>
      </c>
      <c r="I41" s="31" t="s">
        <v>13</v>
      </c>
      <c r="J41" s="31" t="s">
        <v>3530</v>
      </c>
      <c r="K41" s="31" t="s">
        <v>3531</v>
      </c>
      <c r="L41" s="31" t="s">
        <v>6008</v>
      </c>
      <c r="M41" s="31">
        <v>0</v>
      </c>
      <c r="N41" s="31" t="s">
        <v>5044</v>
      </c>
      <c r="O41" s="31" t="s">
        <v>5044</v>
      </c>
      <c r="P41" s="31">
        <v>0</v>
      </c>
      <c r="Q41" s="31">
        <v>0</v>
      </c>
      <c r="R41" s="31">
        <v>0</v>
      </c>
      <c r="S41" s="31">
        <v>1</v>
      </c>
      <c r="T41" s="31">
        <v>2</v>
      </c>
      <c r="U41" s="31">
        <v>100</v>
      </c>
      <c r="V41" s="31">
        <v>0</v>
      </c>
      <c r="W41" s="31">
        <v>1</v>
      </c>
      <c r="X41" s="31">
        <v>0</v>
      </c>
      <c r="Y41" s="31">
        <v>1</v>
      </c>
      <c r="Z41" s="31">
        <v>0</v>
      </c>
      <c r="AA41" s="31" t="s">
        <v>5318</v>
      </c>
      <c r="AB41" s="31">
        <v>0</v>
      </c>
      <c r="AI41" s="54">
        <v>0</v>
      </c>
      <c r="AJ41" s="54">
        <v>0</v>
      </c>
      <c r="AS41" s="109"/>
    </row>
    <row r="42" spans="1:45" ht="63" customHeight="1" x14ac:dyDescent="0.2">
      <c r="A42" s="31">
        <v>9151</v>
      </c>
      <c r="B42" s="31" t="s">
        <v>3281</v>
      </c>
      <c r="C42" s="31" t="s">
        <v>3282</v>
      </c>
      <c r="D42" s="45">
        <v>2017</v>
      </c>
      <c r="F42" s="31" t="s">
        <v>829</v>
      </c>
      <c r="G42" s="31" t="s">
        <v>52</v>
      </c>
      <c r="H42" s="31" t="s">
        <v>224</v>
      </c>
      <c r="I42" s="31" t="s">
        <v>13</v>
      </c>
      <c r="J42" s="31" t="s">
        <v>3283</v>
      </c>
      <c r="K42" s="31" t="s">
        <v>3284</v>
      </c>
      <c r="L42" s="31" t="s">
        <v>5959</v>
      </c>
      <c r="M42" s="31">
        <v>0</v>
      </c>
      <c r="N42" s="31" t="s">
        <v>5044</v>
      </c>
      <c r="O42" s="31" t="s">
        <v>5044</v>
      </c>
      <c r="P42" s="31">
        <v>0</v>
      </c>
      <c r="Q42" s="31">
        <v>0</v>
      </c>
      <c r="R42" s="31">
        <v>0</v>
      </c>
      <c r="S42" s="31">
        <v>9</v>
      </c>
      <c r="T42" s="31">
        <v>2</v>
      </c>
      <c r="U42" s="31">
        <v>135</v>
      </c>
      <c r="V42" s="31">
        <v>0</v>
      </c>
      <c r="W42" s="31">
        <v>1</v>
      </c>
      <c r="X42" s="31">
        <v>0</v>
      </c>
      <c r="Y42" s="31">
        <v>1</v>
      </c>
      <c r="Z42" s="31">
        <v>0</v>
      </c>
      <c r="AA42" s="31" t="s">
        <v>6004</v>
      </c>
      <c r="AB42" s="31">
        <v>0</v>
      </c>
      <c r="AI42" s="54">
        <v>0</v>
      </c>
      <c r="AJ42" s="54">
        <v>0</v>
      </c>
      <c r="AK42" s="31" t="s">
        <v>5318</v>
      </c>
      <c r="AS42" s="109"/>
    </row>
    <row r="43" spans="1:45" ht="63" customHeight="1" x14ac:dyDescent="0.2">
      <c r="A43" s="31">
        <v>3537</v>
      </c>
      <c r="B43" s="31" t="s">
        <v>7395</v>
      </c>
      <c r="C43" s="31" t="s">
        <v>984</v>
      </c>
      <c r="D43" s="45">
        <v>2017</v>
      </c>
      <c r="E43" s="31" t="s">
        <v>5318</v>
      </c>
      <c r="F43" s="31">
        <v>162</v>
      </c>
      <c r="G43" s="31">
        <v>1</v>
      </c>
      <c r="H43" s="31" t="s">
        <v>6553</v>
      </c>
      <c r="I43" s="31" t="s">
        <v>6878</v>
      </c>
      <c r="J43" s="31" t="s">
        <v>7396</v>
      </c>
      <c r="K43" s="31" t="s">
        <v>986</v>
      </c>
      <c r="L43" s="38" t="s">
        <v>5641</v>
      </c>
      <c r="M43" s="31">
        <v>0</v>
      </c>
      <c r="N43" s="31" t="s">
        <v>5318</v>
      </c>
      <c r="O43" s="31" t="s">
        <v>5318</v>
      </c>
      <c r="P43" s="31">
        <v>0</v>
      </c>
      <c r="Q43" s="31">
        <v>0</v>
      </c>
      <c r="R43" s="31">
        <v>0</v>
      </c>
      <c r="S43" s="31">
        <v>1</v>
      </c>
      <c r="T43" s="31">
        <v>1</v>
      </c>
      <c r="U43" s="31">
        <v>18</v>
      </c>
      <c r="V43" s="31">
        <v>0</v>
      </c>
      <c r="W43" s="31">
        <v>1</v>
      </c>
      <c r="X43" s="31">
        <v>0</v>
      </c>
      <c r="Y43" s="31">
        <v>1</v>
      </c>
      <c r="Z43" s="31">
        <v>0</v>
      </c>
      <c r="AA43" s="31" t="s">
        <v>5318</v>
      </c>
      <c r="AB43" s="31">
        <v>0</v>
      </c>
      <c r="AI43" s="54">
        <v>0</v>
      </c>
      <c r="AJ43" s="54">
        <v>0</v>
      </c>
      <c r="AK43" s="31" t="s">
        <v>5318</v>
      </c>
      <c r="AL43" s="31" t="s">
        <v>5318</v>
      </c>
      <c r="AM43" s="31" t="s">
        <v>5318</v>
      </c>
      <c r="AN43" s="31" t="s">
        <v>5318</v>
      </c>
      <c r="AS43" s="109"/>
    </row>
    <row r="44" spans="1:45" ht="63" hidden="1" customHeight="1" x14ac:dyDescent="0.2">
      <c r="A44" s="32">
        <v>2953</v>
      </c>
      <c r="B44" s="33" t="s">
        <v>7230</v>
      </c>
      <c r="C44" s="33" t="s">
        <v>812</v>
      </c>
      <c r="D44" s="44">
        <v>2017</v>
      </c>
      <c r="E44" s="33" t="s">
        <v>5318</v>
      </c>
      <c r="F44" s="33">
        <v>104</v>
      </c>
      <c r="G44" s="33">
        <v>10</v>
      </c>
      <c r="H44" s="33" t="s">
        <v>6530</v>
      </c>
      <c r="I44" s="33" t="s">
        <v>6516</v>
      </c>
      <c r="J44" s="33" t="s">
        <v>7231</v>
      </c>
      <c r="K44" s="33" t="s">
        <v>813</v>
      </c>
      <c r="L44" s="35" t="s">
        <v>5581</v>
      </c>
      <c r="M44" s="33">
        <v>0</v>
      </c>
      <c r="N44" s="33" t="s">
        <v>5318</v>
      </c>
      <c r="O44" s="33" t="s">
        <v>5318</v>
      </c>
      <c r="P44" s="33">
        <v>0</v>
      </c>
      <c r="Q44" s="33">
        <v>0</v>
      </c>
      <c r="R44" s="33">
        <v>1</v>
      </c>
      <c r="S44" s="33" t="s">
        <v>5318</v>
      </c>
      <c r="T44" s="33" t="s">
        <v>5318</v>
      </c>
      <c r="U44" s="33" t="s">
        <v>5318</v>
      </c>
      <c r="V44" s="33" t="s">
        <v>5318</v>
      </c>
      <c r="W44" s="33" t="s">
        <v>5318</v>
      </c>
      <c r="X44" s="33" t="s">
        <v>5318</v>
      </c>
      <c r="Y44" s="33" t="s">
        <v>5318</v>
      </c>
      <c r="Z44" s="33" t="s">
        <v>5318</v>
      </c>
      <c r="AA44" s="33" t="s">
        <v>5318</v>
      </c>
      <c r="AB44" s="33" t="s">
        <v>5318</v>
      </c>
      <c r="AC44" s="33"/>
      <c r="AD44" s="33"/>
      <c r="AE44" s="33"/>
      <c r="AF44" s="33"/>
      <c r="AG44" s="33"/>
      <c r="AH44" s="33"/>
      <c r="AI44" s="53">
        <v>1</v>
      </c>
      <c r="AJ44" s="53">
        <v>0</v>
      </c>
      <c r="AK44" s="33" t="s">
        <v>6276</v>
      </c>
      <c r="AL44" s="33" t="s">
        <v>5318</v>
      </c>
      <c r="AM44" s="33" t="s">
        <v>5318</v>
      </c>
      <c r="AN44" s="33" t="s">
        <v>5318</v>
      </c>
      <c r="AO44" s="32"/>
      <c r="AP44" s="32"/>
      <c r="AQ44" s="32"/>
      <c r="AR44" s="32"/>
    </row>
    <row r="45" spans="1:45" ht="63" hidden="1" customHeight="1" x14ac:dyDescent="0.2">
      <c r="A45" s="115">
        <v>5109</v>
      </c>
      <c r="B45" s="116" t="s">
        <v>1452</v>
      </c>
      <c r="C45" s="116" t="s">
        <v>1453</v>
      </c>
      <c r="D45" s="117">
        <v>2017</v>
      </c>
      <c r="E45" s="116"/>
      <c r="F45" s="116" t="s">
        <v>147</v>
      </c>
      <c r="G45" s="116" t="s">
        <v>52</v>
      </c>
      <c r="H45" s="116" t="s">
        <v>53</v>
      </c>
      <c r="I45" s="116" t="s">
        <v>13</v>
      </c>
      <c r="J45" s="116" t="s">
        <v>1454</v>
      </c>
      <c r="K45" s="116" t="s">
        <v>1455</v>
      </c>
      <c r="L45" s="116" t="s">
        <v>5764</v>
      </c>
      <c r="M45" s="116">
        <v>1</v>
      </c>
      <c r="N45" s="116">
        <v>0</v>
      </c>
      <c r="O45" s="116"/>
      <c r="P45" s="116">
        <v>0</v>
      </c>
      <c r="Q45" s="116">
        <v>0</v>
      </c>
      <c r="R45" s="116">
        <v>0</v>
      </c>
      <c r="S45" s="116">
        <v>1</v>
      </c>
      <c r="T45" s="116">
        <v>1</v>
      </c>
      <c r="U45" s="116">
        <v>150</v>
      </c>
      <c r="V45" s="116">
        <v>1</v>
      </c>
      <c r="W45" s="116">
        <v>0</v>
      </c>
      <c r="X45" s="116">
        <v>0</v>
      </c>
      <c r="Y45" s="116" t="s">
        <v>5044</v>
      </c>
      <c r="Z45" s="116" t="s">
        <v>5044</v>
      </c>
      <c r="AA45" s="116"/>
      <c r="AB45" s="116" t="s">
        <v>5044</v>
      </c>
      <c r="AC45" s="116"/>
      <c r="AD45" s="116"/>
      <c r="AE45" s="116"/>
      <c r="AF45" s="116"/>
      <c r="AG45" s="116"/>
      <c r="AH45" s="116"/>
      <c r="AI45" s="118">
        <v>0</v>
      </c>
      <c r="AJ45" s="118">
        <v>0</v>
      </c>
      <c r="AK45" s="116"/>
      <c r="AL45" s="116"/>
      <c r="AM45" s="116"/>
      <c r="AN45" s="116"/>
      <c r="AO45" s="119"/>
      <c r="AP45" s="119"/>
      <c r="AQ45" s="119"/>
      <c r="AR45" s="119"/>
    </row>
    <row r="46" spans="1:45" ht="63" customHeight="1" x14ac:dyDescent="0.2">
      <c r="A46" s="31">
        <v>11372</v>
      </c>
      <c r="B46" s="31" t="s">
        <v>4322</v>
      </c>
      <c r="C46" s="31" t="s">
        <v>4323</v>
      </c>
      <c r="D46" s="45">
        <v>2017</v>
      </c>
      <c r="F46" s="31" t="s">
        <v>27</v>
      </c>
      <c r="G46" s="31" t="s">
        <v>144</v>
      </c>
      <c r="H46" s="31" t="s">
        <v>4324</v>
      </c>
      <c r="I46" s="31" t="s">
        <v>13</v>
      </c>
      <c r="J46" s="31" t="s">
        <v>4325</v>
      </c>
      <c r="K46" s="31" t="s">
        <v>4326</v>
      </c>
      <c r="L46" s="36" t="s">
        <v>5264</v>
      </c>
      <c r="M46" s="31">
        <v>0</v>
      </c>
      <c r="P46" s="31">
        <v>0</v>
      </c>
      <c r="Q46" s="31">
        <v>0</v>
      </c>
      <c r="R46" s="31">
        <v>0</v>
      </c>
      <c r="S46" s="31">
        <v>13</v>
      </c>
      <c r="T46" s="31">
        <v>1</v>
      </c>
      <c r="U46" s="31">
        <v>101</v>
      </c>
      <c r="V46" s="31">
        <v>0</v>
      </c>
      <c r="W46" s="31">
        <v>1</v>
      </c>
      <c r="X46" s="31">
        <v>0</v>
      </c>
      <c r="Y46" s="31">
        <v>1</v>
      </c>
      <c r="Z46" s="31">
        <v>0</v>
      </c>
      <c r="AB46" s="31">
        <v>1</v>
      </c>
      <c r="AI46" s="54">
        <v>0</v>
      </c>
      <c r="AJ46" s="54">
        <v>0</v>
      </c>
      <c r="AS46" s="109"/>
    </row>
    <row r="47" spans="1:45" ht="63" hidden="1" customHeight="1" x14ac:dyDescent="0.2">
      <c r="A47" s="32">
        <v>578</v>
      </c>
      <c r="B47" s="33" t="s">
        <v>6662</v>
      </c>
      <c r="C47" s="33" t="s">
        <v>204</v>
      </c>
      <c r="D47" s="44">
        <v>2017</v>
      </c>
      <c r="E47" s="33" t="s">
        <v>5318</v>
      </c>
      <c r="F47" s="33">
        <v>18</v>
      </c>
      <c r="G47" s="33">
        <v>1</v>
      </c>
      <c r="H47" s="33" t="s">
        <v>6538</v>
      </c>
      <c r="I47" s="33" t="s">
        <v>6516</v>
      </c>
      <c r="J47" s="33" t="s">
        <v>6663</v>
      </c>
      <c r="K47" s="33" t="s">
        <v>205</v>
      </c>
      <c r="L47" s="35" t="s">
        <v>6142</v>
      </c>
      <c r="M47" s="33">
        <v>1</v>
      </c>
      <c r="N47" s="33">
        <v>1</v>
      </c>
      <c r="O47" s="33">
        <v>0</v>
      </c>
      <c r="P47" s="33" t="s">
        <v>5318</v>
      </c>
      <c r="Q47" s="33" t="s">
        <v>5318</v>
      </c>
      <c r="R47" s="33" t="s">
        <v>5318</v>
      </c>
      <c r="S47" s="33" t="s">
        <v>5318</v>
      </c>
      <c r="T47" s="33" t="s">
        <v>5318</v>
      </c>
      <c r="U47" s="33" t="s">
        <v>5318</v>
      </c>
      <c r="V47" s="33" t="s">
        <v>5318</v>
      </c>
      <c r="W47" s="33" t="s">
        <v>5318</v>
      </c>
      <c r="X47" s="33" t="s">
        <v>5318</v>
      </c>
      <c r="Y47" s="33" t="s">
        <v>5318</v>
      </c>
      <c r="Z47" s="33" t="s">
        <v>5318</v>
      </c>
      <c r="AA47" s="33" t="s">
        <v>5318</v>
      </c>
      <c r="AB47" s="33" t="s">
        <v>5318</v>
      </c>
      <c r="AC47" s="33"/>
      <c r="AD47" s="33"/>
      <c r="AE47" s="33"/>
      <c r="AF47" s="33"/>
      <c r="AG47" s="33"/>
      <c r="AH47" s="33"/>
      <c r="AI47" s="53">
        <v>1</v>
      </c>
      <c r="AJ47" s="53">
        <v>0</v>
      </c>
      <c r="AK47" s="33" t="s">
        <v>6664</v>
      </c>
      <c r="AL47" s="33" t="s">
        <v>5318</v>
      </c>
      <c r="AM47" s="33" t="s">
        <v>5318</v>
      </c>
      <c r="AN47" s="33" t="s">
        <v>5318</v>
      </c>
      <c r="AO47" s="32"/>
      <c r="AP47" s="32"/>
      <c r="AQ47" s="32"/>
      <c r="AR47" s="32"/>
    </row>
    <row r="48" spans="1:45" ht="63" hidden="1" customHeight="1" x14ac:dyDescent="0.2">
      <c r="A48" s="115">
        <v>4458</v>
      </c>
      <c r="B48" s="116" t="s">
        <v>7600</v>
      </c>
      <c r="C48" s="116" t="s">
        <v>1190</v>
      </c>
      <c r="D48" s="117">
        <v>2017</v>
      </c>
      <c r="E48" s="116" t="s">
        <v>5318</v>
      </c>
      <c r="F48" s="116">
        <v>7</v>
      </c>
      <c r="G48" s="116">
        <v>8</v>
      </c>
      <c r="H48" s="116" t="s">
        <v>6519</v>
      </c>
      <c r="I48" s="116" t="s">
        <v>6516</v>
      </c>
      <c r="J48" s="116" t="s">
        <v>7601</v>
      </c>
      <c r="K48" s="116" t="s">
        <v>1191</v>
      </c>
      <c r="L48" s="116" t="s">
        <v>5694</v>
      </c>
      <c r="M48" s="116">
        <v>1</v>
      </c>
      <c r="N48" s="116">
        <v>1</v>
      </c>
      <c r="O48" s="116">
        <v>0</v>
      </c>
      <c r="P48" s="116">
        <v>0</v>
      </c>
      <c r="Q48" s="116" t="s">
        <v>5318</v>
      </c>
      <c r="R48" s="116" t="s">
        <v>5318</v>
      </c>
      <c r="S48" s="116" t="s">
        <v>5318</v>
      </c>
      <c r="T48" s="116" t="s">
        <v>5318</v>
      </c>
      <c r="U48" s="116" t="s">
        <v>5318</v>
      </c>
      <c r="V48" s="116" t="s">
        <v>5318</v>
      </c>
      <c r="W48" s="116" t="s">
        <v>5318</v>
      </c>
      <c r="X48" s="116" t="s">
        <v>5318</v>
      </c>
      <c r="Y48" s="116" t="s">
        <v>5318</v>
      </c>
      <c r="Z48" s="116" t="s">
        <v>5318</v>
      </c>
      <c r="AA48" s="116" t="s">
        <v>5318</v>
      </c>
      <c r="AB48" s="116" t="s">
        <v>5318</v>
      </c>
      <c r="AC48" s="116"/>
      <c r="AD48" s="116"/>
      <c r="AE48" s="116"/>
      <c r="AF48" s="116"/>
      <c r="AG48" s="116"/>
      <c r="AH48" s="116"/>
      <c r="AI48" s="118">
        <v>1</v>
      </c>
      <c r="AJ48" s="118">
        <v>0</v>
      </c>
      <c r="AK48" s="116" t="s">
        <v>5462</v>
      </c>
      <c r="AL48" s="116" t="s">
        <v>5318</v>
      </c>
      <c r="AM48" s="116" t="s">
        <v>5318</v>
      </c>
      <c r="AN48" s="116" t="s">
        <v>5318</v>
      </c>
      <c r="AO48" s="119"/>
      <c r="AP48" s="119"/>
      <c r="AQ48" s="119"/>
      <c r="AR48" s="119"/>
    </row>
    <row r="49" spans="1:45" ht="63" customHeight="1" x14ac:dyDescent="0.2">
      <c r="A49" s="31">
        <v>1614</v>
      </c>
      <c r="B49" s="31" t="s">
        <v>6917</v>
      </c>
      <c r="C49" s="31" t="s">
        <v>481</v>
      </c>
      <c r="D49" s="45">
        <v>2017</v>
      </c>
      <c r="E49" s="31" t="s">
        <v>5318</v>
      </c>
      <c r="F49" s="31">
        <v>104</v>
      </c>
      <c r="G49" s="31">
        <v>5</v>
      </c>
      <c r="H49" s="31" t="s">
        <v>6530</v>
      </c>
      <c r="I49" s="31" t="s">
        <v>6516</v>
      </c>
      <c r="J49" s="31" t="s">
        <v>6918</v>
      </c>
      <c r="K49" s="31" t="s">
        <v>482</v>
      </c>
      <c r="L49" s="36" t="s">
        <v>5434</v>
      </c>
      <c r="M49" s="31">
        <v>0</v>
      </c>
      <c r="N49" s="31" t="s">
        <v>5318</v>
      </c>
      <c r="O49" s="31" t="s">
        <v>5318</v>
      </c>
      <c r="P49" s="31">
        <v>0</v>
      </c>
      <c r="Q49" s="31">
        <v>0</v>
      </c>
      <c r="R49" s="31">
        <v>0</v>
      </c>
      <c r="S49" s="31">
        <v>1</v>
      </c>
      <c r="T49" s="31">
        <v>4</v>
      </c>
      <c r="U49" s="31">
        <v>80</v>
      </c>
      <c r="V49" s="31">
        <v>0</v>
      </c>
      <c r="W49" s="31">
        <v>1</v>
      </c>
      <c r="X49" s="31">
        <v>0</v>
      </c>
      <c r="Y49" s="31">
        <v>1</v>
      </c>
      <c r="Z49" s="31">
        <v>0</v>
      </c>
      <c r="AA49" s="31" t="s">
        <v>6510</v>
      </c>
      <c r="AB49" s="31">
        <v>0</v>
      </c>
      <c r="AI49" s="54">
        <v>0</v>
      </c>
      <c r="AJ49" s="54">
        <v>0</v>
      </c>
      <c r="AK49" s="31" t="s">
        <v>5318</v>
      </c>
      <c r="AL49" s="31" t="s">
        <v>5318</v>
      </c>
      <c r="AM49" s="31" t="s">
        <v>5318</v>
      </c>
      <c r="AN49" s="31" t="s">
        <v>5318</v>
      </c>
      <c r="AS49" s="109"/>
    </row>
    <row r="50" spans="1:45" ht="63" hidden="1" customHeight="1" x14ac:dyDescent="0.2">
      <c r="A50" s="32">
        <v>4642</v>
      </c>
      <c r="B50" s="33" t="s">
        <v>7643</v>
      </c>
      <c r="C50" s="33" t="s">
        <v>1234</v>
      </c>
      <c r="D50" s="44">
        <v>2017</v>
      </c>
      <c r="E50" s="33" t="s">
        <v>5318</v>
      </c>
      <c r="F50" s="33">
        <v>104</v>
      </c>
      <c r="G50" s="33">
        <v>8</v>
      </c>
      <c r="H50" s="33" t="s">
        <v>6530</v>
      </c>
      <c r="I50" s="33" t="s">
        <v>6516</v>
      </c>
      <c r="J50" s="33" t="s">
        <v>7644</v>
      </c>
      <c r="K50" s="33" t="s">
        <v>1235</v>
      </c>
      <c r="L50" s="33" t="s">
        <v>5720</v>
      </c>
      <c r="M50" s="33" t="s">
        <v>5318</v>
      </c>
      <c r="N50" s="33" t="s">
        <v>5318</v>
      </c>
      <c r="O50" s="33" t="s">
        <v>5318</v>
      </c>
      <c r="P50" s="33" t="s">
        <v>5318</v>
      </c>
      <c r="Q50" s="33" t="s">
        <v>5318</v>
      </c>
      <c r="R50" s="33" t="s">
        <v>5318</v>
      </c>
      <c r="S50" s="33" t="s">
        <v>5318</v>
      </c>
      <c r="T50" s="33" t="s">
        <v>5318</v>
      </c>
      <c r="U50" s="33" t="s">
        <v>5318</v>
      </c>
      <c r="V50" s="33" t="s">
        <v>5318</v>
      </c>
      <c r="W50" s="33" t="s">
        <v>5318</v>
      </c>
      <c r="X50" s="33" t="s">
        <v>5318</v>
      </c>
      <c r="Y50" s="33" t="s">
        <v>5318</v>
      </c>
      <c r="Z50" s="33" t="s">
        <v>5318</v>
      </c>
      <c r="AA50" s="33" t="s">
        <v>5318</v>
      </c>
      <c r="AB50" s="33" t="s">
        <v>5318</v>
      </c>
      <c r="AC50" s="33"/>
      <c r="AD50" s="33"/>
      <c r="AE50" s="33"/>
      <c r="AF50" s="33"/>
      <c r="AG50" s="33"/>
      <c r="AH50" s="33"/>
      <c r="AI50" s="53">
        <v>1</v>
      </c>
      <c r="AJ50" s="53">
        <v>0</v>
      </c>
      <c r="AK50" s="33" t="s">
        <v>6279</v>
      </c>
      <c r="AL50" s="33" t="s">
        <v>5318</v>
      </c>
      <c r="AM50" s="33" t="s">
        <v>5318</v>
      </c>
      <c r="AN50" s="33" t="s">
        <v>5318</v>
      </c>
      <c r="AO50" s="32"/>
      <c r="AP50" s="32"/>
      <c r="AQ50" s="32"/>
      <c r="AR50" s="32"/>
    </row>
    <row r="51" spans="1:45" ht="63" hidden="1" customHeight="1" x14ac:dyDescent="0.2">
      <c r="A51" s="32">
        <v>6065</v>
      </c>
      <c r="B51" s="33" t="s">
        <v>1871</v>
      </c>
      <c r="C51" s="33" t="s">
        <v>1872</v>
      </c>
      <c r="D51" s="44">
        <v>2017</v>
      </c>
      <c r="E51" s="33"/>
      <c r="F51" s="33" t="s">
        <v>356</v>
      </c>
      <c r="G51" s="33" t="s">
        <v>175</v>
      </c>
      <c r="H51" s="33" t="s">
        <v>160</v>
      </c>
      <c r="I51" s="33" t="s">
        <v>13</v>
      </c>
      <c r="J51" s="33" t="s">
        <v>1873</v>
      </c>
      <c r="K51" s="33" t="s">
        <v>1874</v>
      </c>
      <c r="L51" s="33" t="s">
        <v>5066</v>
      </c>
      <c r="M51" s="33" t="s">
        <v>5318</v>
      </c>
      <c r="N51" s="33" t="s">
        <v>5318</v>
      </c>
      <c r="O51" s="33" t="s">
        <v>5318</v>
      </c>
      <c r="P51" s="33" t="s">
        <v>5318</v>
      </c>
      <c r="Q51" s="33" t="s">
        <v>5318</v>
      </c>
      <c r="R51" s="33" t="s">
        <v>5318</v>
      </c>
      <c r="S51" s="33" t="s">
        <v>5318</v>
      </c>
      <c r="T51" s="33" t="s">
        <v>5318</v>
      </c>
      <c r="U51" s="33" t="s">
        <v>5318</v>
      </c>
      <c r="V51" s="33" t="s">
        <v>5318</v>
      </c>
      <c r="W51" s="33" t="s">
        <v>5318</v>
      </c>
      <c r="X51" s="33" t="s">
        <v>5318</v>
      </c>
      <c r="Y51" s="33" t="s">
        <v>5318</v>
      </c>
      <c r="Z51" s="33" t="s">
        <v>5318</v>
      </c>
      <c r="AA51" s="33" t="s">
        <v>5318</v>
      </c>
      <c r="AB51" s="33" t="s">
        <v>5318</v>
      </c>
      <c r="AC51" s="33"/>
      <c r="AD51" s="33"/>
      <c r="AE51" s="33"/>
      <c r="AF51" s="33"/>
      <c r="AG51" s="33"/>
      <c r="AH51" s="33"/>
      <c r="AI51" s="53">
        <v>1</v>
      </c>
      <c r="AJ51" s="53">
        <v>0</v>
      </c>
      <c r="AK51" s="33" t="s">
        <v>6282</v>
      </c>
      <c r="AL51" s="33"/>
      <c r="AM51" s="33"/>
      <c r="AN51" s="33"/>
    </row>
    <row r="52" spans="1:45" ht="63" hidden="1" customHeight="1" x14ac:dyDescent="0.2">
      <c r="A52" s="32">
        <v>5097</v>
      </c>
      <c r="B52" s="33" t="s">
        <v>1442</v>
      </c>
      <c r="C52" s="33" t="s">
        <v>1443</v>
      </c>
      <c r="D52" s="44">
        <v>2017</v>
      </c>
      <c r="E52" s="33"/>
      <c r="F52" s="33" t="s">
        <v>144</v>
      </c>
      <c r="G52" s="33"/>
      <c r="H52" s="33" t="s">
        <v>502</v>
      </c>
      <c r="I52" s="33" t="s">
        <v>13</v>
      </c>
      <c r="J52" s="33" t="s">
        <v>1444</v>
      </c>
      <c r="K52" s="33" t="s">
        <v>1445</v>
      </c>
      <c r="L52" s="33" t="s">
        <v>5762</v>
      </c>
      <c r="M52" s="33">
        <v>1</v>
      </c>
      <c r="N52" s="33">
        <v>0</v>
      </c>
      <c r="O52" s="33"/>
      <c r="P52" s="33">
        <v>0</v>
      </c>
      <c r="Q52" s="33">
        <v>0</v>
      </c>
      <c r="R52" s="33">
        <v>0</v>
      </c>
      <c r="S52" s="33">
        <v>1</v>
      </c>
      <c r="T52" s="33">
        <v>1</v>
      </c>
      <c r="U52" s="33">
        <v>140</v>
      </c>
      <c r="V52" s="33">
        <v>1</v>
      </c>
      <c r="W52" s="33">
        <v>0</v>
      </c>
      <c r="X52" s="33">
        <v>0</v>
      </c>
      <c r="Y52" s="33" t="s">
        <v>5044</v>
      </c>
      <c r="Z52" s="33" t="s">
        <v>5044</v>
      </c>
      <c r="AA52" s="33"/>
      <c r="AB52" s="33" t="s">
        <v>5044</v>
      </c>
      <c r="AC52" s="33"/>
      <c r="AD52" s="33"/>
      <c r="AE52" s="33"/>
      <c r="AF52" s="33"/>
      <c r="AG52" s="33"/>
      <c r="AH52" s="33"/>
      <c r="AI52" s="53">
        <v>0</v>
      </c>
      <c r="AJ52" s="53">
        <v>0</v>
      </c>
      <c r="AK52" s="33"/>
      <c r="AL52" s="33"/>
      <c r="AM52" s="33"/>
      <c r="AN52" s="33"/>
    </row>
    <row r="53" spans="1:45" ht="63" hidden="1" customHeight="1" x14ac:dyDescent="0.2">
      <c r="A53" s="32">
        <v>9578</v>
      </c>
      <c r="B53" s="33" t="s">
        <v>3474</v>
      </c>
      <c r="C53" s="33" t="s">
        <v>3475</v>
      </c>
      <c r="D53" s="44">
        <v>2018</v>
      </c>
      <c r="E53" s="33"/>
      <c r="F53" s="33" t="s">
        <v>220</v>
      </c>
      <c r="G53" s="33" t="s">
        <v>52</v>
      </c>
      <c r="H53" s="33" t="s">
        <v>53</v>
      </c>
      <c r="I53" s="33" t="s">
        <v>13</v>
      </c>
      <c r="J53" s="33" t="s">
        <v>3476</v>
      </c>
      <c r="K53" s="33" t="s">
        <v>3477</v>
      </c>
      <c r="L53" s="33" t="s">
        <v>5996</v>
      </c>
      <c r="M53" s="33">
        <v>1</v>
      </c>
      <c r="N53" s="33">
        <v>1</v>
      </c>
      <c r="O53" s="33">
        <v>1</v>
      </c>
      <c r="P53" s="33" t="s">
        <v>5318</v>
      </c>
      <c r="Q53" s="33" t="s">
        <v>5318</v>
      </c>
      <c r="R53" s="33" t="s">
        <v>5318</v>
      </c>
      <c r="S53" s="33" t="s">
        <v>5318</v>
      </c>
      <c r="T53" s="33" t="s">
        <v>5318</v>
      </c>
      <c r="U53" s="33" t="s">
        <v>5318</v>
      </c>
      <c r="V53" s="33" t="s">
        <v>5318</v>
      </c>
      <c r="W53" s="33" t="s">
        <v>5318</v>
      </c>
      <c r="X53" s="33" t="s">
        <v>5318</v>
      </c>
      <c r="Y53" s="33" t="s">
        <v>5318</v>
      </c>
      <c r="Z53" s="33" t="s">
        <v>5318</v>
      </c>
      <c r="AA53" s="33" t="s">
        <v>5318</v>
      </c>
      <c r="AB53" s="33" t="s">
        <v>5318</v>
      </c>
      <c r="AC53" s="33"/>
      <c r="AD53" s="33"/>
      <c r="AE53" s="33"/>
      <c r="AF53" s="33"/>
      <c r="AG53" s="33"/>
      <c r="AH53" s="33"/>
      <c r="AI53" s="53">
        <v>1</v>
      </c>
      <c r="AJ53" s="53">
        <v>0</v>
      </c>
      <c r="AK53" s="33" t="s">
        <v>6155</v>
      </c>
      <c r="AL53" s="33"/>
      <c r="AM53" s="33"/>
      <c r="AN53" s="33"/>
    </row>
    <row r="54" spans="1:45" ht="63" hidden="1" customHeight="1" x14ac:dyDescent="0.2">
      <c r="A54" s="115">
        <v>6549</v>
      </c>
      <c r="B54" s="116" t="s">
        <v>2094</v>
      </c>
      <c r="C54" s="116" t="s">
        <v>2095</v>
      </c>
      <c r="D54" s="46">
        <v>2018</v>
      </c>
      <c r="E54" s="116"/>
      <c r="F54" s="116" t="s">
        <v>2096</v>
      </c>
      <c r="G54" s="116" t="s">
        <v>191</v>
      </c>
      <c r="H54" s="116" t="s">
        <v>59</v>
      </c>
      <c r="I54" s="116" t="s">
        <v>13</v>
      </c>
      <c r="J54" s="116" t="s">
        <v>2097</v>
      </c>
      <c r="K54" s="116" t="s">
        <v>2098</v>
      </c>
      <c r="L54" s="116" t="s">
        <v>5661</v>
      </c>
      <c r="M54" s="116">
        <v>1</v>
      </c>
      <c r="N54" s="116">
        <v>1</v>
      </c>
      <c r="O54" s="116">
        <v>1</v>
      </c>
      <c r="P54" s="116" t="s">
        <v>5318</v>
      </c>
      <c r="Q54" s="116" t="s">
        <v>5318</v>
      </c>
      <c r="R54" s="116" t="s">
        <v>5318</v>
      </c>
      <c r="S54" s="116" t="s">
        <v>5318</v>
      </c>
      <c r="T54" s="116" t="s">
        <v>5318</v>
      </c>
      <c r="U54" s="116" t="s">
        <v>5318</v>
      </c>
      <c r="V54" s="116" t="s">
        <v>5318</v>
      </c>
      <c r="W54" s="116" t="s">
        <v>5318</v>
      </c>
      <c r="X54" s="116" t="s">
        <v>5318</v>
      </c>
      <c r="Y54" s="116" t="s">
        <v>5318</v>
      </c>
      <c r="Z54" s="116" t="s">
        <v>5318</v>
      </c>
      <c r="AA54" s="116" t="s">
        <v>5318</v>
      </c>
      <c r="AB54" s="116" t="s">
        <v>5318</v>
      </c>
      <c r="AC54" s="116"/>
      <c r="AD54" s="116"/>
      <c r="AE54" s="116"/>
      <c r="AF54" s="116"/>
      <c r="AG54" s="116"/>
      <c r="AH54" s="116"/>
      <c r="AI54" s="118">
        <v>1</v>
      </c>
      <c r="AJ54" s="118">
        <v>0</v>
      </c>
      <c r="AK54" s="116" t="s">
        <v>6152</v>
      </c>
      <c r="AL54" s="116"/>
      <c r="AM54" s="116"/>
      <c r="AN54" s="116"/>
      <c r="AO54" s="119"/>
      <c r="AP54" s="119"/>
      <c r="AQ54" s="119"/>
      <c r="AR54" s="119"/>
    </row>
    <row r="55" spans="1:45" ht="63" customHeight="1" x14ac:dyDescent="0.2">
      <c r="A55" s="31">
        <v>3837</v>
      </c>
      <c r="B55" s="31" t="s">
        <v>7455</v>
      </c>
      <c r="C55" s="31" t="s">
        <v>1047</v>
      </c>
      <c r="D55" s="45">
        <v>2018</v>
      </c>
      <c r="E55" s="31" t="s">
        <v>5318</v>
      </c>
      <c r="F55" s="31">
        <v>268</v>
      </c>
      <c r="G55" s="31">
        <v>5</v>
      </c>
      <c r="H55" s="31" t="s">
        <v>6533</v>
      </c>
      <c r="I55" s="31" t="s">
        <v>6878</v>
      </c>
      <c r="J55" s="31" t="s">
        <v>7456</v>
      </c>
      <c r="K55" s="31" t="s">
        <v>1049</v>
      </c>
      <c r="L55" s="31" t="s">
        <v>5474</v>
      </c>
      <c r="M55" s="31">
        <v>0</v>
      </c>
      <c r="N55" s="31" t="s">
        <v>5318</v>
      </c>
      <c r="O55" s="31" t="s">
        <v>5318</v>
      </c>
      <c r="P55" s="31">
        <v>0</v>
      </c>
      <c r="Q55" s="31">
        <v>0</v>
      </c>
      <c r="R55" s="31">
        <v>0</v>
      </c>
      <c r="S55" s="31">
        <v>1</v>
      </c>
      <c r="T55" s="31">
        <v>1</v>
      </c>
      <c r="U55" s="31">
        <v>66</v>
      </c>
      <c r="V55" s="31">
        <v>0</v>
      </c>
      <c r="W55" s="31">
        <v>1</v>
      </c>
      <c r="X55" s="31">
        <v>0</v>
      </c>
      <c r="Y55" s="31">
        <v>1</v>
      </c>
      <c r="Z55" s="31">
        <v>0</v>
      </c>
      <c r="AA55" s="31" t="s">
        <v>5475</v>
      </c>
      <c r="AB55" s="31">
        <v>1</v>
      </c>
      <c r="AI55" s="54">
        <v>0</v>
      </c>
      <c r="AJ55" s="54">
        <v>0</v>
      </c>
      <c r="AK55" s="31" t="s">
        <v>5318</v>
      </c>
      <c r="AL55" s="31" t="s">
        <v>5318</v>
      </c>
      <c r="AM55" s="31" t="s">
        <v>5318</v>
      </c>
      <c r="AN55" s="31" t="s">
        <v>5318</v>
      </c>
      <c r="AS55" s="109"/>
    </row>
    <row r="56" spans="1:45" ht="63" customHeight="1" x14ac:dyDescent="0.2">
      <c r="A56" s="31">
        <v>5981</v>
      </c>
      <c r="B56" s="31" t="s">
        <v>1812</v>
      </c>
      <c r="C56" s="31" t="s">
        <v>1813</v>
      </c>
      <c r="D56" s="45">
        <v>2018</v>
      </c>
      <c r="F56" s="31" t="s">
        <v>299</v>
      </c>
      <c r="G56" s="31" t="s">
        <v>18</v>
      </c>
      <c r="H56" s="31" t="s">
        <v>1814</v>
      </c>
      <c r="I56" s="31" t="s">
        <v>13</v>
      </c>
      <c r="J56" s="31" t="s">
        <v>1815</v>
      </c>
      <c r="K56" s="81" t="s">
        <v>1816</v>
      </c>
      <c r="L56" s="31" t="s">
        <v>5318</v>
      </c>
      <c r="M56" s="31">
        <v>0</v>
      </c>
      <c r="N56" s="31" t="s">
        <v>5044</v>
      </c>
      <c r="O56" s="31" t="s">
        <v>5044</v>
      </c>
      <c r="P56" s="31">
        <v>0</v>
      </c>
      <c r="Q56" s="31">
        <v>0</v>
      </c>
      <c r="R56" s="31">
        <v>0</v>
      </c>
      <c r="S56" s="31">
        <v>1</v>
      </c>
      <c r="T56" s="31">
        <v>4</v>
      </c>
      <c r="U56" s="31">
        <v>144</v>
      </c>
      <c r="V56" s="31">
        <v>1</v>
      </c>
      <c r="W56" s="31">
        <v>0</v>
      </c>
      <c r="X56" s="31">
        <v>0</v>
      </c>
      <c r="Y56" s="31">
        <v>1</v>
      </c>
      <c r="Z56" s="31">
        <v>0</v>
      </c>
      <c r="AA56" s="31" t="s">
        <v>5318</v>
      </c>
      <c r="AB56" s="98">
        <v>1</v>
      </c>
      <c r="AC56" s="98">
        <v>1</v>
      </c>
      <c r="AD56" s="98">
        <v>6.09</v>
      </c>
      <c r="AE56" s="98">
        <v>0</v>
      </c>
      <c r="AF56" s="98">
        <v>0</v>
      </c>
      <c r="AG56" s="98" t="s">
        <v>8131</v>
      </c>
      <c r="AH56" s="77" t="s">
        <v>5044</v>
      </c>
      <c r="AI56" s="54">
        <v>0</v>
      </c>
      <c r="AJ56" s="54">
        <v>0</v>
      </c>
      <c r="AK56" s="31" t="s">
        <v>5318</v>
      </c>
      <c r="AL56" s="77" t="s">
        <v>5044</v>
      </c>
      <c r="AM56" s="77">
        <v>0</v>
      </c>
      <c r="AN56" s="77" t="s">
        <v>5044</v>
      </c>
      <c r="AO56" s="77" t="s">
        <v>5044</v>
      </c>
      <c r="AP56" s="77" t="s">
        <v>5044</v>
      </c>
      <c r="AQ56" s="77" t="s">
        <v>5044</v>
      </c>
      <c r="AR56" s="77" t="s">
        <v>5044</v>
      </c>
      <c r="AS56" s="109"/>
    </row>
    <row r="57" spans="1:45" ht="63" customHeight="1" x14ac:dyDescent="0.2">
      <c r="A57" s="31">
        <v>5362</v>
      </c>
      <c r="B57" s="31" t="s">
        <v>1585</v>
      </c>
      <c r="C57" s="31" t="s">
        <v>1586</v>
      </c>
      <c r="D57" s="45">
        <v>2018</v>
      </c>
      <c r="F57" s="31" t="s">
        <v>1587</v>
      </c>
      <c r="G57" s="31" t="s">
        <v>17</v>
      </c>
      <c r="H57" s="31" t="s">
        <v>217</v>
      </c>
      <c r="I57" s="31" t="s">
        <v>13</v>
      </c>
      <c r="J57" s="31" t="s">
        <v>1588</v>
      </c>
      <c r="K57" s="31" t="s">
        <v>1589</v>
      </c>
      <c r="L57" s="31" t="s">
        <v>5681</v>
      </c>
      <c r="M57" s="31">
        <v>0</v>
      </c>
      <c r="P57" s="31">
        <v>0</v>
      </c>
      <c r="Q57" s="31">
        <v>0</v>
      </c>
      <c r="R57" s="31">
        <v>0</v>
      </c>
      <c r="S57" s="31">
        <v>9</v>
      </c>
      <c r="T57" s="31">
        <v>2</v>
      </c>
      <c r="U57" s="31">
        <v>68</v>
      </c>
      <c r="V57" s="31">
        <v>0</v>
      </c>
      <c r="W57" s="31">
        <v>1</v>
      </c>
      <c r="X57" s="31">
        <v>0</v>
      </c>
      <c r="Y57" s="31">
        <v>1</v>
      </c>
      <c r="Z57" s="31">
        <v>0</v>
      </c>
      <c r="AB57" s="31">
        <v>1</v>
      </c>
      <c r="AI57" s="54">
        <v>0</v>
      </c>
      <c r="AJ57" s="54">
        <v>0</v>
      </c>
      <c r="AS57" s="109"/>
    </row>
    <row r="58" spans="1:45" ht="63" hidden="1" customHeight="1" x14ac:dyDescent="0.2">
      <c r="A58" s="32">
        <v>7952</v>
      </c>
      <c r="B58" s="33" t="s">
        <v>2728</v>
      </c>
      <c r="C58" s="33" t="s">
        <v>2729</v>
      </c>
      <c r="D58" s="46">
        <v>2018</v>
      </c>
      <c r="E58" s="33" t="s">
        <v>513</v>
      </c>
      <c r="F58" s="33" t="s">
        <v>877</v>
      </c>
      <c r="G58" s="33" t="s">
        <v>293</v>
      </c>
      <c r="H58" s="33" t="s">
        <v>733</v>
      </c>
      <c r="I58" s="33" t="s">
        <v>13</v>
      </c>
      <c r="J58" s="33" t="s">
        <v>2730</v>
      </c>
      <c r="K58" s="33" t="s">
        <v>2731</v>
      </c>
      <c r="L58" s="33" t="s">
        <v>6188</v>
      </c>
      <c r="M58" s="33" t="s">
        <v>5318</v>
      </c>
      <c r="N58" s="33" t="s">
        <v>5318</v>
      </c>
      <c r="O58" s="33" t="s">
        <v>5318</v>
      </c>
      <c r="P58" s="33" t="s">
        <v>5318</v>
      </c>
      <c r="Q58" s="33" t="s">
        <v>5318</v>
      </c>
      <c r="R58" s="33">
        <v>1</v>
      </c>
      <c r="S58" s="33">
        <v>5</v>
      </c>
      <c r="T58" s="33">
        <v>2</v>
      </c>
      <c r="U58" s="33" t="s">
        <v>5318</v>
      </c>
      <c r="V58" s="33" t="s">
        <v>5318</v>
      </c>
      <c r="W58" s="33" t="s">
        <v>5318</v>
      </c>
      <c r="X58" s="33" t="s">
        <v>5318</v>
      </c>
      <c r="Y58" s="33" t="s">
        <v>5318</v>
      </c>
      <c r="Z58" s="33" t="s">
        <v>5318</v>
      </c>
      <c r="AA58" s="33" t="s">
        <v>5318</v>
      </c>
      <c r="AB58" s="33" t="s">
        <v>5318</v>
      </c>
      <c r="AC58" s="33"/>
      <c r="AD58" s="33"/>
      <c r="AE58" s="33"/>
      <c r="AF58" s="33"/>
      <c r="AG58" s="33"/>
      <c r="AH58" s="33"/>
      <c r="AI58" s="53">
        <v>1</v>
      </c>
      <c r="AJ58" s="53">
        <v>0</v>
      </c>
      <c r="AK58" s="33" t="s">
        <v>6257</v>
      </c>
      <c r="AL58" s="33"/>
      <c r="AM58" s="33"/>
      <c r="AN58" s="33"/>
      <c r="AO58" s="32"/>
      <c r="AP58" s="32"/>
      <c r="AQ58" s="32"/>
      <c r="AR58" s="32"/>
    </row>
    <row r="59" spans="1:45" ht="63" hidden="1" customHeight="1" x14ac:dyDescent="0.2">
      <c r="A59" s="115">
        <v>1842</v>
      </c>
      <c r="B59" s="116" t="s">
        <v>6960</v>
      </c>
      <c r="C59" s="116" t="s">
        <v>526</v>
      </c>
      <c r="D59" s="46">
        <v>2018</v>
      </c>
      <c r="E59" s="116" t="s">
        <v>5318</v>
      </c>
      <c r="F59" s="116">
        <v>10</v>
      </c>
      <c r="G59" s="116">
        <v>3</v>
      </c>
      <c r="H59" s="116" t="s">
        <v>6961</v>
      </c>
      <c r="I59" s="116" t="s">
        <v>6516</v>
      </c>
      <c r="J59" s="116" t="s">
        <v>6962</v>
      </c>
      <c r="K59" s="116" t="s">
        <v>527</v>
      </c>
      <c r="L59" s="116" t="s">
        <v>5318</v>
      </c>
      <c r="M59" s="116" t="s">
        <v>5318</v>
      </c>
      <c r="N59" s="116" t="s">
        <v>5318</v>
      </c>
      <c r="O59" s="116" t="s">
        <v>5318</v>
      </c>
      <c r="P59" s="116" t="s">
        <v>5318</v>
      </c>
      <c r="Q59" s="116" t="s">
        <v>5318</v>
      </c>
      <c r="R59" s="116" t="s">
        <v>5318</v>
      </c>
      <c r="S59" s="116" t="s">
        <v>5318</v>
      </c>
      <c r="T59" s="116" t="s">
        <v>5318</v>
      </c>
      <c r="U59" s="116" t="s">
        <v>5318</v>
      </c>
      <c r="V59" s="116" t="s">
        <v>5318</v>
      </c>
      <c r="W59" s="116" t="s">
        <v>5318</v>
      </c>
      <c r="X59" s="116" t="s">
        <v>5318</v>
      </c>
      <c r="Y59" s="116" t="s">
        <v>5318</v>
      </c>
      <c r="Z59" s="116" t="s">
        <v>5318</v>
      </c>
      <c r="AA59" s="116" t="s">
        <v>5318</v>
      </c>
      <c r="AB59" s="116" t="s">
        <v>5318</v>
      </c>
      <c r="AC59" s="116"/>
      <c r="AD59" s="116"/>
      <c r="AE59" s="116"/>
      <c r="AF59" s="116"/>
      <c r="AG59" s="116"/>
      <c r="AH59" s="116"/>
      <c r="AI59" s="118">
        <v>1</v>
      </c>
      <c r="AJ59" s="118">
        <v>0</v>
      </c>
      <c r="AK59" s="116" t="s">
        <v>5464</v>
      </c>
      <c r="AL59" s="116" t="s">
        <v>5318</v>
      </c>
      <c r="AM59" s="116" t="s">
        <v>5318</v>
      </c>
      <c r="AN59" s="116" t="s">
        <v>5318</v>
      </c>
      <c r="AO59" s="119"/>
      <c r="AP59" s="119"/>
      <c r="AQ59" s="119"/>
      <c r="AR59" s="119"/>
    </row>
    <row r="60" spans="1:45" ht="63" customHeight="1" x14ac:dyDescent="0.2">
      <c r="A60" s="31">
        <v>9596</v>
      </c>
      <c r="B60" s="31" t="s">
        <v>3491</v>
      </c>
      <c r="C60" s="31" t="s">
        <v>3492</v>
      </c>
      <c r="D60" s="45">
        <v>2018</v>
      </c>
      <c r="F60" s="31" t="s">
        <v>626</v>
      </c>
      <c r="G60" s="31" t="s">
        <v>32</v>
      </c>
      <c r="H60" s="31" t="s">
        <v>43</v>
      </c>
      <c r="I60" s="31" t="s">
        <v>437</v>
      </c>
      <c r="J60" s="31" t="s">
        <v>3493</v>
      </c>
      <c r="K60" s="31" t="s">
        <v>3494</v>
      </c>
      <c r="L60" s="31" t="s">
        <v>5890</v>
      </c>
      <c r="M60" s="31">
        <v>0</v>
      </c>
      <c r="N60" s="31" t="s">
        <v>5044</v>
      </c>
      <c r="O60" s="31" t="s">
        <v>5044</v>
      </c>
      <c r="P60" s="31">
        <v>0</v>
      </c>
      <c r="Q60" s="31">
        <v>0</v>
      </c>
      <c r="R60" s="31">
        <v>0</v>
      </c>
      <c r="S60" s="31">
        <v>1</v>
      </c>
      <c r="T60" s="31">
        <v>1</v>
      </c>
      <c r="U60" s="31">
        <v>280</v>
      </c>
      <c r="V60" s="31">
        <v>0</v>
      </c>
      <c r="W60" s="31">
        <v>1</v>
      </c>
      <c r="X60" s="31">
        <v>0</v>
      </c>
      <c r="Y60" s="31">
        <v>1</v>
      </c>
      <c r="Z60" s="31">
        <v>1</v>
      </c>
      <c r="AA60" s="31" t="s">
        <v>6501</v>
      </c>
      <c r="AB60" s="31">
        <v>1</v>
      </c>
      <c r="AI60" s="54">
        <v>0</v>
      </c>
      <c r="AJ60" s="54">
        <v>0</v>
      </c>
      <c r="AK60" s="31" t="s">
        <v>5318</v>
      </c>
      <c r="AS60" s="109"/>
    </row>
    <row r="61" spans="1:45" ht="63" hidden="1" customHeight="1" x14ac:dyDescent="0.2">
      <c r="A61" s="32">
        <v>10442</v>
      </c>
      <c r="B61" s="33" t="s">
        <v>3855</v>
      </c>
      <c r="C61" s="33" t="s">
        <v>3856</v>
      </c>
      <c r="D61" s="46">
        <v>2018</v>
      </c>
      <c r="E61" s="33" t="s">
        <v>305</v>
      </c>
      <c r="F61" s="33" t="s">
        <v>220</v>
      </c>
      <c r="G61" s="33" t="s">
        <v>52</v>
      </c>
      <c r="H61" s="33" t="s">
        <v>53</v>
      </c>
      <c r="I61" s="33" t="s">
        <v>13</v>
      </c>
      <c r="J61" s="33" t="s">
        <v>3857</v>
      </c>
      <c r="K61" s="33" t="s">
        <v>3858</v>
      </c>
      <c r="L61" s="33" t="s">
        <v>5233</v>
      </c>
      <c r="M61" s="33">
        <v>1</v>
      </c>
      <c r="N61" s="33">
        <v>1</v>
      </c>
      <c r="O61" s="33">
        <v>0</v>
      </c>
      <c r="P61" s="33"/>
      <c r="Q61" s="33"/>
      <c r="R61" s="33"/>
      <c r="S61" s="33"/>
      <c r="T61" s="33"/>
      <c r="U61" s="33"/>
      <c r="V61" s="33"/>
      <c r="W61" s="33"/>
      <c r="X61" s="33"/>
      <c r="Y61" s="33"/>
      <c r="Z61" s="33"/>
      <c r="AA61" s="33"/>
      <c r="AB61" s="33"/>
      <c r="AC61" s="33"/>
      <c r="AD61" s="33"/>
      <c r="AE61" s="33"/>
      <c r="AF61" s="33"/>
      <c r="AG61" s="33"/>
      <c r="AH61" s="33"/>
      <c r="AI61" s="53">
        <v>1</v>
      </c>
      <c r="AJ61" s="53">
        <v>0</v>
      </c>
      <c r="AK61" s="33" t="s">
        <v>5462</v>
      </c>
      <c r="AL61" s="33"/>
      <c r="AM61" s="33"/>
      <c r="AN61" s="33"/>
      <c r="AO61" s="32"/>
      <c r="AP61" s="32"/>
      <c r="AQ61" s="32"/>
      <c r="AR61" s="32"/>
    </row>
    <row r="62" spans="1:45" ht="63" hidden="1" customHeight="1" x14ac:dyDescent="0.2">
      <c r="A62" s="32">
        <v>7951</v>
      </c>
      <c r="B62" s="33" t="s">
        <v>2722</v>
      </c>
      <c r="C62" s="33" t="s">
        <v>2723</v>
      </c>
      <c r="D62" s="46">
        <v>2018</v>
      </c>
      <c r="E62" s="33" t="s">
        <v>2727</v>
      </c>
      <c r="F62" s="33" t="s">
        <v>2724</v>
      </c>
      <c r="G62" s="33" t="s">
        <v>32</v>
      </c>
      <c r="H62" s="33" t="s">
        <v>390</v>
      </c>
      <c r="I62" s="33" t="s">
        <v>13</v>
      </c>
      <c r="J62" s="33" t="s">
        <v>2725</v>
      </c>
      <c r="K62" s="33" t="s">
        <v>2726</v>
      </c>
      <c r="L62" s="33" t="s">
        <v>5318</v>
      </c>
      <c r="M62" s="33" t="s">
        <v>5318</v>
      </c>
      <c r="N62" s="33" t="s">
        <v>5318</v>
      </c>
      <c r="O62" s="33" t="s">
        <v>5318</v>
      </c>
      <c r="P62" s="33" t="s">
        <v>5318</v>
      </c>
      <c r="Q62" s="33">
        <v>1</v>
      </c>
      <c r="R62" s="33" t="s">
        <v>5318</v>
      </c>
      <c r="S62" s="33" t="s">
        <v>5318</v>
      </c>
      <c r="T62" s="33" t="s">
        <v>5318</v>
      </c>
      <c r="U62" s="33" t="s">
        <v>5318</v>
      </c>
      <c r="V62" s="33" t="s">
        <v>5318</v>
      </c>
      <c r="W62" s="33" t="s">
        <v>5318</v>
      </c>
      <c r="X62" s="33" t="s">
        <v>5318</v>
      </c>
      <c r="Y62" s="33" t="s">
        <v>5318</v>
      </c>
      <c r="Z62" s="33" t="s">
        <v>5318</v>
      </c>
      <c r="AA62" s="33" t="s">
        <v>5318</v>
      </c>
      <c r="AB62" s="33" t="s">
        <v>5318</v>
      </c>
      <c r="AC62" s="33"/>
      <c r="AD62" s="33"/>
      <c r="AE62" s="33"/>
      <c r="AF62" s="33"/>
      <c r="AG62" s="33"/>
      <c r="AH62" s="33"/>
      <c r="AI62" s="53">
        <v>1</v>
      </c>
      <c r="AJ62" s="53">
        <v>0</v>
      </c>
      <c r="AK62" s="33" t="s">
        <v>2727</v>
      </c>
      <c r="AL62" s="33"/>
      <c r="AM62" s="33"/>
      <c r="AN62" s="33"/>
    </row>
    <row r="63" spans="1:45" ht="63" hidden="1" customHeight="1" x14ac:dyDescent="0.2">
      <c r="A63" s="32">
        <v>6328</v>
      </c>
      <c r="B63" s="33" t="s">
        <v>2009</v>
      </c>
      <c r="C63" s="33" t="s">
        <v>2010</v>
      </c>
      <c r="D63" s="46">
        <v>2018</v>
      </c>
      <c r="E63" s="33"/>
      <c r="F63" s="33" t="s">
        <v>114</v>
      </c>
      <c r="G63" s="33" t="s">
        <v>175</v>
      </c>
      <c r="H63" s="33" t="s">
        <v>2011</v>
      </c>
      <c r="I63" s="33" t="s">
        <v>13</v>
      </c>
      <c r="J63" s="33" t="s">
        <v>2012</v>
      </c>
      <c r="K63" s="33" t="s">
        <v>2013</v>
      </c>
      <c r="L63" s="33" t="s">
        <v>5318</v>
      </c>
      <c r="M63" s="33" t="s">
        <v>5318</v>
      </c>
      <c r="N63" s="33" t="s">
        <v>5318</v>
      </c>
      <c r="O63" s="33" t="s">
        <v>5318</v>
      </c>
      <c r="P63" s="33" t="s">
        <v>5318</v>
      </c>
      <c r="Q63" s="33" t="s">
        <v>5318</v>
      </c>
      <c r="R63" s="33">
        <v>1</v>
      </c>
      <c r="S63" s="33" t="s">
        <v>5318</v>
      </c>
      <c r="T63" s="33" t="s">
        <v>5318</v>
      </c>
      <c r="U63" s="33" t="s">
        <v>5318</v>
      </c>
      <c r="V63" s="33" t="s">
        <v>5318</v>
      </c>
      <c r="W63" s="33" t="s">
        <v>5318</v>
      </c>
      <c r="X63" s="33" t="s">
        <v>5318</v>
      </c>
      <c r="Y63" s="33" t="s">
        <v>5318</v>
      </c>
      <c r="Z63" s="33" t="s">
        <v>5318</v>
      </c>
      <c r="AA63" s="33" t="s">
        <v>5318</v>
      </c>
      <c r="AB63" s="33" t="s">
        <v>5318</v>
      </c>
      <c r="AC63" s="33"/>
      <c r="AD63" s="33"/>
      <c r="AE63" s="33"/>
      <c r="AF63" s="33"/>
      <c r="AG63" s="33"/>
      <c r="AH63" s="33"/>
      <c r="AI63" s="53">
        <v>1</v>
      </c>
      <c r="AJ63" s="53">
        <v>0</v>
      </c>
      <c r="AK63" s="33" t="s">
        <v>6283</v>
      </c>
      <c r="AL63" s="33"/>
      <c r="AM63" s="33"/>
      <c r="AN63" s="33"/>
    </row>
    <row r="64" spans="1:45" ht="63" hidden="1" customHeight="1" x14ac:dyDescent="0.2">
      <c r="A64" s="32">
        <v>2881</v>
      </c>
      <c r="B64" s="33" t="s">
        <v>7211</v>
      </c>
      <c r="C64" s="33" t="s">
        <v>793</v>
      </c>
      <c r="D64" s="46">
        <v>2018</v>
      </c>
      <c r="E64" s="33" t="s">
        <v>305</v>
      </c>
      <c r="F64" s="33">
        <v>33</v>
      </c>
      <c r="G64" s="33">
        <v>2</v>
      </c>
      <c r="H64" s="33" t="s">
        <v>6855</v>
      </c>
      <c r="I64" s="33" t="s">
        <v>6516</v>
      </c>
      <c r="J64" s="33" t="s">
        <v>7212</v>
      </c>
      <c r="K64" s="33" t="s">
        <v>794</v>
      </c>
      <c r="L64" s="35" t="s">
        <v>5571</v>
      </c>
      <c r="M64" s="33">
        <v>1</v>
      </c>
      <c r="N64" s="33">
        <v>1</v>
      </c>
      <c r="O64" s="33">
        <v>1</v>
      </c>
      <c r="P64" s="33">
        <v>0</v>
      </c>
      <c r="Q64" s="33">
        <v>0</v>
      </c>
      <c r="R64" s="33">
        <v>0</v>
      </c>
      <c r="S64" s="33">
        <v>1</v>
      </c>
      <c r="T64" s="33">
        <v>1</v>
      </c>
      <c r="U64" s="33">
        <v>173</v>
      </c>
      <c r="V64" s="33">
        <v>0</v>
      </c>
      <c r="W64" s="33">
        <v>1</v>
      </c>
      <c r="X64" s="33">
        <v>0</v>
      </c>
      <c r="Y64" s="33" t="s">
        <v>5044</v>
      </c>
      <c r="Z64" s="33" t="s">
        <v>5044</v>
      </c>
      <c r="AA64" s="33" t="s">
        <v>5318</v>
      </c>
      <c r="AB64" s="33" t="s">
        <v>5044</v>
      </c>
      <c r="AC64" s="33"/>
      <c r="AD64" s="33"/>
      <c r="AE64" s="33"/>
      <c r="AF64" s="33"/>
      <c r="AG64" s="33"/>
      <c r="AH64" s="33"/>
      <c r="AI64" s="53">
        <v>1</v>
      </c>
      <c r="AJ64" s="53">
        <v>0</v>
      </c>
      <c r="AK64" s="33" t="s">
        <v>6145</v>
      </c>
      <c r="AL64" s="33" t="s">
        <v>5318</v>
      </c>
      <c r="AM64" s="33" t="s">
        <v>5318</v>
      </c>
      <c r="AN64" s="33" t="s">
        <v>5318</v>
      </c>
    </row>
    <row r="65" spans="1:45" ht="63" hidden="1" customHeight="1" x14ac:dyDescent="0.2">
      <c r="A65" s="32">
        <v>2204</v>
      </c>
      <c r="B65" s="33" t="s">
        <v>7043</v>
      </c>
      <c r="C65" s="33" t="s">
        <v>615</v>
      </c>
      <c r="D65" s="46">
        <v>2018</v>
      </c>
      <c r="E65" s="33" t="s">
        <v>5318</v>
      </c>
      <c r="F65" s="33">
        <v>7</v>
      </c>
      <c r="G65" s="33">
        <v>5</v>
      </c>
      <c r="H65" s="33" t="s">
        <v>7044</v>
      </c>
      <c r="I65" s="33" t="s">
        <v>6516</v>
      </c>
      <c r="J65" s="33" t="s">
        <v>7045</v>
      </c>
      <c r="K65" s="33" t="s">
        <v>617</v>
      </c>
      <c r="L65" s="33" t="s">
        <v>5318</v>
      </c>
      <c r="M65" s="33">
        <v>1</v>
      </c>
      <c r="N65" s="33">
        <v>0</v>
      </c>
      <c r="O65" s="33" t="s">
        <v>5318</v>
      </c>
      <c r="P65" s="33">
        <v>0</v>
      </c>
      <c r="Q65" s="33">
        <v>0</v>
      </c>
      <c r="R65" s="33">
        <v>0</v>
      </c>
      <c r="S65" s="33">
        <v>1</v>
      </c>
      <c r="T65" s="33">
        <v>1</v>
      </c>
      <c r="U65" s="33" t="s">
        <v>5044</v>
      </c>
      <c r="V65" s="33">
        <v>0</v>
      </c>
      <c r="W65" s="33">
        <v>0</v>
      </c>
      <c r="X65" s="33">
        <v>1</v>
      </c>
      <c r="Y65" s="33" t="s">
        <v>5044</v>
      </c>
      <c r="Z65" s="33" t="s">
        <v>5044</v>
      </c>
      <c r="AA65" s="33" t="s">
        <v>5318</v>
      </c>
      <c r="AB65" s="33" t="s">
        <v>5044</v>
      </c>
      <c r="AC65" s="33"/>
      <c r="AD65" s="33"/>
      <c r="AE65" s="33"/>
      <c r="AF65" s="33"/>
      <c r="AG65" s="33"/>
      <c r="AH65" s="33"/>
      <c r="AI65" s="53">
        <v>0</v>
      </c>
      <c r="AJ65" s="53">
        <v>0</v>
      </c>
      <c r="AK65" s="33" t="s">
        <v>5105</v>
      </c>
      <c r="AL65" s="33" t="s">
        <v>5318</v>
      </c>
      <c r="AM65" s="33" t="s">
        <v>5318</v>
      </c>
      <c r="AN65" s="33" t="s">
        <v>5318</v>
      </c>
    </row>
    <row r="66" spans="1:45" ht="63" hidden="1" customHeight="1" x14ac:dyDescent="0.2">
      <c r="A66" s="31">
        <v>1775</v>
      </c>
      <c r="B66" s="31" t="s">
        <v>6938</v>
      </c>
      <c r="C66" s="31" t="s">
        <v>501</v>
      </c>
      <c r="D66" s="46">
        <v>2018</v>
      </c>
      <c r="E66" s="31" t="s">
        <v>5318</v>
      </c>
      <c r="F66" s="31">
        <v>9</v>
      </c>
      <c r="G66" s="31" t="s">
        <v>5318</v>
      </c>
      <c r="H66" s="31" t="s">
        <v>6939</v>
      </c>
      <c r="I66" s="31" t="s">
        <v>6516</v>
      </c>
      <c r="J66" s="31" t="s">
        <v>6940</v>
      </c>
      <c r="K66" s="31" t="s">
        <v>503</v>
      </c>
      <c r="L66" s="36" t="s">
        <v>5440</v>
      </c>
      <c r="M66" s="31">
        <v>1</v>
      </c>
      <c r="N66" s="31">
        <v>1</v>
      </c>
      <c r="O66" s="31">
        <v>1</v>
      </c>
      <c r="P66" s="31">
        <v>0</v>
      </c>
      <c r="Q66" s="31">
        <v>0</v>
      </c>
      <c r="R66" s="31">
        <v>0</v>
      </c>
      <c r="S66" s="31">
        <v>1</v>
      </c>
      <c r="T66" s="31">
        <v>1</v>
      </c>
      <c r="U66" s="31">
        <v>100</v>
      </c>
      <c r="V66" s="31">
        <v>0</v>
      </c>
      <c r="W66" s="31">
        <v>1</v>
      </c>
      <c r="X66" s="31">
        <v>0</v>
      </c>
      <c r="Y66" s="31" t="s">
        <v>5044</v>
      </c>
      <c r="Z66" s="31" t="s">
        <v>5044</v>
      </c>
      <c r="AA66" s="31" t="s">
        <v>5318</v>
      </c>
      <c r="AB66" s="31" t="s">
        <v>5044</v>
      </c>
      <c r="AI66" s="54">
        <v>1</v>
      </c>
      <c r="AJ66" s="54">
        <v>0</v>
      </c>
      <c r="AK66" s="31" t="s">
        <v>6296</v>
      </c>
      <c r="AL66" s="31" t="s">
        <v>5318</v>
      </c>
      <c r="AM66" s="31" t="s">
        <v>5318</v>
      </c>
      <c r="AN66" s="31" t="s">
        <v>5318</v>
      </c>
    </row>
    <row r="67" spans="1:45" ht="63" hidden="1" customHeight="1" x14ac:dyDescent="0.2">
      <c r="A67" s="31">
        <v>4222</v>
      </c>
      <c r="B67" s="31" t="s">
        <v>7532</v>
      </c>
      <c r="C67" s="31" t="s">
        <v>1124</v>
      </c>
      <c r="D67" s="46">
        <v>2018</v>
      </c>
      <c r="E67" s="31" t="s">
        <v>5318</v>
      </c>
      <c r="F67" s="31">
        <v>14</v>
      </c>
      <c r="G67" s="31">
        <v>3</v>
      </c>
      <c r="H67" s="31" t="s">
        <v>7533</v>
      </c>
      <c r="I67" s="31" t="s">
        <v>6516</v>
      </c>
      <c r="J67" s="31" t="s">
        <v>7534</v>
      </c>
      <c r="K67" s="31" t="s">
        <v>1126</v>
      </c>
      <c r="L67" s="31" t="s">
        <v>5655</v>
      </c>
      <c r="M67" s="31">
        <v>0</v>
      </c>
      <c r="N67" s="31" t="s">
        <v>5318</v>
      </c>
      <c r="O67" s="31" t="s">
        <v>5318</v>
      </c>
      <c r="P67" s="31">
        <v>0</v>
      </c>
      <c r="Q67" s="31">
        <v>0</v>
      </c>
      <c r="R67" s="31">
        <v>0</v>
      </c>
      <c r="S67" s="31">
        <v>1</v>
      </c>
      <c r="T67" s="31">
        <v>1</v>
      </c>
      <c r="U67" s="31">
        <v>200</v>
      </c>
      <c r="V67" s="31" t="s">
        <v>5318</v>
      </c>
      <c r="W67" s="31" t="s">
        <v>5318</v>
      </c>
      <c r="X67" s="31" t="s">
        <v>5318</v>
      </c>
      <c r="Y67" s="31" t="s">
        <v>5318</v>
      </c>
      <c r="Z67" s="31" t="s">
        <v>5318</v>
      </c>
      <c r="AA67" s="31" t="s">
        <v>5318</v>
      </c>
      <c r="AB67" s="31" t="s">
        <v>5318</v>
      </c>
      <c r="AI67" s="54">
        <v>1</v>
      </c>
      <c r="AJ67" s="54">
        <v>0</v>
      </c>
      <c r="AK67" s="31" t="s">
        <v>5656</v>
      </c>
      <c r="AL67" s="31" t="s">
        <v>5318</v>
      </c>
      <c r="AM67" s="31" t="s">
        <v>5318</v>
      </c>
      <c r="AN67" s="31" t="s">
        <v>5318</v>
      </c>
    </row>
    <row r="68" spans="1:45" ht="63" hidden="1" customHeight="1" x14ac:dyDescent="0.2">
      <c r="A68" s="31">
        <v>647</v>
      </c>
      <c r="B68" s="31" t="s">
        <v>6678</v>
      </c>
      <c r="C68" s="31" t="s">
        <v>219</v>
      </c>
      <c r="D68" s="46">
        <v>2018</v>
      </c>
      <c r="E68" s="31" t="s">
        <v>5318</v>
      </c>
      <c r="F68" s="31">
        <v>19</v>
      </c>
      <c r="G68" s="31">
        <v>1</v>
      </c>
      <c r="H68" s="31" t="s">
        <v>6538</v>
      </c>
      <c r="I68" s="31" t="s">
        <v>6516</v>
      </c>
      <c r="J68" s="31" t="s">
        <v>6679</v>
      </c>
      <c r="K68" s="31" t="s">
        <v>221</v>
      </c>
      <c r="L68" s="31" t="s">
        <v>5114</v>
      </c>
      <c r="M68" s="31">
        <v>1</v>
      </c>
      <c r="N68" s="31">
        <v>1</v>
      </c>
      <c r="O68" s="31">
        <v>1</v>
      </c>
      <c r="P68" s="31" t="s">
        <v>5318</v>
      </c>
      <c r="Q68" s="31" t="s">
        <v>5318</v>
      </c>
      <c r="R68" s="31" t="s">
        <v>5318</v>
      </c>
      <c r="S68" s="31" t="s">
        <v>5318</v>
      </c>
      <c r="T68" s="31" t="s">
        <v>5318</v>
      </c>
      <c r="U68" s="31" t="s">
        <v>5318</v>
      </c>
      <c r="V68" s="31" t="s">
        <v>5318</v>
      </c>
      <c r="W68" s="31" t="s">
        <v>5318</v>
      </c>
      <c r="X68" s="31" t="s">
        <v>5318</v>
      </c>
      <c r="Y68" s="31" t="s">
        <v>5318</v>
      </c>
      <c r="Z68" s="31" t="s">
        <v>5318</v>
      </c>
      <c r="AA68" s="31" t="s">
        <v>5318</v>
      </c>
      <c r="AB68" s="31" t="s">
        <v>5318</v>
      </c>
      <c r="AI68" s="54">
        <v>1</v>
      </c>
      <c r="AJ68" s="54">
        <v>0</v>
      </c>
      <c r="AK68" s="31" t="s">
        <v>6274</v>
      </c>
      <c r="AL68" s="31" t="s">
        <v>5318</v>
      </c>
      <c r="AM68" s="31" t="s">
        <v>5318</v>
      </c>
      <c r="AN68" s="31" t="s">
        <v>5318</v>
      </c>
    </row>
    <row r="69" spans="1:45" ht="63" hidden="1" customHeight="1" x14ac:dyDescent="0.2">
      <c r="A69" s="119">
        <v>965</v>
      </c>
      <c r="B69" s="119" t="s">
        <v>6761</v>
      </c>
      <c r="C69" s="119" t="s">
        <v>309</v>
      </c>
      <c r="D69" s="120">
        <v>2018</v>
      </c>
      <c r="E69" s="119" t="s">
        <v>5318</v>
      </c>
      <c r="F69" s="119">
        <v>19</v>
      </c>
      <c r="G69" s="119">
        <v>1</v>
      </c>
      <c r="H69" s="119" t="s">
        <v>6538</v>
      </c>
      <c r="I69" s="119" t="s">
        <v>6516</v>
      </c>
      <c r="J69" s="119" t="s">
        <v>6762</v>
      </c>
      <c r="K69" s="119" t="s">
        <v>310</v>
      </c>
      <c r="L69" s="119" t="s">
        <v>5143</v>
      </c>
      <c r="M69" s="119">
        <v>1</v>
      </c>
      <c r="N69" s="119">
        <v>1</v>
      </c>
      <c r="O69" s="119">
        <v>0</v>
      </c>
      <c r="P69" s="119" t="s">
        <v>5318</v>
      </c>
      <c r="Q69" s="119" t="s">
        <v>5318</v>
      </c>
      <c r="R69" s="119" t="s">
        <v>5318</v>
      </c>
      <c r="S69" s="119" t="s">
        <v>5318</v>
      </c>
      <c r="T69" s="119" t="s">
        <v>5318</v>
      </c>
      <c r="U69" s="119" t="s">
        <v>5318</v>
      </c>
      <c r="V69" s="119" t="s">
        <v>5318</v>
      </c>
      <c r="W69" s="119" t="s">
        <v>5318</v>
      </c>
      <c r="X69" s="119" t="s">
        <v>5318</v>
      </c>
      <c r="Y69" s="119" t="s">
        <v>5318</v>
      </c>
      <c r="Z69" s="119" t="s">
        <v>5318</v>
      </c>
      <c r="AA69" s="119" t="s">
        <v>5318</v>
      </c>
      <c r="AB69" s="119" t="s">
        <v>5318</v>
      </c>
      <c r="AC69" s="119"/>
      <c r="AD69" s="119"/>
      <c r="AE69" s="119"/>
      <c r="AF69" s="119"/>
      <c r="AG69" s="119"/>
      <c r="AH69" s="119"/>
      <c r="AI69" s="122">
        <v>1</v>
      </c>
      <c r="AJ69" s="122">
        <v>0</v>
      </c>
      <c r="AK69" s="119" t="s">
        <v>6763</v>
      </c>
      <c r="AL69" s="119" t="s">
        <v>5318</v>
      </c>
      <c r="AM69" s="119" t="s">
        <v>5318</v>
      </c>
      <c r="AN69" s="119" t="s">
        <v>5318</v>
      </c>
      <c r="AO69" s="119"/>
      <c r="AP69" s="119"/>
      <c r="AQ69" s="119"/>
      <c r="AR69" s="119"/>
    </row>
    <row r="70" spans="1:45" ht="63" customHeight="1" x14ac:dyDescent="0.2">
      <c r="A70" s="31">
        <v>5683</v>
      </c>
      <c r="B70" s="31" t="s">
        <v>1711</v>
      </c>
      <c r="C70" s="31" t="s">
        <v>1712</v>
      </c>
      <c r="D70" s="45">
        <v>2020</v>
      </c>
      <c r="F70" s="31" t="s">
        <v>197</v>
      </c>
      <c r="G70" s="31" t="s">
        <v>32</v>
      </c>
      <c r="H70" s="31" t="s">
        <v>160</v>
      </c>
      <c r="I70" s="31" t="s">
        <v>13</v>
      </c>
      <c r="J70" s="31" t="s">
        <v>1713</v>
      </c>
      <c r="K70" s="31" t="s">
        <v>1714</v>
      </c>
      <c r="L70" s="31" t="s">
        <v>5797</v>
      </c>
      <c r="M70" s="31">
        <v>0</v>
      </c>
      <c r="N70" s="31" t="s">
        <v>5044</v>
      </c>
      <c r="O70" s="31" t="s">
        <v>5044</v>
      </c>
      <c r="P70" s="31">
        <v>0</v>
      </c>
      <c r="Q70" s="31">
        <v>0</v>
      </c>
      <c r="R70" s="31">
        <v>0</v>
      </c>
      <c r="S70" s="31">
        <v>1</v>
      </c>
      <c r="T70" s="31">
        <v>2</v>
      </c>
      <c r="U70" s="31">
        <v>100</v>
      </c>
      <c r="V70" s="31">
        <v>0</v>
      </c>
      <c r="W70" s="31">
        <v>1</v>
      </c>
      <c r="X70" s="31">
        <v>0</v>
      </c>
      <c r="Y70" s="31">
        <v>1</v>
      </c>
      <c r="Z70" s="31">
        <v>1</v>
      </c>
      <c r="AA70" s="31" t="s">
        <v>6497</v>
      </c>
      <c r="AB70" s="31">
        <v>0</v>
      </c>
      <c r="AI70" s="54">
        <v>0</v>
      </c>
      <c r="AJ70" s="54">
        <v>0</v>
      </c>
      <c r="AS70" s="109"/>
    </row>
    <row r="71" spans="1:45" ht="63" hidden="1" customHeight="1" x14ac:dyDescent="0.2">
      <c r="A71" s="115">
        <v>2580</v>
      </c>
      <c r="B71" s="115" t="s">
        <v>7136</v>
      </c>
      <c r="C71" s="115" t="s">
        <v>714</v>
      </c>
      <c r="D71" s="141">
        <v>2020</v>
      </c>
      <c r="E71" s="115" t="s">
        <v>5318</v>
      </c>
      <c r="F71" s="115">
        <v>21</v>
      </c>
      <c r="G71" s="115">
        <v>1</v>
      </c>
      <c r="H71" s="115" t="s">
        <v>6538</v>
      </c>
      <c r="I71" s="115" t="s">
        <v>6516</v>
      </c>
      <c r="J71" s="115" t="s">
        <v>7137</v>
      </c>
      <c r="K71" s="115" t="s">
        <v>715</v>
      </c>
      <c r="L71" s="142" t="s">
        <v>5542</v>
      </c>
      <c r="M71" s="115">
        <v>1</v>
      </c>
      <c r="N71" s="115">
        <v>0</v>
      </c>
      <c r="O71" s="115" t="s">
        <v>5318</v>
      </c>
      <c r="P71" s="115">
        <v>0</v>
      </c>
      <c r="Q71" s="115">
        <v>0</v>
      </c>
      <c r="R71" s="115">
        <v>0</v>
      </c>
      <c r="S71" s="115">
        <v>1</v>
      </c>
      <c r="T71" s="115">
        <v>1</v>
      </c>
      <c r="U71" s="115">
        <v>1186</v>
      </c>
      <c r="V71" s="115">
        <v>0</v>
      </c>
      <c r="W71" s="115">
        <v>1</v>
      </c>
      <c r="X71" s="115">
        <v>0</v>
      </c>
      <c r="Y71" s="115" t="s">
        <v>5044</v>
      </c>
      <c r="Z71" s="115" t="s">
        <v>5044</v>
      </c>
      <c r="AA71" s="115" t="s">
        <v>5318</v>
      </c>
      <c r="AB71" s="115" t="s">
        <v>5044</v>
      </c>
      <c r="AC71" s="115"/>
      <c r="AD71" s="115"/>
      <c r="AE71" s="115"/>
      <c r="AF71" s="115"/>
      <c r="AG71" s="115"/>
      <c r="AH71" s="115"/>
      <c r="AI71" s="143">
        <v>0</v>
      </c>
      <c r="AJ71" s="143">
        <v>0</v>
      </c>
      <c r="AK71" s="115" t="s">
        <v>5318</v>
      </c>
      <c r="AL71" s="115" t="s">
        <v>5318</v>
      </c>
      <c r="AM71" s="115" t="s">
        <v>5318</v>
      </c>
      <c r="AN71" s="115" t="s">
        <v>5318</v>
      </c>
      <c r="AO71" s="115"/>
      <c r="AP71" s="115"/>
      <c r="AQ71" s="115"/>
      <c r="AR71" s="115"/>
    </row>
    <row r="72" spans="1:45" ht="63" customHeight="1" x14ac:dyDescent="0.2">
      <c r="A72" s="31">
        <v>9680</v>
      </c>
      <c r="B72" s="31" t="s">
        <v>3532</v>
      </c>
      <c r="C72" s="31" t="s">
        <v>3533</v>
      </c>
      <c r="D72" s="45">
        <v>2020</v>
      </c>
      <c r="F72" s="31" t="s">
        <v>3534</v>
      </c>
      <c r="G72" s="31" t="s">
        <v>11</v>
      </c>
      <c r="H72" s="31" t="s">
        <v>89</v>
      </c>
      <c r="I72" s="31" t="s">
        <v>13</v>
      </c>
      <c r="J72" s="31" t="s">
        <v>3535</v>
      </c>
      <c r="K72" s="31" t="s">
        <v>3536</v>
      </c>
      <c r="L72" s="31" t="s">
        <v>6009</v>
      </c>
      <c r="M72" s="31">
        <v>0</v>
      </c>
      <c r="N72" s="31" t="s">
        <v>5044</v>
      </c>
      <c r="O72" s="31" t="s">
        <v>5044</v>
      </c>
      <c r="P72" s="31">
        <v>0</v>
      </c>
      <c r="Q72" s="31">
        <v>0</v>
      </c>
      <c r="R72" s="31">
        <v>0</v>
      </c>
      <c r="S72" s="31">
        <v>9</v>
      </c>
      <c r="T72" s="31">
        <v>1</v>
      </c>
      <c r="U72" s="31">
        <v>60</v>
      </c>
      <c r="V72" s="31">
        <v>0</v>
      </c>
      <c r="W72" s="31">
        <v>1</v>
      </c>
      <c r="X72" s="31">
        <v>0</v>
      </c>
      <c r="Y72" s="31">
        <v>1</v>
      </c>
      <c r="Z72" s="31">
        <v>0</v>
      </c>
      <c r="AA72" s="31" t="s">
        <v>5318</v>
      </c>
      <c r="AB72" s="31">
        <v>1</v>
      </c>
      <c r="AI72" s="54">
        <v>0</v>
      </c>
      <c r="AJ72" s="54">
        <v>0</v>
      </c>
      <c r="AK72" s="31" t="s">
        <v>5318</v>
      </c>
      <c r="AS72" s="109"/>
    </row>
    <row r="73" spans="1:45" ht="63" hidden="1" customHeight="1" x14ac:dyDescent="0.2">
      <c r="A73" s="115">
        <v>1832</v>
      </c>
      <c r="B73" s="115" t="s">
        <v>6955</v>
      </c>
      <c r="C73" s="115" t="s">
        <v>520</v>
      </c>
      <c r="D73" s="141">
        <v>2020</v>
      </c>
      <c r="E73" s="115" t="s">
        <v>5318</v>
      </c>
      <c r="F73" s="115">
        <v>103</v>
      </c>
      <c r="G73" s="115">
        <v>6</v>
      </c>
      <c r="H73" s="115" t="s">
        <v>6956</v>
      </c>
      <c r="I73" s="115" t="s">
        <v>6516</v>
      </c>
      <c r="J73" s="115" t="s">
        <v>6957</v>
      </c>
      <c r="K73" s="115" t="s">
        <v>522</v>
      </c>
      <c r="L73" s="115" t="s">
        <v>5318</v>
      </c>
      <c r="M73" s="115" t="s">
        <v>5318</v>
      </c>
      <c r="N73" s="115" t="s">
        <v>5318</v>
      </c>
      <c r="O73" s="115" t="s">
        <v>5318</v>
      </c>
      <c r="P73" s="115" t="s">
        <v>5318</v>
      </c>
      <c r="Q73" s="115" t="s">
        <v>5318</v>
      </c>
      <c r="R73" s="115" t="s">
        <v>5318</v>
      </c>
      <c r="S73" s="115" t="s">
        <v>5318</v>
      </c>
      <c r="T73" s="115" t="s">
        <v>5318</v>
      </c>
      <c r="U73" s="115" t="s">
        <v>5318</v>
      </c>
      <c r="V73" s="115" t="s">
        <v>5318</v>
      </c>
      <c r="W73" s="115" t="s">
        <v>5318</v>
      </c>
      <c r="X73" s="115" t="s">
        <v>5318</v>
      </c>
      <c r="Y73" s="115" t="s">
        <v>5318</v>
      </c>
      <c r="Z73" s="115" t="s">
        <v>5318</v>
      </c>
      <c r="AA73" s="115" t="s">
        <v>5318</v>
      </c>
      <c r="AB73" s="115" t="s">
        <v>5318</v>
      </c>
      <c r="AC73" s="115"/>
      <c r="AD73" s="115"/>
      <c r="AE73" s="115"/>
      <c r="AF73" s="115"/>
      <c r="AG73" s="115"/>
      <c r="AH73" s="115"/>
      <c r="AI73" s="143">
        <v>1</v>
      </c>
      <c r="AJ73" s="143">
        <v>0</v>
      </c>
      <c r="AK73" s="115" t="s">
        <v>6287</v>
      </c>
      <c r="AL73" s="115" t="s">
        <v>5318</v>
      </c>
      <c r="AM73" s="115" t="s">
        <v>5318</v>
      </c>
      <c r="AN73" s="115" t="s">
        <v>5318</v>
      </c>
      <c r="AO73" s="115"/>
      <c r="AP73" s="115"/>
      <c r="AQ73" s="115"/>
      <c r="AR73" s="115"/>
    </row>
    <row r="74" spans="1:45" ht="63" customHeight="1" x14ac:dyDescent="0.2">
      <c r="A74" s="31">
        <v>7194</v>
      </c>
      <c r="B74" s="31" t="s">
        <v>2363</v>
      </c>
      <c r="C74" s="31" t="s">
        <v>2364</v>
      </c>
      <c r="D74" s="45">
        <v>2020</v>
      </c>
      <c r="F74" s="31" t="s">
        <v>293</v>
      </c>
      <c r="G74" s="31" t="s">
        <v>144</v>
      </c>
      <c r="H74" s="31" t="s">
        <v>319</v>
      </c>
      <c r="I74" s="31" t="s">
        <v>13</v>
      </c>
      <c r="J74" s="31" t="s">
        <v>2365</v>
      </c>
      <c r="K74" s="31" t="s">
        <v>2366</v>
      </c>
      <c r="L74" s="15" t="s">
        <v>6113</v>
      </c>
      <c r="M74" s="31">
        <v>0</v>
      </c>
      <c r="P74" s="31">
        <v>0</v>
      </c>
      <c r="Q74" s="31">
        <v>0</v>
      </c>
      <c r="R74" s="31">
        <v>0</v>
      </c>
      <c r="S74" s="31">
        <v>1</v>
      </c>
      <c r="T74" s="31">
        <v>1</v>
      </c>
      <c r="U74" s="31">
        <v>71</v>
      </c>
      <c r="V74" s="31">
        <v>0</v>
      </c>
      <c r="W74" s="31">
        <v>0</v>
      </c>
      <c r="X74" s="31">
        <v>1</v>
      </c>
      <c r="Y74" s="31">
        <v>1</v>
      </c>
      <c r="Z74" s="31">
        <v>0</v>
      </c>
      <c r="AB74" s="31" t="s">
        <v>5044</v>
      </c>
      <c r="AI74" s="54">
        <v>0</v>
      </c>
      <c r="AJ74" s="54">
        <v>0</v>
      </c>
      <c r="AS74" s="109"/>
    </row>
    <row r="75" spans="1:45" ht="63" hidden="1" customHeight="1" x14ac:dyDescent="0.2">
      <c r="A75" s="115">
        <v>12082</v>
      </c>
      <c r="B75" s="115" t="s">
        <v>4663</v>
      </c>
      <c r="C75" s="115" t="s">
        <v>4664</v>
      </c>
      <c r="D75" s="141">
        <v>2020</v>
      </c>
      <c r="E75" s="115" t="s">
        <v>305</v>
      </c>
      <c r="F75" s="115" t="s">
        <v>37</v>
      </c>
      <c r="G75" s="115" t="s">
        <v>52</v>
      </c>
      <c r="H75" s="115" t="s">
        <v>273</v>
      </c>
      <c r="I75" s="115" t="s">
        <v>13</v>
      </c>
      <c r="J75" s="115" t="s">
        <v>4665</v>
      </c>
      <c r="K75" s="115" t="s">
        <v>4666</v>
      </c>
      <c r="L75" s="142" t="s">
        <v>5155</v>
      </c>
      <c r="M75" s="115">
        <v>1</v>
      </c>
      <c r="N75" s="115">
        <v>1</v>
      </c>
      <c r="O75" s="115">
        <v>0</v>
      </c>
      <c r="P75" s="115"/>
      <c r="Q75" s="115"/>
      <c r="R75" s="115"/>
      <c r="S75" s="115" t="s">
        <v>5154</v>
      </c>
      <c r="T75" s="115">
        <v>1</v>
      </c>
      <c r="U75" s="115"/>
      <c r="V75" s="115"/>
      <c r="W75" s="115"/>
      <c r="X75" s="115"/>
      <c r="Y75" s="115"/>
      <c r="Z75" s="115"/>
      <c r="AA75" s="115"/>
      <c r="AB75" s="115"/>
      <c r="AC75" s="115"/>
      <c r="AD75" s="115"/>
      <c r="AE75" s="115"/>
      <c r="AF75" s="115"/>
      <c r="AG75" s="115"/>
      <c r="AH75" s="115"/>
      <c r="AI75" s="143">
        <v>1</v>
      </c>
      <c r="AJ75" s="143">
        <v>0</v>
      </c>
      <c r="AK75" s="115" t="s">
        <v>5462</v>
      </c>
      <c r="AL75" s="115"/>
      <c r="AM75" s="115"/>
      <c r="AN75" s="115"/>
      <c r="AO75" s="115"/>
      <c r="AP75" s="115"/>
      <c r="AQ75" s="115"/>
      <c r="AR75" s="115"/>
    </row>
    <row r="76" spans="1:45" ht="63" customHeight="1" x14ac:dyDescent="0.2">
      <c r="A76" s="71">
        <v>351</v>
      </c>
      <c r="B76" s="71" t="s">
        <v>4344</v>
      </c>
      <c r="C76" s="71" t="s">
        <v>4345</v>
      </c>
      <c r="D76" s="45">
        <v>2020</v>
      </c>
      <c r="E76" s="71"/>
      <c r="F76" s="71">
        <v>46</v>
      </c>
      <c r="G76" s="71">
        <v>12</v>
      </c>
      <c r="H76" s="71"/>
      <c r="I76" s="71" t="s">
        <v>13</v>
      </c>
      <c r="J76" s="71" t="s">
        <v>4346</v>
      </c>
      <c r="K76" s="71" t="s">
        <v>4347</v>
      </c>
      <c r="L76" s="71" t="s">
        <v>7947</v>
      </c>
      <c r="M76" s="71">
        <v>0</v>
      </c>
      <c r="N76" s="71" t="s">
        <v>5044</v>
      </c>
      <c r="O76" s="71" t="s">
        <v>5044</v>
      </c>
      <c r="P76" s="71">
        <v>0</v>
      </c>
      <c r="Q76" s="71">
        <v>0</v>
      </c>
      <c r="R76" s="71">
        <v>0</v>
      </c>
      <c r="S76" s="71" t="s">
        <v>5270</v>
      </c>
      <c r="T76" s="71">
        <v>1</v>
      </c>
      <c r="U76" s="71">
        <v>150</v>
      </c>
      <c r="V76" s="72">
        <v>0</v>
      </c>
      <c r="W76" s="72">
        <v>1</v>
      </c>
      <c r="X76" s="71">
        <v>0</v>
      </c>
      <c r="Y76" s="71">
        <v>1</v>
      </c>
      <c r="Z76" s="71">
        <v>0</v>
      </c>
      <c r="AA76" s="71"/>
      <c r="AB76" s="71">
        <v>0</v>
      </c>
      <c r="AC76" s="71">
        <v>0</v>
      </c>
      <c r="AD76" s="71">
        <v>4.5999999999999996</v>
      </c>
      <c r="AE76" s="71">
        <v>0</v>
      </c>
      <c r="AF76" s="71">
        <v>1</v>
      </c>
      <c r="AG76" s="71"/>
      <c r="AH76" s="71"/>
      <c r="AI76" s="71"/>
      <c r="AJ76" s="71"/>
      <c r="AK76" s="71"/>
      <c r="AL76" s="71"/>
      <c r="AM76" s="71"/>
      <c r="AN76" s="71"/>
      <c r="AS76" s="109"/>
    </row>
    <row r="77" spans="1:45" ht="63" customHeight="1" x14ac:dyDescent="0.2">
      <c r="A77" s="31">
        <v>11441</v>
      </c>
      <c r="B77" s="31" t="s">
        <v>4344</v>
      </c>
      <c r="C77" s="31" t="s">
        <v>4345</v>
      </c>
      <c r="D77" s="45">
        <v>2020</v>
      </c>
      <c r="F77" s="31" t="s">
        <v>372</v>
      </c>
      <c r="G77" s="31" t="s">
        <v>17</v>
      </c>
      <c r="H77" s="31" t="s">
        <v>1321</v>
      </c>
      <c r="I77" s="31" t="s">
        <v>13</v>
      </c>
      <c r="J77" s="31" t="s">
        <v>4346</v>
      </c>
      <c r="K77" s="77" t="s">
        <v>4347</v>
      </c>
      <c r="L77" s="38" t="s">
        <v>5269</v>
      </c>
      <c r="M77" s="31">
        <v>0</v>
      </c>
      <c r="N77" s="77" t="s">
        <v>5044</v>
      </c>
      <c r="O77" s="77" t="s">
        <v>5044</v>
      </c>
      <c r="P77" s="31">
        <v>0</v>
      </c>
      <c r="Q77" s="31">
        <v>0</v>
      </c>
      <c r="R77" s="31">
        <v>0</v>
      </c>
      <c r="S77" s="31" t="s">
        <v>5270</v>
      </c>
      <c r="T77" s="31">
        <v>1</v>
      </c>
      <c r="U77" s="31">
        <v>150</v>
      </c>
      <c r="V77" s="97">
        <v>0</v>
      </c>
      <c r="W77" s="97">
        <v>1</v>
      </c>
      <c r="X77" s="97">
        <v>0</v>
      </c>
      <c r="Y77" s="31">
        <v>1</v>
      </c>
      <c r="Z77" s="31">
        <v>0</v>
      </c>
      <c r="AB77" s="31">
        <v>0</v>
      </c>
      <c r="AC77" s="31">
        <v>0</v>
      </c>
      <c r="AD77" s="31">
        <v>4.5999999999999996</v>
      </c>
      <c r="AE77" s="31">
        <v>0</v>
      </c>
      <c r="AF77" s="31">
        <v>1</v>
      </c>
      <c r="AG77" s="31">
        <v>0</v>
      </c>
      <c r="AH77" s="77" t="s">
        <v>5044</v>
      </c>
      <c r="AI77" s="54">
        <v>0</v>
      </c>
      <c r="AJ77" s="54">
        <v>0</v>
      </c>
      <c r="AK77" s="80" t="s">
        <v>8100</v>
      </c>
      <c r="AL77" s="78" t="s">
        <v>8079</v>
      </c>
      <c r="AM77" s="78">
        <v>2</v>
      </c>
      <c r="AN77" s="31">
        <v>0</v>
      </c>
      <c r="AO77" s="31">
        <v>0</v>
      </c>
      <c r="AQ77" s="31">
        <v>0</v>
      </c>
      <c r="AR77" s="77" t="s">
        <v>5044</v>
      </c>
      <c r="AS77" s="109"/>
    </row>
    <row r="78" spans="1:45" ht="63" customHeight="1" x14ac:dyDescent="0.2">
      <c r="A78" s="31">
        <v>1995</v>
      </c>
      <c r="B78" s="31" t="s">
        <v>6998</v>
      </c>
      <c r="C78" s="31" t="s">
        <v>567</v>
      </c>
      <c r="D78" s="45">
        <v>2020</v>
      </c>
      <c r="E78" s="31" t="s">
        <v>5318</v>
      </c>
      <c r="F78" s="31">
        <v>155</v>
      </c>
      <c r="G78" s="31">
        <v>4</v>
      </c>
      <c r="H78" s="31" t="s">
        <v>6676</v>
      </c>
      <c r="I78" s="31" t="s">
        <v>6516</v>
      </c>
      <c r="J78" s="31" t="s">
        <v>6999</v>
      </c>
      <c r="K78" s="81" t="s">
        <v>569</v>
      </c>
      <c r="L78" s="38" t="s">
        <v>5461</v>
      </c>
      <c r="M78" s="31">
        <v>0</v>
      </c>
      <c r="N78" s="31" t="s">
        <v>5318</v>
      </c>
      <c r="O78" s="31" t="s">
        <v>5318</v>
      </c>
      <c r="P78" s="31">
        <v>0</v>
      </c>
      <c r="Q78" s="31">
        <v>0</v>
      </c>
      <c r="R78" s="31">
        <v>0</v>
      </c>
      <c r="S78" s="31">
        <v>1</v>
      </c>
      <c r="T78" s="31">
        <v>1</v>
      </c>
      <c r="U78" s="31">
        <v>168</v>
      </c>
      <c r="V78" s="31">
        <v>1</v>
      </c>
      <c r="W78" s="31">
        <v>0</v>
      </c>
      <c r="X78" s="31">
        <v>0</v>
      </c>
      <c r="Y78" s="31">
        <v>1</v>
      </c>
      <c r="Z78" s="31">
        <v>0</v>
      </c>
      <c r="AA78" s="77" t="s">
        <v>5044</v>
      </c>
      <c r="AB78" s="77" t="s">
        <v>8093</v>
      </c>
      <c r="AC78" s="31">
        <v>0</v>
      </c>
      <c r="AD78" s="31">
        <v>6.16</v>
      </c>
      <c r="AE78" s="31">
        <v>0</v>
      </c>
      <c r="AF78" s="31">
        <v>0</v>
      </c>
      <c r="AG78" s="31">
        <v>1</v>
      </c>
      <c r="AH78" s="81" t="s">
        <v>8129</v>
      </c>
      <c r="AI78" s="54">
        <v>0</v>
      </c>
      <c r="AJ78" s="54">
        <v>0</v>
      </c>
      <c r="AK78" s="31" t="s">
        <v>5318</v>
      </c>
      <c r="AL78" s="81" t="s">
        <v>8080</v>
      </c>
      <c r="AM78" s="77">
        <v>1</v>
      </c>
      <c r="AN78" s="31">
        <v>1</v>
      </c>
      <c r="AO78" s="31">
        <v>1</v>
      </c>
      <c r="AP78" s="31" t="s">
        <v>8128</v>
      </c>
      <c r="AQ78" s="31">
        <v>1</v>
      </c>
      <c r="AR78" s="77" t="s">
        <v>8092</v>
      </c>
      <c r="AS78" s="109"/>
    </row>
    <row r="79" spans="1:45" ht="63" hidden="1" customHeight="1" x14ac:dyDescent="0.2">
      <c r="A79" s="32">
        <v>8220</v>
      </c>
      <c r="B79" s="32" t="s">
        <v>2839</v>
      </c>
      <c r="C79" s="32" t="s">
        <v>2840</v>
      </c>
      <c r="D79" s="140">
        <v>2020</v>
      </c>
      <c r="E79" s="32"/>
      <c r="F79" s="32" t="s">
        <v>48</v>
      </c>
      <c r="G79" s="32" t="s">
        <v>48</v>
      </c>
      <c r="H79" s="32" t="s">
        <v>19</v>
      </c>
      <c r="I79" s="32" t="s">
        <v>13</v>
      </c>
      <c r="J79" s="32" t="s">
        <v>2841</v>
      </c>
      <c r="K79" s="32" t="s">
        <v>2842</v>
      </c>
      <c r="L79" s="32" t="s">
        <v>6218</v>
      </c>
      <c r="M79" s="32">
        <v>1</v>
      </c>
      <c r="N79" s="32">
        <v>0</v>
      </c>
      <c r="O79" s="32" t="s">
        <v>5044</v>
      </c>
      <c r="P79" s="32" t="s">
        <v>5044</v>
      </c>
      <c r="Q79" s="32">
        <v>0</v>
      </c>
      <c r="R79" s="32">
        <v>0</v>
      </c>
      <c r="S79" s="32">
        <v>1</v>
      </c>
      <c r="T79" s="32">
        <v>1</v>
      </c>
      <c r="U79" s="32">
        <v>60</v>
      </c>
      <c r="V79" s="32">
        <v>1</v>
      </c>
      <c r="W79" s="32">
        <v>0</v>
      </c>
      <c r="X79" s="32">
        <v>0</v>
      </c>
      <c r="Y79" s="32" t="s">
        <v>5044</v>
      </c>
      <c r="Z79" s="32" t="s">
        <v>5044</v>
      </c>
      <c r="AA79" s="32" t="s">
        <v>5318</v>
      </c>
      <c r="AB79" s="32" t="s">
        <v>5044</v>
      </c>
      <c r="AC79" s="32"/>
      <c r="AD79" s="32"/>
      <c r="AE79" s="32"/>
      <c r="AF79" s="32"/>
      <c r="AG79" s="32"/>
      <c r="AH79" s="32"/>
      <c r="AI79" s="144">
        <v>0</v>
      </c>
      <c r="AJ79" s="144">
        <v>0</v>
      </c>
      <c r="AK79" s="32" t="s">
        <v>5318</v>
      </c>
      <c r="AL79" s="32"/>
      <c r="AM79" s="32"/>
      <c r="AN79" s="32"/>
      <c r="AO79" s="32"/>
      <c r="AP79" s="32"/>
      <c r="AQ79" s="32"/>
      <c r="AR79" s="32"/>
    </row>
    <row r="80" spans="1:45" s="61" customFormat="1" ht="63" hidden="1" customHeight="1" x14ac:dyDescent="0.2">
      <c r="A80" s="124">
        <v>410</v>
      </c>
      <c r="B80" s="124" t="s">
        <v>3057</v>
      </c>
      <c r="C80" s="124" t="s">
        <v>3058</v>
      </c>
      <c r="D80" s="125">
        <v>2020</v>
      </c>
      <c r="E80" s="124"/>
      <c r="F80" s="124">
        <v>4</v>
      </c>
      <c r="G80" s="124">
        <v>1</v>
      </c>
      <c r="H80" s="124"/>
      <c r="I80" s="124" t="s">
        <v>13</v>
      </c>
      <c r="J80" s="126" t="s">
        <v>3059</v>
      </c>
      <c r="K80" s="124" t="s">
        <v>3060</v>
      </c>
      <c r="L80" s="124" t="s">
        <v>5893</v>
      </c>
      <c r="M80" s="124">
        <v>0</v>
      </c>
      <c r="N80" s="124"/>
      <c r="O80" s="124"/>
      <c r="P80" s="124">
        <v>0</v>
      </c>
      <c r="Q80" s="124">
        <v>0</v>
      </c>
      <c r="R80" s="124">
        <v>0</v>
      </c>
      <c r="S80" s="124">
        <v>1</v>
      </c>
      <c r="T80" s="124">
        <v>4</v>
      </c>
      <c r="U80" s="124">
        <v>124</v>
      </c>
      <c r="V80" s="124"/>
      <c r="W80" s="124"/>
      <c r="X80" s="124"/>
      <c r="Y80" s="124"/>
      <c r="Z80" s="124"/>
      <c r="AA80" s="124"/>
      <c r="AB80" s="124">
        <v>1</v>
      </c>
      <c r="AC80" s="124">
        <v>0</v>
      </c>
      <c r="AD80" s="124">
        <v>0</v>
      </c>
      <c r="AE80" s="124">
        <v>0</v>
      </c>
      <c r="AF80" s="124">
        <v>1</v>
      </c>
      <c r="AG80" s="124"/>
      <c r="AH80" s="124"/>
      <c r="AI80" s="124">
        <v>1</v>
      </c>
      <c r="AJ80" s="124"/>
      <c r="AK80" s="124" t="s">
        <v>7948</v>
      </c>
      <c r="AL80" s="124"/>
      <c r="AM80" s="124"/>
      <c r="AN80" s="124"/>
      <c r="AO80" s="127"/>
      <c r="AP80" s="127"/>
      <c r="AQ80" s="127"/>
      <c r="AR80" s="127"/>
    </row>
    <row r="81" spans="1:45" ht="63" customHeight="1" x14ac:dyDescent="0.2">
      <c r="A81" s="31">
        <v>8691</v>
      </c>
      <c r="B81" s="31" t="s">
        <v>3057</v>
      </c>
      <c r="C81" s="31" t="s">
        <v>3058</v>
      </c>
      <c r="D81" s="45">
        <v>2020</v>
      </c>
      <c r="F81" s="31" t="s">
        <v>18</v>
      </c>
      <c r="G81" s="31" t="s">
        <v>52</v>
      </c>
      <c r="H81" s="31" t="s">
        <v>211</v>
      </c>
      <c r="I81" s="31" t="s">
        <v>13</v>
      </c>
      <c r="J81" s="31" t="s">
        <v>3059</v>
      </c>
      <c r="K81" s="31" t="s">
        <v>3060</v>
      </c>
      <c r="L81" s="31" t="s">
        <v>5893</v>
      </c>
      <c r="M81" s="31">
        <v>0</v>
      </c>
      <c r="N81" s="31" t="s">
        <v>5044</v>
      </c>
      <c r="O81" s="31" t="s">
        <v>5044</v>
      </c>
      <c r="P81" s="31">
        <v>0</v>
      </c>
      <c r="Q81" s="31">
        <v>0</v>
      </c>
      <c r="R81" s="31">
        <v>0</v>
      </c>
      <c r="S81" s="31">
        <v>1</v>
      </c>
      <c r="T81" s="31">
        <v>4</v>
      </c>
      <c r="U81" s="31">
        <v>124</v>
      </c>
      <c r="V81" s="31">
        <v>0</v>
      </c>
      <c r="W81" s="31">
        <v>1</v>
      </c>
      <c r="X81" s="31">
        <v>0</v>
      </c>
      <c r="Y81" s="31">
        <v>1</v>
      </c>
      <c r="Z81" s="31">
        <v>0</v>
      </c>
      <c r="AA81" s="31" t="s">
        <v>5894</v>
      </c>
      <c r="AB81" s="31">
        <v>1</v>
      </c>
      <c r="AC81" s="31">
        <v>0</v>
      </c>
      <c r="AD81" s="31">
        <v>0</v>
      </c>
      <c r="AE81" s="31">
        <v>0</v>
      </c>
      <c r="AF81" s="31">
        <v>1</v>
      </c>
      <c r="AI81" s="54">
        <v>0</v>
      </c>
      <c r="AJ81" s="54">
        <v>0</v>
      </c>
      <c r="AS81" s="109"/>
    </row>
    <row r="82" spans="1:45" ht="63" customHeight="1" x14ac:dyDescent="0.2">
      <c r="A82" s="31">
        <v>6257</v>
      </c>
      <c r="B82" s="31" t="s">
        <v>1965</v>
      </c>
      <c r="C82" s="31" t="s">
        <v>1966</v>
      </c>
      <c r="D82" s="45">
        <v>2020</v>
      </c>
      <c r="F82" s="31" t="s">
        <v>1967</v>
      </c>
      <c r="G82" s="31" t="s">
        <v>144</v>
      </c>
      <c r="H82" s="31" t="s">
        <v>459</v>
      </c>
      <c r="I82" s="31" t="s">
        <v>13</v>
      </c>
      <c r="J82" s="31" t="s">
        <v>1968</v>
      </c>
      <c r="K82" s="81" t="s">
        <v>1969</v>
      </c>
      <c r="L82" s="31" t="s">
        <v>5849</v>
      </c>
      <c r="M82" s="31">
        <v>0</v>
      </c>
      <c r="N82" s="31" t="s">
        <v>5044</v>
      </c>
      <c r="O82" s="31" t="s">
        <v>5044</v>
      </c>
      <c r="P82" s="31">
        <v>0</v>
      </c>
      <c r="Q82" s="31">
        <v>0</v>
      </c>
      <c r="R82" s="31">
        <v>0</v>
      </c>
      <c r="S82" s="31">
        <v>1</v>
      </c>
      <c r="T82" s="31">
        <v>1</v>
      </c>
      <c r="U82" s="31">
        <v>261</v>
      </c>
      <c r="V82" s="31">
        <v>1</v>
      </c>
      <c r="W82" s="31">
        <v>0</v>
      </c>
      <c r="X82" s="31">
        <v>0</v>
      </c>
      <c r="Y82" s="31">
        <v>1</v>
      </c>
      <c r="Z82" s="31">
        <v>0</v>
      </c>
      <c r="AA82" s="31" t="s">
        <v>5318</v>
      </c>
      <c r="AB82" s="31">
        <v>0</v>
      </c>
      <c r="AC82" s="31">
        <v>0</v>
      </c>
      <c r="AD82" s="31">
        <v>3</v>
      </c>
      <c r="AE82" s="31">
        <v>0</v>
      </c>
      <c r="AF82" s="31">
        <v>0</v>
      </c>
      <c r="AG82" s="31">
        <v>1</v>
      </c>
      <c r="AH82" s="31" t="s">
        <v>8126</v>
      </c>
      <c r="AI82" s="54">
        <v>0</v>
      </c>
      <c r="AJ82" s="54">
        <v>0</v>
      </c>
      <c r="AK82" s="31" t="s">
        <v>5318</v>
      </c>
      <c r="AL82" s="78" t="s">
        <v>8081</v>
      </c>
      <c r="AM82" s="78">
        <v>1</v>
      </c>
      <c r="AN82" s="31">
        <v>1</v>
      </c>
      <c r="AO82" s="31">
        <v>1</v>
      </c>
      <c r="AP82" s="81" t="s">
        <v>8127</v>
      </c>
      <c r="AQ82" s="31">
        <v>0</v>
      </c>
      <c r="AS82" s="109"/>
    </row>
    <row r="83" spans="1:45" ht="63" customHeight="1" x14ac:dyDescent="0.2">
      <c r="A83" s="31">
        <v>5754</v>
      </c>
      <c r="B83" s="31" t="s">
        <v>1750</v>
      </c>
      <c r="C83" s="31" t="s">
        <v>1751</v>
      </c>
      <c r="D83" s="45">
        <v>2020</v>
      </c>
      <c r="F83" s="31" t="s">
        <v>932</v>
      </c>
      <c r="G83" s="31" t="s">
        <v>175</v>
      </c>
      <c r="H83" s="31" t="s">
        <v>38</v>
      </c>
      <c r="I83" s="31" t="s">
        <v>13</v>
      </c>
      <c r="J83" s="31" t="s">
        <v>1752</v>
      </c>
      <c r="K83" s="31" t="s">
        <v>1753</v>
      </c>
      <c r="L83" s="31" t="s">
        <v>5803</v>
      </c>
      <c r="M83" s="31">
        <v>0</v>
      </c>
      <c r="N83" s="31" t="s">
        <v>5044</v>
      </c>
      <c r="O83" s="31" t="s">
        <v>5044</v>
      </c>
      <c r="P83" s="31">
        <v>1</v>
      </c>
      <c r="Q83" s="31">
        <v>0</v>
      </c>
      <c r="R83" s="31">
        <v>0</v>
      </c>
      <c r="S83" s="31">
        <v>1</v>
      </c>
      <c r="T83" s="31">
        <v>2</v>
      </c>
      <c r="U83" s="31">
        <v>62</v>
      </c>
      <c r="V83" s="31">
        <v>0</v>
      </c>
      <c r="W83" s="31">
        <v>1</v>
      </c>
      <c r="X83" s="31">
        <v>0</v>
      </c>
      <c r="Y83" s="31">
        <v>1</v>
      </c>
      <c r="Z83" s="31">
        <v>0</v>
      </c>
      <c r="AA83" s="31" t="s">
        <v>5318</v>
      </c>
      <c r="AB83" s="31" t="s">
        <v>5044</v>
      </c>
      <c r="AI83" s="54">
        <v>0</v>
      </c>
      <c r="AJ83" s="54">
        <v>0</v>
      </c>
      <c r="AK83" s="31" t="s">
        <v>2539</v>
      </c>
      <c r="AS83" s="109"/>
    </row>
    <row r="84" spans="1:45" ht="63" hidden="1" customHeight="1" x14ac:dyDescent="0.2">
      <c r="A84" s="32">
        <v>2950</v>
      </c>
      <c r="B84" s="32" t="s">
        <v>7227</v>
      </c>
      <c r="C84" s="32" t="s">
        <v>807</v>
      </c>
      <c r="D84" s="140">
        <v>2020</v>
      </c>
      <c r="E84" s="32" t="s">
        <v>5318</v>
      </c>
      <c r="F84" s="32">
        <v>21</v>
      </c>
      <c r="G84" s="32">
        <v>1</v>
      </c>
      <c r="H84" s="32" t="s">
        <v>6538</v>
      </c>
      <c r="I84" s="32" t="s">
        <v>6516</v>
      </c>
      <c r="J84" s="32" t="s">
        <v>5318</v>
      </c>
      <c r="K84" s="32" t="s">
        <v>808</v>
      </c>
      <c r="L84" s="145" t="s">
        <v>5580</v>
      </c>
      <c r="M84" s="32">
        <v>1</v>
      </c>
      <c r="N84" s="32">
        <v>0</v>
      </c>
      <c r="O84" s="32" t="s">
        <v>5318</v>
      </c>
      <c r="P84" s="32">
        <v>0</v>
      </c>
      <c r="Q84" s="32">
        <v>0</v>
      </c>
      <c r="R84" s="32">
        <v>0</v>
      </c>
      <c r="S84" s="32">
        <v>1</v>
      </c>
      <c r="T84" s="32">
        <v>1</v>
      </c>
      <c r="U84" s="32">
        <v>156</v>
      </c>
      <c r="V84" s="32">
        <v>1</v>
      </c>
      <c r="W84" s="32">
        <v>0</v>
      </c>
      <c r="X84" s="32">
        <v>0</v>
      </c>
      <c r="Y84" s="32" t="s">
        <v>5044</v>
      </c>
      <c r="Z84" s="32" t="s">
        <v>5044</v>
      </c>
      <c r="AA84" s="32" t="s">
        <v>5318</v>
      </c>
      <c r="AB84" s="32" t="s">
        <v>5044</v>
      </c>
      <c r="AC84" s="32"/>
      <c r="AD84" s="32"/>
      <c r="AE84" s="32"/>
      <c r="AF84" s="32"/>
      <c r="AG84" s="32"/>
      <c r="AH84" s="32"/>
      <c r="AI84" s="144">
        <v>0</v>
      </c>
      <c r="AJ84" s="144">
        <v>0</v>
      </c>
      <c r="AK84" s="32" t="s">
        <v>5318</v>
      </c>
      <c r="AL84" s="32" t="s">
        <v>5318</v>
      </c>
      <c r="AM84" s="32" t="s">
        <v>5318</v>
      </c>
      <c r="AN84" s="32" t="s">
        <v>5318</v>
      </c>
      <c r="AO84" s="32"/>
      <c r="AP84" s="32"/>
      <c r="AQ84" s="32"/>
      <c r="AR84" s="32"/>
    </row>
    <row r="85" spans="1:45" ht="63" hidden="1" customHeight="1" x14ac:dyDescent="0.2">
      <c r="A85" s="31">
        <v>2818</v>
      </c>
      <c r="B85" s="31" t="s">
        <v>7197</v>
      </c>
      <c r="C85" s="31" t="s">
        <v>777</v>
      </c>
      <c r="D85" s="45">
        <v>2020</v>
      </c>
      <c r="E85" s="31" t="s">
        <v>305</v>
      </c>
      <c r="F85" s="31">
        <v>20</v>
      </c>
      <c r="G85" s="31">
        <v>1</v>
      </c>
      <c r="H85" s="31" t="s">
        <v>6595</v>
      </c>
      <c r="I85" s="31" t="s">
        <v>6516</v>
      </c>
      <c r="J85" s="31" t="s">
        <v>7198</v>
      </c>
      <c r="K85" s="31" t="s">
        <v>778</v>
      </c>
      <c r="L85" s="38" t="s">
        <v>5562</v>
      </c>
      <c r="M85" s="31">
        <v>1</v>
      </c>
      <c r="N85" s="31">
        <v>0</v>
      </c>
      <c r="O85" s="31" t="s">
        <v>5318</v>
      </c>
      <c r="P85" s="31">
        <v>0</v>
      </c>
      <c r="Q85" s="31">
        <v>0</v>
      </c>
      <c r="R85" s="31">
        <v>0</v>
      </c>
      <c r="S85" s="31" t="s">
        <v>5563</v>
      </c>
      <c r="T85" s="31">
        <v>1</v>
      </c>
      <c r="U85" s="31">
        <v>64</v>
      </c>
      <c r="V85" s="31">
        <v>0</v>
      </c>
      <c r="W85" s="31">
        <v>1</v>
      </c>
      <c r="X85" s="31">
        <v>0</v>
      </c>
      <c r="Y85" s="31" t="s">
        <v>5044</v>
      </c>
      <c r="Z85" s="31" t="s">
        <v>5044</v>
      </c>
      <c r="AA85" s="31" t="s">
        <v>5318</v>
      </c>
      <c r="AB85" s="31" t="s">
        <v>5044</v>
      </c>
      <c r="AI85" s="54">
        <v>0</v>
      </c>
      <c r="AJ85" s="54">
        <v>0</v>
      </c>
      <c r="AK85" s="31" t="s">
        <v>5318</v>
      </c>
      <c r="AL85" s="31" t="s">
        <v>5318</v>
      </c>
      <c r="AM85" s="31" t="s">
        <v>5318</v>
      </c>
      <c r="AN85" s="31" t="s">
        <v>5318</v>
      </c>
    </row>
    <row r="86" spans="1:45" ht="63" hidden="1" customHeight="1" x14ac:dyDescent="0.2">
      <c r="A86" s="31">
        <v>4824</v>
      </c>
      <c r="B86" s="31" t="s">
        <v>1296</v>
      </c>
      <c r="C86" s="31" t="s">
        <v>1297</v>
      </c>
      <c r="D86" s="45">
        <v>2020</v>
      </c>
      <c r="F86" s="31" t="s">
        <v>1298</v>
      </c>
      <c r="G86" s="31" t="s">
        <v>47</v>
      </c>
      <c r="H86" s="31" t="s">
        <v>1299</v>
      </c>
      <c r="I86" s="31" t="s">
        <v>13</v>
      </c>
      <c r="J86" s="31" t="s">
        <v>1300</v>
      </c>
      <c r="K86" s="31" t="s">
        <v>1301</v>
      </c>
      <c r="L86" s="31" t="s">
        <v>5733</v>
      </c>
      <c r="M86" s="31">
        <v>1</v>
      </c>
      <c r="N86" s="31">
        <v>1</v>
      </c>
      <c r="O86" s="31">
        <v>1</v>
      </c>
      <c r="AI86" s="54">
        <v>1</v>
      </c>
      <c r="AJ86" s="54">
        <v>0</v>
      </c>
      <c r="AK86" s="31" t="s">
        <v>6149</v>
      </c>
    </row>
    <row r="87" spans="1:45" ht="63" hidden="1" customHeight="1" x14ac:dyDescent="0.2">
      <c r="A87" s="119">
        <v>11099</v>
      </c>
      <c r="B87" s="119" t="s">
        <v>4167</v>
      </c>
      <c r="C87" s="119" t="s">
        <v>4168</v>
      </c>
      <c r="D87" s="120">
        <v>2020</v>
      </c>
      <c r="E87" s="119" t="s">
        <v>4171</v>
      </c>
      <c r="F87" s="119" t="s">
        <v>356</v>
      </c>
      <c r="G87" s="119" t="s">
        <v>175</v>
      </c>
      <c r="H87" s="119" t="s">
        <v>86</v>
      </c>
      <c r="I87" s="119" t="s">
        <v>13</v>
      </c>
      <c r="J87" s="119" t="s">
        <v>4169</v>
      </c>
      <c r="K87" s="119" t="s">
        <v>4170</v>
      </c>
      <c r="L87" s="119" t="s">
        <v>5214</v>
      </c>
      <c r="M87" s="119"/>
      <c r="N87" s="119"/>
      <c r="O87" s="119"/>
      <c r="P87" s="119"/>
      <c r="Q87" s="119"/>
      <c r="R87" s="119">
        <v>1</v>
      </c>
      <c r="S87" s="119">
        <v>5</v>
      </c>
      <c r="T87" s="119">
        <v>1</v>
      </c>
      <c r="U87" s="119"/>
      <c r="V87" s="119"/>
      <c r="W87" s="119"/>
      <c r="X87" s="119"/>
      <c r="Y87" s="119"/>
      <c r="Z87" s="119"/>
      <c r="AA87" s="119"/>
      <c r="AB87" s="119"/>
      <c r="AC87" s="119"/>
      <c r="AD87" s="119"/>
      <c r="AE87" s="119"/>
      <c r="AF87" s="119"/>
      <c r="AG87" s="119"/>
      <c r="AH87" s="119"/>
      <c r="AI87" s="122">
        <v>1</v>
      </c>
      <c r="AJ87" s="122">
        <v>0</v>
      </c>
      <c r="AK87" s="119" t="s">
        <v>6270</v>
      </c>
      <c r="AL87" s="119"/>
      <c r="AM87" s="119"/>
      <c r="AN87" s="119"/>
      <c r="AO87" s="119"/>
      <c r="AP87" s="119"/>
      <c r="AQ87" s="119"/>
      <c r="AR87" s="119"/>
    </row>
    <row r="88" spans="1:45" ht="63" customHeight="1" x14ac:dyDescent="0.2">
      <c r="A88" s="31">
        <v>3153</v>
      </c>
      <c r="B88" s="31" t="s">
        <v>7277</v>
      </c>
      <c r="C88" s="31" t="s">
        <v>858</v>
      </c>
      <c r="D88" s="45">
        <v>2020</v>
      </c>
      <c r="E88" s="31" t="s">
        <v>5318</v>
      </c>
      <c r="F88" s="31">
        <v>136</v>
      </c>
      <c r="G88" s="31" t="s">
        <v>5318</v>
      </c>
      <c r="H88" s="31" t="s">
        <v>7195</v>
      </c>
      <c r="I88" s="31" t="s">
        <v>6516</v>
      </c>
      <c r="J88" s="31" t="s">
        <v>7278</v>
      </c>
      <c r="K88" s="31" t="s">
        <v>860</v>
      </c>
      <c r="L88" s="38" t="s">
        <v>5597</v>
      </c>
      <c r="M88" s="31">
        <v>0</v>
      </c>
      <c r="N88" s="31" t="s">
        <v>5318</v>
      </c>
      <c r="O88" s="31" t="s">
        <v>5318</v>
      </c>
      <c r="P88" s="31">
        <v>0</v>
      </c>
      <c r="Q88" s="31">
        <v>0</v>
      </c>
      <c r="R88" s="31">
        <v>0</v>
      </c>
      <c r="S88" s="31">
        <v>5</v>
      </c>
      <c r="T88" s="31">
        <v>1</v>
      </c>
      <c r="U88" s="31">
        <v>110</v>
      </c>
      <c r="V88" s="31">
        <v>0</v>
      </c>
      <c r="W88" s="31">
        <v>1</v>
      </c>
      <c r="X88" s="31">
        <v>0</v>
      </c>
      <c r="Y88" s="31">
        <v>1</v>
      </c>
      <c r="Z88" s="31">
        <v>0</v>
      </c>
      <c r="AA88" s="31" t="s">
        <v>5598</v>
      </c>
      <c r="AB88" s="31">
        <v>1</v>
      </c>
      <c r="AI88" s="54">
        <v>0</v>
      </c>
      <c r="AJ88" s="54">
        <v>0</v>
      </c>
      <c r="AK88" s="31" t="s">
        <v>5318</v>
      </c>
      <c r="AL88" s="31" t="s">
        <v>5318</v>
      </c>
      <c r="AM88" s="31" t="s">
        <v>5318</v>
      </c>
      <c r="AN88" s="31" t="s">
        <v>5318</v>
      </c>
      <c r="AS88" s="109"/>
    </row>
    <row r="89" spans="1:45" ht="63" customHeight="1" x14ac:dyDescent="0.2">
      <c r="A89" s="31">
        <v>3797</v>
      </c>
      <c r="B89" s="31" t="s">
        <v>7439</v>
      </c>
      <c r="C89" s="31" t="s">
        <v>1030</v>
      </c>
      <c r="D89" s="45">
        <v>2020</v>
      </c>
      <c r="E89" s="31" t="s">
        <v>5318</v>
      </c>
      <c r="F89" s="31">
        <v>405</v>
      </c>
      <c r="G89" s="31">
        <v>4</v>
      </c>
      <c r="H89" s="31" t="s">
        <v>7023</v>
      </c>
      <c r="I89" s="31" t="s">
        <v>6516</v>
      </c>
      <c r="J89" s="31" t="s">
        <v>7440</v>
      </c>
      <c r="K89" s="31" t="s">
        <v>1032</v>
      </c>
      <c r="L89" s="31" t="s">
        <v>5440</v>
      </c>
      <c r="M89" s="31">
        <v>0</v>
      </c>
      <c r="N89" s="31" t="s">
        <v>5318</v>
      </c>
      <c r="O89" s="31" t="s">
        <v>5318</v>
      </c>
      <c r="P89" s="31">
        <v>1</v>
      </c>
      <c r="Q89" s="31">
        <v>0</v>
      </c>
      <c r="R89" s="31">
        <v>0</v>
      </c>
      <c r="S89" s="31">
        <v>1</v>
      </c>
      <c r="T89" s="31">
        <v>1</v>
      </c>
      <c r="U89" s="31">
        <v>100</v>
      </c>
      <c r="V89" s="31">
        <v>0</v>
      </c>
      <c r="W89" s="31">
        <v>1</v>
      </c>
      <c r="X89" s="31">
        <v>0</v>
      </c>
      <c r="Y89" s="31">
        <v>1</v>
      </c>
      <c r="Z89" s="31">
        <v>0</v>
      </c>
      <c r="AA89" s="31" t="s">
        <v>5318</v>
      </c>
      <c r="AB89" s="31" t="s">
        <v>5044</v>
      </c>
      <c r="AI89" s="54">
        <v>0</v>
      </c>
      <c r="AJ89" s="54">
        <v>0</v>
      </c>
      <c r="AK89" s="31" t="s">
        <v>5318</v>
      </c>
      <c r="AL89" s="31" t="s">
        <v>5318</v>
      </c>
      <c r="AM89" s="31" t="s">
        <v>5318</v>
      </c>
      <c r="AN89" s="31" t="s">
        <v>5318</v>
      </c>
      <c r="AS89" s="109"/>
    </row>
    <row r="90" spans="1:45" s="61" customFormat="1" ht="63" hidden="1" customHeight="1" x14ac:dyDescent="0.2">
      <c r="A90" s="146">
        <v>426</v>
      </c>
      <c r="B90" s="146" t="s">
        <v>4448</v>
      </c>
      <c r="C90" s="146" t="s">
        <v>7939</v>
      </c>
      <c r="D90" s="147">
        <v>2020</v>
      </c>
      <c r="E90" s="146"/>
      <c r="F90" s="146">
        <v>107</v>
      </c>
      <c r="G90" s="146">
        <v>4</v>
      </c>
      <c r="H90" s="146"/>
      <c r="I90" s="146" t="s">
        <v>13</v>
      </c>
      <c r="J90" s="146" t="s">
        <v>4450</v>
      </c>
      <c r="K90" s="146" t="s">
        <v>4451</v>
      </c>
      <c r="L90" s="146"/>
      <c r="M90" s="146"/>
      <c r="N90" s="146"/>
      <c r="O90" s="146"/>
      <c r="P90" s="146"/>
      <c r="Q90" s="146"/>
      <c r="R90" s="146"/>
      <c r="S90" s="146"/>
      <c r="T90" s="146"/>
      <c r="U90" s="146"/>
      <c r="V90" s="146"/>
      <c r="W90" s="146"/>
      <c r="X90" s="146"/>
      <c r="Y90" s="146"/>
      <c r="Z90" s="146"/>
      <c r="AA90" s="146"/>
      <c r="AB90" s="146"/>
      <c r="AC90" s="146"/>
      <c r="AD90" s="146"/>
      <c r="AE90" s="146"/>
      <c r="AF90" s="146"/>
      <c r="AG90" s="146"/>
      <c r="AH90" s="146"/>
      <c r="AI90" s="146">
        <v>1</v>
      </c>
      <c r="AJ90" s="146"/>
      <c r="AK90" s="146" t="s">
        <v>7948</v>
      </c>
      <c r="AL90" s="146"/>
      <c r="AM90" s="146"/>
      <c r="AN90" s="146"/>
      <c r="AO90" s="148"/>
      <c r="AP90" s="148"/>
      <c r="AQ90" s="148"/>
      <c r="AR90" s="148"/>
    </row>
    <row r="91" spans="1:45" ht="63" customHeight="1" x14ac:dyDescent="0.2">
      <c r="A91" s="31">
        <v>11623</v>
      </c>
      <c r="B91" s="31" t="s">
        <v>4448</v>
      </c>
      <c r="C91" s="31" t="s">
        <v>4449</v>
      </c>
      <c r="D91" s="45">
        <v>2020</v>
      </c>
      <c r="F91" s="31" t="s">
        <v>932</v>
      </c>
      <c r="G91" s="31" t="s">
        <v>18</v>
      </c>
      <c r="H91" s="31" t="s">
        <v>38</v>
      </c>
      <c r="I91" s="31" t="s">
        <v>13</v>
      </c>
      <c r="J91" s="31" t="s">
        <v>4450</v>
      </c>
      <c r="K91" s="31" t="s">
        <v>4451</v>
      </c>
      <c r="L91" s="38" t="s">
        <v>5290</v>
      </c>
      <c r="M91" s="31">
        <v>0</v>
      </c>
      <c r="P91" s="31">
        <v>0</v>
      </c>
      <c r="Q91" s="31">
        <v>0</v>
      </c>
      <c r="R91" s="31">
        <v>0</v>
      </c>
      <c r="S91" s="31">
        <v>1</v>
      </c>
      <c r="T91" s="31">
        <v>1</v>
      </c>
      <c r="U91" s="31">
        <v>140</v>
      </c>
      <c r="V91" s="31">
        <v>0</v>
      </c>
      <c r="W91" s="31">
        <v>1</v>
      </c>
      <c r="X91" s="31">
        <v>0</v>
      </c>
      <c r="Y91" s="31">
        <v>1</v>
      </c>
      <c r="Z91" s="31">
        <v>0</v>
      </c>
      <c r="AA91" s="31" t="s">
        <v>6502</v>
      </c>
      <c r="AB91" s="31">
        <v>0</v>
      </c>
      <c r="AC91" s="31">
        <v>1</v>
      </c>
      <c r="AD91" s="31">
        <v>5.9</v>
      </c>
      <c r="AE91" s="31">
        <v>0</v>
      </c>
      <c r="AF91" s="31">
        <v>0</v>
      </c>
      <c r="AI91" s="54">
        <v>0</v>
      </c>
      <c r="AJ91" s="54">
        <v>0</v>
      </c>
      <c r="AS91" s="109"/>
    </row>
    <row r="92" spans="1:45" ht="63" hidden="1" customHeight="1" x14ac:dyDescent="0.2">
      <c r="A92" s="32">
        <v>1667</v>
      </c>
      <c r="B92" s="32" t="s">
        <v>6928</v>
      </c>
      <c r="C92" s="32" t="s">
        <v>492</v>
      </c>
      <c r="D92" s="140">
        <v>2020</v>
      </c>
      <c r="E92" s="32" t="s">
        <v>5318</v>
      </c>
      <c r="F92" s="32">
        <v>21</v>
      </c>
      <c r="G92" s="32">
        <v>1</v>
      </c>
      <c r="H92" s="32" t="s">
        <v>6538</v>
      </c>
      <c r="I92" s="32" t="s">
        <v>6516</v>
      </c>
      <c r="J92" s="32" t="s">
        <v>6929</v>
      </c>
      <c r="K92" s="32" t="s">
        <v>493</v>
      </c>
      <c r="L92" s="149" t="s">
        <v>5437</v>
      </c>
      <c r="M92" s="32">
        <v>1</v>
      </c>
      <c r="N92" s="32">
        <v>0</v>
      </c>
      <c r="O92" s="32" t="s">
        <v>5318</v>
      </c>
      <c r="P92" s="32">
        <v>0</v>
      </c>
      <c r="Q92" s="32">
        <v>0</v>
      </c>
      <c r="R92" s="32">
        <v>0</v>
      </c>
      <c r="S92" s="32">
        <v>1</v>
      </c>
      <c r="T92" s="32">
        <v>1</v>
      </c>
      <c r="U92" s="32">
        <v>62</v>
      </c>
      <c r="V92" s="32">
        <v>0</v>
      </c>
      <c r="W92" s="32">
        <v>0</v>
      </c>
      <c r="X92" s="32">
        <v>1</v>
      </c>
      <c r="Y92" s="32" t="s">
        <v>5044</v>
      </c>
      <c r="Z92" s="32" t="s">
        <v>5044</v>
      </c>
      <c r="AA92" s="32" t="s">
        <v>5318</v>
      </c>
      <c r="AB92" s="32" t="s">
        <v>5044</v>
      </c>
      <c r="AC92" s="32"/>
      <c r="AD92" s="32"/>
      <c r="AE92" s="32"/>
      <c r="AF92" s="32"/>
      <c r="AG92" s="32"/>
      <c r="AH92" s="32"/>
      <c r="AI92" s="144">
        <v>0</v>
      </c>
      <c r="AJ92" s="144">
        <v>0</v>
      </c>
      <c r="AK92" s="32" t="s">
        <v>6930</v>
      </c>
      <c r="AL92" s="32" t="s">
        <v>5318</v>
      </c>
      <c r="AM92" s="32" t="s">
        <v>5318</v>
      </c>
      <c r="AN92" s="32" t="s">
        <v>5318</v>
      </c>
      <c r="AO92" s="32"/>
      <c r="AP92" s="32"/>
      <c r="AQ92" s="32"/>
      <c r="AR92" s="32"/>
    </row>
    <row r="93" spans="1:45" ht="63" hidden="1" customHeight="1" x14ac:dyDescent="0.2">
      <c r="A93" s="119">
        <v>249</v>
      </c>
      <c r="B93" s="119" t="s">
        <v>6584</v>
      </c>
      <c r="C93" s="119" t="s">
        <v>104</v>
      </c>
      <c r="D93" s="120">
        <v>2020</v>
      </c>
      <c r="E93" s="119" t="s">
        <v>5318</v>
      </c>
      <c r="F93" s="119">
        <v>10</v>
      </c>
      <c r="G93" s="119">
        <v>2</v>
      </c>
      <c r="H93" s="119" t="s">
        <v>6519</v>
      </c>
      <c r="I93" s="119" t="s">
        <v>6516</v>
      </c>
      <c r="J93" s="119" t="s">
        <v>6585</v>
      </c>
      <c r="K93" s="119" t="s">
        <v>105</v>
      </c>
      <c r="L93" s="119" t="s">
        <v>5075</v>
      </c>
      <c r="M93" s="119">
        <v>1</v>
      </c>
      <c r="N93" s="119">
        <v>1</v>
      </c>
      <c r="O93" s="119">
        <v>1</v>
      </c>
      <c r="P93" s="119">
        <v>0</v>
      </c>
      <c r="Q93" s="119">
        <v>0</v>
      </c>
      <c r="R93" s="119">
        <v>0</v>
      </c>
      <c r="S93" s="119">
        <v>1</v>
      </c>
      <c r="T93" s="119">
        <v>4</v>
      </c>
      <c r="U93" s="119">
        <v>656</v>
      </c>
      <c r="V93" s="119">
        <v>0</v>
      </c>
      <c r="W93" s="119">
        <v>1</v>
      </c>
      <c r="X93" s="119">
        <v>0</v>
      </c>
      <c r="Y93" s="119" t="s">
        <v>5044</v>
      </c>
      <c r="Z93" s="119" t="s">
        <v>5044</v>
      </c>
      <c r="AA93" s="119" t="s">
        <v>5318</v>
      </c>
      <c r="AB93" s="119" t="s">
        <v>5041</v>
      </c>
      <c r="AC93" s="119"/>
      <c r="AD93" s="119"/>
      <c r="AE93" s="119"/>
      <c r="AF93" s="119"/>
      <c r="AG93" s="119"/>
      <c r="AH93" s="119"/>
      <c r="AI93" s="122">
        <v>1</v>
      </c>
      <c r="AJ93" s="122">
        <v>0</v>
      </c>
      <c r="AK93" s="119" t="s">
        <v>6298</v>
      </c>
      <c r="AL93" s="119" t="s">
        <v>5318</v>
      </c>
      <c r="AM93" s="119" t="s">
        <v>5318</v>
      </c>
      <c r="AN93" s="119" t="s">
        <v>5318</v>
      </c>
      <c r="AO93" s="119"/>
      <c r="AP93" s="119"/>
      <c r="AQ93" s="119"/>
      <c r="AR93" s="119"/>
    </row>
    <row r="94" spans="1:45" ht="63" customHeight="1" x14ac:dyDescent="0.2">
      <c r="A94" s="31">
        <v>9681</v>
      </c>
      <c r="B94" s="31" t="s">
        <v>3537</v>
      </c>
      <c r="C94" s="31" t="s">
        <v>3538</v>
      </c>
      <c r="D94" s="45">
        <v>2021</v>
      </c>
      <c r="F94" s="31" t="s">
        <v>3442</v>
      </c>
      <c r="G94" s="31" t="s">
        <v>92</v>
      </c>
      <c r="H94" s="31" t="s">
        <v>1083</v>
      </c>
      <c r="I94" s="31" t="s">
        <v>13</v>
      </c>
      <c r="J94" s="31" t="s">
        <v>3539</v>
      </c>
      <c r="K94" s="31" t="s">
        <v>3540</v>
      </c>
      <c r="L94" s="31" t="s">
        <v>6010</v>
      </c>
      <c r="M94" s="31">
        <v>0</v>
      </c>
      <c r="N94" s="31" t="s">
        <v>5044</v>
      </c>
      <c r="O94" s="31" t="s">
        <v>5044</v>
      </c>
      <c r="P94" s="31">
        <v>0</v>
      </c>
      <c r="Q94" s="31">
        <v>0</v>
      </c>
      <c r="R94" s="31">
        <v>0</v>
      </c>
      <c r="S94" s="31">
        <v>9</v>
      </c>
      <c r="T94" s="31">
        <v>1</v>
      </c>
      <c r="U94" s="31">
        <v>60</v>
      </c>
      <c r="V94" s="31">
        <v>0</v>
      </c>
      <c r="W94" s="31">
        <v>1</v>
      </c>
      <c r="X94" s="31">
        <v>0</v>
      </c>
      <c r="Y94" s="31">
        <v>0</v>
      </c>
      <c r="Z94" s="31">
        <v>0</v>
      </c>
      <c r="AA94" s="31" t="s">
        <v>5318</v>
      </c>
      <c r="AB94" s="31">
        <v>1</v>
      </c>
      <c r="AI94" s="54">
        <v>0</v>
      </c>
      <c r="AJ94" s="54">
        <v>0</v>
      </c>
      <c r="AS94" s="109"/>
    </row>
    <row r="95" spans="1:45" ht="63" hidden="1" customHeight="1" x14ac:dyDescent="0.2">
      <c r="A95" s="32">
        <v>10640</v>
      </c>
      <c r="B95" s="32" t="s">
        <v>3994</v>
      </c>
      <c r="C95" s="32" t="s">
        <v>3995</v>
      </c>
      <c r="D95" s="140">
        <v>2021</v>
      </c>
      <c r="E95" s="32" t="s">
        <v>3998</v>
      </c>
      <c r="F95" s="32" t="s">
        <v>42</v>
      </c>
      <c r="G95" s="32" t="s">
        <v>18</v>
      </c>
      <c r="H95" s="32" t="s">
        <v>43</v>
      </c>
      <c r="I95" s="32" t="s">
        <v>13</v>
      </c>
      <c r="J95" s="32" t="s">
        <v>3996</v>
      </c>
      <c r="K95" s="32" t="s">
        <v>3997</v>
      </c>
      <c r="L95" s="32" t="s">
        <v>5344</v>
      </c>
      <c r="M95" s="32">
        <v>0</v>
      </c>
      <c r="N95" s="32"/>
      <c r="O95" s="32"/>
      <c r="P95" s="32">
        <v>0</v>
      </c>
      <c r="Q95" s="32">
        <v>1</v>
      </c>
      <c r="R95" s="32">
        <v>0</v>
      </c>
      <c r="S95" s="32">
        <v>1</v>
      </c>
      <c r="T95" s="32">
        <v>1</v>
      </c>
      <c r="U95" s="32"/>
      <c r="V95" s="32"/>
      <c r="W95" s="32"/>
      <c r="X95" s="32"/>
      <c r="Y95" s="32"/>
      <c r="Z95" s="32"/>
      <c r="AA95" s="32"/>
      <c r="AB95" s="32"/>
      <c r="AC95" s="32"/>
      <c r="AD95" s="32"/>
      <c r="AE95" s="32"/>
      <c r="AF95" s="32"/>
      <c r="AG95" s="32"/>
      <c r="AH95" s="32"/>
      <c r="AI95" s="144">
        <v>1</v>
      </c>
      <c r="AJ95" s="144">
        <v>0</v>
      </c>
      <c r="AK95" s="32" t="s">
        <v>5345</v>
      </c>
      <c r="AL95" s="32"/>
      <c r="AM95" s="32"/>
      <c r="AN95" s="32"/>
      <c r="AO95" s="32"/>
      <c r="AP95" s="32"/>
      <c r="AQ95" s="32"/>
      <c r="AR95" s="32"/>
    </row>
    <row r="96" spans="1:45" ht="63" hidden="1" customHeight="1" x14ac:dyDescent="0.2">
      <c r="A96" s="119">
        <v>7006</v>
      </c>
      <c r="B96" s="119" t="s">
        <v>2279</v>
      </c>
      <c r="C96" s="119" t="s">
        <v>2280</v>
      </c>
      <c r="D96" s="120">
        <v>2021</v>
      </c>
      <c r="E96" s="119"/>
      <c r="F96" s="119" t="s">
        <v>65</v>
      </c>
      <c r="G96" s="119" t="s">
        <v>52</v>
      </c>
      <c r="H96" s="119" t="s">
        <v>53</v>
      </c>
      <c r="I96" s="119" t="s">
        <v>13</v>
      </c>
      <c r="J96" s="119" t="s">
        <v>2281</v>
      </c>
      <c r="K96" s="119" t="s">
        <v>2282</v>
      </c>
      <c r="L96" s="128" t="s">
        <v>6101</v>
      </c>
      <c r="M96" s="119">
        <v>1</v>
      </c>
      <c r="N96" s="119">
        <v>0</v>
      </c>
      <c r="O96" s="119"/>
      <c r="P96" s="119">
        <v>0</v>
      </c>
      <c r="Q96" s="119">
        <v>0</v>
      </c>
      <c r="R96" s="119">
        <v>0</v>
      </c>
      <c r="S96" s="119">
        <v>1</v>
      </c>
      <c r="T96" s="119">
        <v>1</v>
      </c>
      <c r="U96" s="119">
        <v>800</v>
      </c>
      <c r="V96" s="119">
        <v>0</v>
      </c>
      <c r="W96" s="119">
        <v>1</v>
      </c>
      <c r="X96" s="119">
        <v>0</v>
      </c>
      <c r="Y96" s="119" t="s">
        <v>5044</v>
      </c>
      <c r="Z96" s="119" t="s">
        <v>5044</v>
      </c>
      <c r="AA96" s="119"/>
      <c r="AB96" s="119" t="s">
        <v>5044</v>
      </c>
      <c r="AC96" s="119"/>
      <c r="AD96" s="119"/>
      <c r="AE96" s="119"/>
      <c r="AF96" s="119"/>
      <c r="AG96" s="119"/>
      <c r="AH96" s="119"/>
      <c r="AI96" s="122">
        <v>0</v>
      </c>
      <c r="AJ96" s="122">
        <v>0</v>
      </c>
      <c r="AK96" s="119"/>
      <c r="AL96" s="119"/>
      <c r="AM96" s="119"/>
      <c r="AN96" s="119"/>
      <c r="AO96" s="119"/>
      <c r="AP96" s="119"/>
      <c r="AQ96" s="119"/>
      <c r="AR96" s="119"/>
    </row>
    <row r="97" spans="1:45" ht="63" customHeight="1" x14ac:dyDescent="0.2">
      <c r="A97" s="31">
        <v>12282</v>
      </c>
      <c r="B97" s="31" t="s">
        <v>4767</v>
      </c>
      <c r="C97" s="31" t="s">
        <v>4768</v>
      </c>
      <c r="D97" s="45">
        <v>2021</v>
      </c>
      <c r="F97" s="31" t="s">
        <v>42</v>
      </c>
      <c r="G97" s="31" t="s">
        <v>32</v>
      </c>
      <c r="H97" s="31" t="s">
        <v>43</v>
      </c>
      <c r="I97" s="31" t="s">
        <v>13</v>
      </c>
      <c r="J97" s="31" t="s">
        <v>4769</v>
      </c>
      <c r="K97" s="31" t="s">
        <v>4770</v>
      </c>
      <c r="L97" s="31" t="s">
        <v>5190</v>
      </c>
      <c r="M97" s="31">
        <v>0</v>
      </c>
      <c r="P97" s="31">
        <v>0</v>
      </c>
      <c r="Q97" s="31">
        <v>0</v>
      </c>
      <c r="R97" s="31">
        <v>0</v>
      </c>
      <c r="S97" s="31">
        <v>1</v>
      </c>
      <c r="T97" s="31">
        <v>4</v>
      </c>
      <c r="U97" s="31">
        <v>405</v>
      </c>
      <c r="V97" s="31">
        <v>0</v>
      </c>
      <c r="W97" s="31">
        <v>1</v>
      </c>
      <c r="X97" s="31">
        <v>0</v>
      </c>
      <c r="Y97" s="31">
        <v>1</v>
      </c>
      <c r="Z97" s="31">
        <v>1</v>
      </c>
      <c r="AA97" s="31" t="s">
        <v>6507</v>
      </c>
      <c r="AB97" s="31">
        <v>1</v>
      </c>
      <c r="AI97" s="54">
        <v>0</v>
      </c>
      <c r="AJ97" s="54">
        <v>0</v>
      </c>
      <c r="AS97" s="109"/>
    </row>
    <row r="98" spans="1:45" ht="63" hidden="1" customHeight="1" x14ac:dyDescent="0.2">
      <c r="A98" s="32">
        <v>11697</v>
      </c>
      <c r="B98" s="32" t="s">
        <v>4464</v>
      </c>
      <c r="C98" s="32" t="s">
        <v>4465</v>
      </c>
      <c r="D98" s="140">
        <v>2021</v>
      </c>
      <c r="E98" s="32" t="s">
        <v>407</v>
      </c>
      <c r="F98" s="32" t="s">
        <v>31</v>
      </c>
      <c r="G98" s="32" t="s">
        <v>32</v>
      </c>
      <c r="H98" s="32" t="s">
        <v>4466</v>
      </c>
      <c r="I98" s="32" t="s">
        <v>13</v>
      </c>
      <c r="J98" s="32" t="s">
        <v>4467</v>
      </c>
      <c r="K98" s="32" t="s">
        <v>4468</v>
      </c>
      <c r="L98" s="32"/>
      <c r="M98" s="32"/>
      <c r="N98" s="32"/>
      <c r="O98" s="32"/>
      <c r="P98" s="32"/>
      <c r="Q98" s="32"/>
      <c r="R98" s="32"/>
      <c r="S98" s="32"/>
      <c r="T98" s="32"/>
      <c r="U98" s="32"/>
      <c r="V98" s="32"/>
      <c r="W98" s="32"/>
      <c r="X98" s="32"/>
      <c r="Y98" s="32"/>
      <c r="Z98" s="32"/>
      <c r="AA98" s="32"/>
      <c r="AB98" s="32"/>
      <c r="AC98" s="32"/>
      <c r="AD98" s="32"/>
      <c r="AE98" s="32"/>
      <c r="AF98" s="32"/>
      <c r="AG98" s="32"/>
      <c r="AH98" s="32"/>
      <c r="AI98" s="144">
        <v>1</v>
      </c>
      <c r="AJ98" s="144">
        <v>0</v>
      </c>
      <c r="AK98" s="32" t="s">
        <v>6272</v>
      </c>
      <c r="AL98" s="32"/>
      <c r="AM98" s="32"/>
      <c r="AN98" s="32"/>
      <c r="AO98" s="32"/>
      <c r="AP98" s="32"/>
      <c r="AQ98" s="32"/>
      <c r="AR98" s="32"/>
    </row>
    <row r="99" spans="1:45" ht="63" hidden="1" customHeight="1" x14ac:dyDescent="0.2">
      <c r="A99" s="31">
        <v>2170</v>
      </c>
      <c r="B99" s="31" t="s">
        <v>7033</v>
      </c>
      <c r="C99" s="31" t="s">
        <v>606</v>
      </c>
      <c r="D99" s="45">
        <v>2021</v>
      </c>
      <c r="E99" s="31" t="s">
        <v>5318</v>
      </c>
      <c r="F99" s="31">
        <v>22</v>
      </c>
      <c r="G99" s="31">
        <v>1</v>
      </c>
      <c r="H99" s="31" t="s">
        <v>6538</v>
      </c>
      <c r="I99" s="31" t="s">
        <v>6516</v>
      </c>
      <c r="J99" s="31" t="s">
        <v>7034</v>
      </c>
      <c r="K99" s="31" t="s">
        <v>607</v>
      </c>
      <c r="L99" s="38" t="s">
        <v>5509</v>
      </c>
      <c r="M99" s="31">
        <v>1</v>
      </c>
      <c r="N99" s="31">
        <v>0</v>
      </c>
      <c r="O99" s="31" t="s">
        <v>5318</v>
      </c>
      <c r="P99" s="31">
        <v>0</v>
      </c>
      <c r="Q99" s="31">
        <v>0</v>
      </c>
      <c r="R99" s="31">
        <v>0</v>
      </c>
      <c r="S99" s="31">
        <v>1</v>
      </c>
      <c r="T99" s="31">
        <v>1</v>
      </c>
      <c r="U99" s="31" t="s">
        <v>5044</v>
      </c>
      <c r="V99" s="31">
        <v>0</v>
      </c>
      <c r="W99" s="31">
        <v>1</v>
      </c>
      <c r="X99" s="31">
        <v>0</v>
      </c>
      <c r="Y99" s="31" t="s">
        <v>5044</v>
      </c>
      <c r="Z99" s="31" t="s">
        <v>5044</v>
      </c>
      <c r="AA99" s="31" t="s">
        <v>5318</v>
      </c>
      <c r="AB99" s="31" t="s">
        <v>5044</v>
      </c>
      <c r="AI99" s="54">
        <v>0</v>
      </c>
      <c r="AJ99" s="54">
        <v>0</v>
      </c>
      <c r="AK99" s="31" t="s">
        <v>5318</v>
      </c>
      <c r="AL99" s="31" t="s">
        <v>5318</v>
      </c>
      <c r="AM99" s="31" t="s">
        <v>5318</v>
      </c>
      <c r="AN99" s="31" t="s">
        <v>5318</v>
      </c>
    </row>
    <row r="100" spans="1:45" ht="63" hidden="1" customHeight="1" x14ac:dyDescent="0.2">
      <c r="A100" s="31">
        <v>7197</v>
      </c>
      <c r="B100" s="31" t="s">
        <v>2370</v>
      </c>
      <c r="C100" s="31" t="s">
        <v>2371</v>
      </c>
      <c r="D100" s="45">
        <v>2021</v>
      </c>
      <c r="F100" s="31" t="s">
        <v>65</v>
      </c>
      <c r="G100" s="31" t="s">
        <v>52</v>
      </c>
      <c r="H100" s="31" t="s">
        <v>53</v>
      </c>
      <c r="I100" s="31" t="s">
        <v>13</v>
      </c>
      <c r="J100" s="31" t="s">
        <v>2372</v>
      </c>
      <c r="K100" s="31" t="s">
        <v>2373</v>
      </c>
      <c r="L100" s="15" t="s">
        <v>6115</v>
      </c>
      <c r="M100" s="31">
        <v>1</v>
      </c>
      <c r="N100" s="31">
        <v>0</v>
      </c>
      <c r="P100" s="31">
        <v>0</v>
      </c>
      <c r="Q100" s="31">
        <v>0</v>
      </c>
      <c r="R100" s="31">
        <v>0</v>
      </c>
      <c r="S100" s="31">
        <v>1</v>
      </c>
      <c r="T100" s="31">
        <v>1</v>
      </c>
      <c r="U100" s="31">
        <v>80</v>
      </c>
      <c r="V100" s="31">
        <v>1</v>
      </c>
      <c r="W100" s="31">
        <v>0</v>
      </c>
      <c r="X100" s="31">
        <v>0</v>
      </c>
      <c r="Y100" s="31" t="s">
        <v>5044</v>
      </c>
      <c r="Z100" s="31" t="s">
        <v>5044</v>
      </c>
      <c r="AB100" s="31" t="s">
        <v>5044</v>
      </c>
      <c r="AI100" s="54">
        <v>0</v>
      </c>
      <c r="AJ100" s="54">
        <v>0</v>
      </c>
    </row>
    <row r="101" spans="1:45" ht="63" hidden="1" customHeight="1" x14ac:dyDescent="0.2">
      <c r="A101" s="119">
        <v>4714</v>
      </c>
      <c r="B101" s="119" t="s">
        <v>1245</v>
      </c>
      <c r="C101" s="119" t="s">
        <v>1246</v>
      </c>
      <c r="D101" s="120">
        <v>2021</v>
      </c>
      <c r="E101" s="119"/>
      <c r="F101" s="119" t="s">
        <v>216</v>
      </c>
      <c r="G101" s="119" t="s">
        <v>18</v>
      </c>
      <c r="H101" s="119" t="s">
        <v>217</v>
      </c>
      <c r="I101" s="119" t="s">
        <v>437</v>
      </c>
      <c r="J101" s="119" t="s">
        <v>1247</v>
      </c>
      <c r="K101" s="119" t="s">
        <v>1248</v>
      </c>
      <c r="L101" s="119" t="s">
        <v>5724</v>
      </c>
      <c r="M101" s="119">
        <v>0</v>
      </c>
      <c r="N101" s="119"/>
      <c r="O101" s="119"/>
      <c r="P101" s="119">
        <v>0</v>
      </c>
      <c r="Q101" s="119">
        <v>0</v>
      </c>
      <c r="R101" s="119">
        <v>1</v>
      </c>
      <c r="S101" s="119">
        <v>1</v>
      </c>
      <c r="T101" s="119">
        <v>1</v>
      </c>
      <c r="U101" s="119">
        <v>207</v>
      </c>
      <c r="V101" s="119"/>
      <c r="W101" s="119"/>
      <c r="X101" s="119"/>
      <c r="Y101" s="119"/>
      <c r="Z101" s="119"/>
      <c r="AA101" s="119"/>
      <c r="AB101" s="119"/>
      <c r="AC101" s="119"/>
      <c r="AD101" s="119"/>
      <c r="AE101" s="119"/>
      <c r="AF101" s="119"/>
      <c r="AG101" s="119"/>
      <c r="AH101" s="119"/>
      <c r="AI101" s="122">
        <v>1</v>
      </c>
      <c r="AJ101" s="122">
        <v>0</v>
      </c>
      <c r="AK101" s="119" t="s">
        <v>6280</v>
      </c>
      <c r="AL101" s="119"/>
      <c r="AM101" s="119"/>
      <c r="AN101" s="119"/>
      <c r="AO101" s="119"/>
      <c r="AP101" s="119"/>
      <c r="AQ101" s="119"/>
      <c r="AR101" s="119"/>
    </row>
    <row r="102" spans="1:45" ht="63" customHeight="1" x14ac:dyDescent="0.2">
      <c r="A102" s="31">
        <v>10627</v>
      </c>
      <c r="B102" s="31" t="s">
        <v>3986</v>
      </c>
      <c r="C102" s="31" t="s">
        <v>3987</v>
      </c>
      <c r="D102" s="45">
        <v>2021</v>
      </c>
      <c r="F102" s="31" t="s">
        <v>335</v>
      </c>
      <c r="G102" s="31" t="s">
        <v>11</v>
      </c>
      <c r="H102" s="31" t="s">
        <v>43</v>
      </c>
      <c r="I102" s="31" t="s">
        <v>13</v>
      </c>
      <c r="J102" s="31" t="s">
        <v>3988</v>
      </c>
      <c r="K102" s="31" t="s">
        <v>3989</v>
      </c>
      <c r="L102" s="31" t="s">
        <v>5343</v>
      </c>
      <c r="M102" s="31">
        <v>0</v>
      </c>
      <c r="P102" s="31">
        <v>0</v>
      </c>
      <c r="Q102" s="31">
        <v>0</v>
      </c>
      <c r="R102" s="31">
        <v>0</v>
      </c>
      <c r="S102" s="31">
        <v>2</v>
      </c>
      <c r="T102" s="31">
        <v>1</v>
      </c>
      <c r="U102" s="31">
        <v>46</v>
      </c>
      <c r="V102" s="31">
        <v>0</v>
      </c>
      <c r="W102" s="31">
        <v>1</v>
      </c>
      <c r="X102" s="31">
        <v>0</v>
      </c>
      <c r="Y102" s="31">
        <v>1</v>
      </c>
      <c r="Z102" s="31">
        <v>0</v>
      </c>
      <c r="AB102" s="31">
        <v>1</v>
      </c>
      <c r="AI102" s="54">
        <v>0</v>
      </c>
      <c r="AJ102" s="54">
        <v>0</v>
      </c>
      <c r="AS102" s="109"/>
    </row>
    <row r="103" spans="1:45" ht="63" customHeight="1" x14ac:dyDescent="0.2">
      <c r="A103" s="31">
        <v>11525</v>
      </c>
      <c r="B103" s="31" t="s">
        <v>4382</v>
      </c>
      <c r="C103" s="31" t="s">
        <v>4383</v>
      </c>
      <c r="D103" s="45">
        <v>2021</v>
      </c>
      <c r="F103" s="31" t="s">
        <v>4384</v>
      </c>
      <c r="G103" s="31" t="s">
        <v>293</v>
      </c>
      <c r="H103" s="31" t="s">
        <v>972</v>
      </c>
      <c r="I103" s="31" t="s">
        <v>13</v>
      </c>
      <c r="J103" s="31" t="s">
        <v>4385</v>
      </c>
      <c r="K103" s="81" t="s">
        <v>4386</v>
      </c>
      <c r="L103" s="36" t="s">
        <v>5278</v>
      </c>
      <c r="M103" s="31">
        <v>0</v>
      </c>
      <c r="P103" s="31">
        <v>0</v>
      </c>
      <c r="Q103" s="31">
        <v>0</v>
      </c>
      <c r="R103" s="31">
        <v>0</v>
      </c>
      <c r="S103" s="31">
        <v>1</v>
      </c>
      <c r="T103" s="31">
        <v>1</v>
      </c>
      <c r="U103" s="31">
        <v>104</v>
      </c>
      <c r="V103" s="31">
        <v>1</v>
      </c>
      <c r="W103" s="31">
        <v>0</v>
      </c>
      <c r="X103" s="31">
        <v>0</v>
      </c>
      <c r="Y103" s="31">
        <v>1</v>
      </c>
      <c r="Z103" s="31">
        <v>0</v>
      </c>
      <c r="AB103" s="31">
        <v>0</v>
      </c>
      <c r="AC103" s="31">
        <v>0</v>
      </c>
      <c r="AD103" s="31">
        <v>1</v>
      </c>
      <c r="AE103" s="31">
        <v>0</v>
      </c>
      <c r="AF103" s="31">
        <v>0</v>
      </c>
      <c r="AG103" s="31">
        <v>1</v>
      </c>
      <c r="AH103" s="31" t="s">
        <v>8125</v>
      </c>
      <c r="AI103" s="54">
        <v>0</v>
      </c>
      <c r="AJ103" s="54">
        <v>0</v>
      </c>
      <c r="AL103" s="78" t="s">
        <v>8082</v>
      </c>
      <c r="AM103" s="78">
        <v>1</v>
      </c>
      <c r="AN103" s="31">
        <v>1</v>
      </c>
      <c r="AO103" s="31">
        <v>1</v>
      </c>
      <c r="AP103" s="31" t="s">
        <v>8124</v>
      </c>
      <c r="AQ103" s="31">
        <v>0</v>
      </c>
      <c r="AS103" s="109"/>
    </row>
    <row r="104" spans="1:45" ht="63" hidden="1" customHeight="1" x14ac:dyDescent="0.2">
      <c r="A104" s="115">
        <v>8086</v>
      </c>
      <c r="B104" s="115" t="s">
        <v>2771</v>
      </c>
      <c r="C104" s="115" t="s">
        <v>2772</v>
      </c>
      <c r="D104" s="141">
        <v>2021</v>
      </c>
      <c r="E104" s="115"/>
      <c r="F104" s="115" t="s">
        <v>2773</v>
      </c>
      <c r="G104" s="115" t="s">
        <v>18</v>
      </c>
      <c r="H104" s="115" t="s">
        <v>740</v>
      </c>
      <c r="I104" s="115" t="s">
        <v>13</v>
      </c>
      <c r="J104" s="115" t="s">
        <v>2774</v>
      </c>
      <c r="K104" s="115" t="s">
        <v>2775</v>
      </c>
      <c r="L104" s="115" t="s">
        <v>5768</v>
      </c>
      <c r="M104" s="115">
        <v>0</v>
      </c>
      <c r="N104" s="115" t="s">
        <v>5044</v>
      </c>
      <c r="O104" s="115" t="s">
        <v>5044</v>
      </c>
      <c r="P104" s="115">
        <v>0</v>
      </c>
      <c r="Q104" s="115">
        <v>0</v>
      </c>
      <c r="R104" s="115">
        <v>1</v>
      </c>
      <c r="S104" s="115">
        <v>1</v>
      </c>
      <c r="T104" s="115">
        <v>2</v>
      </c>
      <c r="U104" s="115">
        <v>98</v>
      </c>
      <c r="V104" s="115" t="s">
        <v>5318</v>
      </c>
      <c r="W104" s="115" t="s">
        <v>5318</v>
      </c>
      <c r="X104" s="115" t="s">
        <v>5318</v>
      </c>
      <c r="Y104" s="115" t="s">
        <v>5318</v>
      </c>
      <c r="Z104" s="115" t="s">
        <v>5318</v>
      </c>
      <c r="AA104" s="115" t="s">
        <v>5318</v>
      </c>
      <c r="AB104" s="115" t="s">
        <v>5318</v>
      </c>
      <c r="AC104" s="115"/>
      <c r="AD104" s="115"/>
      <c r="AE104" s="115"/>
      <c r="AF104" s="115"/>
      <c r="AG104" s="115"/>
      <c r="AH104" s="115"/>
      <c r="AI104" s="143">
        <v>1</v>
      </c>
      <c r="AJ104" s="143">
        <v>0</v>
      </c>
      <c r="AK104" s="115" t="s">
        <v>6258</v>
      </c>
      <c r="AL104" s="115"/>
      <c r="AM104" s="115"/>
      <c r="AN104" s="115"/>
      <c r="AO104" s="115"/>
      <c r="AP104" s="115"/>
      <c r="AQ104" s="115"/>
      <c r="AR104" s="115"/>
    </row>
    <row r="105" spans="1:45" ht="63" customHeight="1" x14ac:dyDescent="0.2">
      <c r="A105" s="31">
        <v>10101</v>
      </c>
      <c r="B105" s="31" t="s">
        <v>3731</v>
      </c>
      <c r="C105" s="31" t="s">
        <v>3732</v>
      </c>
      <c r="D105" s="45">
        <v>2021</v>
      </c>
      <c r="F105" s="31" t="s">
        <v>312</v>
      </c>
      <c r="G105" s="31" t="s">
        <v>175</v>
      </c>
      <c r="H105" s="31" t="s">
        <v>38</v>
      </c>
      <c r="I105" s="31" t="s">
        <v>13</v>
      </c>
      <c r="J105" s="31" t="s">
        <v>3733</v>
      </c>
      <c r="K105" s="31" t="s">
        <v>3734</v>
      </c>
      <c r="L105" s="31" t="s">
        <v>6045</v>
      </c>
      <c r="M105" s="31">
        <v>0</v>
      </c>
      <c r="N105" s="31" t="s">
        <v>5044</v>
      </c>
      <c r="O105" s="31" t="s">
        <v>5044</v>
      </c>
      <c r="P105" s="31">
        <v>0</v>
      </c>
      <c r="Q105" s="31">
        <v>0</v>
      </c>
      <c r="R105" s="31">
        <v>0</v>
      </c>
      <c r="S105" s="31">
        <v>1</v>
      </c>
      <c r="T105" s="31">
        <v>5</v>
      </c>
      <c r="U105" s="31">
        <v>170</v>
      </c>
      <c r="V105" s="31">
        <v>0</v>
      </c>
      <c r="W105" s="31">
        <v>1</v>
      </c>
      <c r="X105" s="31">
        <v>0</v>
      </c>
      <c r="Y105" s="31">
        <v>1</v>
      </c>
      <c r="Z105" s="31">
        <v>0</v>
      </c>
      <c r="AA105" s="31" t="s">
        <v>6502</v>
      </c>
      <c r="AB105" s="31">
        <v>1</v>
      </c>
      <c r="AI105" s="54">
        <v>0</v>
      </c>
      <c r="AJ105" s="54">
        <v>0</v>
      </c>
      <c r="AK105" s="31" t="s">
        <v>5318</v>
      </c>
      <c r="AS105" s="109"/>
    </row>
    <row r="106" spans="1:45" ht="63" customHeight="1" x14ac:dyDescent="0.2">
      <c r="A106" s="31">
        <v>3152</v>
      </c>
      <c r="B106" s="31" t="s">
        <v>7275</v>
      </c>
      <c r="C106" s="31" t="s">
        <v>856</v>
      </c>
      <c r="D106" s="45">
        <v>2021</v>
      </c>
      <c r="E106" s="31" t="s">
        <v>5318</v>
      </c>
      <c r="F106" s="31">
        <v>28</v>
      </c>
      <c r="G106" s="31">
        <v>13</v>
      </c>
      <c r="H106" s="31" t="s">
        <v>6621</v>
      </c>
      <c r="I106" s="31" t="s">
        <v>6516</v>
      </c>
      <c r="J106" s="31" t="s">
        <v>7276</v>
      </c>
      <c r="K106" s="31" t="s">
        <v>857</v>
      </c>
      <c r="L106" s="36" t="s">
        <v>5597</v>
      </c>
      <c r="M106" s="31">
        <v>0</v>
      </c>
      <c r="N106" s="31" t="s">
        <v>5318</v>
      </c>
      <c r="O106" s="31" t="s">
        <v>5318</v>
      </c>
      <c r="P106" s="31">
        <v>0</v>
      </c>
      <c r="Q106" s="31">
        <v>0</v>
      </c>
      <c r="R106" s="31">
        <v>0</v>
      </c>
      <c r="S106" s="31">
        <v>5</v>
      </c>
      <c r="T106" s="31">
        <v>1</v>
      </c>
      <c r="U106" s="31">
        <v>99</v>
      </c>
      <c r="V106" s="31">
        <v>0</v>
      </c>
      <c r="W106" s="31">
        <v>1</v>
      </c>
      <c r="X106" s="31">
        <v>0</v>
      </c>
      <c r="Y106" s="31">
        <v>0</v>
      </c>
      <c r="Z106" s="31" t="s">
        <v>5044</v>
      </c>
      <c r="AA106" s="31" t="s">
        <v>5318</v>
      </c>
      <c r="AB106" s="31">
        <v>1</v>
      </c>
      <c r="AI106" s="54">
        <v>0</v>
      </c>
      <c r="AJ106" s="54">
        <v>0</v>
      </c>
      <c r="AK106" s="31" t="s">
        <v>5105</v>
      </c>
      <c r="AL106" s="31" t="s">
        <v>5318</v>
      </c>
      <c r="AM106" s="31" t="s">
        <v>5318</v>
      </c>
      <c r="AN106" s="31" t="s">
        <v>5318</v>
      </c>
      <c r="AS106" s="109"/>
    </row>
    <row r="107" spans="1:45" ht="63" hidden="1" customHeight="1" x14ac:dyDescent="0.2">
      <c r="A107" s="115">
        <v>11231</v>
      </c>
      <c r="B107" s="115" t="s">
        <v>4234</v>
      </c>
      <c r="C107" s="115" t="s">
        <v>4235</v>
      </c>
      <c r="D107" s="141">
        <v>2021</v>
      </c>
      <c r="E107" s="115" t="s">
        <v>4238</v>
      </c>
      <c r="F107" s="115" t="s">
        <v>703</v>
      </c>
      <c r="G107" s="115" t="s">
        <v>11</v>
      </c>
      <c r="H107" s="115" t="s">
        <v>1118</v>
      </c>
      <c r="I107" s="115" t="s">
        <v>13</v>
      </c>
      <c r="J107" s="115" t="s">
        <v>4236</v>
      </c>
      <c r="K107" s="115" t="s">
        <v>4237</v>
      </c>
      <c r="L107" s="115" t="s">
        <v>5240</v>
      </c>
      <c r="M107" s="115">
        <v>0</v>
      </c>
      <c r="N107" s="115"/>
      <c r="O107" s="115"/>
      <c r="P107" s="115">
        <v>0</v>
      </c>
      <c r="Q107" s="115">
        <v>0</v>
      </c>
      <c r="R107" s="115">
        <v>1</v>
      </c>
      <c r="S107" s="115">
        <v>9</v>
      </c>
      <c r="T107" s="115">
        <v>1</v>
      </c>
      <c r="U107" s="115"/>
      <c r="V107" s="115"/>
      <c r="W107" s="115"/>
      <c r="X107" s="115"/>
      <c r="Y107" s="115"/>
      <c r="Z107" s="115"/>
      <c r="AA107" s="115"/>
      <c r="AB107" s="115"/>
      <c r="AC107" s="115"/>
      <c r="AD107" s="115"/>
      <c r="AE107" s="115"/>
      <c r="AF107" s="115"/>
      <c r="AG107" s="115"/>
      <c r="AH107" s="115"/>
      <c r="AI107" s="143">
        <v>1</v>
      </c>
      <c r="AJ107" s="143">
        <v>0</v>
      </c>
      <c r="AK107" s="115" t="s">
        <v>6288</v>
      </c>
      <c r="AL107" s="115"/>
      <c r="AM107" s="115"/>
      <c r="AN107" s="115"/>
      <c r="AO107" s="115"/>
      <c r="AP107" s="115"/>
      <c r="AQ107" s="115"/>
      <c r="AR107" s="115"/>
    </row>
    <row r="108" spans="1:45" ht="63" customHeight="1" x14ac:dyDescent="0.2">
      <c r="A108" s="31" t="s">
        <v>6340</v>
      </c>
      <c r="B108" s="31" t="s">
        <v>6341</v>
      </c>
      <c r="C108" s="31" t="s">
        <v>6342</v>
      </c>
      <c r="D108" s="45">
        <v>2021</v>
      </c>
      <c r="H108" s="31" t="s">
        <v>6343</v>
      </c>
      <c r="J108" s="37" t="s">
        <v>6344</v>
      </c>
      <c r="K108" s="37" t="s">
        <v>6345</v>
      </c>
      <c r="L108" s="31" t="s">
        <v>5417</v>
      </c>
      <c r="M108" s="31">
        <v>0</v>
      </c>
      <c r="P108" s="31">
        <v>0</v>
      </c>
      <c r="Q108" s="31">
        <v>0</v>
      </c>
      <c r="R108" s="31">
        <v>0</v>
      </c>
      <c r="S108" s="31">
        <v>1</v>
      </c>
      <c r="T108" s="31">
        <v>1</v>
      </c>
      <c r="U108" s="31">
        <v>262</v>
      </c>
      <c r="V108" s="31">
        <v>0</v>
      </c>
      <c r="W108" s="31">
        <v>1</v>
      </c>
      <c r="X108" s="31">
        <v>0</v>
      </c>
      <c r="Y108" s="31">
        <v>1</v>
      </c>
      <c r="Z108" s="31">
        <v>0</v>
      </c>
      <c r="AB108" s="31">
        <v>1</v>
      </c>
      <c r="AI108" s="54">
        <v>0</v>
      </c>
      <c r="AJ108" s="54">
        <v>0</v>
      </c>
      <c r="AS108" s="109"/>
    </row>
    <row r="109" spans="1:45" ht="63" customHeight="1" x14ac:dyDescent="0.2">
      <c r="A109" s="31">
        <v>1121</v>
      </c>
      <c r="B109" s="31" t="s">
        <v>6806</v>
      </c>
      <c r="C109" s="31" t="s">
        <v>361</v>
      </c>
      <c r="D109" s="45">
        <v>2021</v>
      </c>
      <c r="E109" s="31" t="s">
        <v>5318</v>
      </c>
      <c r="F109" s="31">
        <v>6</v>
      </c>
      <c r="G109" s="31">
        <v>6</v>
      </c>
      <c r="H109" s="31" t="s">
        <v>6807</v>
      </c>
      <c r="I109" s="31" t="s">
        <v>6516</v>
      </c>
      <c r="J109" s="31" t="s">
        <v>6808</v>
      </c>
      <c r="K109" s="31" t="s">
        <v>363</v>
      </c>
      <c r="L109" s="38" t="s">
        <v>5075</v>
      </c>
      <c r="M109" s="31">
        <v>0</v>
      </c>
      <c r="N109" s="31" t="s">
        <v>5318</v>
      </c>
      <c r="O109" s="31" t="s">
        <v>5318</v>
      </c>
      <c r="P109" s="31">
        <v>0</v>
      </c>
      <c r="Q109" s="31">
        <v>0</v>
      </c>
      <c r="R109" s="31">
        <v>0</v>
      </c>
      <c r="S109" s="31">
        <v>1</v>
      </c>
      <c r="T109" s="31">
        <v>4</v>
      </c>
      <c r="U109" s="31">
        <v>656</v>
      </c>
      <c r="V109" s="31">
        <v>0</v>
      </c>
      <c r="W109" s="31">
        <v>1</v>
      </c>
      <c r="X109" s="31">
        <v>0</v>
      </c>
      <c r="Y109" s="31">
        <v>1</v>
      </c>
      <c r="Z109" s="31">
        <v>0</v>
      </c>
      <c r="AA109" s="31" t="s">
        <v>5318</v>
      </c>
      <c r="AB109" s="31">
        <v>1</v>
      </c>
      <c r="AI109" s="54">
        <v>0</v>
      </c>
      <c r="AJ109" s="54">
        <v>0</v>
      </c>
      <c r="AK109" s="31" t="s">
        <v>5318</v>
      </c>
      <c r="AL109" s="31" t="s">
        <v>5318</v>
      </c>
      <c r="AM109" s="31" t="s">
        <v>5318</v>
      </c>
      <c r="AN109" s="31" t="s">
        <v>5318</v>
      </c>
      <c r="AS109" s="109"/>
    </row>
    <row r="110" spans="1:45" ht="63" hidden="1" customHeight="1" x14ac:dyDescent="0.2">
      <c r="A110" s="115">
        <v>9559</v>
      </c>
      <c r="B110" s="115" t="s">
        <v>3457</v>
      </c>
      <c r="C110" s="115" t="s">
        <v>3458</v>
      </c>
      <c r="D110" s="141">
        <v>2021</v>
      </c>
      <c r="E110" s="115"/>
      <c r="F110" s="115" t="s">
        <v>175</v>
      </c>
      <c r="G110" s="115" t="s">
        <v>11</v>
      </c>
      <c r="H110" s="115" t="s">
        <v>708</v>
      </c>
      <c r="I110" s="115" t="s">
        <v>13</v>
      </c>
      <c r="J110" s="115" t="s">
        <v>3459</v>
      </c>
      <c r="K110" s="115" t="s">
        <v>3460</v>
      </c>
      <c r="L110" s="115" t="s">
        <v>5318</v>
      </c>
      <c r="M110" s="115">
        <v>0</v>
      </c>
      <c r="N110" s="115" t="s">
        <v>5044</v>
      </c>
      <c r="O110" s="115" t="s">
        <v>5044</v>
      </c>
      <c r="P110" s="115">
        <v>0</v>
      </c>
      <c r="Q110" s="115">
        <v>0</v>
      </c>
      <c r="R110" s="115">
        <v>1</v>
      </c>
      <c r="S110" s="115" t="s">
        <v>5318</v>
      </c>
      <c r="T110" s="115" t="s">
        <v>5318</v>
      </c>
      <c r="U110" s="115" t="s">
        <v>5318</v>
      </c>
      <c r="V110" s="115" t="s">
        <v>5318</v>
      </c>
      <c r="W110" s="115" t="s">
        <v>5318</v>
      </c>
      <c r="X110" s="115" t="s">
        <v>5318</v>
      </c>
      <c r="Y110" s="115" t="s">
        <v>5318</v>
      </c>
      <c r="Z110" s="115" t="s">
        <v>5318</v>
      </c>
      <c r="AA110" s="115" t="s">
        <v>5318</v>
      </c>
      <c r="AB110" s="115" t="s">
        <v>5318</v>
      </c>
      <c r="AC110" s="115"/>
      <c r="AD110" s="115"/>
      <c r="AE110" s="115"/>
      <c r="AF110" s="115"/>
      <c r="AG110" s="115"/>
      <c r="AH110" s="115"/>
      <c r="AI110" s="143">
        <v>1</v>
      </c>
      <c r="AJ110" s="143">
        <v>0</v>
      </c>
      <c r="AK110" s="115" t="s">
        <v>6267</v>
      </c>
      <c r="AL110" s="115"/>
      <c r="AM110" s="115"/>
      <c r="AN110" s="115"/>
      <c r="AO110" s="115"/>
      <c r="AP110" s="115"/>
      <c r="AQ110" s="115"/>
      <c r="AR110" s="115"/>
    </row>
    <row r="111" spans="1:45" ht="63" customHeight="1" x14ac:dyDescent="0.2">
      <c r="A111" s="31">
        <v>10724</v>
      </c>
      <c r="B111" s="31" t="s">
        <v>4035</v>
      </c>
      <c r="C111" s="31" t="s">
        <v>4036</v>
      </c>
      <c r="D111" s="45">
        <v>2021</v>
      </c>
      <c r="F111" s="31" t="s">
        <v>42</v>
      </c>
      <c r="G111" s="31" t="s">
        <v>18</v>
      </c>
      <c r="H111" s="31" t="s">
        <v>43</v>
      </c>
      <c r="I111" s="31" t="s">
        <v>13</v>
      </c>
      <c r="J111" s="31" t="s">
        <v>4037</v>
      </c>
      <c r="K111" s="31" t="s">
        <v>4038</v>
      </c>
      <c r="L111" s="31" t="s">
        <v>5352</v>
      </c>
      <c r="M111" s="31">
        <v>0</v>
      </c>
      <c r="P111" s="31">
        <v>0</v>
      </c>
      <c r="Q111" s="31">
        <v>0</v>
      </c>
      <c r="R111" s="31">
        <v>0</v>
      </c>
      <c r="S111" s="31">
        <v>1</v>
      </c>
      <c r="T111" s="31">
        <v>1</v>
      </c>
      <c r="U111" s="31">
        <v>209</v>
      </c>
      <c r="V111" s="31">
        <v>0</v>
      </c>
      <c r="W111" s="31">
        <v>1</v>
      </c>
      <c r="X111" s="31">
        <v>0</v>
      </c>
      <c r="Y111" s="31">
        <v>1</v>
      </c>
      <c r="Z111" s="31">
        <v>0</v>
      </c>
      <c r="AB111" s="31">
        <v>0</v>
      </c>
      <c r="AI111" s="54">
        <v>0</v>
      </c>
      <c r="AJ111" s="54">
        <v>0</v>
      </c>
      <c r="AS111" s="109"/>
    </row>
    <row r="112" spans="1:45" ht="63" hidden="1" customHeight="1" x14ac:dyDescent="0.2">
      <c r="A112" s="115">
        <v>4835</v>
      </c>
      <c r="B112" s="115" t="s">
        <v>1311</v>
      </c>
      <c r="C112" s="115" t="s">
        <v>1312</v>
      </c>
      <c r="D112" s="141">
        <v>2021</v>
      </c>
      <c r="E112" s="115"/>
      <c r="F112" s="115" t="s">
        <v>65</v>
      </c>
      <c r="G112" s="115" t="s">
        <v>52</v>
      </c>
      <c r="H112" s="115" t="s">
        <v>53</v>
      </c>
      <c r="I112" s="115" t="s">
        <v>13</v>
      </c>
      <c r="J112" s="115" t="s">
        <v>1313</v>
      </c>
      <c r="K112" s="115" t="s">
        <v>1314</v>
      </c>
      <c r="L112" s="115" t="s">
        <v>5736</v>
      </c>
      <c r="M112" s="115">
        <v>1</v>
      </c>
      <c r="N112" s="115">
        <v>0</v>
      </c>
      <c r="O112" s="115"/>
      <c r="P112" s="115">
        <v>0</v>
      </c>
      <c r="Q112" s="115">
        <v>0</v>
      </c>
      <c r="R112" s="115">
        <v>0</v>
      </c>
      <c r="S112" s="115">
        <v>1</v>
      </c>
      <c r="T112" s="115">
        <v>1</v>
      </c>
      <c r="U112" s="115">
        <v>40</v>
      </c>
      <c r="V112" s="115">
        <v>1</v>
      </c>
      <c r="W112" s="115">
        <v>0</v>
      </c>
      <c r="X112" s="115">
        <v>0</v>
      </c>
      <c r="Y112" s="115" t="s">
        <v>5044</v>
      </c>
      <c r="Z112" s="115" t="s">
        <v>5044</v>
      </c>
      <c r="AA112" s="115"/>
      <c r="AB112" s="115" t="s">
        <v>5044</v>
      </c>
      <c r="AC112" s="115"/>
      <c r="AD112" s="115"/>
      <c r="AE112" s="115"/>
      <c r="AF112" s="115"/>
      <c r="AG112" s="115"/>
      <c r="AH112" s="115"/>
      <c r="AI112" s="143">
        <v>0</v>
      </c>
      <c r="AJ112" s="143">
        <v>0</v>
      </c>
      <c r="AK112" s="115"/>
      <c r="AL112" s="115"/>
      <c r="AM112" s="115"/>
      <c r="AN112" s="115"/>
      <c r="AO112" s="115"/>
      <c r="AP112" s="115"/>
      <c r="AQ112" s="115"/>
      <c r="AR112" s="115"/>
    </row>
    <row r="113" spans="1:45" ht="63" customHeight="1" x14ac:dyDescent="0.2">
      <c r="A113" s="31">
        <v>9717</v>
      </c>
      <c r="B113" s="31" t="s">
        <v>3554</v>
      </c>
      <c r="C113" s="31" t="s">
        <v>3555</v>
      </c>
      <c r="D113" s="45">
        <v>2021</v>
      </c>
      <c r="F113" s="31" t="s">
        <v>684</v>
      </c>
      <c r="G113" s="31" t="s">
        <v>11</v>
      </c>
      <c r="H113" s="31" t="s">
        <v>685</v>
      </c>
      <c r="I113" s="31" t="s">
        <v>13</v>
      </c>
      <c r="J113" s="31" t="s">
        <v>3556</v>
      </c>
      <c r="K113" s="31" t="s">
        <v>3557</v>
      </c>
      <c r="L113" s="31" t="s">
        <v>5318</v>
      </c>
      <c r="M113" s="31">
        <v>0</v>
      </c>
      <c r="N113" s="31" t="s">
        <v>5044</v>
      </c>
      <c r="O113" s="31" t="s">
        <v>5044</v>
      </c>
      <c r="P113" s="31">
        <v>0</v>
      </c>
      <c r="Q113" s="31">
        <v>0</v>
      </c>
      <c r="R113" s="31">
        <v>0</v>
      </c>
      <c r="S113" s="31">
        <v>9</v>
      </c>
      <c r="T113" s="31">
        <v>2</v>
      </c>
      <c r="U113" s="31">
        <v>124</v>
      </c>
      <c r="V113" s="31">
        <v>0</v>
      </c>
      <c r="W113" s="31">
        <v>1</v>
      </c>
      <c r="X113" s="31">
        <v>0</v>
      </c>
      <c r="Y113" s="31">
        <v>1</v>
      </c>
      <c r="Z113" s="31">
        <v>0</v>
      </c>
      <c r="AA113" s="31" t="s">
        <v>6014</v>
      </c>
      <c r="AB113" s="31">
        <v>0</v>
      </c>
      <c r="AI113" s="54">
        <v>0</v>
      </c>
      <c r="AJ113" s="54">
        <v>0</v>
      </c>
      <c r="AS113" s="109"/>
    </row>
    <row r="114" spans="1:45" ht="63" customHeight="1" x14ac:dyDescent="0.2">
      <c r="A114" s="31">
        <v>11250</v>
      </c>
      <c r="B114" s="31" t="s">
        <v>4256</v>
      </c>
      <c r="C114" s="31" t="s">
        <v>4257</v>
      </c>
      <c r="D114" s="45">
        <v>2021</v>
      </c>
      <c r="F114" s="31" t="s">
        <v>11</v>
      </c>
      <c r="G114" s="31" t="s">
        <v>37</v>
      </c>
      <c r="H114" s="31" t="s">
        <v>396</v>
      </c>
      <c r="I114" s="31" t="s">
        <v>13</v>
      </c>
      <c r="J114" s="31" t="s">
        <v>4258</v>
      </c>
      <c r="K114" s="31" t="s">
        <v>4259</v>
      </c>
      <c r="L114" s="38" t="s">
        <v>5249</v>
      </c>
      <c r="M114" s="31">
        <v>0</v>
      </c>
      <c r="P114" s="31">
        <v>0</v>
      </c>
      <c r="Q114" s="31">
        <v>0</v>
      </c>
      <c r="R114" s="31">
        <v>0</v>
      </c>
      <c r="S114" s="31">
        <v>1</v>
      </c>
      <c r="T114" s="31">
        <v>1</v>
      </c>
      <c r="U114" s="31">
        <v>100</v>
      </c>
      <c r="V114" s="31">
        <v>0</v>
      </c>
      <c r="W114" s="31">
        <v>1</v>
      </c>
      <c r="X114" s="31">
        <v>0</v>
      </c>
      <c r="Y114" s="31">
        <v>1</v>
      </c>
      <c r="Z114" s="31">
        <v>0</v>
      </c>
      <c r="AB114" s="31">
        <v>0</v>
      </c>
      <c r="AI114" s="54">
        <v>0</v>
      </c>
      <c r="AJ114" s="54">
        <v>0</v>
      </c>
      <c r="AS114" s="109"/>
    </row>
    <row r="115" spans="1:45" ht="63" customHeight="1" x14ac:dyDescent="0.2">
      <c r="A115" s="31">
        <v>11712</v>
      </c>
      <c r="B115" s="31" t="s">
        <v>4482</v>
      </c>
      <c r="C115" s="31" t="s">
        <v>4483</v>
      </c>
      <c r="D115" s="45">
        <v>2021</v>
      </c>
      <c r="E115" s="31" t="s">
        <v>4486</v>
      </c>
      <c r="F115" s="31" t="s">
        <v>335</v>
      </c>
      <c r="G115" s="31" t="s">
        <v>11</v>
      </c>
      <c r="H115" s="31" t="s">
        <v>43</v>
      </c>
      <c r="I115" s="31" t="s">
        <v>13</v>
      </c>
      <c r="J115" s="31" t="s">
        <v>4484</v>
      </c>
      <c r="K115" s="31" t="s">
        <v>4485</v>
      </c>
      <c r="L115" s="31" t="s">
        <v>5297</v>
      </c>
      <c r="M115" s="31">
        <v>0</v>
      </c>
      <c r="P115" s="31">
        <v>0</v>
      </c>
      <c r="Q115" s="31">
        <v>1</v>
      </c>
      <c r="R115" s="31">
        <v>0</v>
      </c>
      <c r="S115" s="31">
        <v>1</v>
      </c>
      <c r="T115" s="31">
        <v>1</v>
      </c>
      <c r="U115" s="31">
        <v>130</v>
      </c>
      <c r="V115" s="31">
        <v>0</v>
      </c>
      <c r="W115" s="31">
        <v>1</v>
      </c>
      <c r="X115" s="31">
        <v>0</v>
      </c>
      <c r="Y115" s="31">
        <v>1</v>
      </c>
      <c r="Z115" s="31">
        <v>0</v>
      </c>
      <c r="AB115" s="31">
        <v>1</v>
      </c>
      <c r="AI115" s="54">
        <v>0</v>
      </c>
      <c r="AJ115" s="54">
        <v>0</v>
      </c>
      <c r="AS115" s="109"/>
    </row>
    <row r="116" spans="1:45" ht="63" hidden="1" customHeight="1" x14ac:dyDescent="0.2">
      <c r="A116" s="115">
        <v>9266</v>
      </c>
      <c r="B116" s="115" t="s">
        <v>3324</v>
      </c>
      <c r="C116" s="115" t="s">
        <v>3325</v>
      </c>
      <c r="D116" s="141">
        <v>2021</v>
      </c>
      <c r="E116" s="115"/>
      <c r="F116" s="115" t="s">
        <v>289</v>
      </c>
      <c r="G116" s="115" t="s">
        <v>18</v>
      </c>
      <c r="H116" s="115" t="s">
        <v>1321</v>
      </c>
      <c r="I116" s="115" t="s">
        <v>13</v>
      </c>
      <c r="J116" s="115" t="s">
        <v>3326</v>
      </c>
      <c r="K116" s="115" t="s">
        <v>3327</v>
      </c>
      <c r="L116" s="115" t="s">
        <v>5318</v>
      </c>
      <c r="M116" s="115" t="s">
        <v>5318</v>
      </c>
      <c r="N116" s="115" t="s">
        <v>5318</v>
      </c>
      <c r="O116" s="115" t="s">
        <v>5318</v>
      </c>
      <c r="P116" s="115" t="s">
        <v>5318</v>
      </c>
      <c r="Q116" s="115" t="s">
        <v>5318</v>
      </c>
      <c r="R116" s="115">
        <v>1</v>
      </c>
      <c r="S116" s="115" t="s">
        <v>5318</v>
      </c>
      <c r="T116" s="115" t="s">
        <v>5318</v>
      </c>
      <c r="U116" s="115" t="s">
        <v>5318</v>
      </c>
      <c r="V116" s="115" t="s">
        <v>5318</v>
      </c>
      <c r="W116" s="115" t="s">
        <v>5318</v>
      </c>
      <c r="X116" s="115" t="s">
        <v>5318</v>
      </c>
      <c r="Y116" s="115" t="s">
        <v>5318</v>
      </c>
      <c r="Z116" s="115" t="s">
        <v>5318</v>
      </c>
      <c r="AA116" s="115" t="s">
        <v>5318</v>
      </c>
      <c r="AB116" s="115" t="s">
        <v>5318</v>
      </c>
      <c r="AC116" s="115"/>
      <c r="AD116" s="115"/>
      <c r="AE116" s="115"/>
      <c r="AF116" s="115"/>
      <c r="AG116" s="115"/>
      <c r="AH116" s="115"/>
      <c r="AI116" s="143">
        <v>1</v>
      </c>
      <c r="AJ116" s="143">
        <v>0</v>
      </c>
      <c r="AK116" s="115" t="s">
        <v>6265</v>
      </c>
      <c r="AL116" s="115"/>
      <c r="AM116" s="115"/>
      <c r="AN116" s="115"/>
      <c r="AO116" s="115"/>
      <c r="AP116" s="115"/>
      <c r="AQ116" s="115"/>
      <c r="AR116" s="115"/>
    </row>
    <row r="117" spans="1:45" ht="63" customHeight="1" x14ac:dyDescent="0.2">
      <c r="A117" s="31">
        <v>1469</v>
      </c>
      <c r="B117" s="31" t="s">
        <v>6882</v>
      </c>
      <c r="C117" s="31" t="s">
        <v>441</v>
      </c>
      <c r="D117" s="45">
        <v>2021</v>
      </c>
      <c r="E117" s="31" t="s">
        <v>5318</v>
      </c>
      <c r="F117" s="31">
        <v>24</v>
      </c>
      <c r="G117" s="31">
        <v>1</v>
      </c>
      <c r="H117" s="31" t="s">
        <v>6883</v>
      </c>
      <c r="I117" s="31" t="s">
        <v>6516</v>
      </c>
      <c r="J117" s="31" t="s">
        <v>6884</v>
      </c>
      <c r="K117" s="31" t="s">
        <v>443</v>
      </c>
      <c r="L117" s="31" t="s">
        <v>5318</v>
      </c>
      <c r="M117" s="31">
        <v>0</v>
      </c>
      <c r="N117" s="31" t="s">
        <v>5318</v>
      </c>
      <c r="O117" s="31" t="s">
        <v>5318</v>
      </c>
      <c r="P117" s="31">
        <v>0</v>
      </c>
      <c r="Q117" s="31">
        <v>0</v>
      </c>
      <c r="R117" s="31">
        <v>0</v>
      </c>
      <c r="S117" s="31">
        <v>1</v>
      </c>
      <c r="T117" s="31">
        <v>1</v>
      </c>
      <c r="U117" s="31">
        <v>110</v>
      </c>
      <c r="V117" s="31">
        <v>0</v>
      </c>
      <c r="W117" s="31">
        <v>1</v>
      </c>
      <c r="X117" s="31">
        <v>0</v>
      </c>
      <c r="Y117" s="31">
        <v>1</v>
      </c>
      <c r="Z117" s="31">
        <v>0</v>
      </c>
      <c r="AA117" s="31" t="s">
        <v>6869</v>
      </c>
      <c r="AB117" s="31">
        <v>1</v>
      </c>
      <c r="AI117" s="54">
        <v>0</v>
      </c>
      <c r="AJ117" s="54">
        <v>0</v>
      </c>
      <c r="AK117" s="31" t="s">
        <v>5318</v>
      </c>
      <c r="AL117" s="31" t="s">
        <v>5318</v>
      </c>
      <c r="AM117" s="31" t="s">
        <v>5318</v>
      </c>
      <c r="AN117" s="31" t="s">
        <v>5318</v>
      </c>
      <c r="AS117" s="109"/>
    </row>
    <row r="118" spans="1:45" ht="63" hidden="1" customHeight="1" x14ac:dyDescent="0.2">
      <c r="A118" s="150">
        <v>326</v>
      </c>
      <c r="B118" s="150" t="s">
        <v>7911</v>
      </c>
      <c r="C118" s="150" t="s">
        <v>7912</v>
      </c>
      <c r="D118" s="140">
        <v>2021</v>
      </c>
      <c r="E118" s="150" t="s">
        <v>5015</v>
      </c>
      <c r="F118" s="150">
        <v>25</v>
      </c>
      <c r="G118" s="150">
        <v>1</v>
      </c>
      <c r="H118" s="150"/>
      <c r="I118" s="150" t="s">
        <v>13</v>
      </c>
      <c r="J118" s="150" t="s">
        <v>7913</v>
      </c>
      <c r="K118" s="150" t="s">
        <v>7914</v>
      </c>
      <c r="L118" s="57" t="s">
        <v>7949</v>
      </c>
      <c r="M118" s="150">
        <v>1</v>
      </c>
      <c r="N118" s="150">
        <v>0</v>
      </c>
      <c r="O118" s="150" t="s">
        <v>5044</v>
      </c>
      <c r="P118" s="150">
        <v>0</v>
      </c>
      <c r="Q118" s="150">
        <v>0</v>
      </c>
      <c r="R118" s="150">
        <v>0</v>
      </c>
      <c r="S118" s="150">
        <v>1</v>
      </c>
      <c r="T118" s="150">
        <v>1</v>
      </c>
      <c r="U118" s="150">
        <v>100</v>
      </c>
      <c r="V118" s="150">
        <v>0</v>
      </c>
      <c r="W118" s="150">
        <v>1</v>
      </c>
      <c r="X118" s="150">
        <v>0</v>
      </c>
      <c r="Y118" s="150" t="s">
        <v>5044</v>
      </c>
      <c r="Z118" s="150" t="s">
        <v>5044</v>
      </c>
      <c r="AA118" s="150"/>
      <c r="AB118" s="150" t="s">
        <v>5044</v>
      </c>
      <c r="AC118" s="150" t="s">
        <v>5044</v>
      </c>
      <c r="AD118" s="150" t="s">
        <v>5044</v>
      </c>
      <c r="AE118" s="150" t="s">
        <v>5044</v>
      </c>
      <c r="AF118" s="150" t="s">
        <v>5044</v>
      </c>
      <c r="AG118" s="150"/>
      <c r="AH118" s="150"/>
      <c r="AI118" s="151"/>
      <c r="AJ118" s="151"/>
      <c r="AK118" s="150"/>
      <c r="AL118" s="150"/>
      <c r="AM118" s="150"/>
      <c r="AN118" s="150"/>
      <c r="AO118" s="32"/>
      <c r="AP118" s="32"/>
      <c r="AQ118" s="32"/>
      <c r="AR118" s="32"/>
    </row>
    <row r="119" spans="1:45" ht="63" hidden="1" customHeight="1" x14ac:dyDescent="0.2">
      <c r="A119" s="31">
        <v>4130</v>
      </c>
      <c r="B119" s="31" t="s">
        <v>7521</v>
      </c>
      <c r="C119" s="31" t="s">
        <v>1113</v>
      </c>
      <c r="D119" s="45">
        <v>2021</v>
      </c>
      <c r="E119" s="31" t="s">
        <v>5318</v>
      </c>
      <c r="F119" s="31">
        <v>23</v>
      </c>
      <c r="G119" s="31">
        <v>8</v>
      </c>
      <c r="H119" s="31" t="s">
        <v>6749</v>
      </c>
      <c r="I119" s="31" t="s">
        <v>6516</v>
      </c>
      <c r="J119" s="31" t="s">
        <v>7522</v>
      </c>
      <c r="K119" s="31" t="s">
        <v>1114</v>
      </c>
      <c r="L119" s="31" t="s">
        <v>5496</v>
      </c>
      <c r="M119" s="31">
        <v>1</v>
      </c>
      <c r="N119" s="31">
        <v>0</v>
      </c>
      <c r="O119" s="31" t="s">
        <v>5318</v>
      </c>
      <c r="P119" s="31">
        <v>0</v>
      </c>
      <c r="Q119" s="31">
        <v>0</v>
      </c>
      <c r="R119" s="31">
        <v>0</v>
      </c>
      <c r="S119" s="31">
        <v>1</v>
      </c>
      <c r="T119" s="31">
        <v>1</v>
      </c>
      <c r="U119" s="31">
        <v>968</v>
      </c>
      <c r="V119" s="31">
        <v>0</v>
      </c>
      <c r="W119" s="31">
        <v>1</v>
      </c>
      <c r="X119" s="31">
        <v>0</v>
      </c>
      <c r="Y119" s="31" t="s">
        <v>5044</v>
      </c>
      <c r="Z119" s="31" t="s">
        <v>5044</v>
      </c>
      <c r="AA119" s="31" t="s">
        <v>5318</v>
      </c>
      <c r="AB119" s="31" t="s">
        <v>5044</v>
      </c>
      <c r="AI119" s="54">
        <v>0</v>
      </c>
      <c r="AJ119" s="54">
        <v>0</v>
      </c>
      <c r="AK119" s="31" t="s">
        <v>5318</v>
      </c>
      <c r="AL119" s="31" t="s">
        <v>5318</v>
      </c>
      <c r="AM119" s="31" t="s">
        <v>5318</v>
      </c>
      <c r="AN119" s="31" t="s">
        <v>5318</v>
      </c>
    </row>
    <row r="120" spans="1:45" ht="63" hidden="1" customHeight="1" x14ac:dyDescent="0.2">
      <c r="A120" s="119">
        <v>3798</v>
      </c>
      <c r="B120" s="119" t="s">
        <v>7441</v>
      </c>
      <c r="C120" s="119" t="s">
        <v>1033</v>
      </c>
      <c r="D120" s="120">
        <v>2021</v>
      </c>
      <c r="E120" s="119" t="s">
        <v>305</v>
      </c>
      <c r="F120" s="119">
        <v>11</v>
      </c>
      <c r="G120" s="119">
        <v>2</v>
      </c>
      <c r="H120" s="119" t="s">
        <v>6519</v>
      </c>
      <c r="I120" s="119" t="s">
        <v>6516</v>
      </c>
      <c r="J120" s="119" t="s">
        <v>7442</v>
      </c>
      <c r="K120" s="119" t="s">
        <v>1034</v>
      </c>
      <c r="L120" s="119" t="s">
        <v>5469</v>
      </c>
      <c r="M120" s="119">
        <v>1</v>
      </c>
      <c r="N120" s="119">
        <v>0</v>
      </c>
      <c r="O120" s="119" t="s">
        <v>5318</v>
      </c>
      <c r="P120" s="119">
        <v>0</v>
      </c>
      <c r="Q120" s="119">
        <v>0</v>
      </c>
      <c r="R120" s="119">
        <v>0</v>
      </c>
      <c r="S120" s="119">
        <v>1</v>
      </c>
      <c r="T120" s="119">
        <v>1</v>
      </c>
      <c r="U120" s="119">
        <v>294</v>
      </c>
      <c r="V120" s="119">
        <v>1</v>
      </c>
      <c r="W120" s="119">
        <v>0</v>
      </c>
      <c r="X120" s="119">
        <v>0</v>
      </c>
      <c r="Y120" s="119" t="s">
        <v>5044</v>
      </c>
      <c r="Z120" s="119" t="s">
        <v>5044</v>
      </c>
      <c r="AA120" s="119" t="s">
        <v>5318</v>
      </c>
      <c r="AB120" s="119" t="s">
        <v>5044</v>
      </c>
      <c r="AC120" s="119"/>
      <c r="AD120" s="119"/>
      <c r="AE120" s="119"/>
      <c r="AF120" s="119"/>
      <c r="AG120" s="119"/>
      <c r="AH120" s="119"/>
      <c r="AI120" s="122">
        <v>0</v>
      </c>
      <c r="AJ120" s="122">
        <v>0</v>
      </c>
      <c r="AK120" s="119" t="s">
        <v>6490</v>
      </c>
      <c r="AL120" s="119" t="s">
        <v>5318</v>
      </c>
      <c r="AM120" s="119" t="s">
        <v>5318</v>
      </c>
      <c r="AN120" s="119" t="s">
        <v>5318</v>
      </c>
      <c r="AO120" s="119"/>
      <c r="AP120" s="119"/>
      <c r="AQ120" s="119"/>
      <c r="AR120" s="119"/>
    </row>
    <row r="121" spans="1:45" ht="63" customHeight="1" x14ac:dyDescent="0.2">
      <c r="A121" s="31">
        <v>8597</v>
      </c>
      <c r="B121" s="31" t="s">
        <v>2991</v>
      </c>
      <c r="C121" s="31" t="s">
        <v>2992</v>
      </c>
      <c r="D121" s="45">
        <v>2021</v>
      </c>
      <c r="F121" s="31" t="s">
        <v>312</v>
      </c>
      <c r="G121" s="31" t="s">
        <v>52</v>
      </c>
      <c r="H121" s="31" t="s">
        <v>38</v>
      </c>
      <c r="I121" s="31" t="s">
        <v>13</v>
      </c>
      <c r="J121" s="31" t="s">
        <v>2993</v>
      </c>
      <c r="K121" s="31" t="s">
        <v>2994</v>
      </c>
      <c r="L121" s="31" t="s">
        <v>6253</v>
      </c>
      <c r="M121" s="31">
        <v>0</v>
      </c>
      <c r="N121" s="31" t="s">
        <v>5044</v>
      </c>
      <c r="O121" s="31" t="s">
        <v>5044</v>
      </c>
      <c r="P121" s="31">
        <v>0</v>
      </c>
      <c r="Q121" s="31">
        <v>0</v>
      </c>
      <c r="R121" s="31">
        <v>0</v>
      </c>
      <c r="S121" s="31">
        <v>1</v>
      </c>
      <c r="T121" s="31">
        <v>1</v>
      </c>
      <c r="U121" s="31">
        <v>400</v>
      </c>
      <c r="V121" s="31">
        <v>0</v>
      </c>
      <c r="W121" s="31">
        <v>1</v>
      </c>
      <c r="X121" s="31">
        <v>0</v>
      </c>
      <c r="Y121" s="31">
        <v>1</v>
      </c>
      <c r="Z121" s="31">
        <v>0</v>
      </c>
      <c r="AA121" s="31" t="s">
        <v>6498</v>
      </c>
      <c r="AB121" s="31">
        <v>0</v>
      </c>
      <c r="AI121" s="54">
        <v>0</v>
      </c>
      <c r="AJ121" s="54">
        <v>0</v>
      </c>
      <c r="AK121" s="31" t="s">
        <v>5318</v>
      </c>
      <c r="AS121" s="109"/>
    </row>
    <row r="122" spans="1:45" ht="63" customHeight="1" x14ac:dyDescent="0.2">
      <c r="A122" s="31">
        <v>7013</v>
      </c>
      <c r="B122" s="31" t="s">
        <v>2291</v>
      </c>
      <c r="C122" s="31" t="s">
        <v>2292</v>
      </c>
      <c r="D122" s="45">
        <v>2021</v>
      </c>
      <c r="F122" s="31" t="s">
        <v>92</v>
      </c>
      <c r="G122" s="31" t="s">
        <v>92</v>
      </c>
      <c r="H122" s="31" t="s">
        <v>19</v>
      </c>
      <c r="I122" s="31" t="s">
        <v>13</v>
      </c>
      <c r="J122" s="31" t="s">
        <v>2293</v>
      </c>
      <c r="K122" s="31" t="s">
        <v>2294</v>
      </c>
      <c r="L122" s="38" t="s">
        <v>6103</v>
      </c>
      <c r="M122" s="31">
        <v>0</v>
      </c>
      <c r="P122" s="31">
        <v>0</v>
      </c>
      <c r="Q122" s="31">
        <v>0</v>
      </c>
      <c r="R122" s="31">
        <v>0</v>
      </c>
      <c r="S122" s="31">
        <v>3</v>
      </c>
      <c r="T122" s="31">
        <v>1</v>
      </c>
      <c r="U122" s="31">
        <v>50</v>
      </c>
      <c r="V122" s="31">
        <v>0</v>
      </c>
      <c r="W122" s="31">
        <v>1</v>
      </c>
      <c r="X122" s="31">
        <v>0</v>
      </c>
      <c r="Y122" s="31" t="s">
        <v>5044</v>
      </c>
      <c r="Z122" s="31" t="s">
        <v>5044</v>
      </c>
      <c r="AB122" s="31" t="s">
        <v>5044</v>
      </c>
      <c r="AI122" s="54">
        <v>0</v>
      </c>
      <c r="AJ122" s="54">
        <v>0</v>
      </c>
      <c r="AS122" s="109"/>
    </row>
    <row r="123" spans="1:45" ht="63" hidden="1" customHeight="1" x14ac:dyDescent="0.2">
      <c r="A123" s="32">
        <v>2164</v>
      </c>
      <c r="B123" s="32" t="s">
        <v>7031</v>
      </c>
      <c r="C123" s="32" t="s">
        <v>604</v>
      </c>
      <c r="D123" s="140">
        <v>2021</v>
      </c>
      <c r="E123" s="32" t="s">
        <v>305</v>
      </c>
      <c r="F123" s="32">
        <v>21</v>
      </c>
      <c r="G123" s="32">
        <v>1</v>
      </c>
      <c r="H123" s="32" t="s">
        <v>6595</v>
      </c>
      <c r="I123" s="32" t="s">
        <v>6516</v>
      </c>
      <c r="J123" s="32" t="s">
        <v>7032</v>
      </c>
      <c r="K123" s="32" t="s">
        <v>605</v>
      </c>
      <c r="L123" s="149" t="s">
        <v>5508</v>
      </c>
      <c r="M123" s="32">
        <v>1</v>
      </c>
      <c r="N123" s="32">
        <v>0</v>
      </c>
      <c r="O123" s="32" t="s">
        <v>5318</v>
      </c>
      <c r="P123" s="32">
        <v>0</v>
      </c>
      <c r="Q123" s="32">
        <v>0</v>
      </c>
      <c r="R123" s="32">
        <v>0</v>
      </c>
      <c r="S123" s="32">
        <v>1</v>
      </c>
      <c r="T123" s="32">
        <v>1</v>
      </c>
      <c r="U123" s="32">
        <v>218</v>
      </c>
      <c r="V123" s="32">
        <v>0</v>
      </c>
      <c r="W123" s="32">
        <v>1</v>
      </c>
      <c r="X123" s="32">
        <v>0</v>
      </c>
      <c r="Y123" s="32" t="s">
        <v>5044</v>
      </c>
      <c r="Z123" s="32" t="s">
        <v>5044</v>
      </c>
      <c r="AA123" s="32" t="s">
        <v>5318</v>
      </c>
      <c r="AB123" s="32" t="s">
        <v>5044</v>
      </c>
      <c r="AC123" s="32"/>
      <c r="AD123" s="32"/>
      <c r="AE123" s="32"/>
      <c r="AF123" s="32"/>
      <c r="AG123" s="32"/>
      <c r="AH123" s="32"/>
      <c r="AI123" s="144">
        <v>0</v>
      </c>
      <c r="AJ123" s="144">
        <v>0</v>
      </c>
      <c r="AK123" s="32" t="s">
        <v>5318</v>
      </c>
      <c r="AL123" s="32" t="s">
        <v>5318</v>
      </c>
      <c r="AM123" s="32" t="s">
        <v>5318</v>
      </c>
      <c r="AN123" s="32" t="s">
        <v>5318</v>
      </c>
      <c r="AO123" s="32"/>
      <c r="AP123" s="32"/>
      <c r="AQ123" s="32"/>
      <c r="AR123" s="32"/>
    </row>
    <row r="124" spans="1:45" ht="63" hidden="1" customHeight="1" x14ac:dyDescent="0.2">
      <c r="A124" s="31">
        <v>9348</v>
      </c>
      <c r="B124" s="31" t="s">
        <v>3371</v>
      </c>
      <c r="C124" s="31" t="s">
        <v>3372</v>
      </c>
      <c r="D124" s="45">
        <v>2021</v>
      </c>
      <c r="F124" s="31" t="s">
        <v>237</v>
      </c>
      <c r="G124" s="31" t="s">
        <v>47</v>
      </c>
      <c r="H124" s="31" t="s">
        <v>650</v>
      </c>
      <c r="I124" s="31" t="s">
        <v>13</v>
      </c>
      <c r="J124" s="31" t="s">
        <v>3373</v>
      </c>
      <c r="K124" s="31" t="s">
        <v>3374</v>
      </c>
      <c r="L124" s="31" t="s">
        <v>5318</v>
      </c>
      <c r="M124" s="31" t="s">
        <v>5318</v>
      </c>
      <c r="N124" s="31" t="s">
        <v>5318</v>
      </c>
      <c r="O124" s="31" t="s">
        <v>5318</v>
      </c>
      <c r="P124" s="31" t="s">
        <v>5318</v>
      </c>
      <c r="Q124" s="31" t="s">
        <v>5318</v>
      </c>
      <c r="R124" s="31">
        <v>1</v>
      </c>
      <c r="S124" s="31" t="s">
        <v>5318</v>
      </c>
      <c r="T124" s="31" t="s">
        <v>5318</v>
      </c>
      <c r="U124" s="31" t="s">
        <v>5318</v>
      </c>
      <c r="V124" s="31" t="s">
        <v>5318</v>
      </c>
      <c r="W124" s="31" t="s">
        <v>5318</v>
      </c>
      <c r="X124" s="31" t="s">
        <v>5318</v>
      </c>
      <c r="Y124" s="31" t="s">
        <v>5318</v>
      </c>
      <c r="Z124" s="31" t="s">
        <v>5318</v>
      </c>
      <c r="AA124" s="31" t="s">
        <v>5318</v>
      </c>
      <c r="AB124" s="31" t="s">
        <v>5318</v>
      </c>
      <c r="AI124" s="54">
        <v>1</v>
      </c>
      <c r="AJ124" s="54">
        <v>0</v>
      </c>
      <c r="AK124" s="31" t="s">
        <v>6266</v>
      </c>
    </row>
    <row r="125" spans="1:45" ht="63" hidden="1" customHeight="1" x14ac:dyDescent="0.2">
      <c r="A125" s="31">
        <v>835</v>
      </c>
      <c r="B125" s="31" t="s">
        <v>6714</v>
      </c>
      <c r="C125" s="31" t="s">
        <v>262</v>
      </c>
      <c r="D125" s="45">
        <v>2021</v>
      </c>
      <c r="E125" s="31" t="s">
        <v>5318</v>
      </c>
      <c r="F125" s="31">
        <v>22</v>
      </c>
      <c r="G125" s="31">
        <v>1</v>
      </c>
      <c r="H125" s="31" t="s">
        <v>6538</v>
      </c>
      <c r="I125" s="31" t="s">
        <v>6516</v>
      </c>
      <c r="J125" s="31" t="s">
        <v>6715</v>
      </c>
      <c r="K125" s="31" t="s">
        <v>6716</v>
      </c>
      <c r="L125" s="36" t="s">
        <v>5126</v>
      </c>
      <c r="M125" s="31">
        <v>1</v>
      </c>
      <c r="N125" s="31">
        <v>1</v>
      </c>
      <c r="O125" s="31">
        <v>0</v>
      </c>
      <c r="P125" s="31" t="s">
        <v>5318</v>
      </c>
      <c r="Q125" s="31" t="s">
        <v>5318</v>
      </c>
      <c r="R125" s="31" t="s">
        <v>5318</v>
      </c>
      <c r="S125" s="31" t="s">
        <v>5318</v>
      </c>
      <c r="T125" s="31" t="s">
        <v>5318</v>
      </c>
      <c r="U125" s="31" t="s">
        <v>5318</v>
      </c>
      <c r="V125" s="31" t="s">
        <v>5318</v>
      </c>
      <c r="W125" s="31" t="s">
        <v>5318</v>
      </c>
      <c r="X125" s="31" t="s">
        <v>5318</v>
      </c>
      <c r="Y125" s="31" t="s">
        <v>5318</v>
      </c>
      <c r="Z125" s="31" t="s">
        <v>5318</v>
      </c>
      <c r="AA125" s="31" t="s">
        <v>5318</v>
      </c>
      <c r="AB125" s="31" t="s">
        <v>5318</v>
      </c>
      <c r="AI125" s="54">
        <v>1</v>
      </c>
      <c r="AJ125" s="54">
        <v>0</v>
      </c>
      <c r="AK125" s="31" t="s">
        <v>6717</v>
      </c>
      <c r="AL125" s="31" t="s">
        <v>5318</v>
      </c>
      <c r="AM125" s="31" t="s">
        <v>5318</v>
      </c>
      <c r="AN125" s="31" t="s">
        <v>5318</v>
      </c>
    </row>
    <row r="126" spans="1:45" ht="63" hidden="1" customHeight="1" x14ac:dyDescent="0.2">
      <c r="A126" s="31">
        <v>10654</v>
      </c>
      <c r="B126" s="31" t="s">
        <v>4003</v>
      </c>
      <c r="C126" s="31" t="s">
        <v>4004</v>
      </c>
      <c r="D126" s="45">
        <v>2021</v>
      </c>
      <c r="E126" s="31" t="s">
        <v>305</v>
      </c>
      <c r="F126" s="31" t="s">
        <v>107</v>
      </c>
      <c r="G126" s="31" t="s">
        <v>52</v>
      </c>
      <c r="H126" s="31" t="s">
        <v>656</v>
      </c>
      <c r="I126" s="31" t="s">
        <v>13</v>
      </c>
      <c r="J126" s="31" t="s">
        <v>4005</v>
      </c>
      <c r="K126" s="31" t="s">
        <v>4006</v>
      </c>
      <c r="L126" s="31" t="s">
        <v>5346</v>
      </c>
      <c r="M126" s="31">
        <v>1</v>
      </c>
      <c r="N126" s="31">
        <v>0</v>
      </c>
      <c r="P126" s="31">
        <v>0</v>
      </c>
      <c r="Q126" s="31">
        <v>0</v>
      </c>
      <c r="R126" s="31">
        <v>0</v>
      </c>
      <c r="S126" s="31">
        <v>1</v>
      </c>
      <c r="T126" s="31">
        <v>1</v>
      </c>
      <c r="U126" s="31">
        <v>50</v>
      </c>
      <c r="V126" s="31">
        <v>0</v>
      </c>
      <c r="W126" s="31">
        <v>1</v>
      </c>
      <c r="X126" s="31">
        <v>0</v>
      </c>
      <c r="Y126" s="31" t="s">
        <v>5044</v>
      </c>
      <c r="Z126" s="31" t="s">
        <v>5044</v>
      </c>
      <c r="AB126" s="31" t="s">
        <v>5041</v>
      </c>
      <c r="AI126" s="54">
        <v>0</v>
      </c>
      <c r="AJ126" s="54">
        <v>0</v>
      </c>
    </row>
    <row r="127" spans="1:45" ht="63" hidden="1" customHeight="1" x14ac:dyDescent="0.2">
      <c r="A127" s="119">
        <v>11247</v>
      </c>
      <c r="B127" s="119" t="s">
        <v>4251</v>
      </c>
      <c r="C127" s="119" t="s">
        <v>4252</v>
      </c>
      <c r="D127" s="120">
        <v>2021</v>
      </c>
      <c r="E127" s="119" t="s">
        <v>4255</v>
      </c>
      <c r="F127" s="119" t="s">
        <v>1855</v>
      </c>
      <c r="G127" s="119" t="s">
        <v>47</v>
      </c>
      <c r="H127" s="119" t="s">
        <v>2307</v>
      </c>
      <c r="I127" s="119" t="s">
        <v>13</v>
      </c>
      <c r="J127" s="119" t="s">
        <v>4253</v>
      </c>
      <c r="K127" s="119" t="s">
        <v>4254</v>
      </c>
      <c r="L127" s="119"/>
      <c r="M127" s="119">
        <v>0</v>
      </c>
      <c r="N127" s="119"/>
      <c r="O127" s="119"/>
      <c r="P127" s="119">
        <v>1</v>
      </c>
      <c r="Q127" s="119">
        <v>0</v>
      </c>
      <c r="R127" s="119">
        <v>0</v>
      </c>
      <c r="S127" s="119">
        <v>3</v>
      </c>
      <c r="T127" s="119">
        <v>1</v>
      </c>
      <c r="U127" s="119">
        <v>124</v>
      </c>
      <c r="V127" s="119"/>
      <c r="W127" s="119"/>
      <c r="X127" s="119"/>
      <c r="Y127" s="119"/>
      <c r="Z127" s="119"/>
      <c r="AA127" s="119"/>
      <c r="AB127" s="119"/>
      <c r="AC127" s="119"/>
      <c r="AD127" s="119"/>
      <c r="AE127" s="119"/>
      <c r="AF127" s="119"/>
      <c r="AG127" s="119"/>
      <c r="AH127" s="119"/>
      <c r="AI127" s="122">
        <v>1</v>
      </c>
      <c r="AJ127" s="122">
        <v>0</v>
      </c>
      <c r="AK127" s="119" t="s">
        <v>6505</v>
      </c>
      <c r="AL127" s="119"/>
      <c r="AM127" s="119"/>
      <c r="AN127" s="119"/>
      <c r="AO127" s="119"/>
      <c r="AP127" s="119"/>
      <c r="AQ127" s="119"/>
      <c r="AR127" s="119"/>
    </row>
    <row r="128" spans="1:45" ht="63" customHeight="1" x14ac:dyDescent="0.2">
      <c r="A128" s="31">
        <v>1399</v>
      </c>
      <c r="B128" s="31" t="s">
        <v>6864</v>
      </c>
      <c r="C128" s="31" t="s">
        <v>424</v>
      </c>
      <c r="D128" s="45">
        <v>2021</v>
      </c>
      <c r="E128" s="31" t="s">
        <v>5318</v>
      </c>
      <c r="F128" s="31">
        <v>5</v>
      </c>
      <c r="G128" s="31">
        <v>2</v>
      </c>
      <c r="H128" s="31" t="s">
        <v>6839</v>
      </c>
      <c r="I128" s="31" t="s">
        <v>6516</v>
      </c>
      <c r="J128" s="31" t="s">
        <v>6865</v>
      </c>
      <c r="K128" s="31" t="s">
        <v>425</v>
      </c>
      <c r="L128" s="38" t="s">
        <v>5416</v>
      </c>
      <c r="M128" s="31">
        <v>0</v>
      </c>
      <c r="N128" s="31" t="s">
        <v>5318</v>
      </c>
      <c r="O128" s="31" t="s">
        <v>5318</v>
      </c>
      <c r="P128" s="31">
        <v>0</v>
      </c>
      <c r="Q128" s="31">
        <v>0</v>
      </c>
      <c r="R128" s="31">
        <v>0</v>
      </c>
      <c r="S128" s="31">
        <v>9</v>
      </c>
      <c r="T128" s="31">
        <v>1</v>
      </c>
      <c r="U128" s="31">
        <v>92</v>
      </c>
      <c r="V128" s="31">
        <v>0</v>
      </c>
      <c r="W128" s="31">
        <v>1</v>
      </c>
      <c r="X128" s="31">
        <v>0</v>
      </c>
      <c r="Y128" s="31">
        <v>1</v>
      </c>
      <c r="Z128" s="31">
        <v>0</v>
      </c>
      <c r="AA128" s="31" t="s">
        <v>5318</v>
      </c>
      <c r="AB128" s="31">
        <v>0</v>
      </c>
      <c r="AI128" s="54">
        <v>0</v>
      </c>
      <c r="AJ128" s="54">
        <v>0</v>
      </c>
      <c r="AK128" s="31" t="s">
        <v>5318</v>
      </c>
      <c r="AL128" s="31" t="s">
        <v>5318</v>
      </c>
      <c r="AM128" s="31" t="s">
        <v>5318</v>
      </c>
      <c r="AN128" s="31" t="s">
        <v>5318</v>
      </c>
      <c r="AS128" s="109"/>
    </row>
    <row r="129" spans="1:45" ht="63" hidden="1" customHeight="1" x14ac:dyDescent="0.2">
      <c r="A129" s="32">
        <v>8399</v>
      </c>
      <c r="B129" s="32" t="s">
        <v>2934</v>
      </c>
      <c r="C129" s="32" t="s">
        <v>2935</v>
      </c>
      <c r="D129" s="140">
        <v>2021</v>
      </c>
      <c r="E129" s="32"/>
      <c r="F129" s="32" t="s">
        <v>65</v>
      </c>
      <c r="G129" s="32" t="s">
        <v>52</v>
      </c>
      <c r="H129" s="32" t="s">
        <v>53</v>
      </c>
      <c r="I129" s="32" t="s">
        <v>13</v>
      </c>
      <c r="J129" s="32" t="s">
        <v>2936</v>
      </c>
      <c r="K129" s="32" t="s">
        <v>2937</v>
      </c>
      <c r="L129" s="32" t="s">
        <v>6241</v>
      </c>
      <c r="M129" s="32">
        <v>1</v>
      </c>
      <c r="N129" s="32">
        <v>0</v>
      </c>
      <c r="O129" s="32" t="s">
        <v>5044</v>
      </c>
      <c r="P129" s="32">
        <v>0</v>
      </c>
      <c r="Q129" s="32">
        <v>0</v>
      </c>
      <c r="R129" s="32">
        <v>0</v>
      </c>
      <c r="S129" s="32">
        <v>9</v>
      </c>
      <c r="T129" s="32">
        <v>1</v>
      </c>
      <c r="U129" s="32">
        <v>922</v>
      </c>
      <c r="V129" s="32">
        <v>0</v>
      </c>
      <c r="W129" s="32">
        <v>1</v>
      </c>
      <c r="X129" s="32">
        <v>0</v>
      </c>
      <c r="Y129" s="32" t="s">
        <v>5044</v>
      </c>
      <c r="Z129" s="32" t="s">
        <v>5044</v>
      </c>
      <c r="AA129" s="32" t="s">
        <v>5318</v>
      </c>
      <c r="AB129" s="32" t="s">
        <v>5044</v>
      </c>
      <c r="AC129" s="32"/>
      <c r="AD129" s="32"/>
      <c r="AE129" s="32"/>
      <c r="AF129" s="32"/>
      <c r="AG129" s="32"/>
      <c r="AH129" s="32"/>
      <c r="AI129" s="144">
        <v>0</v>
      </c>
      <c r="AJ129" s="144">
        <v>0</v>
      </c>
      <c r="AK129" s="32" t="s">
        <v>5318</v>
      </c>
      <c r="AL129" s="32"/>
      <c r="AM129" s="32"/>
      <c r="AN129" s="32"/>
      <c r="AO129" s="32"/>
      <c r="AP129" s="32"/>
      <c r="AQ129" s="32"/>
      <c r="AR129" s="32"/>
    </row>
    <row r="130" spans="1:45" ht="63" hidden="1" customHeight="1" x14ac:dyDescent="0.2">
      <c r="A130" s="119">
        <v>5222</v>
      </c>
      <c r="B130" s="119" t="s">
        <v>1510</v>
      </c>
      <c r="C130" s="119" t="s">
        <v>1511</v>
      </c>
      <c r="D130" s="120">
        <v>2021</v>
      </c>
      <c r="E130" s="119"/>
      <c r="F130" s="119" t="s">
        <v>65</v>
      </c>
      <c r="G130" s="119" t="s">
        <v>52</v>
      </c>
      <c r="H130" s="119" t="s">
        <v>53</v>
      </c>
      <c r="I130" s="119" t="s">
        <v>13</v>
      </c>
      <c r="J130" s="119" t="s">
        <v>1512</v>
      </c>
      <c r="K130" s="119" t="s">
        <v>1513</v>
      </c>
      <c r="L130" s="119" t="s">
        <v>5710</v>
      </c>
      <c r="M130" s="119">
        <v>1</v>
      </c>
      <c r="N130" s="119">
        <v>1</v>
      </c>
      <c r="O130" s="119">
        <v>0</v>
      </c>
      <c r="P130" s="119"/>
      <c r="Q130" s="119"/>
      <c r="R130" s="119"/>
      <c r="S130" s="119">
        <v>9</v>
      </c>
      <c r="T130" s="119">
        <v>1</v>
      </c>
      <c r="U130" s="119"/>
      <c r="V130" s="119"/>
      <c r="W130" s="119"/>
      <c r="X130" s="119"/>
      <c r="Y130" s="119"/>
      <c r="Z130" s="119"/>
      <c r="AA130" s="119"/>
      <c r="AB130" s="119"/>
      <c r="AC130" s="119"/>
      <c r="AD130" s="119"/>
      <c r="AE130" s="119"/>
      <c r="AF130" s="119"/>
      <c r="AG130" s="119"/>
      <c r="AH130" s="119"/>
      <c r="AI130" s="122">
        <v>1</v>
      </c>
      <c r="AJ130" s="122">
        <v>0</v>
      </c>
      <c r="AK130" s="119" t="s">
        <v>5462</v>
      </c>
      <c r="AL130" s="119"/>
      <c r="AM130" s="119"/>
      <c r="AN130" s="119"/>
      <c r="AO130" s="119"/>
      <c r="AP130" s="119"/>
      <c r="AQ130" s="119"/>
      <c r="AR130" s="119"/>
    </row>
    <row r="131" spans="1:45" ht="63" customHeight="1" x14ac:dyDescent="0.2">
      <c r="A131" s="31">
        <v>10110</v>
      </c>
      <c r="B131" s="31" t="s">
        <v>3740</v>
      </c>
      <c r="C131" s="31" t="s">
        <v>3741</v>
      </c>
      <c r="D131" s="45">
        <v>2021</v>
      </c>
      <c r="E131" s="31" t="s">
        <v>3714</v>
      </c>
      <c r="F131" s="31" t="s">
        <v>3442</v>
      </c>
      <c r="G131" s="31" t="s">
        <v>47</v>
      </c>
      <c r="H131" s="31" t="s">
        <v>1083</v>
      </c>
      <c r="I131" s="31" t="s">
        <v>13</v>
      </c>
      <c r="J131" s="31" t="s">
        <v>3742</v>
      </c>
      <c r="K131" s="31" t="s">
        <v>3743</v>
      </c>
      <c r="L131" s="31" t="s">
        <v>6047</v>
      </c>
      <c r="M131" s="31">
        <v>0</v>
      </c>
      <c r="N131" s="31" t="s">
        <v>5044</v>
      </c>
      <c r="O131" s="31" t="s">
        <v>5044</v>
      </c>
      <c r="P131" s="31">
        <v>1</v>
      </c>
      <c r="Q131" s="31">
        <v>0</v>
      </c>
      <c r="R131" s="31">
        <v>0</v>
      </c>
      <c r="S131" s="31">
        <v>9</v>
      </c>
      <c r="T131" s="31">
        <v>5</v>
      </c>
      <c r="U131" s="31">
        <v>146</v>
      </c>
      <c r="V131" s="31">
        <v>0</v>
      </c>
      <c r="W131" s="31">
        <v>1</v>
      </c>
      <c r="X131" s="31">
        <v>0</v>
      </c>
      <c r="Y131" s="31">
        <v>1</v>
      </c>
      <c r="Z131" s="31">
        <v>0</v>
      </c>
      <c r="AA131" s="31" t="s">
        <v>6502</v>
      </c>
      <c r="AB131" s="31">
        <v>0</v>
      </c>
      <c r="AI131" s="54">
        <v>0</v>
      </c>
      <c r="AJ131" s="54">
        <v>0</v>
      </c>
      <c r="AK131" s="31" t="s">
        <v>6290</v>
      </c>
      <c r="AS131" s="109"/>
    </row>
    <row r="132" spans="1:45" ht="63" customHeight="1" x14ac:dyDescent="0.2">
      <c r="A132" s="31">
        <v>3560</v>
      </c>
      <c r="B132" s="31" t="s">
        <v>7404</v>
      </c>
      <c r="C132" s="31" t="s">
        <v>995</v>
      </c>
      <c r="D132" s="45">
        <v>2021</v>
      </c>
      <c r="E132" s="31" t="s">
        <v>5318</v>
      </c>
      <c r="F132" s="31">
        <v>23</v>
      </c>
      <c r="G132" s="31">
        <v>12</v>
      </c>
      <c r="H132" s="31" t="s">
        <v>6749</v>
      </c>
      <c r="I132" s="31" t="s">
        <v>6516</v>
      </c>
      <c r="J132" s="31" t="s">
        <v>7405</v>
      </c>
      <c r="K132" s="31" t="s">
        <v>996</v>
      </c>
      <c r="L132" s="36" t="s">
        <v>5644</v>
      </c>
      <c r="M132" s="31">
        <v>0</v>
      </c>
      <c r="N132" s="31" t="s">
        <v>5318</v>
      </c>
      <c r="O132" s="31" t="s">
        <v>5318</v>
      </c>
      <c r="P132" s="31">
        <v>1</v>
      </c>
      <c r="Q132" s="31">
        <v>0</v>
      </c>
      <c r="R132" s="31">
        <v>0</v>
      </c>
      <c r="S132" s="31" t="s">
        <v>5645</v>
      </c>
      <c r="T132" s="31">
        <v>1</v>
      </c>
      <c r="U132" s="31">
        <v>40</v>
      </c>
      <c r="V132" s="31">
        <v>0</v>
      </c>
      <c r="W132" s="31">
        <v>1</v>
      </c>
      <c r="X132" s="31">
        <v>0</v>
      </c>
      <c r="Y132" s="31">
        <v>1</v>
      </c>
      <c r="Z132" s="31">
        <v>0</v>
      </c>
      <c r="AA132" s="31" t="s">
        <v>5318</v>
      </c>
      <c r="AB132" s="31" t="s">
        <v>5044</v>
      </c>
      <c r="AI132" s="54">
        <v>0</v>
      </c>
      <c r="AJ132" s="54">
        <v>0</v>
      </c>
      <c r="AK132" s="31" t="s">
        <v>3714</v>
      </c>
      <c r="AL132" s="31" t="s">
        <v>5318</v>
      </c>
      <c r="AM132" s="31" t="s">
        <v>5318</v>
      </c>
      <c r="AN132" s="31" t="s">
        <v>5318</v>
      </c>
      <c r="AS132" s="109"/>
    </row>
    <row r="133" spans="1:45" ht="63" customHeight="1" x14ac:dyDescent="0.2">
      <c r="A133" s="31">
        <v>10427</v>
      </c>
      <c r="B133" s="31" t="s">
        <v>3845</v>
      </c>
      <c r="C133" s="31" t="s">
        <v>3846</v>
      </c>
      <c r="D133" s="47">
        <v>2023</v>
      </c>
      <c r="F133" s="31" t="s">
        <v>3847</v>
      </c>
      <c r="G133" s="31" t="s">
        <v>3848</v>
      </c>
      <c r="H133" s="31" t="s">
        <v>180</v>
      </c>
      <c r="I133" s="31" t="s">
        <v>13</v>
      </c>
      <c r="J133" s="31" t="s">
        <v>3849</v>
      </c>
      <c r="K133" s="31" t="s">
        <v>3850</v>
      </c>
      <c r="L133" s="31" t="s">
        <v>5216</v>
      </c>
      <c r="M133" s="31">
        <v>0</v>
      </c>
      <c r="P133" s="31">
        <v>0</v>
      </c>
      <c r="Q133" s="31">
        <v>0</v>
      </c>
      <c r="R133" s="31">
        <v>0</v>
      </c>
      <c r="S133" s="31">
        <v>1</v>
      </c>
      <c r="T133" s="31">
        <v>1</v>
      </c>
      <c r="U133" s="31">
        <v>1066</v>
      </c>
      <c r="V133" s="31">
        <v>0</v>
      </c>
      <c r="W133" s="31">
        <v>1</v>
      </c>
      <c r="X133" s="31">
        <v>0</v>
      </c>
      <c r="Y133" s="31">
        <v>1</v>
      </c>
      <c r="Z133" s="31">
        <v>0</v>
      </c>
      <c r="AA133" s="31" t="s">
        <v>6503</v>
      </c>
      <c r="AB133" s="31">
        <v>1</v>
      </c>
      <c r="AI133" s="54">
        <v>0</v>
      </c>
      <c r="AJ133" s="54">
        <v>0</v>
      </c>
      <c r="AK133" s="31" t="s">
        <v>5217</v>
      </c>
      <c r="AS133" s="109"/>
    </row>
    <row r="134" spans="1:45" ht="63" customHeight="1" x14ac:dyDescent="0.2">
      <c r="A134" s="31">
        <v>3010</v>
      </c>
      <c r="B134" s="31" t="s">
        <v>7242</v>
      </c>
      <c r="C134" s="31" t="s">
        <v>824</v>
      </c>
      <c r="D134" s="47">
        <v>2023</v>
      </c>
      <c r="E134" s="31" t="s">
        <v>5318</v>
      </c>
      <c r="F134" s="31">
        <v>78</v>
      </c>
      <c r="G134" s="31">
        <v>4</v>
      </c>
      <c r="H134" s="31" t="s">
        <v>6898</v>
      </c>
      <c r="I134" s="31" t="s">
        <v>6516</v>
      </c>
      <c r="J134" s="31" t="s">
        <v>7243</v>
      </c>
      <c r="K134" s="31" t="s">
        <v>825</v>
      </c>
      <c r="L134" s="38" t="s">
        <v>5586</v>
      </c>
      <c r="M134" s="31">
        <v>0</v>
      </c>
      <c r="N134" s="31" t="s">
        <v>5318</v>
      </c>
      <c r="O134" s="31" t="s">
        <v>5318</v>
      </c>
      <c r="P134" s="31">
        <v>0</v>
      </c>
      <c r="Q134" s="31">
        <v>0</v>
      </c>
      <c r="R134" s="31">
        <v>0</v>
      </c>
      <c r="S134" s="31">
        <v>1</v>
      </c>
      <c r="T134" s="31">
        <v>1</v>
      </c>
      <c r="U134" s="31">
        <v>177</v>
      </c>
      <c r="V134" s="31">
        <v>0</v>
      </c>
      <c r="W134" s="31">
        <v>1</v>
      </c>
      <c r="X134" s="31">
        <v>0</v>
      </c>
      <c r="Y134" s="31">
        <v>1</v>
      </c>
      <c r="Z134" s="31">
        <v>0</v>
      </c>
      <c r="AA134" s="31" t="s">
        <v>7244</v>
      </c>
      <c r="AB134" s="31">
        <v>0</v>
      </c>
      <c r="AI134" s="54">
        <v>0</v>
      </c>
      <c r="AJ134" s="54">
        <v>0</v>
      </c>
      <c r="AK134" s="31" t="s">
        <v>5318</v>
      </c>
      <c r="AL134" s="31" t="s">
        <v>5318</v>
      </c>
      <c r="AM134" s="31" t="s">
        <v>5318</v>
      </c>
      <c r="AN134" s="31" t="s">
        <v>5318</v>
      </c>
      <c r="AS134" s="109"/>
    </row>
    <row r="135" spans="1:45" ht="63" customHeight="1" x14ac:dyDescent="0.2">
      <c r="A135" s="31">
        <v>8922</v>
      </c>
      <c r="B135" s="31" t="s">
        <v>3160</v>
      </c>
      <c r="C135" s="31" t="s">
        <v>3161</v>
      </c>
      <c r="D135" s="47">
        <v>2023</v>
      </c>
      <c r="F135" s="31" t="s">
        <v>757</v>
      </c>
      <c r="G135" s="31" t="s">
        <v>32</v>
      </c>
      <c r="H135" s="31" t="s">
        <v>459</v>
      </c>
      <c r="I135" s="31" t="s">
        <v>13</v>
      </c>
      <c r="J135" s="31" t="s">
        <v>3162</v>
      </c>
      <c r="K135" s="31" t="s">
        <v>3163</v>
      </c>
      <c r="L135" s="31" t="s">
        <v>5924</v>
      </c>
      <c r="M135" s="31">
        <v>0</v>
      </c>
      <c r="N135" s="31" t="s">
        <v>5044</v>
      </c>
      <c r="O135" s="31" t="s">
        <v>5044</v>
      </c>
      <c r="P135" s="31">
        <v>0</v>
      </c>
      <c r="Q135" s="31">
        <v>0</v>
      </c>
      <c r="R135" s="31">
        <v>0</v>
      </c>
      <c r="S135" s="31" t="s">
        <v>5925</v>
      </c>
      <c r="T135" s="31">
        <v>4</v>
      </c>
      <c r="U135" s="31">
        <v>68</v>
      </c>
      <c r="V135" s="31">
        <v>0</v>
      </c>
      <c r="W135" s="31">
        <v>1</v>
      </c>
      <c r="X135" s="31">
        <v>0</v>
      </c>
      <c r="Y135" s="31">
        <v>1</v>
      </c>
      <c r="Z135" s="31">
        <v>0</v>
      </c>
      <c r="AA135" s="31" t="s">
        <v>5318</v>
      </c>
      <c r="AB135" s="31">
        <v>1</v>
      </c>
      <c r="AI135" s="54">
        <v>0</v>
      </c>
      <c r="AJ135" s="54">
        <v>0</v>
      </c>
      <c r="AS135" s="109"/>
    </row>
    <row r="136" spans="1:45" ht="63" hidden="1" customHeight="1" x14ac:dyDescent="0.2">
      <c r="A136" s="150">
        <v>259</v>
      </c>
      <c r="B136" s="150" t="s">
        <v>7898</v>
      </c>
      <c r="C136" s="150" t="s">
        <v>7899</v>
      </c>
      <c r="D136" s="152">
        <v>2023</v>
      </c>
      <c r="E136" s="150" t="s">
        <v>5015</v>
      </c>
      <c r="F136" s="150">
        <v>14</v>
      </c>
      <c r="G136" s="150"/>
      <c r="H136" s="150" t="s">
        <v>1491</v>
      </c>
      <c r="I136" s="150" t="s">
        <v>13</v>
      </c>
      <c r="J136" s="150" t="s">
        <v>7900</v>
      </c>
      <c r="K136" s="150" t="s">
        <v>7901</v>
      </c>
      <c r="L136" s="150" t="s">
        <v>7950</v>
      </c>
      <c r="M136" s="150">
        <v>1</v>
      </c>
      <c r="N136" s="150">
        <v>0</v>
      </c>
      <c r="O136" s="150">
        <v>0</v>
      </c>
      <c r="P136" s="150">
        <v>0</v>
      </c>
      <c r="Q136" s="150">
        <v>0</v>
      </c>
      <c r="R136" s="150">
        <v>0</v>
      </c>
      <c r="S136" s="150">
        <v>1</v>
      </c>
      <c r="T136" s="150">
        <v>3</v>
      </c>
      <c r="U136" s="150">
        <v>82</v>
      </c>
      <c r="V136" s="150">
        <v>0</v>
      </c>
      <c r="W136" s="150">
        <v>1</v>
      </c>
      <c r="X136" s="150">
        <v>0</v>
      </c>
      <c r="Y136" s="150"/>
      <c r="Z136" s="150"/>
      <c r="AA136" s="150"/>
      <c r="AB136" s="150"/>
      <c r="AC136" s="150"/>
      <c r="AD136" s="150"/>
      <c r="AE136" s="150"/>
      <c r="AF136" s="150"/>
      <c r="AG136" s="150"/>
      <c r="AH136" s="150"/>
      <c r="AI136" s="151"/>
      <c r="AJ136" s="151"/>
      <c r="AK136" s="150"/>
      <c r="AL136" s="150" t="s">
        <v>8059</v>
      </c>
      <c r="AM136" s="150"/>
      <c r="AN136" s="150"/>
      <c r="AO136" s="32"/>
      <c r="AP136" s="32"/>
      <c r="AQ136" s="32"/>
      <c r="AR136" s="32"/>
    </row>
    <row r="137" spans="1:45" ht="63" hidden="1" customHeight="1" x14ac:dyDescent="0.2">
      <c r="A137" s="31">
        <v>1805</v>
      </c>
      <c r="B137" s="31" t="s">
        <v>6947</v>
      </c>
      <c r="C137" s="31" t="s">
        <v>511</v>
      </c>
      <c r="D137" s="47">
        <v>2023</v>
      </c>
      <c r="E137" s="31" t="s">
        <v>513</v>
      </c>
      <c r="F137" s="31" t="s">
        <v>5318</v>
      </c>
      <c r="G137" s="31" t="s">
        <v>5318</v>
      </c>
      <c r="H137" s="31" t="s">
        <v>6670</v>
      </c>
      <c r="I137" s="31" t="s">
        <v>6516</v>
      </c>
      <c r="J137" s="31" t="s">
        <v>6948</v>
      </c>
      <c r="K137" s="31" t="s">
        <v>512</v>
      </c>
      <c r="L137" s="31" t="s">
        <v>5318</v>
      </c>
      <c r="M137" s="31" t="s">
        <v>5318</v>
      </c>
      <c r="N137" s="31" t="s">
        <v>5318</v>
      </c>
      <c r="O137" s="31" t="s">
        <v>5318</v>
      </c>
      <c r="P137" s="31" t="s">
        <v>5318</v>
      </c>
      <c r="Q137" s="31" t="s">
        <v>5318</v>
      </c>
      <c r="R137" s="31" t="s">
        <v>5318</v>
      </c>
      <c r="S137" s="31" t="s">
        <v>5318</v>
      </c>
      <c r="T137" s="31" t="s">
        <v>5318</v>
      </c>
      <c r="U137" s="31" t="s">
        <v>5318</v>
      </c>
      <c r="V137" s="31" t="s">
        <v>5318</v>
      </c>
      <c r="W137" s="31" t="s">
        <v>5318</v>
      </c>
      <c r="X137" s="31" t="s">
        <v>5318</v>
      </c>
      <c r="Y137" s="31" t="s">
        <v>5318</v>
      </c>
      <c r="Z137" s="31" t="s">
        <v>5318</v>
      </c>
      <c r="AA137" s="31" t="s">
        <v>5318</v>
      </c>
      <c r="AB137" s="31" t="s">
        <v>5318</v>
      </c>
      <c r="AI137" s="54">
        <v>1</v>
      </c>
      <c r="AJ137" s="54">
        <v>0</v>
      </c>
      <c r="AK137" s="31" t="s">
        <v>5464</v>
      </c>
      <c r="AL137" s="76" t="s">
        <v>5464</v>
      </c>
      <c r="AM137" s="31" t="s">
        <v>5318</v>
      </c>
      <c r="AN137" s="31" t="s">
        <v>5318</v>
      </c>
    </row>
    <row r="138" spans="1:45" ht="63" hidden="1" customHeight="1" x14ac:dyDescent="0.2">
      <c r="A138" s="31">
        <v>12406</v>
      </c>
      <c r="B138" s="31" t="s">
        <v>4820</v>
      </c>
      <c r="C138" s="31" t="s">
        <v>4821</v>
      </c>
      <c r="D138" s="47">
        <v>2023</v>
      </c>
      <c r="E138" s="31" t="s">
        <v>4824</v>
      </c>
      <c r="F138" s="31" t="s">
        <v>254</v>
      </c>
      <c r="G138" s="31" t="s">
        <v>52</v>
      </c>
      <c r="H138" s="31" t="s">
        <v>53</v>
      </c>
      <c r="I138" s="31" t="s">
        <v>13</v>
      </c>
      <c r="J138" s="31" t="s">
        <v>4822</v>
      </c>
      <c r="K138" s="31" t="s">
        <v>4823</v>
      </c>
      <c r="L138" s="36" t="s">
        <v>5183</v>
      </c>
      <c r="M138" s="31">
        <v>1</v>
      </c>
      <c r="N138" s="31">
        <v>0</v>
      </c>
      <c r="P138" s="31">
        <v>0</v>
      </c>
      <c r="Q138" s="31">
        <v>0</v>
      </c>
      <c r="R138" s="31">
        <v>0</v>
      </c>
      <c r="S138" s="31" t="s">
        <v>5184</v>
      </c>
      <c r="T138" s="31">
        <v>1</v>
      </c>
      <c r="U138" s="31">
        <v>67</v>
      </c>
      <c r="V138" s="31">
        <v>0</v>
      </c>
      <c r="W138" s="31">
        <v>1</v>
      </c>
      <c r="X138" s="31">
        <v>0</v>
      </c>
      <c r="Y138" s="31" t="s">
        <v>5044</v>
      </c>
      <c r="Z138" s="31" t="s">
        <v>5044</v>
      </c>
      <c r="AB138" s="31" t="s">
        <v>5044</v>
      </c>
      <c r="AI138" s="54">
        <v>0</v>
      </c>
      <c r="AJ138" s="54">
        <v>0</v>
      </c>
      <c r="AL138" s="76"/>
    </row>
    <row r="139" spans="1:45" ht="63" hidden="1" customHeight="1" x14ac:dyDescent="0.2">
      <c r="A139" s="119">
        <v>9205</v>
      </c>
      <c r="B139" s="119" t="s">
        <v>3298</v>
      </c>
      <c r="C139" s="119" t="s">
        <v>3299</v>
      </c>
      <c r="D139" s="129">
        <v>2023</v>
      </c>
      <c r="E139" s="119"/>
      <c r="F139" s="119"/>
      <c r="G139" s="119"/>
      <c r="H139" s="119" t="s">
        <v>1321</v>
      </c>
      <c r="I139" s="119" t="s">
        <v>13</v>
      </c>
      <c r="J139" s="119" t="s">
        <v>3300</v>
      </c>
      <c r="K139" s="119" t="s">
        <v>3301</v>
      </c>
      <c r="L139" s="119" t="s">
        <v>5318</v>
      </c>
      <c r="M139" s="119">
        <v>0</v>
      </c>
      <c r="N139" s="119" t="s">
        <v>5318</v>
      </c>
      <c r="O139" s="119" t="s">
        <v>5318</v>
      </c>
      <c r="P139" s="119" t="s">
        <v>5318</v>
      </c>
      <c r="Q139" s="119" t="s">
        <v>5318</v>
      </c>
      <c r="R139" s="119">
        <v>1</v>
      </c>
      <c r="S139" s="119">
        <v>1</v>
      </c>
      <c r="T139" s="119">
        <v>1</v>
      </c>
      <c r="U139" s="119" t="s">
        <v>5318</v>
      </c>
      <c r="V139" s="119" t="s">
        <v>5318</v>
      </c>
      <c r="W139" s="119" t="s">
        <v>5318</v>
      </c>
      <c r="X139" s="119" t="s">
        <v>5318</v>
      </c>
      <c r="Y139" s="119" t="s">
        <v>5318</v>
      </c>
      <c r="Z139" s="119" t="s">
        <v>5318</v>
      </c>
      <c r="AA139" s="119" t="s">
        <v>5318</v>
      </c>
      <c r="AB139" s="119" t="s">
        <v>5318</v>
      </c>
      <c r="AC139" s="119"/>
      <c r="AD139" s="119"/>
      <c r="AE139" s="119"/>
      <c r="AF139" s="119"/>
      <c r="AG139" s="119"/>
      <c r="AH139" s="119"/>
      <c r="AI139" s="122">
        <v>1</v>
      </c>
      <c r="AJ139" s="122">
        <v>0</v>
      </c>
      <c r="AK139" s="119" t="s">
        <v>6264</v>
      </c>
      <c r="AL139" s="130" t="s">
        <v>6264</v>
      </c>
      <c r="AM139" s="119"/>
      <c r="AN139" s="119"/>
      <c r="AO139" s="119"/>
      <c r="AP139" s="119"/>
      <c r="AQ139" s="119"/>
      <c r="AR139" s="119"/>
    </row>
    <row r="140" spans="1:45" ht="63" customHeight="1" x14ac:dyDescent="0.2">
      <c r="A140" s="31" t="s">
        <v>6325</v>
      </c>
      <c r="B140" s="31" t="s">
        <v>6326</v>
      </c>
      <c r="C140" s="31" t="s">
        <v>6327</v>
      </c>
      <c r="D140" s="47">
        <v>2023</v>
      </c>
      <c r="H140" s="31" t="s">
        <v>6328</v>
      </c>
      <c r="J140" s="31" t="s">
        <v>6329</v>
      </c>
      <c r="L140" s="31" t="s">
        <v>6330</v>
      </c>
      <c r="M140" s="31">
        <v>0</v>
      </c>
      <c r="P140" s="31">
        <v>1</v>
      </c>
      <c r="Q140" s="31">
        <v>0</v>
      </c>
      <c r="R140" s="31">
        <v>0</v>
      </c>
      <c r="S140" s="31" t="s">
        <v>6331</v>
      </c>
      <c r="T140" s="31">
        <v>1</v>
      </c>
      <c r="U140" s="31">
        <v>48</v>
      </c>
      <c r="V140" s="31">
        <v>0</v>
      </c>
      <c r="W140" s="31">
        <v>1</v>
      </c>
      <c r="X140" s="31">
        <v>0</v>
      </c>
      <c r="Y140" s="31">
        <v>1</v>
      </c>
      <c r="Z140" s="31">
        <v>0</v>
      </c>
      <c r="AB140" s="31">
        <v>0</v>
      </c>
      <c r="AI140" s="54">
        <v>0</v>
      </c>
      <c r="AJ140" s="54">
        <v>0</v>
      </c>
      <c r="AK140" s="31" t="s">
        <v>5277</v>
      </c>
      <c r="AL140" s="76" t="s">
        <v>5277</v>
      </c>
      <c r="AS140" s="109"/>
    </row>
    <row r="141" spans="1:45" ht="63" hidden="1" customHeight="1" x14ac:dyDescent="0.2">
      <c r="A141" s="115" t="s">
        <v>6390</v>
      </c>
      <c r="B141" s="142" t="s">
        <v>6391</v>
      </c>
      <c r="C141" s="142" t="s">
        <v>6392</v>
      </c>
      <c r="D141" s="153">
        <v>2023</v>
      </c>
      <c r="E141" s="115" t="s">
        <v>5318</v>
      </c>
      <c r="F141" s="115" t="s">
        <v>5318</v>
      </c>
      <c r="G141" s="115" t="s">
        <v>5318</v>
      </c>
      <c r="H141" s="115" t="s">
        <v>5318</v>
      </c>
      <c r="I141" s="115" t="s">
        <v>5318</v>
      </c>
      <c r="J141" s="115" t="s">
        <v>5318</v>
      </c>
      <c r="K141" s="115" t="s">
        <v>6393</v>
      </c>
      <c r="L141" s="115" t="s">
        <v>5155</v>
      </c>
      <c r="M141" s="115">
        <v>0</v>
      </c>
      <c r="N141" s="115" t="s">
        <v>5044</v>
      </c>
      <c r="O141" s="115" t="s">
        <v>5044</v>
      </c>
      <c r="P141" s="115">
        <v>1</v>
      </c>
      <c r="Q141" s="115">
        <v>0</v>
      </c>
      <c r="R141" s="115">
        <v>0</v>
      </c>
      <c r="S141" s="115" t="s">
        <v>5902</v>
      </c>
      <c r="T141" s="115">
        <v>1</v>
      </c>
      <c r="U141" s="115">
        <v>48</v>
      </c>
      <c r="V141" s="115">
        <v>1</v>
      </c>
      <c r="W141" s="115">
        <v>0</v>
      </c>
      <c r="X141" s="115">
        <v>0</v>
      </c>
      <c r="Y141" s="115">
        <v>1</v>
      </c>
      <c r="Z141" s="115">
        <v>0</v>
      </c>
      <c r="AA141" s="115" t="s">
        <v>5318</v>
      </c>
      <c r="AB141" s="115" t="s">
        <v>5044</v>
      </c>
      <c r="AC141" s="115"/>
      <c r="AD141" s="115"/>
      <c r="AE141" s="115"/>
      <c r="AF141" s="115"/>
      <c r="AG141" s="115"/>
      <c r="AH141" s="115"/>
      <c r="AI141" s="143">
        <v>1</v>
      </c>
      <c r="AJ141" s="143">
        <v>0</v>
      </c>
      <c r="AK141" s="115" t="s">
        <v>6511</v>
      </c>
      <c r="AL141" s="154" t="s">
        <v>6511</v>
      </c>
      <c r="AM141" s="115"/>
      <c r="AN141" s="115"/>
      <c r="AO141" s="115"/>
      <c r="AP141" s="115"/>
      <c r="AQ141" s="115"/>
      <c r="AR141" s="115"/>
    </row>
    <row r="142" spans="1:45" ht="63" customHeight="1" x14ac:dyDescent="0.2">
      <c r="A142" s="31">
        <v>912</v>
      </c>
      <c r="B142" s="31" t="s">
        <v>6744</v>
      </c>
      <c r="C142" s="31" t="s">
        <v>288</v>
      </c>
      <c r="D142" s="47">
        <v>2023</v>
      </c>
      <c r="E142" s="31" t="s">
        <v>5318</v>
      </c>
      <c r="F142" s="31">
        <v>47</v>
      </c>
      <c r="G142" s="31">
        <v>2</v>
      </c>
      <c r="H142" s="31" t="s">
        <v>6745</v>
      </c>
      <c r="I142" s="31" t="s">
        <v>6516</v>
      </c>
      <c r="J142" s="31" t="s">
        <v>6746</v>
      </c>
      <c r="K142" s="31" t="s">
        <v>291</v>
      </c>
      <c r="L142" s="38" t="s">
        <v>5137</v>
      </c>
      <c r="M142" s="31">
        <v>0</v>
      </c>
      <c r="N142" s="31" t="s">
        <v>5318</v>
      </c>
      <c r="O142" s="31" t="s">
        <v>5318</v>
      </c>
      <c r="P142" s="31">
        <v>0</v>
      </c>
      <c r="Q142" s="31">
        <v>0</v>
      </c>
      <c r="R142" s="31">
        <v>0</v>
      </c>
      <c r="S142" s="31">
        <v>1</v>
      </c>
      <c r="T142" s="31">
        <v>1</v>
      </c>
      <c r="U142" s="31">
        <v>144</v>
      </c>
      <c r="V142" s="31">
        <v>0</v>
      </c>
      <c r="W142" s="31">
        <v>1</v>
      </c>
      <c r="X142" s="31">
        <v>0</v>
      </c>
      <c r="Y142" s="31">
        <v>1</v>
      </c>
      <c r="Z142" s="31">
        <v>1</v>
      </c>
      <c r="AA142" s="31" t="s">
        <v>5138</v>
      </c>
      <c r="AB142" s="31">
        <v>0</v>
      </c>
      <c r="AI142" s="54">
        <v>0</v>
      </c>
      <c r="AJ142" s="54">
        <v>0</v>
      </c>
      <c r="AK142" s="31" t="s">
        <v>5318</v>
      </c>
      <c r="AL142" s="76" t="s">
        <v>5318</v>
      </c>
      <c r="AM142" s="31" t="s">
        <v>5318</v>
      </c>
      <c r="AN142" s="31" t="s">
        <v>5318</v>
      </c>
      <c r="AS142" s="109"/>
    </row>
    <row r="143" spans="1:45" ht="63" customHeight="1" x14ac:dyDescent="0.2">
      <c r="A143" s="31">
        <v>9984</v>
      </c>
      <c r="B143" s="31" t="s">
        <v>3654</v>
      </c>
      <c r="C143" s="31" t="s">
        <v>3655</v>
      </c>
      <c r="D143" s="47">
        <v>2023</v>
      </c>
      <c r="F143" s="31" t="s">
        <v>129</v>
      </c>
      <c r="G143" s="31" t="s">
        <v>52</v>
      </c>
      <c r="H143" s="31" t="s">
        <v>183</v>
      </c>
      <c r="I143" s="31" t="s">
        <v>13</v>
      </c>
      <c r="J143" s="31" t="s">
        <v>3656</v>
      </c>
      <c r="K143" s="81" t="s">
        <v>3657</v>
      </c>
      <c r="L143" s="31" t="s">
        <v>6033</v>
      </c>
      <c r="M143" s="31">
        <v>0</v>
      </c>
      <c r="N143" s="31" t="s">
        <v>5044</v>
      </c>
      <c r="O143" s="31" t="s">
        <v>5044</v>
      </c>
      <c r="P143" s="31">
        <v>0</v>
      </c>
      <c r="Q143" s="31">
        <v>0</v>
      </c>
      <c r="R143" s="31">
        <v>0</v>
      </c>
      <c r="S143" s="31" t="s">
        <v>6034</v>
      </c>
      <c r="T143" s="31">
        <v>1</v>
      </c>
      <c r="U143" s="31">
        <v>2141</v>
      </c>
      <c r="V143" s="31">
        <v>1</v>
      </c>
      <c r="W143" s="31">
        <v>1</v>
      </c>
      <c r="X143" s="31">
        <v>0</v>
      </c>
      <c r="Y143" s="31">
        <v>1</v>
      </c>
      <c r="Z143" s="31">
        <v>0</v>
      </c>
      <c r="AA143" s="31" t="s">
        <v>5318</v>
      </c>
      <c r="AB143" s="31">
        <v>0</v>
      </c>
      <c r="AC143" s="31">
        <v>0</v>
      </c>
      <c r="AD143" s="31">
        <v>0.9</v>
      </c>
      <c r="AE143" s="31">
        <v>0</v>
      </c>
      <c r="AF143" s="97" t="s">
        <v>5041</v>
      </c>
      <c r="AG143" s="31">
        <v>0</v>
      </c>
      <c r="AH143" s="81" t="s">
        <v>5044</v>
      </c>
      <c r="AI143" s="54">
        <v>0</v>
      </c>
      <c r="AJ143" s="54">
        <v>0</v>
      </c>
      <c r="AK143" s="81" t="s">
        <v>8123</v>
      </c>
      <c r="AL143" s="78" t="s">
        <v>8083</v>
      </c>
      <c r="AM143" s="78">
        <v>2</v>
      </c>
      <c r="AN143" s="31">
        <v>0</v>
      </c>
      <c r="AO143" s="81" t="s">
        <v>5044</v>
      </c>
      <c r="AP143" s="81" t="s">
        <v>5044</v>
      </c>
      <c r="AS143" s="109"/>
    </row>
    <row r="144" spans="1:45" ht="63" customHeight="1" x14ac:dyDescent="0.2">
      <c r="A144" s="71">
        <v>179</v>
      </c>
      <c r="B144" s="71" t="s">
        <v>7856</v>
      </c>
      <c r="C144" s="71" t="s">
        <v>7857</v>
      </c>
      <c r="D144" s="47">
        <v>2023</v>
      </c>
      <c r="E144" s="71"/>
      <c r="F144" s="71">
        <v>110</v>
      </c>
      <c r="G144" s="71">
        <v>12</v>
      </c>
      <c r="H144" s="71" t="s">
        <v>6530</v>
      </c>
      <c r="I144" s="71" t="s">
        <v>13</v>
      </c>
      <c r="J144" s="71" t="s">
        <v>7858</v>
      </c>
      <c r="K144" s="71" t="s">
        <v>7859</v>
      </c>
      <c r="L144" s="71" t="s">
        <v>7951</v>
      </c>
      <c r="M144" s="71">
        <v>0</v>
      </c>
      <c r="N144" s="71"/>
      <c r="O144" s="71"/>
      <c r="P144" s="71">
        <v>0</v>
      </c>
      <c r="Q144" s="71">
        <v>0</v>
      </c>
      <c r="R144" s="71">
        <v>0</v>
      </c>
      <c r="S144" s="71">
        <v>1</v>
      </c>
      <c r="T144" s="71">
        <v>1</v>
      </c>
      <c r="U144" s="71">
        <v>128</v>
      </c>
      <c r="V144" s="72">
        <v>0</v>
      </c>
      <c r="W144" s="72">
        <v>1</v>
      </c>
      <c r="X144" s="71">
        <v>0</v>
      </c>
      <c r="Y144" s="71">
        <v>1</v>
      </c>
      <c r="Z144" s="71">
        <v>0</v>
      </c>
      <c r="AA144" s="71"/>
      <c r="AB144" s="71">
        <v>1</v>
      </c>
      <c r="AC144" s="71">
        <v>1</v>
      </c>
      <c r="AD144" s="71">
        <v>8.9</v>
      </c>
      <c r="AE144" s="71">
        <v>0</v>
      </c>
      <c r="AF144" s="71">
        <v>0</v>
      </c>
      <c r="AG144" s="71"/>
      <c r="AH144" s="71"/>
      <c r="AI144" s="71"/>
      <c r="AJ144" s="71"/>
      <c r="AK144" s="71"/>
      <c r="AL144" s="30" t="s">
        <v>8060</v>
      </c>
      <c r="AM144" s="71"/>
      <c r="AN144" s="71"/>
      <c r="AS144" s="109"/>
    </row>
    <row r="145" spans="1:45" ht="63" customHeight="1" x14ac:dyDescent="0.2">
      <c r="A145" s="31">
        <v>5256</v>
      </c>
      <c r="B145" s="31" t="s">
        <v>1530</v>
      </c>
      <c r="C145" s="31" t="s">
        <v>1531</v>
      </c>
      <c r="D145" s="47">
        <v>2023</v>
      </c>
      <c r="F145" s="31" t="s">
        <v>351</v>
      </c>
      <c r="G145" s="31" t="s">
        <v>37</v>
      </c>
      <c r="H145" s="31" t="s">
        <v>217</v>
      </c>
      <c r="I145" s="31" t="s">
        <v>13</v>
      </c>
      <c r="J145" s="31" t="s">
        <v>1532</v>
      </c>
      <c r="K145" s="81" t="s">
        <v>1533</v>
      </c>
      <c r="L145" s="31" t="s">
        <v>5420</v>
      </c>
      <c r="M145" s="31">
        <v>0</v>
      </c>
      <c r="P145" s="31">
        <v>0</v>
      </c>
      <c r="Q145" s="31">
        <v>0</v>
      </c>
      <c r="R145" s="31">
        <v>0</v>
      </c>
      <c r="S145" s="31">
        <v>1</v>
      </c>
      <c r="T145" s="31">
        <v>1</v>
      </c>
      <c r="U145" s="31">
        <v>269</v>
      </c>
      <c r="V145" s="31">
        <v>1</v>
      </c>
      <c r="W145" s="31">
        <v>0</v>
      </c>
      <c r="X145" s="31">
        <v>0</v>
      </c>
      <c r="Y145" s="31">
        <v>1</v>
      </c>
      <c r="Z145" s="31">
        <v>1</v>
      </c>
      <c r="AA145" s="31" t="s">
        <v>6496</v>
      </c>
      <c r="AB145" s="79">
        <v>1</v>
      </c>
      <c r="AC145" s="31">
        <v>0</v>
      </c>
      <c r="AD145" s="31">
        <v>0</v>
      </c>
      <c r="AE145" s="31">
        <v>0</v>
      </c>
      <c r="AF145" s="31">
        <v>1</v>
      </c>
      <c r="AG145" s="31">
        <v>1</v>
      </c>
      <c r="AH145" s="31" t="s">
        <v>8122</v>
      </c>
      <c r="AI145" s="54">
        <v>0</v>
      </c>
      <c r="AJ145" s="54">
        <v>0</v>
      </c>
      <c r="AL145" s="78" t="s">
        <v>8084</v>
      </c>
      <c r="AM145" s="78">
        <v>1</v>
      </c>
      <c r="AN145" s="31">
        <v>1</v>
      </c>
      <c r="AO145" s="92">
        <v>1</v>
      </c>
      <c r="AP145" s="97" t="s">
        <v>8132</v>
      </c>
      <c r="AS145" s="109"/>
    </row>
    <row r="146" spans="1:45" ht="63" customHeight="1" x14ac:dyDescent="0.2">
      <c r="A146" s="31">
        <v>1810</v>
      </c>
      <c r="B146" s="31" t="s">
        <v>6949</v>
      </c>
      <c r="C146" s="31" t="s">
        <v>514</v>
      </c>
      <c r="D146" s="47">
        <v>2023</v>
      </c>
      <c r="E146" s="31" t="s">
        <v>5318</v>
      </c>
      <c r="F146" s="31" t="s">
        <v>5318</v>
      </c>
      <c r="G146" s="31" t="s">
        <v>5318</v>
      </c>
      <c r="H146" s="31" t="s">
        <v>6482</v>
      </c>
      <c r="I146" s="31" t="s">
        <v>6516</v>
      </c>
      <c r="J146" s="31" t="s">
        <v>6950</v>
      </c>
      <c r="K146" s="31" t="s">
        <v>515</v>
      </c>
      <c r="L146" s="36" t="s">
        <v>5444</v>
      </c>
      <c r="M146" s="31">
        <v>0</v>
      </c>
      <c r="N146" s="31" t="s">
        <v>5318</v>
      </c>
      <c r="O146" s="31" t="s">
        <v>5318</v>
      </c>
      <c r="P146" s="31">
        <v>0</v>
      </c>
      <c r="Q146" s="31">
        <v>0</v>
      </c>
      <c r="R146" s="31">
        <v>0</v>
      </c>
      <c r="S146" s="31">
        <v>9</v>
      </c>
      <c r="T146" s="31">
        <v>1</v>
      </c>
      <c r="U146" s="31">
        <v>84</v>
      </c>
      <c r="V146" s="31">
        <v>0</v>
      </c>
      <c r="W146" s="31">
        <v>1</v>
      </c>
      <c r="X146" s="31">
        <v>0</v>
      </c>
      <c r="Y146" s="31">
        <v>1</v>
      </c>
      <c r="Z146" s="31">
        <v>0</v>
      </c>
      <c r="AA146" s="31" t="s">
        <v>5465</v>
      </c>
      <c r="AB146" s="31">
        <v>1</v>
      </c>
      <c r="AI146" s="54">
        <v>0</v>
      </c>
      <c r="AJ146" s="54">
        <v>0</v>
      </c>
      <c r="AK146" s="31" t="s">
        <v>5466</v>
      </c>
      <c r="AL146" s="76" t="s">
        <v>5466</v>
      </c>
      <c r="AM146" s="31" t="s">
        <v>5318</v>
      </c>
      <c r="AN146" s="31" t="s">
        <v>5318</v>
      </c>
      <c r="AS146" s="109"/>
    </row>
    <row r="147" spans="1:45" ht="63" hidden="1" customHeight="1" x14ac:dyDescent="0.2">
      <c r="A147" s="32">
        <v>3823</v>
      </c>
      <c r="B147" s="32" t="s">
        <v>7453</v>
      </c>
      <c r="C147" s="32" t="s">
        <v>1045</v>
      </c>
      <c r="D147" s="152">
        <v>2023</v>
      </c>
      <c r="E147" s="32" t="s">
        <v>5318</v>
      </c>
      <c r="F147" s="32">
        <v>24</v>
      </c>
      <c r="G147" s="32">
        <v>1</v>
      </c>
      <c r="H147" s="32" t="s">
        <v>6538</v>
      </c>
      <c r="I147" s="32" t="s">
        <v>6516</v>
      </c>
      <c r="J147" s="32" t="s">
        <v>7454</v>
      </c>
      <c r="K147" s="32" t="s">
        <v>1046</v>
      </c>
      <c r="L147" s="32" t="s">
        <v>5473</v>
      </c>
      <c r="M147" s="32">
        <v>1</v>
      </c>
      <c r="N147" s="32">
        <v>0</v>
      </c>
      <c r="O147" s="32" t="s">
        <v>5318</v>
      </c>
      <c r="P147" s="32">
        <v>0</v>
      </c>
      <c r="Q147" s="32">
        <v>0</v>
      </c>
      <c r="R147" s="32">
        <v>0</v>
      </c>
      <c r="S147" s="32">
        <v>1</v>
      </c>
      <c r="T147" s="32">
        <v>1</v>
      </c>
      <c r="U147" s="32">
        <v>238</v>
      </c>
      <c r="V147" s="32">
        <v>0</v>
      </c>
      <c r="W147" s="32">
        <v>1</v>
      </c>
      <c r="X147" s="32">
        <v>0</v>
      </c>
      <c r="Y147" s="32" t="s">
        <v>5044</v>
      </c>
      <c r="Z147" s="32" t="s">
        <v>5044</v>
      </c>
      <c r="AA147" s="32" t="s">
        <v>5318</v>
      </c>
      <c r="AB147" s="32" t="s">
        <v>5044</v>
      </c>
      <c r="AC147" s="32"/>
      <c r="AD147" s="32"/>
      <c r="AE147" s="32"/>
      <c r="AF147" s="32"/>
      <c r="AG147" s="32"/>
      <c r="AH147" s="32"/>
      <c r="AI147" s="144">
        <v>0</v>
      </c>
      <c r="AJ147" s="144">
        <v>0</v>
      </c>
      <c r="AK147" s="32" t="s">
        <v>5318</v>
      </c>
      <c r="AL147" s="155" t="s">
        <v>5318</v>
      </c>
      <c r="AM147" s="32" t="s">
        <v>5318</v>
      </c>
      <c r="AN147" s="32" t="s">
        <v>5318</v>
      </c>
      <c r="AO147" s="32"/>
      <c r="AP147" s="32"/>
      <c r="AQ147" s="32"/>
      <c r="AR147" s="32"/>
    </row>
    <row r="148" spans="1:45" ht="63" hidden="1" customHeight="1" x14ac:dyDescent="0.2">
      <c r="A148" s="31">
        <v>9286</v>
      </c>
      <c r="B148" s="31" t="s">
        <v>3341</v>
      </c>
      <c r="C148" s="31" t="s">
        <v>3342</v>
      </c>
      <c r="D148" s="47">
        <v>2023</v>
      </c>
      <c r="F148" s="31" t="s">
        <v>48</v>
      </c>
      <c r="H148" s="31" t="s">
        <v>3343</v>
      </c>
      <c r="I148" s="31" t="s">
        <v>13</v>
      </c>
      <c r="J148" s="31" t="s">
        <v>3344</v>
      </c>
      <c r="K148" s="31" t="s">
        <v>3345</v>
      </c>
      <c r="L148" s="31" t="s">
        <v>5968</v>
      </c>
      <c r="M148" s="31">
        <v>1</v>
      </c>
      <c r="N148" s="31" t="s">
        <v>5044</v>
      </c>
      <c r="O148" s="31" t="s">
        <v>5044</v>
      </c>
      <c r="P148" s="31">
        <v>0</v>
      </c>
      <c r="Q148" s="31">
        <v>0</v>
      </c>
      <c r="R148" s="31">
        <v>0</v>
      </c>
      <c r="S148" s="31" t="s">
        <v>5969</v>
      </c>
      <c r="T148" s="31">
        <v>1</v>
      </c>
      <c r="U148" s="31">
        <v>240</v>
      </c>
      <c r="V148" s="31">
        <v>1</v>
      </c>
      <c r="W148" s="31">
        <v>0</v>
      </c>
      <c r="X148" s="31">
        <v>0</v>
      </c>
      <c r="Y148" s="31" t="s">
        <v>5044</v>
      </c>
      <c r="Z148" s="31" t="s">
        <v>5044</v>
      </c>
      <c r="AA148" s="31" t="s">
        <v>5318</v>
      </c>
      <c r="AB148" s="31" t="s">
        <v>5044</v>
      </c>
      <c r="AI148" s="54">
        <v>0</v>
      </c>
      <c r="AJ148" s="54">
        <v>0</v>
      </c>
      <c r="AK148" s="31" t="s">
        <v>5318</v>
      </c>
      <c r="AL148" s="76" t="s">
        <v>5318</v>
      </c>
    </row>
    <row r="149" spans="1:45" s="65" customFormat="1" ht="63" hidden="1" customHeight="1" x14ac:dyDescent="0.2">
      <c r="A149" s="63">
        <v>202</v>
      </c>
      <c r="B149" s="63" t="s">
        <v>7876</v>
      </c>
      <c r="C149" s="63" t="s">
        <v>7877</v>
      </c>
      <c r="D149" s="64">
        <v>2023</v>
      </c>
      <c r="E149" s="63"/>
      <c r="F149" s="63">
        <v>6</v>
      </c>
      <c r="G149" s="63">
        <v>6</v>
      </c>
      <c r="H149" s="63"/>
      <c r="I149" s="63" t="s">
        <v>386</v>
      </c>
      <c r="J149" s="63" t="s">
        <v>7878</v>
      </c>
      <c r="K149" s="63" t="s">
        <v>7879</v>
      </c>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v>1</v>
      </c>
      <c r="AJ149" s="63"/>
      <c r="AK149" s="63" t="s">
        <v>7952</v>
      </c>
      <c r="AL149" s="30" t="s">
        <v>8061</v>
      </c>
      <c r="AM149" s="63"/>
      <c r="AN149" s="63"/>
    </row>
    <row r="150" spans="1:45" ht="63" hidden="1" customHeight="1" x14ac:dyDescent="0.2">
      <c r="A150" s="31" t="s">
        <v>6359</v>
      </c>
      <c r="B150" s="31" t="s">
        <v>6360</v>
      </c>
      <c r="C150" s="31" t="s">
        <v>6361</v>
      </c>
      <c r="D150" s="47">
        <v>2023</v>
      </c>
      <c r="H150" s="31" t="s">
        <v>6362</v>
      </c>
      <c r="J150" s="37" t="s">
        <v>6363</v>
      </c>
      <c r="K150" s="37" t="s">
        <v>6364</v>
      </c>
      <c r="L150" s="37" t="s">
        <v>5284</v>
      </c>
      <c r="M150" s="31">
        <v>1</v>
      </c>
      <c r="P150" s="31">
        <v>0</v>
      </c>
      <c r="Q150" s="31">
        <v>0</v>
      </c>
      <c r="R150" s="31">
        <v>0</v>
      </c>
      <c r="S150" s="31">
        <v>1</v>
      </c>
      <c r="T150" s="31">
        <v>1</v>
      </c>
      <c r="U150" s="31">
        <v>220</v>
      </c>
      <c r="V150" s="31">
        <v>0</v>
      </c>
      <c r="W150" s="31">
        <v>1</v>
      </c>
      <c r="X150" s="31">
        <v>0</v>
      </c>
      <c r="Y150" s="31">
        <v>1</v>
      </c>
      <c r="Z150" s="31">
        <v>0</v>
      </c>
      <c r="AB150" s="31">
        <v>1</v>
      </c>
      <c r="AI150" s="54">
        <v>0</v>
      </c>
      <c r="AJ150" s="54">
        <v>0</v>
      </c>
      <c r="AL150" s="76"/>
    </row>
    <row r="151" spans="1:45" ht="63" hidden="1" customHeight="1" x14ac:dyDescent="0.2">
      <c r="A151" s="31" t="s">
        <v>6437</v>
      </c>
      <c r="B151" s="31" t="s">
        <v>6360</v>
      </c>
      <c r="C151" s="31" t="s">
        <v>6438</v>
      </c>
      <c r="D151" s="47">
        <v>2023</v>
      </c>
      <c r="E151" s="31" t="s">
        <v>5318</v>
      </c>
      <c r="F151" s="31" t="s">
        <v>5318</v>
      </c>
      <c r="G151" s="31" t="s">
        <v>5318</v>
      </c>
      <c r="H151" s="31" t="s">
        <v>6439</v>
      </c>
      <c r="I151" s="31" t="s">
        <v>5318</v>
      </c>
      <c r="J151" s="31" t="s">
        <v>5318</v>
      </c>
      <c r="K151" s="31" t="s">
        <v>6440</v>
      </c>
      <c r="L151" s="31" t="s">
        <v>6441</v>
      </c>
      <c r="M151" s="31">
        <v>0</v>
      </c>
      <c r="N151" s="31" t="s">
        <v>5044</v>
      </c>
      <c r="O151" s="31" t="s">
        <v>5044</v>
      </c>
      <c r="P151" s="31">
        <v>0</v>
      </c>
      <c r="Q151" s="31">
        <v>0</v>
      </c>
      <c r="R151" s="31">
        <v>0</v>
      </c>
      <c r="S151" s="31">
        <v>1</v>
      </c>
      <c r="T151" s="31">
        <v>1</v>
      </c>
      <c r="U151" s="31">
        <v>220</v>
      </c>
      <c r="V151" s="31">
        <v>0</v>
      </c>
      <c r="W151" s="31">
        <v>1</v>
      </c>
      <c r="X151" s="31">
        <v>0</v>
      </c>
      <c r="Y151" s="31">
        <v>1</v>
      </c>
      <c r="Z151" s="31">
        <v>1</v>
      </c>
      <c r="AA151" s="31" t="s">
        <v>5318</v>
      </c>
      <c r="AB151" s="31">
        <v>1</v>
      </c>
      <c r="AI151" s="54">
        <v>1</v>
      </c>
      <c r="AJ151" s="54">
        <v>0</v>
      </c>
      <c r="AK151" s="31" t="s">
        <v>6512</v>
      </c>
      <c r="AL151" s="76" t="s">
        <v>6512</v>
      </c>
    </row>
    <row r="152" spans="1:45" ht="63" hidden="1" customHeight="1" x14ac:dyDescent="0.2">
      <c r="A152" s="119">
        <v>6876</v>
      </c>
      <c r="B152" s="119" t="s">
        <v>2215</v>
      </c>
      <c r="C152" s="119" t="s">
        <v>2216</v>
      </c>
      <c r="D152" s="129">
        <v>2023</v>
      </c>
      <c r="E152" s="119"/>
      <c r="F152" s="119" t="s">
        <v>791</v>
      </c>
      <c r="G152" s="119" t="s">
        <v>52</v>
      </c>
      <c r="H152" s="119" t="s">
        <v>38</v>
      </c>
      <c r="I152" s="119" t="s">
        <v>13</v>
      </c>
      <c r="J152" s="119" t="s">
        <v>2217</v>
      </c>
      <c r="K152" s="119" t="s">
        <v>2218</v>
      </c>
      <c r="L152" s="123" t="s">
        <v>5448</v>
      </c>
      <c r="M152" s="119">
        <v>0</v>
      </c>
      <c r="N152" s="119"/>
      <c r="O152" s="119"/>
      <c r="P152" s="119">
        <v>0</v>
      </c>
      <c r="Q152" s="119">
        <v>0</v>
      </c>
      <c r="R152" s="119">
        <v>1</v>
      </c>
      <c r="S152" s="119"/>
      <c r="T152" s="119"/>
      <c r="U152" s="119"/>
      <c r="V152" s="119"/>
      <c r="W152" s="119"/>
      <c r="X152" s="119"/>
      <c r="Y152" s="119"/>
      <c r="Z152" s="119"/>
      <c r="AA152" s="119"/>
      <c r="AB152" s="119"/>
      <c r="AC152" s="119"/>
      <c r="AD152" s="119"/>
      <c r="AE152" s="119"/>
      <c r="AF152" s="119"/>
      <c r="AG152" s="119"/>
      <c r="AH152" s="119"/>
      <c r="AI152" s="122">
        <v>1</v>
      </c>
      <c r="AJ152" s="122">
        <v>0</v>
      </c>
      <c r="AK152" s="119" t="s">
        <v>6285</v>
      </c>
      <c r="AL152" s="130" t="s">
        <v>6285</v>
      </c>
      <c r="AM152" s="119"/>
      <c r="AN152" s="119"/>
      <c r="AO152" s="119"/>
      <c r="AP152" s="119"/>
      <c r="AQ152" s="119"/>
      <c r="AR152" s="119"/>
    </row>
    <row r="153" spans="1:45" ht="63" customHeight="1" x14ac:dyDescent="0.2">
      <c r="A153" s="31">
        <v>1273</v>
      </c>
      <c r="B153" s="81" t="s">
        <v>6841</v>
      </c>
      <c r="C153" s="31" t="s">
        <v>398</v>
      </c>
      <c r="D153" s="47">
        <v>2023</v>
      </c>
      <c r="E153" s="31" t="s">
        <v>5318</v>
      </c>
      <c r="F153" s="31">
        <v>66</v>
      </c>
      <c r="G153" s="31">
        <v>2</v>
      </c>
      <c r="H153" s="31" t="s">
        <v>6598</v>
      </c>
      <c r="I153" s="31" t="s">
        <v>6516</v>
      </c>
      <c r="J153" s="31" t="s">
        <v>6842</v>
      </c>
      <c r="K153" s="81" t="s">
        <v>400</v>
      </c>
      <c r="L153" s="36" t="s">
        <v>5406</v>
      </c>
      <c r="M153" s="31">
        <v>0</v>
      </c>
      <c r="N153" s="31" t="s">
        <v>5318</v>
      </c>
      <c r="O153" s="31" t="s">
        <v>5318</v>
      </c>
      <c r="P153" s="31">
        <v>0</v>
      </c>
      <c r="Q153" s="31">
        <v>0</v>
      </c>
      <c r="R153" s="31">
        <v>0</v>
      </c>
      <c r="S153" s="31">
        <v>1</v>
      </c>
      <c r="T153" s="31">
        <v>2</v>
      </c>
      <c r="U153" s="31">
        <v>22</v>
      </c>
      <c r="V153" s="31">
        <v>1</v>
      </c>
      <c r="W153" s="31">
        <v>0</v>
      </c>
      <c r="X153" s="31">
        <v>0</v>
      </c>
      <c r="Y153" s="31">
        <v>1</v>
      </c>
      <c r="Z153" s="31">
        <v>0</v>
      </c>
      <c r="AA153" s="31" t="s">
        <v>5318</v>
      </c>
      <c r="AB153" s="31">
        <v>1</v>
      </c>
      <c r="AC153" s="31">
        <v>1</v>
      </c>
      <c r="AD153" s="31">
        <v>14.8</v>
      </c>
      <c r="AE153" s="31">
        <v>1</v>
      </c>
      <c r="AF153" s="31">
        <v>1</v>
      </c>
      <c r="AG153" s="31">
        <v>1</v>
      </c>
      <c r="AH153" s="31" t="s">
        <v>8121</v>
      </c>
      <c r="AI153" s="54">
        <v>0</v>
      </c>
      <c r="AJ153" s="54">
        <v>0</v>
      </c>
      <c r="AK153" s="31" t="s">
        <v>5318</v>
      </c>
      <c r="AL153" s="78" t="s">
        <v>8133</v>
      </c>
      <c r="AM153" s="77">
        <v>1</v>
      </c>
      <c r="AN153" s="31">
        <v>1</v>
      </c>
      <c r="AO153" s="92">
        <v>1</v>
      </c>
      <c r="AP153" s="97" t="s">
        <v>8134</v>
      </c>
      <c r="AQ153" s="31">
        <v>0</v>
      </c>
      <c r="AS153" s="109"/>
    </row>
    <row r="154" spans="1:45" ht="63" customHeight="1" x14ac:dyDescent="0.2">
      <c r="A154" s="31" t="s">
        <v>6311</v>
      </c>
      <c r="B154" s="31" t="s">
        <v>6312</v>
      </c>
      <c r="C154" s="31" t="s">
        <v>6313</v>
      </c>
      <c r="D154" s="47">
        <v>2023</v>
      </c>
      <c r="H154" s="31" t="s">
        <v>6314</v>
      </c>
      <c r="K154" s="31" t="s">
        <v>6315</v>
      </c>
      <c r="L154" s="31" t="s">
        <v>5131</v>
      </c>
      <c r="M154" s="31">
        <v>0</v>
      </c>
      <c r="P154" s="31">
        <v>1</v>
      </c>
      <c r="Q154" s="31">
        <v>0</v>
      </c>
      <c r="R154" s="31">
        <v>0</v>
      </c>
      <c r="S154" s="31">
        <v>1</v>
      </c>
      <c r="T154" s="31">
        <v>1</v>
      </c>
      <c r="U154" s="31">
        <v>62</v>
      </c>
      <c r="V154" s="31">
        <v>0</v>
      </c>
      <c r="W154" s="31">
        <v>1</v>
      </c>
      <c r="X154" s="31">
        <v>0</v>
      </c>
      <c r="Y154" s="31">
        <v>1</v>
      </c>
      <c r="Z154" s="31">
        <v>0</v>
      </c>
      <c r="AB154" s="31">
        <v>0</v>
      </c>
      <c r="AI154" s="54">
        <v>0</v>
      </c>
      <c r="AJ154" s="54">
        <v>0</v>
      </c>
      <c r="AL154" s="76"/>
      <c r="AS154" s="109"/>
    </row>
    <row r="155" spans="1:45" s="61" customFormat="1" ht="63" hidden="1" customHeight="1" x14ac:dyDescent="0.2">
      <c r="A155" s="156">
        <v>262</v>
      </c>
      <c r="B155" s="156" t="s">
        <v>2915</v>
      </c>
      <c r="C155" s="156" t="s">
        <v>7902</v>
      </c>
      <c r="D155" s="157">
        <v>2023</v>
      </c>
      <c r="E155" s="156" t="s">
        <v>5015</v>
      </c>
      <c r="F155" s="156">
        <v>70</v>
      </c>
      <c r="G155" s="156">
        <v>5</v>
      </c>
      <c r="H155" s="156" t="s">
        <v>873</v>
      </c>
      <c r="I155" s="156" t="s">
        <v>13</v>
      </c>
      <c r="J155" s="156" t="s">
        <v>2917</v>
      </c>
      <c r="K155" s="156"/>
      <c r="L155" s="156" t="s">
        <v>7953</v>
      </c>
      <c r="M155" s="156"/>
      <c r="N155" s="156"/>
      <c r="O155" s="156"/>
      <c r="P155" s="156"/>
      <c r="Q155" s="156"/>
      <c r="R155" s="156"/>
      <c r="S155" s="156"/>
      <c r="T155" s="156"/>
      <c r="U155" s="156"/>
      <c r="V155" s="156"/>
      <c r="W155" s="156"/>
      <c r="X155" s="156"/>
      <c r="Y155" s="156"/>
      <c r="Z155" s="156"/>
      <c r="AA155" s="156"/>
      <c r="AB155" s="156"/>
      <c r="AC155" s="156"/>
      <c r="AD155" s="156"/>
      <c r="AE155" s="156"/>
      <c r="AF155" s="156"/>
      <c r="AG155" s="156"/>
      <c r="AH155" s="156"/>
      <c r="AI155" s="156">
        <v>1</v>
      </c>
      <c r="AJ155" s="156"/>
      <c r="AK155" s="156" t="s">
        <v>7948</v>
      </c>
      <c r="AL155" s="150" t="s">
        <v>8062</v>
      </c>
      <c r="AM155" s="156"/>
      <c r="AN155" s="156"/>
      <c r="AO155" s="158"/>
      <c r="AP155" s="158"/>
      <c r="AQ155" s="158"/>
      <c r="AR155" s="158"/>
    </row>
    <row r="156" spans="1:45" ht="63" hidden="1" customHeight="1" x14ac:dyDescent="0.2">
      <c r="A156" s="31">
        <v>8349</v>
      </c>
      <c r="B156" s="31" t="s">
        <v>2915</v>
      </c>
      <c r="C156" s="31" t="s">
        <v>2916</v>
      </c>
      <c r="D156" s="47">
        <v>2023</v>
      </c>
      <c r="F156" s="31" t="s">
        <v>723</v>
      </c>
      <c r="G156" s="31" t="s">
        <v>11</v>
      </c>
      <c r="H156" s="31" t="s">
        <v>873</v>
      </c>
      <c r="I156" s="31" t="s">
        <v>13</v>
      </c>
      <c r="J156" s="31" t="s">
        <v>2917</v>
      </c>
      <c r="L156" s="31" t="s">
        <v>6235</v>
      </c>
      <c r="M156" s="31">
        <v>1</v>
      </c>
      <c r="N156" s="31">
        <v>0</v>
      </c>
      <c r="O156" s="31" t="s">
        <v>5044</v>
      </c>
      <c r="P156" s="31">
        <v>0</v>
      </c>
      <c r="Q156" s="31">
        <v>0</v>
      </c>
      <c r="R156" s="31">
        <v>0</v>
      </c>
      <c r="S156" s="31">
        <v>9</v>
      </c>
      <c r="T156" s="31">
        <v>1</v>
      </c>
      <c r="U156" s="31">
        <v>100</v>
      </c>
      <c r="V156" s="31">
        <v>1</v>
      </c>
      <c r="W156" s="31">
        <v>0</v>
      </c>
      <c r="X156" s="31">
        <v>0</v>
      </c>
      <c r="Y156" s="31" t="s">
        <v>5044</v>
      </c>
      <c r="Z156" s="31" t="s">
        <v>5044</v>
      </c>
      <c r="AA156" s="31" t="s">
        <v>5318</v>
      </c>
      <c r="AB156" s="31" t="s">
        <v>5044</v>
      </c>
      <c r="AI156" s="54">
        <v>0</v>
      </c>
      <c r="AJ156" s="54">
        <v>0</v>
      </c>
      <c r="AK156" s="31" t="s">
        <v>5318</v>
      </c>
      <c r="AL156" s="76" t="s">
        <v>5318</v>
      </c>
    </row>
    <row r="157" spans="1:45" ht="63" hidden="1" customHeight="1" x14ac:dyDescent="0.2">
      <c r="A157" s="30">
        <v>171</v>
      </c>
      <c r="B157" s="30" t="s">
        <v>7841</v>
      </c>
      <c r="C157" s="30" t="s">
        <v>7842</v>
      </c>
      <c r="D157" s="50">
        <v>2023</v>
      </c>
      <c r="E157" s="30" t="s">
        <v>305</v>
      </c>
      <c r="F157" s="30">
        <v>24</v>
      </c>
      <c r="G157" s="30">
        <v>1</v>
      </c>
      <c r="H157" s="30" t="s">
        <v>6538</v>
      </c>
      <c r="I157" s="30" t="s">
        <v>13</v>
      </c>
      <c r="J157" s="30" t="s">
        <v>7843</v>
      </c>
      <c r="K157" s="30" t="s">
        <v>7844</v>
      </c>
      <c r="L157" s="30" t="s">
        <v>7954</v>
      </c>
      <c r="M157" s="30">
        <v>1</v>
      </c>
      <c r="N157" s="30">
        <v>0</v>
      </c>
      <c r="O157" s="30" t="s">
        <v>5044</v>
      </c>
      <c r="P157" s="30">
        <v>0</v>
      </c>
      <c r="Q157" s="30">
        <v>0</v>
      </c>
      <c r="R157" s="30">
        <v>0</v>
      </c>
      <c r="S157" s="30">
        <v>1</v>
      </c>
      <c r="T157" s="30">
        <v>1</v>
      </c>
      <c r="U157" s="30">
        <v>288</v>
      </c>
      <c r="V157" s="30">
        <v>1</v>
      </c>
      <c r="W157" s="30">
        <v>0</v>
      </c>
      <c r="X157" s="30">
        <v>0</v>
      </c>
      <c r="Y157" s="30" t="s">
        <v>5044</v>
      </c>
      <c r="Z157" s="30" t="s">
        <v>5044</v>
      </c>
      <c r="AA157" s="30"/>
      <c r="AB157" s="30"/>
      <c r="AC157" s="30"/>
      <c r="AD157" s="30"/>
      <c r="AE157" s="30"/>
      <c r="AF157" s="30"/>
      <c r="AG157" s="30"/>
      <c r="AH157" s="30"/>
      <c r="AI157" s="55"/>
      <c r="AJ157" s="55"/>
      <c r="AK157" s="30" t="s">
        <v>5217</v>
      </c>
      <c r="AL157" s="30" t="s">
        <v>8062</v>
      </c>
      <c r="AM157" s="30"/>
      <c r="AN157" s="30"/>
    </row>
    <row r="158" spans="1:45" ht="63" hidden="1" customHeight="1" x14ac:dyDescent="0.2">
      <c r="A158" s="30">
        <v>253</v>
      </c>
      <c r="B158" s="30" t="s">
        <v>7893</v>
      </c>
      <c r="C158" s="30" t="s">
        <v>7894</v>
      </c>
      <c r="D158" s="50">
        <v>2023</v>
      </c>
      <c r="E158" s="30" t="s">
        <v>5015</v>
      </c>
      <c r="F158" s="30">
        <v>25</v>
      </c>
      <c r="G158" s="30">
        <v>7</v>
      </c>
      <c r="H158" s="30"/>
      <c r="I158" s="30" t="s">
        <v>13</v>
      </c>
      <c r="J158" s="30" t="s">
        <v>7895</v>
      </c>
      <c r="K158" s="30" t="s">
        <v>7896</v>
      </c>
      <c r="L158" s="30" t="s">
        <v>7955</v>
      </c>
      <c r="M158" s="30">
        <v>1</v>
      </c>
      <c r="N158" s="30">
        <v>0</v>
      </c>
      <c r="O158" s="30" t="s">
        <v>5044</v>
      </c>
      <c r="P158" s="30">
        <v>0</v>
      </c>
      <c r="Q158" s="30">
        <v>0</v>
      </c>
      <c r="R158" s="30">
        <v>0</v>
      </c>
      <c r="S158" s="30">
        <v>1</v>
      </c>
      <c r="T158" s="30">
        <v>1</v>
      </c>
      <c r="U158" s="30">
        <v>416</v>
      </c>
      <c r="V158" s="30">
        <v>0</v>
      </c>
      <c r="W158" s="30">
        <v>1</v>
      </c>
      <c r="X158" s="30">
        <v>0</v>
      </c>
      <c r="Y158" s="30" t="s">
        <v>5044</v>
      </c>
      <c r="Z158" s="30" t="s">
        <v>5044</v>
      </c>
      <c r="AA158" s="30"/>
      <c r="AB158" s="30"/>
      <c r="AC158" s="30"/>
      <c r="AD158" s="30"/>
      <c r="AE158" s="30"/>
      <c r="AF158" s="30"/>
      <c r="AG158" s="30"/>
      <c r="AH158" s="30"/>
      <c r="AI158" s="55"/>
      <c r="AJ158" s="55"/>
      <c r="AK158" s="30" t="s">
        <v>5217</v>
      </c>
      <c r="AL158" s="30" t="s">
        <v>8063</v>
      </c>
      <c r="AM158" s="30"/>
      <c r="AN158" s="30"/>
    </row>
    <row r="159" spans="1:45" s="61" customFormat="1" ht="63" hidden="1" customHeight="1" x14ac:dyDescent="0.2">
      <c r="A159" s="58">
        <v>255</v>
      </c>
      <c r="B159" s="58" t="s">
        <v>4555</v>
      </c>
      <c r="C159" s="58" t="s">
        <v>7897</v>
      </c>
      <c r="D159" s="59">
        <v>2023</v>
      </c>
      <c r="E159" s="58" t="s">
        <v>5015</v>
      </c>
      <c r="F159" s="58">
        <v>13</v>
      </c>
      <c r="G159" s="58">
        <v>1</v>
      </c>
      <c r="H159" s="58"/>
      <c r="I159" s="58" t="s">
        <v>13</v>
      </c>
      <c r="J159" s="58" t="s">
        <v>4557</v>
      </c>
      <c r="K159" s="58" t="s">
        <v>4558</v>
      </c>
      <c r="L159" s="60" t="s">
        <v>5310</v>
      </c>
      <c r="M159" s="58">
        <v>1</v>
      </c>
      <c r="N159" s="58">
        <v>0</v>
      </c>
      <c r="O159" s="58" t="s">
        <v>5044</v>
      </c>
      <c r="P159" s="58">
        <v>0</v>
      </c>
      <c r="Q159" s="58">
        <v>0</v>
      </c>
      <c r="R159" s="58">
        <v>0</v>
      </c>
      <c r="S159" s="58">
        <v>1</v>
      </c>
      <c r="T159" s="58">
        <v>1</v>
      </c>
      <c r="U159" s="58"/>
      <c r="V159" s="58">
        <v>1</v>
      </c>
      <c r="W159" s="58">
        <v>1</v>
      </c>
      <c r="X159" s="58">
        <v>0</v>
      </c>
      <c r="Y159" s="58" t="s">
        <v>5044</v>
      </c>
      <c r="Z159" s="58" t="s">
        <v>5044</v>
      </c>
      <c r="AA159" s="58"/>
      <c r="AB159" s="58"/>
      <c r="AC159" s="58"/>
      <c r="AD159" s="58"/>
      <c r="AE159" s="58"/>
      <c r="AF159" s="58"/>
      <c r="AG159" s="58"/>
      <c r="AH159" s="58"/>
      <c r="AI159" s="58">
        <v>1</v>
      </c>
      <c r="AJ159" s="58"/>
      <c r="AK159" s="58" t="s">
        <v>7948</v>
      </c>
      <c r="AL159" s="30" t="s">
        <v>8064</v>
      </c>
      <c r="AM159" s="58"/>
      <c r="AN159" s="58"/>
    </row>
    <row r="160" spans="1:45" ht="63" hidden="1" customHeight="1" x14ac:dyDescent="0.2">
      <c r="A160" s="31">
        <v>11893</v>
      </c>
      <c r="B160" s="31" t="s">
        <v>4555</v>
      </c>
      <c r="C160" s="31" t="s">
        <v>4556</v>
      </c>
      <c r="D160" s="50">
        <v>2023</v>
      </c>
      <c r="E160" s="31" t="s">
        <v>305</v>
      </c>
      <c r="F160" s="31" t="s">
        <v>129</v>
      </c>
      <c r="G160" s="31" t="s">
        <v>52</v>
      </c>
      <c r="H160" s="31" t="s">
        <v>19</v>
      </c>
      <c r="I160" s="31" t="s">
        <v>13</v>
      </c>
      <c r="J160" s="31" t="s">
        <v>4557</v>
      </c>
      <c r="K160" s="31" t="s">
        <v>4558</v>
      </c>
      <c r="L160" s="38" t="s">
        <v>5310</v>
      </c>
      <c r="M160" s="31">
        <v>1</v>
      </c>
      <c r="N160" s="31">
        <v>0</v>
      </c>
      <c r="P160" s="31">
        <v>0</v>
      </c>
      <c r="Q160" s="31">
        <v>0</v>
      </c>
      <c r="R160" s="31">
        <v>0</v>
      </c>
      <c r="S160" s="31">
        <v>9</v>
      </c>
      <c r="T160" s="31">
        <v>1</v>
      </c>
      <c r="U160" s="31">
        <v>466</v>
      </c>
      <c r="V160" s="31">
        <v>1</v>
      </c>
      <c r="W160" s="31">
        <v>1</v>
      </c>
      <c r="X160" s="31">
        <v>0</v>
      </c>
      <c r="Y160" s="31" t="s">
        <v>5044</v>
      </c>
      <c r="Z160" s="31" t="s">
        <v>5044</v>
      </c>
      <c r="AB160" s="31" t="s">
        <v>5044</v>
      </c>
      <c r="AI160" s="54">
        <v>0</v>
      </c>
      <c r="AJ160" s="54">
        <v>0</v>
      </c>
      <c r="AL160" s="76"/>
    </row>
    <row r="161" spans="1:45" s="65" customFormat="1" ht="63" hidden="1" customHeight="1" x14ac:dyDescent="0.2">
      <c r="A161" s="63">
        <v>150</v>
      </c>
      <c r="B161" s="63" t="s">
        <v>7829</v>
      </c>
      <c r="C161" s="63" t="s">
        <v>7830</v>
      </c>
      <c r="D161" s="66">
        <v>2023</v>
      </c>
      <c r="E161" s="63" t="s">
        <v>305</v>
      </c>
      <c r="F161" s="63">
        <v>24</v>
      </c>
      <c r="G161" s="63">
        <v>1</v>
      </c>
      <c r="H161" s="63"/>
      <c r="I161" s="63" t="s">
        <v>13</v>
      </c>
      <c r="J161" s="63" t="s">
        <v>7831</v>
      </c>
      <c r="K161" s="63" t="s">
        <v>7832</v>
      </c>
      <c r="L161" s="63" t="s">
        <v>7956</v>
      </c>
      <c r="M161" s="63">
        <v>1</v>
      </c>
      <c r="N161" s="63">
        <v>0</v>
      </c>
      <c r="O161" s="63" t="s">
        <v>5044</v>
      </c>
      <c r="P161" s="63">
        <v>0</v>
      </c>
      <c r="Q161" s="63">
        <v>0</v>
      </c>
      <c r="R161" s="63">
        <v>0</v>
      </c>
      <c r="S161" s="63">
        <v>9</v>
      </c>
      <c r="T161" s="63">
        <v>1</v>
      </c>
      <c r="U161" s="63">
        <v>220</v>
      </c>
      <c r="V161" s="63">
        <v>1</v>
      </c>
      <c r="W161" s="62">
        <v>1</v>
      </c>
      <c r="X161" s="63">
        <v>0</v>
      </c>
      <c r="Y161" s="63" t="s">
        <v>5044</v>
      </c>
      <c r="Z161" s="63" t="s">
        <v>5044</v>
      </c>
      <c r="AA161" s="63"/>
      <c r="AB161" s="63"/>
      <c r="AC161" s="63"/>
      <c r="AD161" s="63"/>
      <c r="AE161" s="63"/>
      <c r="AF161" s="63"/>
      <c r="AG161" s="63"/>
      <c r="AH161" s="63"/>
      <c r="AI161" s="63"/>
      <c r="AJ161" s="63"/>
      <c r="AK161" s="63"/>
      <c r="AL161" s="30" t="s">
        <v>8065</v>
      </c>
      <c r="AM161" s="63"/>
      <c r="AN161" s="63"/>
    </row>
    <row r="162" spans="1:45" ht="63" hidden="1" customHeight="1" x14ac:dyDescent="0.2">
      <c r="A162" s="31">
        <v>5688</v>
      </c>
      <c r="B162" s="31" t="s">
        <v>1719</v>
      </c>
      <c r="C162" s="31" t="s">
        <v>1720</v>
      </c>
      <c r="D162" s="50">
        <v>2023</v>
      </c>
      <c r="H162" s="31" t="s">
        <v>679</v>
      </c>
      <c r="I162" s="31" t="s">
        <v>13</v>
      </c>
      <c r="J162" s="31" t="s">
        <v>1721</v>
      </c>
      <c r="K162" s="31" t="s">
        <v>1722</v>
      </c>
      <c r="L162" s="31" t="s">
        <v>5798</v>
      </c>
      <c r="M162" s="31" t="s">
        <v>5318</v>
      </c>
      <c r="N162" s="31" t="s">
        <v>5318</v>
      </c>
      <c r="O162" s="31" t="s">
        <v>5318</v>
      </c>
      <c r="P162" s="31" t="s">
        <v>5318</v>
      </c>
      <c r="Q162" s="31" t="s">
        <v>5318</v>
      </c>
      <c r="R162" s="31" t="s">
        <v>5318</v>
      </c>
      <c r="S162" s="31" t="s">
        <v>5318</v>
      </c>
      <c r="T162" s="31" t="s">
        <v>5318</v>
      </c>
      <c r="U162" s="31" t="s">
        <v>5318</v>
      </c>
      <c r="V162" s="31" t="s">
        <v>5318</v>
      </c>
      <c r="W162" s="31" t="s">
        <v>5318</v>
      </c>
      <c r="X162" s="31" t="s">
        <v>5318</v>
      </c>
      <c r="Y162" s="31" t="s">
        <v>5318</v>
      </c>
      <c r="Z162" s="31" t="s">
        <v>5318</v>
      </c>
      <c r="AA162" s="31" t="s">
        <v>5318</v>
      </c>
      <c r="AB162" s="31" t="s">
        <v>5318</v>
      </c>
      <c r="AI162" s="54">
        <v>1</v>
      </c>
      <c r="AJ162" s="54">
        <v>0</v>
      </c>
      <c r="AK162" s="31" t="s">
        <v>6255</v>
      </c>
      <c r="AL162" s="76" t="s">
        <v>6255</v>
      </c>
    </row>
    <row r="163" spans="1:45" ht="63" hidden="1" customHeight="1" x14ac:dyDescent="0.2">
      <c r="A163" s="31">
        <v>5687</v>
      </c>
      <c r="B163" s="31" t="s">
        <v>1715</v>
      </c>
      <c r="C163" s="31" t="s">
        <v>1716</v>
      </c>
      <c r="D163" s="50">
        <v>2023</v>
      </c>
      <c r="F163" s="31" t="s">
        <v>194</v>
      </c>
      <c r="G163" s="31" t="s">
        <v>144</v>
      </c>
      <c r="H163" s="31" t="s">
        <v>102</v>
      </c>
      <c r="I163" s="31" t="s">
        <v>13</v>
      </c>
      <c r="J163" s="31" t="s">
        <v>1717</v>
      </c>
      <c r="K163" s="31" t="s">
        <v>1718</v>
      </c>
      <c r="L163" s="31" t="s">
        <v>5318</v>
      </c>
      <c r="M163" s="31" t="s">
        <v>5318</v>
      </c>
      <c r="N163" s="31" t="s">
        <v>5318</v>
      </c>
      <c r="O163" s="31" t="s">
        <v>5318</v>
      </c>
      <c r="P163" s="31" t="s">
        <v>5318</v>
      </c>
      <c r="Q163" s="31" t="s">
        <v>5318</v>
      </c>
      <c r="R163" s="31" t="s">
        <v>5318</v>
      </c>
      <c r="S163" s="31" t="s">
        <v>5318</v>
      </c>
      <c r="T163" s="31" t="s">
        <v>5318</v>
      </c>
      <c r="U163" s="31" t="s">
        <v>5318</v>
      </c>
      <c r="V163" s="31" t="s">
        <v>5318</v>
      </c>
      <c r="W163" s="31" t="s">
        <v>5318</v>
      </c>
      <c r="X163" s="31" t="s">
        <v>5318</v>
      </c>
      <c r="Y163" s="31" t="s">
        <v>5318</v>
      </c>
      <c r="Z163" s="31" t="s">
        <v>5318</v>
      </c>
      <c r="AA163" s="31" t="s">
        <v>5318</v>
      </c>
      <c r="AB163" s="31" t="s">
        <v>5318</v>
      </c>
      <c r="AI163" s="54">
        <v>1</v>
      </c>
      <c r="AJ163" s="54">
        <v>0</v>
      </c>
      <c r="AK163" s="31" t="s">
        <v>6255</v>
      </c>
      <c r="AL163" s="76" t="s">
        <v>6255</v>
      </c>
    </row>
    <row r="164" spans="1:45" ht="63" hidden="1" customHeight="1" x14ac:dyDescent="0.2">
      <c r="A164" s="31">
        <v>7198</v>
      </c>
      <c r="B164" s="31" t="s">
        <v>2374</v>
      </c>
      <c r="C164" s="31" t="s">
        <v>2375</v>
      </c>
      <c r="D164" s="50">
        <v>2023</v>
      </c>
      <c r="F164" s="31" t="s">
        <v>254</v>
      </c>
      <c r="G164" s="31" t="s">
        <v>52</v>
      </c>
      <c r="H164" s="31" t="s">
        <v>53</v>
      </c>
      <c r="I164" s="31" t="s">
        <v>13</v>
      </c>
      <c r="J164" s="31" t="s">
        <v>2376</v>
      </c>
      <c r="K164" s="31" t="s">
        <v>2377</v>
      </c>
      <c r="L164" s="36" t="s">
        <v>6116</v>
      </c>
      <c r="M164" s="31">
        <v>1</v>
      </c>
      <c r="N164" s="31">
        <v>0</v>
      </c>
      <c r="P164" s="31">
        <v>0</v>
      </c>
      <c r="Q164" s="31">
        <v>0</v>
      </c>
      <c r="R164" s="31">
        <v>0</v>
      </c>
      <c r="S164" s="31">
        <v>1</v>
      </c>
      <c r="T164" s="31">
        <v>1</v>
      </c>
      <c r="U164" s="31">
        <v>152</v>
      </c>
      <c r="V164" s="31">
        <v>1</v>
      </c>
      <c r="W164" s="31">
        <v>0</v>
      </c>
      <c r="X164" s="31">
        <v>0</v>
      </c>
      <c r="Y164" s="31" t="s">
        <v>5044</v>
      </c>
      <c r="Z164" s="31" t="s">
        <v>5044</v>
      </c>
      <c r="AB164" s="31" t="s">
        <v>5044</v>
      </c>
      <c r="AI164" s="54">
        <v>0</v>
      </c>
      <c r="AJ164" s="54">
        <v>0</v>
      </c>
      <c r="AL164" s="76"/>
    </row>
    <row r="165" spans="1:45" ht="63" hidden="1" customHeight="1" x14ac:dyDescent="0.2">
      <c r="A165" s="119">
        <v>5753</v>
      </c>
      <c r="B165" s="119" t="s">
        <v>1746</v>
      </c>
      <c r="C165" s="119" t="s">
        <v>1747</v>
      </c>
      <c r="D165" s="131">
        <v>2023</v>
      </c>
      <c r="E165" s="119"/>
      <c r="F165" s="119" t="s">
        <v>254</v>
      </c>
      <c r="G165" s="119" t="s">
        <v>52</v>
      </c>
      <c r="H165" s="119" t="s">
        <v>53</v>
      </c>
      <c r="I165" s="119" t="s">
        <v>13</v>
      </c>
      <c r="J165" s="119" t="s">
        <v>1748</v>
      </c>
      <c r="K165" s="119" t="s">
        <v>1749</v>
      </c>
      <c r="L165" s="119" t="s">
        <v>5802</v>
      </c>
      <c r="M165" s="119">
        <v>1</v>
      </c>
      <c r="N165" s="119">
        <v>0</v>
      </c>
      <c r="O165" s="119" t="s">
        <v>5044</v>
      </c>
      <c r="P165" s="119">
        <v>0</v>
      </c>
      <c r="Q165" s="119">
        <v>0</v>
      </c>
      <c r="R165" s="119">
        <v>0</v>
      </c>
      <c r="S165" s="119">
        <v>1</v>
      </c>
      <c r="T165" s="119">
        <v>1</v>
      </c>
      <c r="U165" s="119">
        <v>440</v>
      </c>
      <c r="V165" s="119">
        <v>0</v>
      </c>
      <c r="W165" s="119">
        <v>1</v>
      </c>
      <c r="X165" s="119">
        <v>0</v>
      </c>
      <c r="Y165" s="119" t="s">
        <v>5044</v>
      </c>
      <c r="Z165" s="119" t="s">
        <v>5044</v>
      </c>
      <c r="AA165" s="119" t="s">
        <v>5318</v>
      </c>
      <c r="AB165" s="119" t="s">
        <v>5044</v>
      </c>
      <c r="AC165" s="119"/>
      <c r="AD165" s="119"/>
      <c r="AE165" s="119"/>
      <c r="AF165" s="119"/>
      <c r="AG165" s="119"/>
      <c r="AH165" s="119"/>
      <c r="AI165" s="122">
        <v>0</v>
      </c>
      <c r="AJ165" s="122">
        <v>0</v>
      </c>
      <c r="AK165" s="119" t="s">
        <v>5318</v>
      </c>
      <c r="AL165" s="130" t="s">
        <v>5318</v>
      </c>
      <c r="AM165" s="119"/>
      <c r="AN165" s="119"/>
      <c r="AO165" s="119"/>
      <c r="AP165" s="119"/>
      <c r="AQ165" s="119"/>
      <c r="AR165" s="119"/>
    </row>
    <row r="166" spans="1:45" ht="63" customHeight="1" x14ac:dyDescent="0.2">
      <c r="A166" s="31" t="s">
        <v>6451</v>
      </c>
      <c r="B166" s="31" t="s">
        <v>6452</v>
      </c>
      <c r="C166" s="31" t="s">
        <v>6453</v>
      </c>
      <c r="D166" s="47">
        <v>2023</v>
      </c>
      <c r="H166" s="31" t="s">
        <v>6454</v>
      </c>
      <c r="K166" s="31" t="s">
        <v>6455</v>
      </c>
      <c r="L166" s="31" t="s">
        <v>5710</v>
      </c>
      <c r="M166" s="31">
        <v>0</v>
      </c>
      <c r="P166" s="31">
        <v>0</v>
      </c>
      <c r="Q166" s="31">
        <v>0</v>
      </c>
      <c r="R166" s="31">
        <v>0</v>
      </c>
      <c r="S166" s="31">
        <v>9</v>
      </c>
      <c r="T166" s="31">
        <v>1</v>
      </c>
      <c r="U166" s="31">
        <v>80</v>
      </c>
      <c r="V166" s="31">
        <v>0</v>
      </c>
      <c r="W166" s="31">
        <v>1</v>
      </c>
      <c r="X166" s="31">
        <v>0</v>
      </c>
      <c r="Y166" s="31">
        <v>1</v>
      </c>
      <c r="Z166" s="31">
        <v>0</v>
      </c>
      <c r="AB166" s="31">
        <v>1</v>
      </c>
      <c r="AI166" s="54">
        <v>0</v>
      </c>
      <c r="AJ166" s="54">
        <v>0</v>
      </c>
      <c r="AL166" s="76"/>
      <c r="AS166" s="109"/>
    </row>
    <row r="167" spans="1:45" ht="63" hidden="1" customHeight="1" x14ac:dyDescent="0.2">
      <c r="A167" s="150">
        <v>108</v>
      </c>
      <c r="B167" s="150" t="s">
        <v>7795</v>
      </c>
      <c r="C167" s="150" t="s">
        <v>7796</v>
      </c>
      <c r="D167" s="50">
        <v>2023</v>
      </c>
      <c r="E167" s="150" t="s">
        <v>305</v>
      </c>
      <c r="F167" s="150">
        <v>23</v>
      </c>
      <c r="G167" s="150">
        <v>1</v>
      </c>
      <c r="H167" s="150" t="s">
        <v>6595</v>
      </c>
      <c r="I167" s="150" t="s">
        <v>13</v>
      </c>
      <c r="J167" s="150" t="s">
        <v>7797</v>
      </c>
      <c r="K167" s="150" t="s">
        <v>7798</v>
      </c>
      <c r="L167" s="150" t="s">
        <v>7957</v>
      </c>
      <c r="M167" s="150">
        <v>1</v>
      </c>
      <c r="N167" s="150">
        <v>0</v>
      </c>
      <c r="O167" s="150" t="s">
        <v>5044</v>
      </c>
      <c r="P167" s="150">
        <v>0</v>
      </c>
      <c r="Q167" s="150">
        <v>0</v>
      </c>
      <c r="R167" s="150">
        <v>0</v>
      </c>
      <c r="S167" s="150">
        <v>1</v>
      </c>
      <c r="T167" s="150">
        <v>1</v>
      </c>
      <c r="U167" s="150">
        <v>256</v>
      </c>
      <c r="V167" s="150">
        <v>0</v>
      </c>
      <c r="W167" s="150">
        <v>1</v>
      </c>
      <c r="X167" s="150">
        <v>0</v>
      </c>
      <c r="Y167" s="150" t="s">
        <v>5044</v>
      </c>
      <c r="Z167" s="150" t="s">
        <v>5044</v>
      </c>
      <c r="AA167" s="150"/>
      <c r="AB167" s="150"/>
      <c r="AC167" s="150"/>
      <c r="AD167" s="150"/>
      <c r="AE167" s="150"/>
      <c r="AF167" s="150"/>
      <c r="AG167" s="150"/>
      <c r="AH167" s="150"/>
      <c r="AI167" s="151">
        <v>0</v>
      </c>
      <c r="AJ167" s="151"/>
      <c r="AK167" s="150"/>
      <c r="AL167" s="150" t="s">
        <v>8066</v>
      </c>
      <c r="AM167" s="150"/>
      <c r="AN167" s="150"/>
      <c r="AO167" s="32"/>
      <c r="AP167" s="32"/>
      <c r="AQ167" s="32"/>
      <c r="AR167" s="32"/>
    </row>
    <row r="168" spans="1:45" s="61" customFormat="1" ht="63" hidden="1" customHeight="1" x14ac:dyDescent="0.2">
      <c r="A168" s="124">
        <v>310</v>
      </c>
      <c r="B168" s="124" t="s">
        <v>3645</v>
      </c>
      <c r="C168" s="124" t="s">
        <v>3646</v>
      </c>
      <c r="D168" s="132">
        <v>2023</v>
      </c>
      <c r="E168" s="124"/>
      <c r="F168" s="124">
        <v>20</v>
      </c>
      <c r="G168" s="124">
        <v>6</v>
      </c>
      <c r="H168" s="124"/>
      <c r="I168" s="124" t="s">
        <v>13</v>
      </c>
      <c r="J168" s="124" t="s">
        <v>3648</v>
      </c>
      <c r="K168" s="124" t="s">
        <v>3649</v>
      </c>
      <c r="L168" s="124"/>
      <c r="M168" s="124"/>
      <c r="N168" s="124"/>
      <c r="O168" s="124"/>
      <c r="P168" s="124"/>
      <c r="Q168" s="124"/>
      <c r="R168" s="124"/>
      <c r="S168" s="124"/>
      <c r="T168" s="124"/>
      <c r="U168" s="124"/>
      <c r="V168" s="124"/>
      <c r="W168" s="124"/>
      <c r="X168" s="124"/>
      <c r="Y168" s="124"/>
      <c r="Z168" s="124"/>
      <c r="AA168" s="124"/>
      <c r="AB168" s="124"/>
      <c r="AC168" s="124"/>
      <c r="AD168" s="124"/>
      <c r="AE168" s="124"/>
      <c r="AF168" s="124"/>
      <c r="AG168" s="124"/>
      <c r="AH168" s="124"/>
      <c r="AI168" s="124">
        <v>1</v>
      </c>
      <c r="AJ168" s="124"/>
      <c r="AK168" s="124" t="s">
        <v>7948</v>
      </c>
      <c r="AL168" s="133" t="s">
        <v>8067</v>
      </c>
      <c r="AM168" s="124"/>
      <c r="AN168" s="124"/>
      <c r="AO168" s="127"/>
      <c r="AP168" s="127"/>
      <c r="AQ168" s="127"/>
      <c r="AR168" s="127"/>
    </row>
    <row r="169" spans="1:45" ht="63" customHeight="1" x14ac:dyDescent="0.2">
      <c r="A169" s="31">
        <v>9963</v>
      </c>
      <c r="B169" s="31" t="s">
        <v>3645</v>
      </c>
      <c r="C169" s="31" t="s">
        <v>3646</v>
      </c>
      <c r="D169" s="47">
        <v>2023</v>
      </c>
      <c r="F169" s="31" t="s">
        <v>51</v>
      </c>
      <c r="G169" s="31" t="s">
        <v>37</v>
      </c>
      <c r="H169" s="31" t="s">
        <v>3647</v>
      </c>
      <c r="I169" s="31" t="s">
        <v>13</v>
      </c>
      <c r="J169" s="31" t="s">
        <v>3648</v>
      </c>
      <c r="K169" s="31" t="s">
        <v>3649</v>
      </c>
      <c r="L169" s="31" t="s">
        <v>5318</v>
      </c>
      <c r="M169" s="31">
        <v>0</v>
      </c>
      <c r="N169" s="31" t="s">
        <v>5044</v>
      </c>
      <c r="O169" s="31" t="s">
        <v>5044</v>
      </c>
      <c r="P169" s="31">
        <v>0</v>
      </c>
      <c r="Q169" s="31">
        <v>0</v>
      </c>
      <c r="R169" s="31">
        <v>0</v>
      </c>
      <c r="S169" s="67" t="s">
        <v>5270</v>
      </c>
      <c r="T169" s="31">
        <v>1</v>
      </c>
      <c r="U169" s="31">
        <v>124</v>
      </c>
      <c r="V169" s="31">
        <v>0</v>
      </c>
      <c r="W169" s="31">
        <v>1</v>
      </c>
      <c r="X169" s="31">
        <v>0</v>
      </c>
      <c r="Y169" s="31">
        <v>1</v>
      </c>
      <c r="Z169" s="31">
        <v>0</v>
      </c>
      <c r="AA169" s="31" t="s">
        <v>5318</v>
      </c>
      <c r="AB169" s="31">
        <v>0</v>
      </c>
      <c r="AC169" s="31">
        <v>1</v>
      </c>
      <c r="AD169" s="31">
        <v>1.1399999999999999</v>
      </c>
      <c r="AE169" s="31">
        <v>0</v>
      </c>
      <c r="AF169" s="31">
        <v>0</v>
      </c>
      <c r="AI169" s="54">
        <v>0</v>
      </c>
      <c r="AJ169" s="54">
        <v>0</v>
      </c>
      <c r="AL169" s="76"/>
      <c r="AS169" s="109"/>
    </row>
    <row r="170" spans="1:45" ht="63" hidden="1" customHeight="1" x14ac:dyDescent="0.2">
      <c r="A170" s="32">
        <v>10405</v>
      </c>
      <c r="B170" s="32" t="s">
        <v>3841</v>
      </c>
      <c r="C170" s="32" t="s">
        <v>3842</v>
      </c>
      <c r="D170" s="50">
        <v>2023</v>
      </c>
      <c r="E170" s="32" t="s">
        <v>513</v>
      </c>
      <c r="F170" s="32" t="s">
        <v>197</v>
      </c>
      <c r="G170" s="32" t="s">
        <v>144</v>
      </c>
      <c r="H170" s="32" t="s">
        <v>86</v>
      </c>
      <c r="I170" s="32" t="s">
        <v>13</v>
      </c>
      <c r="J170" s="32" t="s">
        <v>3843</v>
      </c>
      <c r="K170" s="32" t="s">
        <v>3844</v>
      </c>
      <c r="L170" s="145" t="s">
        <v>5214</v>
      </c>
      <c r="M170" s="32" t="s">
        <v>5215</v>
      </c>
      <c r="N170" s="32"/>
      <c r="O170" s="32"/>
      <c r="P170" s="32"/>
      <c r="Q170" s="32"/>
      <c r="R170" s="32"/>
      <c r="S170" s="32"/>
      <c r="T170" s="32"/>
      <c r="U170" s="32"/>
      <c r="V170" s="32"/>
      <c r="W170" s="32"/>
      <c r="X170" s="32"/>
      <c r="Y170" s="32"/>
      <c r="Z170" s="32"/>
      <c r="AA170" s="32"/>
      <c r="AB170" s="32"/>
      <c r="AC170" s="32"/>
      <c r="AD170" s="32"/>
      <c r="AE170" s="32"/>
      <c r="AF170" s="32"/>
      <c r="AG170" s="32"/>
      <c r="AH170" s="32"/>
      <c r="AI170" s="144">
        <v>1</v>
      </c>
      <c r="AJ170" s="144">
        <v>0</v>
      </c>
      <c r="AK170" s="32" t="s">
        <v>6270</v>
      </c>
      <c r="AL170" s="155" t="s">
        <v>6270</v>
      </c>
      <c r="AM170" s="32"/>
      <c r="AN170" s="32"/>
      <c r="AO170" s="32"/>
      <c r="AP170" s="32"/>
      <c r="AQ170" s="32"/>
      <c r="AR170" s="32"/>
    </row>
    <row r="171" spans="1:45" ht="63" hidden="1" customHeight="1" x14ac:dyDescent="0.2">
      <c r="A171" s="119">
        <v>5910</v>
      </c>
      <c r="B171" s="119" t="s">
        <v>1787</v>
      </c>
      <c r="C171" s="119" t="s">
        <v>1788</v>
      </c>
      <c r="D171" s="131">
        <v>2023</v>
      </c>
      <c r="E171" s="119"/>
      <c r="F171" s="119" t="s">
        <v>47</v>
      </c>
      <c r="G171" s="119" t="s">
        <v>52</v>
      </c>
      <c r="H171" s="119" t="s">
        <v>273</v>
      </c>
      <c r="I171" s="119" t="s">
        <v>13</v>
      </c>
      <c r="J171" s="119" t="s">
        <v>1789</v>
      </c>
      <c r="K171" s="119" t="s">
        <v>1790</v>
      </c>
      <c r="L171" s="119" t="s">
        <v>5811</v>
      </c>
      <c r="M171" s="119">
        <v>1</v>
      </c>
      <c r="N171" s="119">
        <v>1</v>
      </c>
      <c r="O171" s="119">
        <v>0</v>
      </c>
      <c r="P171" s="119" t="s">
        <v>5318</v>
      </c>
      <c r="Q171" s="119" t="s">
        <v>5318</v>
      </c>
      <c r="R171" s="119" t="s">
        <v>5318</v>
      </c>
      <c r="S171" s="119" t="s">
        <v>5318</v>
      </c>
      <c r="T171" s="119" t="s">
        <v>5318</v>
      </c>
      <c r="U171" s="119" t="s">
        <v>5318</v>
      </c>
      <c r="V171" s="119" t="s">
        <v>5318</v>
      </c>
      <c r="W171" s="119" t="s">
        <v>5318</v>
      </c>
      <c r="X171" s="119" t="s">
        <v>5318</v>
      </c>
      <c r="Y171" s="119" t="s">
        <v>5318</v>
      </c>
      <c r="Z171" s="119" t="s">
        <v>5318</v>
      </c>
      <c r="AA171" s="119" t="s">
        <v>5318</v>
      </c>
      <c r="AB171" s="119" t="s">
        <v>5318</v>
      </c>
      <c r="AC171" s="119"/>
      <c r="AD171" s="119"/>
      <c r="AE171" s="119"/>
      <c r="AF171" s="119"/>
      <c r="AG171" s="119"/>
      <c r="AH171" s="119"/>
      <c r="AI171" s="122">
        <v>1</v>
      </c>
      <c r="AJ171" s="122">
        <v>0</v>
      </c>
      <c r="AK171" s="119" t="s">
        <v>5462</v>
      </c>
      <c r="AL171" s="130" t="s">
        <v>5462</v>
      </c>
      <c r="AM171" s="119"/>
      <c r="AN171" s="119"/>
      <c r="AO171" s="119"/>
      <c r="AP171" s="119"/>
      <c r="AQ171" s="119"/>
      <c r="AR171" s="119"/>
    </row>
    <row r="172" spans="1:45" ht="63" customHeight="1" x14ac:dyDescent="0.2">
      <c r="A172" s="71">
        <v>216</v>
      </c>
      <c r="B172" s="71" t="s">
        <v>7883</v>
      </c>
      <c r="C172" s="71" t="s">
        <v>7884</v>
      </c>
      <c r="D172" s="47">
        <v>2023</v>
      </c>
      <c r="E172" s="71"/>
      <c r="F172" s="71">
        <v>278</v>
      </c>
      <c r="G172" s="71">
        <v>5</v>
      </c>
      <c r="H172" s="71"/>
      <c r="I172" s="71" t="s">
        <v>13</v>
      </c>
      <c r="J172" s="71" t="s">
        <v>7885</v>
      </c>
      <c r="K172" s="71" t="s">
        <v>7886</v>
      </c>
      <c r="L172" s="71" t="s">
        <v>7958</v>
      </c>
      <c r="M172" s="71">
        <v>0</v>
      </c>
      <c r="N172" s="71"/>
      <c r="O172" s="71"/>
      <c r="P172" s="71">
        <v>0</v>
      </c>
      <c r="Q172" s="71">
        <v>0</v>
      </c>
      <c r="R172" s="71">
        <v>0</v>
      </c>
      <c r="S172" s="71">
        <v>2</v>
      </c>
      <c r="T172" s="71">
        <v>1</v>
      </c>
      <c r="U172" s="71">
        <v>104</v>
      </c>
      <c r="V172" s="71">
        <v>0</v>
      </c>
      <c r="W172" s="71">
        <v>1</v>
      </c>
      <c r="X172" s="71">
        <v>0</v>
      </c>
      <c r="Y172" s="71">
        <v>1</v>
      </c>
      <c r="Z172" s="71">
        <v>0</v>
      </c>
      <c r="AA172" s="71">
        <v>0</v>
      </c>
      <c r="AB172" s="71">
        <v>0</v>
      </c>
      <c r="AC172" s="72">
        <v>0</v>
      </c>
      <c r="AD172" s="72">
        <v>0.9</v>
      </c>
      <c r="AE172" s="72">
        <v>0</v>
      </c>
      <c r="AF172" s="71">
        <v>1</v>
      </c>
      <c r="AG172" s="71"/>
      <c r="AH172" s="71"/>
      <c r="AI172" s="71">
        <v>0</v>
      </c>
      <c r="AJ172" s="71"/>
      <c r="AK172" s="71"/>
      <c r="AL172" s="30"/>
      <c r="AM172" s="71"/>
      <c r="AN172" s="71"/>
      <c r="AS172" s="109"/>
    </row>
    <row r="173" spans="1:45" ht="63" customHeight="1" x14ac:dyDescent="0.2">
      <c r="A173" s="30">
        <v>184</v>
      </c>
      <c r="B173" s="30" t="s">
        <v>7864</v>
      </c>
      <c r="C173" s="30" t="s">
        <v>7865</v>
      </c>
      <c r="D173" s="47">
        <v>2023</v>
      </c>
      <c r="E173" s="30"/>
      <c r="F173" s="30">
        <v>158</v>
      </c>
      <c r="G173" s="30">
        <v>12</v>
      </c>
      <c r="H173" s="30"/>
      <c r="I173" s="30" t="s">
        <v>13</v>
      </c>
      <c r="J173" s="30" t="s">
        <v>7866</v>
      </c>
      <c r="K173" s="30" t="s">
        <v>7867</v>
      </c>
      <c r="L173" s="30" t="s">
        <v>7959</v>
      </c>
      <c r="M173" s="30">
        <v>0</v>
      </c>
      <c r="N173" s="30"/>
      <c r="O173" s="30"/>
      <c r="P173" s="30">
        <v>0</v>
      </c>
      <c r="Q173" s="30">
        <v>0</v>
      </c>
      <c r="R173" s="30">
        <v>0</v>
      </c>
      <c r="S173" s="30">
        <v>1</v>
      </c>
      <c r="T173" s="30">
        <v>4</v>
      </c>
      <c r="U173" s="30">
        <v>200</v>
      </c>
      <c r="V173" s="30">
        <v>0</v>
      </c>
      <c r="W173" s="30">
        <v>1</v>
      </c>
      <c r="X173" s="30">
        <v>0</v>
      </c>
      <c r="Y173" s="30">
        <v>1</v>
      </c>
      <c r="Z173" s="30">
        <v>0</v>
      </c>
      <c r="AA173" s="30" t="s">
        <v>5044</v>
      </c>
      <c r="AB173" s="30" t="s">
        <v>7960</v>
      </c>
      <c r="AC173" s="30">
        <v>0</v>
      </c>
      <c r="AD173" s="30">
        <v>8.6999999999999993</v>
      </c>
      <c r="AE173" s="30">
        <v>0</v>
      </c>
      <c r="AF173" s="30">
        <v>1</v>
      </c>
      <c r="AG173" s="30"/>
      <c r="AH173" s="30"/>
      <c r="AI173" s="55"/>
      <c r="AJ173" s="55"/>
      <c r="AK173" s="30" t="s">
        <v>5217</v>
      </c>
      <c r="AL173" s="30" t="s">
        <v>8068</v>
      </c>
      <c r="AM173" s="30"/>
      <c r="AN173" s="30"/>
      <c r="AS173" s="109"/>
    </row>
    <row r="174" spans="1:45" ht="63" customHeight="1" x14ac:dyDescent="0.2">
      <c r="A174" s="31">
        <v>2882</v>
      </c>
      <c r="B174" s="31" t="s">
        <v>7213</v>
      </c>
      <c r="C174" s="31" t="s">
        <v>795</v>
      </c>
      <c r="D174" s="47">
        <v>2023</v>
      </c>
      <c r="E174" s="31" t="s">
        <v>5318</v>
      </c>
      <c r="F174" s="31">
        <v>34</v>
      </c>
      <c r="G174" s="31">
        <v>1</v>
      </c>
      <c r="H174" s="31" t="s">
        <v>7214</v>
      </c>
      <c r="I174" s="31" t="s">
        <v>6516</v>
      </c>
      <c r="J174" s="31" t="s">
        <v>7215</v>
      </c>
      <c r="K174" s="31" t="s">
        <v>796</v>
      </c>
      <c r="L174" s="38" t="s">
        <v>5572</v>
      </c>
      <c r="M174" s="31">
        <v>0</v>
      </c>
      <c r="N174" s="31" t="s">
        <v>5318</v>
      </c>
      <c r="O174" s="31" t="s">
        <v>5318</v>
      </c>
      <c r="P174" s="31">
        <v>0</v>
      </c>
      <c r="Q174" s="31">
        <v>0</v>
      </c>
      <c r="R174" s="31">
        <v>0</v>
      </c>
      <c r="S174" s="31">
        <v>1</v>
      </c>
      <c r="T174" s="31">
        <v>1</v>
      </c>
      <c r="U174" s="31">
        <v>173</v>
      </c>
      <c r="V174" s="31">
        <v>0</v>
      </c>
      <c r="W174" s="31">
        <v>1</v>
      </c>
      <c r="X174" s="31">
        <v>0</v>
      </c>
      <c r="Y174" s="31">
        <v>1</v>
      </c>
      <c r="Z174" s="31">
        <v>0</v>
      </c>
      <c r="AA174" s="31" t="s">
        <v>5318</v>
      </c>
      <c r="AB174" s="31" t="s">
        <v>5044</v>
      </c>
      <c r="AI174" s="54">
        <v>0</v>
      </c>
      <c r="AJ174" s="54">
        <v>0</v>
      </c>
      <c r="AK174" s="31" t="s">
        <v>5573</v>
      </c>
      <c r="AL174" s="76" t="s">
        <v>5573</v>
      </c>
      <c r="AM174" s="31" t="s">
        <v>5318</v>
      </c>
      <c r="AN174" s="31" t="s">
        <v>5318</v>
      </c>
      <c r="AS174" s="109"/>
    </row>
    <row r="175" spans="1:45" ht="63" hidden="1" customHeight="1" x14ac:dyDescent="0.2">
      <c r="A175" s="32">
        <v>10721</v>
      </c>
      <c r="B175" s="32" t="s">
        <v>4030</v>
      </c>
      <c r="C175" s="32" t="s">
        <v>4031</v>
      </c>
      <c r="D175" s="50">
        <v>2023</v>
      </c>
      <c r="E175" s="32" t="s">
        <v>4034</v>
      </c>
      <c r="F175" s="32" t="s">
        <v>191</v>
      </c>
      <c r="G175" s="32" t="s">
        <v>144</v>
      </c>
      <c r="H175" s="32" t="s">
        <v>4032</v>
      </c>
      <c r="I175" s="32" t="s">
        <v>13</v>
      </c>
      <c r="J175" s="32"/>
      <c r="K175" s="32" t="s">
        <v>4033</v>
      </c>
      <c r="L175" s="32"/>
      <c r="M175" s="32"/>
      <c r="N175" s="32"/>
      <c r="O175" s="32"/>
      <c r="P175" s="32"/>
      <c r="Q175" s="32"/>
      <c r="R175" s="32"/>
      <c r="S175" s="32">
        <v>5</v>
      </c>
      <c r="T175" s="32">
        <v>1</v>
      </c>
      <c r="U175" s="32"/>
      <c r="V175" s="32"/>
      <c r="W175" s="32"/>
      <c r="X175" s="32"/>
      <c r="Y175" s="32"/>
      <c r="Z175" s="32"/>
      <c r="AA175" s="32"/>
      <c r="AB175" s="32"/>
      <c r="AC175" s="32"/>
      <c r="AD175" s="32"/>
      <c r="AE175" s="32"/>
      <c r="AF175" s="32"/>
      <c r="AG175" s="32"/>
      <c r="AH175" s="32"/>
      <c r="AI175" s="144">
        <v>1</v>
      </c>
      <c r="AJ175" s="144">
        <v>0</v>
      </c>
      <c r="AK175" s="32" t="s">
        <v>6271</v>
      </c>
      <c r="AL175" s="155" t="s">
        <v>6271</v>
      </c>
      <c r="AM175" s="32"/>
      <c r="AN175" s="32"/>
      <c r="AO175" s="32"/>
      <c r="AP175" s="32"/>
      <c r="AQ175" s="32"/>
      <c r="AR175" s="32"/>
    </row>
    <row r="176" spans="1:45" ht="63" hidden="1" customHeight="1" x14ac:dyDescent="0.2">
      <c r="A176" s="119">
        <v>4264</v>
      </c>
      <c r="B176" s="119" t="s">
        <v>7543</v>
      </c>
      <c r="C176" s="119" t="s">
        <v>1135</v>
      </c>
      <c r="D176" s="131">
        <v>2023</v>
      </c>
      <c r="E176" s="119" t="s">
        <v>5318</v>
      </c>
      <c r="F176" s="119">
        <v>110</v>
      </c>
      <c r="G176" s="119">
        <v>4</v>
      </c>
      <c r="H176" s="119" t="s">
        <v>6530</v>
      </c>
      <c r="I176" s="119" t="s">
        <v>6516</v>
      </c>
      <c r="J176" s="119" t="s">
        <v>7544</v>
      </c>
      <c r="K176" s="119" t="s">
        <v>1136</v>
      </c>
      <c r="L176" s="119" t="s">
        <v>5660</v>
      </c>
      <c r="M176" s="119">
        <v>0</v>
      </c>
      <c r="N176" s="119" t="s">
        <v>5318</v>
      </c>
      <c r="O176" s="119" t="s">
        <v>5318</v>
      </c>
      <c r="P176" s="119">
        <v>0</v>
      </c>
      <c r="Q176" s="119">
        <v>0</v>
      </c>
      <c r="R176" s="119">
        <v>1</v>
      </c>
      <c r="S176" s="119" t="s">
        <v>5318</v>
      </c>
      <c r="T176" s="119" t="s">
        <v>5318</v>
      </c>
      <c r="U176" s="119" t="s">
        <v>5318</v>
      </c>
      <c r="V176" s="119" t="s">
        <v>5318</v>
      </c>
      <c r="W176" s="119" t="s">
        <v>5318</v>
      </c>
      <c r="X176" s="119" t="s">
        <v>5318</v>
      </c>
      <c r="Y176" s="119" t="s">
        <v>5318</v>
      </c>
      <c r="Z176" s="119" t="s">
        <v>5318</v>
      </c>
      <c r="AA176" s="119" t="s">
        <v>5318</v>
      </c>
      <c r="AB176" s="119" t="s">
        <v>5318</v>
      </c>
      <c r="AC176" s="119"/>
      <c r="AD176" s="119"/>
      <c r="AE176" s="119"/>
      <c r="AF176" s="119"/>
      <c r="AG176" s="119"/>
      <c r="AH176" s="119"/>
      <c r="AI176" s="122">
        <v>1</v>
      </c>
      <c r="AJ176" s="122">
        <v>0</v>
      </c>
      <c r="AK176" s="119" t="s">
        <v>6278</v>
      </c>
      <c r="AL176" s="130" t="s">
        <v>6278</v>
      </c>
      <c r="AM176" s="119" t="s">
        <v>5318</v>
      </c>
      <c r="AN176" s="119" t="s">
        <v>5318</v>
      </c>
      <c r="AO176" s="119"/>
      <c r="AP176" s="119"/>
      <c r="AQ176" s="119"/>
      <c r="AR176" s="119"/>
    </row>
    <row r="177" spans="1:45" s="102" customFormat="1" ht="63" customHeight="1" x14ac:dyDescent="0.2">
      <c r="A177" s="99">
        <v>117</v>
      </c>
      <c r="B177" s="99" t="s">
        <v>7799</v>
      </c>
      <c r="C177" s="99" t="s">
        <v>7800</v>
      </c>
      <c r="D177" s="100">
        <v>2023</v>
      </c>
      <c r="E177" s="99"/>
      <c r="F177" s="99">
        <v>49</v>
      </c>
      <c r="G177" s="99">
        <v>12</v>
      </c>
      <c r="H177" s="99" t="s">
        <v>1321</v>
      </c>
      <c r="I177" s="99" t="s">
        <v>13</v>
      </c>
      <c r="J177" s="99" t="s">
        <v>7801</v>
      </c>
      <c r="K177" s="99" t="s">
        <v>7802</v>
      </c>
      <c r="L177" s="99" t="s">
        <v>5423</v>
      </c>
      <c r="M177" s="99">
        <v>0</v>
      </c>
      <c r="N177" s="99"/>
      <c r="O177" s="99"/>
      <c r="P177" s="99">
        <v>0</v>
      </c>
      <c r="Q177" s="99">
        <v>0</v>
      </c>
      <c r="R177" s="99">
        <v>1</v>
      </c>
      <c r="S177" s="99">
        <v>1</v>
      </c>
      <c r="T177" s="99">
        <v>1</v>
      </c>
      <c r="U177" s="99">
        <v>211</v>
      </c>
      <c r="V177" s="99">
        <v>1</v>
      </c>
      <c r="W177" s="99">
        <v>0</v>
      </c>
      <c r="X177" s="99">
        <v>0</v>
      </c>
      <c r="Y177" s="99">
        <v>1</v>
      </c>
      <c r="Z177" s="99">
        <v>0</v>
      </c>
      <c r="AA177" s="99"/>
      <c r="AB177" s="99">
        <v>0</v>
      </c>
      <c r="AC177" s="99">
        <v>0</v>
      </c>
      <c r="AD177" s="99">
        <v>0</v>
      </c>
      <c r="AE177" s="99">
        <v>0</v>
      </c>
      <c r="AF177" s="99">
        <v>1</v>
      </c>
      <c r="AG177" s="99">
        <v>0</v>
      </c>
      <c r="AH177" s="99"/>
      <c r="AI177" s="99" t="s">
        <v>8117</v>
      </c>
      <c r="AJ177" s="99"/>
      <c r="AK177" s="101" t="s">
        <v>8120</v>
      </c>
      <c r="AL177" s="99" t="s">
        <v>8091</v>
      </c>
      <c r="AM177" s="99">
        <v>1</v>
      </c>
      <c r="AN177" s="99">
        <v>0</v>
      </c>
      <c r="AO177" s="99">
        <v>0</v>
      </c>
      <c r="AP177" s="102" t="s">
        <v>8119</v>
      </c>
      <c r="AQ177" s="102">
        <v>0</v>
      </c>
      <c r="AR177" s="101" t="s">
        <v>5044</v>
      </c>
      <c r="AS177" s="110"/>
    </row>
    <row r="178" spans="1:45" ht="63" hidden="1" customHeight="1" x14ac:dyDescent="0.2">
      <c r="A178" s="159">
        <v>180</v>
      </c>
      <c r="B178" s="159" t="s">
        <v>7860</v>
      </c>
      <c r="C178" s="159" t="s">
        <v>7861</v>
      </c>
      <c r="D178" s="131">
        <v>2023</v>
      </c>
      <c r="E178" s="159" t="s">
        <v>5015</v>
      </c>
      <c r="F178" s="159">
        <v>24</v>
      </c>
      <c r="G178" s="159">
        <v>1</v>
      </c>
      <c r="H178" s="159" t="s">
        <v>6538</v>
      </c>
      <c r="I178" s="159" t="s">
        <v>13</v>
      </c>
      <c r="J178" s="159" t="s">
        <v>7862</v>
      </c>
      <c r="K178" s="159" t="s">
        <v>7863</v>
      </c>
      <c r="L178" s="159" t="s">
        <v>7961</v>
      </c>
      <c r="M178" s="159">
        <v>1</v>
      </c>
      <c r="N178" s="159">
        <v>1</v>
      </c>
      <c r="O178" s="159">
        <v>1</v>
      </c>
      <c r="P178" s="159">
        <v>0</v>
      </c>
      <c r="Q178" s="159">
        <v>0</v>
      </c>
      <c r="R178" s="159">
        <v>0</v>
      </c>
      <c r="S178" s="159">
        <v>1</v>
      </c>
      <c r="T178" s="159">
        <v>4</v>
      </c>
      <c r="U178" s="159">
        <v>300</v>
      </c>
      <c r="V178" s="159">
        <v>1</v>
      </c>
      <c r="W178" s="159">
        <v>0</v>
      </c>
      <c r="X178" s="159">
        <v>0</v>
      </c>
      <c r="Y178" s="159" t="s">
        <v>5044</v>
      </c>
      <c r="Z178" s="159" t="s">
        <v>5044</v>
      </c>
      <c r="AA178" s="159" t="s">
        <v>5044</v>
      </c>
      <c r="AB178" s="159" t="s">
        <v>5044</v>
      </c>
      <c r="AC178" s="159"/>
      <c r="AD178" s="159"/>
      <c r="AE178" s="159"/>
      <c r="AF178" s="159"/>
      <c r="AG178" s="159"/>
      <c r="AH178" s="159"/>
      <c r="AI178" s="160"/>
      <c r="AJ178" s="160"/>
      <c r="AK178" s="159" t="s">
        <v>7989</v>
      </c>
      <c r="AL178" s="159" t="s">
        <v>8041</v>
      </c>
      <c r="AM178" s="159"/>
      <c r="AN178" s="159"/>
      <c r="AO178" s="115"/>
      <c r="AP178" s="115"/>
      <c r="AQ178" s="115"/>
      <c r="AR178" s="115"/>
    </row>
    <row r="179" spans="1:45" ht="63" customHeight="1" x14ac:dyDescent="0.2">
      <c r="A179" s="31">
        <v>2879</v>
      </c>
      <c r="B179" s="31" t="s">
        <v>7209</v>
      </c>
      <c r="C179" s="31" t="s">
        <v>790</v>
      </c>
      <c r="D179" s="47">
        <v>2023</v>
      </c>
      <c r="E179" s="31" t="s">
        <v>5318</v>
      </c>
      <c r="F179" s="31">
        <v>110</v>
      </c>
      <c r="G179" s="31">
        <v>2</v>
      </c>
      <c r="H179" s="31" t="s">
        <v>6530</v>
      </c>
      <c r="I179" s="31" t="s">
        <v>6516</v>
      </c>
      <c r="J179" s="31" t="s">
        <v>7210</v>
      </c>
      <c r="K179" s="31" t="s">
        <v>792</v>
      </c>
      <c r="L179" s="38" t="s">
        <v>5570</v>
      </c>
      <c r="M179" s="31">
        <v>0</v>
      </c>
      <c r="N179" s="31" t="s">
        <v>5318</v>
      </c>
      <c r="O179" s="31" t="s">
        <v>5318</v>
      </c>
      <c r="P179" s="31">
        <v>0</v>
      </c>
      <c r="Q179" s="31">
        <v>0</v>
      </c>
      <c r="R179" s="31">
        <v>0</v>
      </c>
      <c r="S179" s="31">
        <v>1</v>
      </c>
      <c r="T179" s="31">
        <v>1</v>
      </c>
      <c r="U179" s="31">
        <v>16</v>
      </c>
      <c r="V179" s="31">
        <v>0</v>
      </c>
      <c r="W179" s="31">
        <v>1</v>
      </c>
      <c r="X179" s="31">
        <v>0</v>
      </c>
      <c r="Y179" s="31">
        <v>1</v>
      </c>
      <c r="Z179" s="31">
        <v>0</v>
      </c>
      <c r="AA179" s="31" t="s">
        <v>5318</v>
      </c>
      <c r="AB179" s="31">
        <v>1</v>
      </c>
      <c r="AI179" s="54">
        <v>0</v>
      </c>
      <c r="AJ179" s="54">
        <v>0</v>
      </c>
      <c r="AK179" s="31" t="s">
        <v>5318</v>
      </c>
      <c r="AL179" s="31" t="s">
        <v>5318</v>
      </c>
      <c r="AM179" s="31" t="s">
        <v>5318</v>
      </c>
      <c r="AN179" s="31" t="s">
        <v>5318</v>
      </c>
      <c r="AS179" s="109"/>
    </row>
    <row r="180" spans="1:45" ht="63" customHeight="1" x14ac:dyDescent="0.2">
      <c r="A180" s="71">
        <v>149</v>
      </c>
      <c r="B180" s="71" t="s">
        <v>7825</v>
      </c>
      <c r="C180" s="71" t="s">
        <v>7826</v>
      </c>
      <c r="D180" s="83">
        <v>2024</v>
      </c>
      <c r="E180" s="71"/>
      <c r="F180" s="71">
        <v>176</v>
      </c>
      <c r="G180" s="71">
        <v>4</v>
      </c>
      <c r="H180" s="71" t="s">
        <v>2624</v>
      </c>
      <c r="I180" s="71" t="s">
        <v>13</v>
      </c>
      <c r="J180" s="71" t="s">
        <v>7827</v>
      </c>
      <c r="K180" s="71" t="s">
        <v>7828</v>
      </c>
      <c r="L180" s="71" t="s">
        <v>7962</v>
      </c>
      <c r="M180" s="71">
        <v>0</v>
      </c>
      <c r="N180" s="71"/>
      <c r="O180" s="71"/>
      <c r="P180" s="71">
        <v>0</v>
      </c>
      <c r="Q180" s="71">
        <v>0</v>
      </c>
      <c r="R180" s="71">
        <v>0</v>
      </c>
      <c r="S180" s="71">
        <v>1</v>
      </c>
      <c r="T180" s="71">
        <v>4</v>
      </c>
      <c r="U180" s="71">
        <v>140</v>
      </c>
      <c r="V180" s="71">
        <v>1</v>
      </c>
      <c r="W180" s="71">
        <v>0</v>
      </c>
      <c r="X180" s="71">
        <v>0</v>
      </c>
      <c r="Y180" s="71">
        <v>1</v>
      </c>
      <c r="Z180" s="71">
        <v>0</v>
      </c>
      <c r="AA180" s="71" t="s">
        <v>5044</v>
      </c>
      <c r="AB180" s="71">
        <v>0</v>
      </c>
      <c r="AC180" s="71">
        <v>0</v>
      </c>
      <c r="AD180" s="72">
        <v>1.7</v>
      </c>
      <c r="AE180" s="71">
        <v>0</v>
      </c>
      <c r="AF180" s="72">
        <v>0</v>
      </c>
      <c r="AG180" s="72">
        <v>1</v>
      </c>
      <c r="AH180" s="72" t="s">
        <v>8118</v>
      </c>
      <c r="AI180" s="71"/>
      <c r="AJ180" s="71"/>
      <c r="AK180" s="71" t="s">
        <v>7963</v>
      </c>
      <c r="AL180" s="78" t="s">
        <v>8090</v>
      </c>
      <c r="AM180" s="71">
        <v>2</v>
      </c>
      <c r="AN180" s="71">
        <v>0</v>
      </c>
      <c r="AO180" s="71" t="s">
        <v>5044</v>
      </c>
      <c r="AP180" s="81" t="s">
        <v>5044</v>
      </c>
      <c r="AQ180" s="31">
        <v>0</v>
      </c>
      <c r="AR180" s="81" t="s">
        <v>5044</v>
      </c>
      <c r="AS180" s="109"/>
    </row>
    <row r="181" spans="1:45" ht="63" customHeight="1" x14ac:dyDescent="0.2">
      <c r="A181" s="71">
        <v>28</v>
      </c>
      <c r="B181" s="71" t="s">
        <v>7693</v>
      </c>
      <c r="C181" s="71" t="s">
        <v>7694</v>
      </c>
      <c r="D181" s="83">
        <v>2024</v>
      </c>
      <c r="E181" s="71"/>
      <c r="F181" s="71">
        <v>99</v>
      </c>
      <c r="G181" s="71"/>
      <c r="H181" s="71" t="s">
        <v>7964</v>
      </c>
      <c r="I181" s="71" t="s">
        <v>13</v>
      </c>
      <c r="J181" s="71" t="s">
        <v>7695</v>
      </c>
      <c r="K181" s="71" t="s">
        <v>7696</v>
      </c>
      <c r="L181" s="71" t="s">
        <v>7965</v>
      </c>
      <c r="M181" s="71">
        <v>0</v>
      </c>
      <c r="N181" s="71" t="s">
        <v>5044</v>
      </c>
      <c r="O181" s="71" t="s">
        <v>5044</v>
      </c>
      <c r="P181" s="71">
        <v>0</v>
      </c>
      <c r="Q181" s="71">
        <v>0</v>
      </c>
      <c r="R181" s="71">
        <v>0</v>
      </c>
      <c r="S181" s="71">
        <v>9</v>
      </c>
      <c r="T181" s="71">
        <v>4</v>
      </c>
      <c r="U181" s="71">
        <v>160</v>
      </c>
      <c r="V181" s="71">
        <v>1</v>
      </c>
      <c r="W181" s="71">
        <v>0</v>
      </c>
      <c r="X181" s="71">
        <v>0</v>
      </c>
      <c r="Y181" s="71">
        <v>1</v>
      </c>
      <c r="Z181" s="71">
        <v>0</v>
      </c>
      <c r="AA181" s="71"/>
      <c r="AB181" s="71">
        <v>1</v>
      </c>
      <c r="AC181" s="71">
        <v>1</v>
      </c>
      <c r="AD181" s="71">
        <v>3.9</v>
      </c>
      <c r="AE181" s="71">
        <v>0</v>
      </c>
      <c r="AF181" s="72">
        <v>0</v>
      </c>
      <c r="AG181" s="72">
        <v>1</v>
      </c>
      <c r="AH181" s="72" t="s">
        <v>8116</v>
      </c>
      <c r="AI181" s="71">
        <v>0</v>
      </c>
      <c r="AJ181" s="71"/>
      <c r="AK181" s="71"/>
      <c r="AL181" s="78" t="s">
        <v>8089</v>
      </c>
      <c r="AM181" s="71">
        <v>2</v>
      </c>
      <c r="AN181" s="71">
        <v>1</v>
      </c>
      <c r="AO181" s="71" t="s">
        <v>5044</v>
      </c>
      <c r="AP181" s="81" t="s">
        <v>5044</v>
      </c>
      <c r="AS181" s="109"/>
    </row>
    <row r="182" spans="1:45" s="65" customFormat="1" ht="63" customHeight="1" x14ac:dyDescent="0.2">
      <c r="A182" s="63">
        <v>158</v>
      </c>
      <c r="B182" s="63" t="s">
        <v>7833</v>
      </c>
      <c r="C182" s="63" t="s">
        <v>7834</v>
      </c>
      <c r="D182" s="170">
        <v>2024</v>
      </c>
      <c r="E182" s="63"/>
      <c r="F182" s="63">
        <v>65</v>
      </c>
      <c r="G182" s="63">
        <v>1</v>
      </c>
      <c r="H182" s="63" t="s">
        <v>7966</v>
      </c>
      <c r="I182" s="63" t="s">
        <v>13</v>
      </c>
      <c r="J182" s="63" t="s">
        <v>7835</v>
      </c>
      <c r="K182" s="63" t="s">
        <v>7836</v>
      </c>
      <c r="L182" s="63" t="s">
        <v>8014</v>
      </c>
      <c r="M182" s="63">
        <v>0</v>
      </c>
      <c r="N182" s="63" t="s">
        <v>5044</v>
      </c>
      <c r="O182" s="63" t="s">
        <v>5044</v>
      </c>
      <c r="P182" s="63">
        <v>0</v>
      </c>
      <c r="Q182" s="63">
        <v>0</v>
      </c>
      <c r="R182" s="63">
        <v>0</v>
      </c>
      <c r="S182" s="63">
        <v>7</v>
      </c>
      <c r="T182" s="63">
        <v>4</v>
      </c>
      <c r="U182" s="63">
        <v>110</v>
      </c>
      <c r="V182" s="63">
        <v>0</v>
      </c>
      <c r="W182" s="63">
        <v>1</v>
      </c>
      <c r="X182" s="63">
        <v>0</v>
      </c>
      <c r="Y182" s="63">
        <v>1</v>
      </c>
      <c r="Z182" s="63">
        <v>0</v>
      </c>
      <c r="AA182" s="63"/>
      <c r="AB182" s="63">
        <v>1</v>
      </c>
      <c r="AC182" s="63">
        <v>1</v>
      </c>
      <c r="AD182" s="63">
        <v>2.9</v>
      </c>
      <c r="AE182" s="63">
        <v>0</v>
      </c>
      <c r="AF182" s="62">
        <v>0</v>
      </c>
      <c r="AG182" s="62"/>
      <c r="AH182" s="62"/>
      <c r="AI182" s="63"/>
      <c r="AJ182" s="63"/>
      <c r="AK182" s="63"/>
      <c r="AL182" s="74" t="s">
        <v>8028</v>
      </c>
      <c r="AM182" s="63"/>
      <c r="AN182" s="63"/>
      <c r="AS182" s="111"/>
    </row>
    <row r="183" spans="1:45" s="70" customFormat="1" ht="63" customHeight="1" x14ac:dyDescent="0.2">
      <c r="A183" s="68">
        <v>66</v>
      </c>
      <c r="B183" s="68" t="s">
        <v>7748</v>
      </c>
      <c r="C183" s="68" t="s">
        <v>7749</v>
      </c>
      <c r="D183" s="84">
        <v>2024</v>
      </c>
      <c r="E183" s="68"/>
      <c r="F183" s="68">
        <v>409</v>
      </c>
      <c r="G183" s="68">
        <v>1</v>
      </c>
      <c r="H183" s="68" t="s">
        <v>596</v>
      </c>
      <c r="I183" s="68" t="s">
        <v>13</v>
      </c>
      <c r="J183" s="68" t="s">
        <v>7750</v>
      </c>
      <c r="K183" s="68" t="s">
        <v>7751</v>
      </c>
      <c r="L183" s="68" t="s">
        <v>6218</v>
      </c>
      <c r="M183" s="68">
        <v>0</v>
      </c>
      <c r="N183" s="68" t="s">
        <v>5044</v>
      </c>
      <c r="O183" s="68" t="s">
        <v>5044</v>
      </c>
      <c r="P183" s="68">
        <v>1</v>
      </c>
      <c r="Q183" s="68">
        <v>0</v>
      </c>
      <c r="R183" s="68">
        <v>0</v>
      </c>
      <c r="S183" s="68">
        <v>1</v>
      </c>
      <c r="T183" s="68">
        <v>1</v>
      </c>
      <c r="U183" s="68">
        <v>30</v>
      </c>
      <c r="V183" s="68">
        <v>1</v>
      </c>
      <c r="W183" s="68">
        <v>0</v>
      </c>
      <c r="X183" s="68">
        <v>0</v>
      </c>
      <c r="Y183" s="68">
        <v>1</v>
      </c>
      <c r="Z183" s="68">
        <v>0</v>
      </c>
      <c r="AA183" s="68" t="s">
        <v>5044</v>
      </c>
      <c r="AB183" s="68">
        <v>0</v>
      </c>
      <c r="AC183" s="68">
        <v>0</v>
      </c>
      <c r="AD183" s="68">
        <v>2.7</v>
      </c>
      <c r="AE183" s="68">
        <v>0</v>
      </c>
      <c r="AF183" s="91">
        <v>0</v>
      </c>
      <c r="AG183" s="91">
        <v>0</v>
      </c>
      <c r="AH183" s="91" t="s">
        <v>8115</v>
      </c>
      <c r="AI183" s="68" t="s">
        <v>8117</v>
      </c>
      <c r="AJ183" s="68"/>
      <c r="AK183" s="68" t="s">
        <v>7813</v>
      </c>
      <c r="AL183" s="89" t="s">
        <v>8086</v>
      </c>
      <c r="AM183" s="68">
        <v>1</v>
      </c>
      <c r="AN183" s="68">
        <v>1</v>
      </c>
      <c r="AO183" s="68">
        <v>0</v>
      </c>
      <c r="AP183" s="70" t="s">
        <v>8114</v>
      </c>
      <c r="AQ183" s="90" t="s">
        <v>5044</v>
      </c>
      <c r="AS183" s="112"/>
    </row>
    <row r="184" spans="1:45" s="70" customFormat="1" ht="63" hidden="1" customHeight="1" x14ac:dyDescent="0.2">
      <c r="A184" s="161">
        <v>175</v>
      </c>
      <c r="B184" s="161" t="s">
        <v>7849</v>
      </c>
      <c r="C184" s="161" t="s">
        <v>7850</v>
      </c>
      <c r="D184" s="69">
        <v>2024</v>
      </c>
      <c r="E184" s="161"/>
      <c r="F184" s="161">
        <v>8</v>
      </c>
      <c r="G184" s="161">
        <v>2</v>
      </c>
      <c r="H184" s="161" t="s">
        <v>7967</v>
      </c>
      <c r="I184" s="161" t="s">
        <v>13</v>
      </c>
      <c r="J184" s="161" t="s">
        <v>7851</v>
      </c>
      <c r="K184" s="161" t="s">
        <v>7852</v>
      </c>
      <c r="L184" s="161" t="s">
        <v>5343</v>
      </c>
      <c r="M184" s="161">
        <v>0</v>
      </c>
      <c r="N184" s="161"/>
      <c r="O184" s="161"/>
      <c r="P184" s="161"/>
      <c r="Q184" s="161"/>
      <c r="R184" s="161">
        <v>1</v>
      </c>
      <c r="S184" s="161">
        <v>2</v>
      </c>
      <c r="T184" s="161">
        <v>1</v>
      </c>
      <c r="U184" s="161"/>
      <c r="V184" s="161"/>
      <c r="W184" s="161"/>
      <c r="X184" s="161"/>
      <c r="Y184" s="161"/>
      <c r="Z184" s="161"/>
      <c r="AA184" s="161"/>
      <c r="AB184" s="161"/>
      <c r="AC184" s="161"/>
      <c r="AD184" s="161"/>
      <c r="AE184" s="161"/>
      <c r="AF184" s="161"/>
      <c r="AG184" s="161"/>
      <c r="AH184" s="161"/>
      <c r="AI184" s="161">
        <v>1</v>
      </c>
      <c r="AJ184" s="162"/>
      <c r="AK184" s="163" t="s">
        <v>7968</v>
      </c>
      <c r="AL184" s="75" t="s">
        <v>8029</v>
      </c>
      <c r="AM184" s="161"/>
      <c r="AN184" s="161"/>
      <c r="AO184" s="162"/>
      <c r="AP184" s="162"/>
      <c r="AQ184" s="162"/>
      <c r="AR184" s="162"/>
    </row>
    <row r="185" spans="1:45" ht="63" hidden="1" customHeight="1" x14ac:dyDescent="0.2">
      <c r="A185" s="133">
        <v>8</v>
      </c>
      <c r="B185" s="133" t="s">
        <v>7685</v>
      </c>
      <c r="C185" s="133" t="s">
        <v>7686</v>
      </c>
      <c r="D185" s="135">
        <v>2024</v>
      </c>
      <c r="E185" s="133" t="s">
        <v>305</v>
      </c>
      <c r="F185" s="133">
        <v>25</v>
      </c>
      <c r="G185" s="133">
        <v>1</v>
      </c>
      <c r="H185" s="133" t="s">
        <v>7969</v>
      </c>
      <c r="I185" s="133" t="s">
        <v>13</v>
      </c>
      <c r="J185" s="133" t="s">
        <v>7687</v>
      </c>
      <c r="K185" s="133" t="s">
        <v>7688</v>
      </c>
      <c r="L185" s="133" t="s">
        <v>7970</v>
      </c>
      <c r="M185" s="133">
        <v>1</v>
      </c>
      <c r="N185" s="133">
        <v>0</v>
      </c>
      <c r="O185" s="133" t="s">
        <v>5044</v>
      </c>
      <c r="P185" s="133">
        <v>0</v>
      </c>
      <c r="Q185" s="133">
        <v>0</v>
      </c>
      <c r="R185" s="133">
        <v>0</v>
      </c>
      <c r="S185" s="133">
        <v>1</v>
      </c>
      <c r="T185" s="133">
        <v>4</v>
      </c>
      <c r="U185" s="133">
        <v>94</v>
      </c>
      <c r="V185" s="133">
        <v>0</v>
      </c>
      <c r="W185" s="133">
        <v>1</v>
      </c>
      <c r="X185" s="133">
        <v>0</v>
      </c>
      <c r="Y185" s="133" t="s">
        <v>5044</v>
      </c>
      <c r="Z185" s="133"/>
      <c r="AA185" s="133"/>
      <c r="AB185" s="133"/>
      <c r="AC185" s="133"/>
      <c r="AD185" s="133"/>
      <c r="AE185" s="133"/>
      <c r="AF185" s="133"/>
      <c r="AG185" s="133"/>
      <c r="AH185" s="133"/>
      <c r="AI185" s="134"/>
      <c r="AJ185" s="134"/>
      <c r="AK185" s="133"/>
      <c r="AL185" s="136" t="s">
        <v>8030</v>
      </c>
      <c r="AM185" s="133"/>
      <c r="AN185" s="133"/>
      <c r="AO185" s="119"/>
      <c r="AP185" s="119"/>
      <c r="AQ185" s="119"/>
      <c r="AR185" s="119"/>
    </row>
    <row r="186" spans="1:45" s="70" customFormat="1" ht="63" customHeight="1" x14ac:dyDescent="0.2">
      <c r="A186" s="68">
        <v>146</v>
      </c>
      <c r="B186" s="68" t="s">
        <v>7817</v>
      </c>
      <c r="C186" s="68" t="s">
        <v>7818</v>
      </c>
      <c r="D186" s="84">
        <v>2024</v>
      </c>
      <c r="E186" s="68"/>
      <c r="F186" s="68">
        <v>42</v>
      </c>
      <c r="G186" s="68">
        <v>15</v>
      </c>
      <c r="H186" s="68" t="s">
        <v>7971</v>
      </c>
      <c r="I186" s="68" t="s">
        <v>13</v>
      </c>
      <c r="J186" s="68" t="s">
        <v>7819</v>
      </c>
      <c r="K186" s="68" t="s">
        <v>7820</v>
      </c>
      <c r="L186" s="68"/>
      <c r="M186" s="68">
        <v>0</v>
      </c>
      <c r="N186" s="68" t="s">
        <v>5044</v>
      </c>
      <c r="O186" s="68" t="s">
        <v>5044</v>
      </c>
      <c r="P186" s="68">
        <v>0</v>
      </c>
      <c r="Q186" s="68">
        <v>0</v>
      </c>
      <c r="R186" s="68">
        <v>0</v>
      </c>
      <c r="S186" s="68">
        <v>1</v>
      </c>
      <c r="T186" s="68">
        <v>1</v>
      </c>
      <c r="U186" s="68">
        <v>352</v>
      </c>
      <c r="V186" s="68">
        <v>0</v>
      </c>
      <c r="W186" s="68">
        <v>1</v>
      </c>
      <c r="X186" s="68">
        <v>0</v>
      </c>
      <c r="Y186" s="68">
        <v>1</v>
      </c>
      <c r="Z186" s="68">
        <v>1</v>
      </c>
      <c r="AA186" s="62" t="s">
        <v>7972</v>
      </c>
      <c r="AB186" s="62">
        <v>1</v>
      </c>
      <c r="AC186" s="62">
        <v>0</v>
      </c>
      <c r="AD186" s="62"/>
      <c r="AE186" s="62"/>
      <c r="AF186" s="62"/>
      <c r="AG186" s="62"/>
      <c r="AH186" s="62"/>
      <c r="AI186" s="68"/>
      <c r="AJ186" s="68"/>
      <c r="AK186" s="68"/>
      <c r="AL186" s="74" t="s">
        <v>8031</v>
      </c>
      <c r="AM186" s="68"/>
      <c r="AN186" s="68"/>
      <c r="AS186" s="112"/>
    </row>
    <row r="187" spans="1:45" ht="63" hidden="1" customHeight="1" x14ac:dyDescent="0.2">
      <c r="A187" s="159">
        <v>39</v>
      </c>
      <c r="B187" s="159" t="s">
        <v>7701</v>
      </c>
      <c r="C187" s="159" t="s">
        <v>7702</v>
      </c>
      <c r="D187" s="135">
        <v>2024</v>
      </c>
      <c r="E187" s="159" t="s">
        <v>305</v>
      </c>
      <c r="F187" s="159">
        <v>25</v>
      </c>
      <c r="G187" s="159">
        <v>1</v>
      </c>
      <c r="H187" s="159" t="s">
        <v>7969</v>
      </c>
      <c r="I187" s="159" t="s">
        <v>13</v>
      </c>
      <c r="J187" s="159" t="s">
        <v>7703</v>
      </c>
      <c r="K187" s="159" t="s">
        <v>7704</v>
      </c>
      <c r="L187" s="159" t="s">
        <v>7973</v>
      </c>
      <c r="M187" s="159">
        <v>1</v>
      </c>
      <c r="N187" s="159" t="s">
        <v>5044</v>
      </c>
      <c r="O187" s="159" t="s">
        <v>5044</v>
      </c>
      <c r="P187" s="159">
        <v>0</v>
      </c>
      <c r="Q187" s="159">
        <v>0</v>
      </c>
      <c r="R187" s="159">
        <v>0</v>
      </c>
      <c r="S187" s="159">
        <v>1</v>
      </c>
      <c r="T187" s="159">
        <v>1</v>
      </c>
      <c r="U187" s="159">
        <v>192</v>
      </c>
      <c r="V187" s="159">
        <v>1</v>
      </c>
      <c r="W187" s="159">
        <v>0</v>
      </c>
      <c r="X187" s="159">
        <v>0</v>
      </c>
      <c r="Y187" s="159" t="s">
        <v>5044</v>
      </c>
      <c r="Z187" s="159"/>
      <c r="AA187" s="159"/>
      <c r="AB187" s="159"/>
      <c r="AC187" s="159"/>
      <c r="AD187" s="159"/>
      <c r="AE187" s="159"/>
      <c r="AF187" s="159"/>
      <c r="AG187" s="159"/>
      <c r="AH187" s="159"/>
      <c r="AI187" s="160"/>
      <c r="AJ187" s="160"/>
      <c r="AK187" s="159"/>
      <c r="AL187" s="136" t="s">
        <v>8032</v>
      </c>
      <c r="AM187" s="159"/>
      <c r="AN187" s="159"/>
      <c r="AO187" s="115"/>
      <c r="AP187" s="115"/>
      <c r="AQ187" s="115"/>
      <c r="AR187" s="115"/>
    </row>
    <row r="188" spans="1:45" ht="63" customHeight="1" x14ac:dyDescent="0.2">
      <c r="A188" s="30">
        <v>131</v>
      </c>
      <c r="B188" s="30" t="s">
        <v>7807</v>
      </c>
      <c r="C188" s="30" t="s">
        <v>7808</v>
      </c>
      <c r="D188" s="48">
        <v>2024</v>
      </c>
      <c r="E188" s="30"/>
      <c r="F188" s="30">
        <v>159</v>
      </c>
      <c r="G188" s="30">
        <v>6</v>
      </c>
      <c r="H188" s="30" t="s">
        <v>6676</v>
      </c>
      <c r="I188" s="30" t="s">
        <v>13</v>
      </c>
      <c r="J188" s="30" t="s">
        <v>7809</v>
      </c>
      <c r="K188" s="30" t="s">
        <v>7810</v>
      </c>
      <c r="L188" s="30" t="s">
        <v>7974</v>
      </c>
      <c r="M188" s="30">
        <v>0</v>
      </c>
      <c r="N188" s="30" t="s">
        <v>5044</v>
      </c>
      <c r="O188" s="30" t="s">
        <v>5044</v>
      </c>
      <c r="P188" s="30">
        <v>0</v>
      </c>
      <c r="Q188" s="30">
        <v>0</v>
      </c>
      <c r="R188" s="30">
        <v>0</v>
      </c>
      <c r="S188" s="30">
        <v>1</v>
      </c>
      <c r="T188" s="30">
        <v>1</v>
      </c>
      <c r="U188" s="30">
        <v>610</v>
      </c>
      <c r="V188" s="30">
        <v>1</v>
      </c>
      <c r="W188" s="30">
        <v>0</v>
      </c>
      <c r="X188" s="30">
        <v>0</v>
      </c>
      <c r="Y188" s="30">
        <v>1</v>
      </c>
      <c r="Z188" s="30">
        <v>0</v>
      </c>
      <c r="AA188" s="30"/>
      <c r="AB188" s="30">
        <v>1</v>
      </c>
      <c r="AC188" s="30">
        <v>1</v>
      </c>
      <c r="AD188" s="30">
        <v>8.6999999999999993</v>
      </c>
      <c r="AE188" s="30">
        <v>0</v>
      </c>
      <c r="AF188" s="30">
        <v>1</v>
      </c>
      <c r="AG188" s="30">
        <v>1</v>
      </c>
      <c r="AH188" s="30" t="s">
        <v>8112</v>
      </c>
      <c r="AI188" s="55">
        <v>0</v>
      </c>
      <c r="AJ188" s="55"/>
      <c r="AK188" s="30"/>
      <c r="AL188" s="30" t="s">
        <v>8085</v>
      </c>
      <c r="AM188" s="30">
        <v>1</v>
      </c>
      <c r="AN188" s="30">
        <v>1</v>
      </c>
      <c r="AO188" s="30">
        <v>1</v>
      </c>
      <c r="AP188" s="31" t="s">
        <v>8113</v>
      </c>
      <c r="AQ188" s="31">
        <v>0</v>
      </c>
      <c r="AR188" s="81" t="s">
        <v>5044</v>
      </c>
      <c r="AS188" s="109"/>
    </row>
    <row r="189" spans="1:45" s="70" customFormat="1" ht="63" hidden="1" customHeight="1" x14ac:dyDescent="0.2">
      <c r="A189" s="161">
        <v>40</v>
      </c>
      <c r="B189" s="161" t="s">
        <v>7705</v>
      </c>
      <c r="C189" s="161" t="s">
        <v>7706</v>
      </c>
      <c r="D189" s="69">
        <v>2024</v>
      </c>
      <c r="E189" s="161" t="s">
        <v>305</v>
      </c>
      <c r="F189" s="161">
        <v>14</v>
      </c>
      <c r="G189" s="161">
        <v>12</v>
      </c>
      <c r="H189" s="161" t="s">
        <v>7975</v>
      </c>
      <c r="I189" s="161" t="s">
        <v>13</v>
      </c>
      <c r="J189" s="161" t="s">
        <v>7707</v>
      </c>
      <c r="K189" s="161" t="s">
        <v>7708</v>
      </c>
      <c r="L189" s="161" t="s">
        <v>7976</v>
      </c>
      <c r="M189" s="161">
        <v>1</v>
      </c>
      <c r="N189" s="161">
        <v>0</v>
      </c>
      <c r="O189" s="161" t="s">
        <v>5044</v>
      </c>
      <c r="P189" s="161">
        <v>0</v>
      </c>
      <c r="Q189" s="161">
        <v>0</v>
      </c>
      <c r="R189" s="161">
        <v>0</v>
      </c>
      <c r="S189" s="161">
        <v>4</v>
      </c>
      <c r="T189" s="161">
        <v>4</v>
      </c>
      <c r="U189" s="163">
        <v>164</v>
      </c>
      <c r="V189" s="161">
        <v>1</v>
      </c>
      <c r="W189" s="161">
        <v>0</v>
      </c>
      <c r="X189" s="161">
        <v>0</v>
      </c>
      <c r="Y189" s="161" t="s">
        <v>5044</v>
      </c>
      <c r="Z189" s="161"/>
      <c r="AA189" s="161"/>
      <c r="AB189" s="161"/>
      <c r="AC189" s="161"/>
      <c r="AD189" s="161"/>
      <c r="AE189" s="161"/>
      <c r="AF189" s="161"/>
      <c r="AG189" s="161"/>
      <c r="AH189" s="161"/>
      <c r="AI189" s="161"/>
      <c r="AJ189" s="161"/>
      <c r="AK189" s="161"/>
      <c r="AL189" s="75" t="s">
        <v>8033</v>
      </c>
      <c r="AM189" s="161"/>
      <c r="AN189" s="161"/>
      <c r="AO189" s="162"/>
      <c r="AP189" s="162"/>
      <c r="AQ189" s="162"/>
      <c r="AR189" s="162"/>
    </row>
    <row r="190" spans="1:45" ht="63" hidden="1" customHeight="1" x14ac:dyDescent="0.2">
      <c r="A190" s="133">
        <v>99</v>
      </c>
      <c r="B190" s="133" t="s">
        <v>7790</v>
      </c>
      <c r="C190" s="133" t="s">
        <v>7791</v>
      </c>
      <c r="D190" s="135">
        <v>2024</v>
      </c>
      <c r="E190" s="133" t="s">
        <v>305</v>
      </c>
      <c r="F190" s="133">
        <v>25</v>
      </c>
      <c r="G190" s="133">
        <v>1</v>
      </c>
      <c r="H190" s="133"/>
      <c r="I190" s="133" t="s">
        <v>13</v>
      </c>
      <c r="J190" s="133" t="s">
        <v>7792</v>
      </c>
      <c r="K190" s="133" t="s">
        <v>7793</v>
      </c>
      <c r="L190" s="133" t="s">
        <v>7977</v>
      </c>
      <c r="M190" s="133">
        <v>1</v>
      </c>
      <c r="N190" s="133">
        <v>0</v>
      </c>
      <c r="O190" s="133" t="s">
        <v>5044</v>
      </c>
      <c r="P190" s="137">
        <v>0</v>
      </c>
      <c r="Q190" s="137">
        <v>0</v>
      </c>
      <c r="R190" s="133">
        <v>0</v>
      </c>
      <c r="S190" s="133">
        <v>1</v>
      </c>
      <c r="T190" s="133">
        <v>1</v>
      </c>
      <c r="U190" s="133">
        <v>654</v>
      </c>
      <c r="V190" s="133">
        <v>0</v>
      </c>
      <c r="W190" s="133">
        <v>1</v>
      </c>
      <c r="X190" s="133">
        <v>0</v>
      </c>
      <c r="Y190" s="133" t="s">
        <v>5044</v>
      </c>
      <c r="Z190" s="133">
        <v>0</v>
      </c>
      <c r="AA190" s="133" t="s">
        <v>5044</v>
      </c>
      <c r="AB190" s="133" t="s">
        <v>5044</v>
      </c>
      <c r="AC190" s="133" t="s">
        <v>5044</v>
      </c>
      <c r="AD190" s="133" t="s">
        <v>5044</v>
      </c>
      <c r="AE190" s="133" t="s">
        <v>5044</v>
      </c>
      <c r="AF190" s="133" t="s">
        <v>5044</v>
      </c>
      <c r="AG190" s="133"/>
      <c r="AH190" s="133"/>
      <c r="AI190" s="134"/>
      <c r="AJ190" s="134"/>
      <c r="AK190" s="133" t="s">
        <v>5073</v>
      </c>
      <c r="AL190" s="136" t="s">
        <v>8034</v>
      </c>
      <c r="AM190" s="133"/>
      <c r="AN190" s="133"/>
      <c r="AO190" s="119"/>
      <c r="AP190" s="119"/>
      <c r="AQ190" s="119"/>
      <c r="AR190" s="119"/>
    </row>
    <row r="191" spans="1:45" ht="63" customHeight="1" x14ac:dyDescent="0.2">
      <c r="A191" s="30">
        <v>163</v>
      </c>
      <c r="B191" s="30" t="s">
        <v>7837</v>
      </c>
      <c r="C191" s="30" t="s">
        <v>7838</v>
      </c>
      <c r="D191" s="48">
        <v>2024</v>
      </c>
      <c r="E191" s="30"/>
      <c r="F191" s="30">
        <v>119</v>
      </c>
      <c r="G191" s="30">
        <v>4</v>
      </c>
      <c r="H191" s="30" t="s">
        <v>7978</v>
      </c>
      <c r="I191" s="30" t="s">
        <v>13</v>
      </c>
      <c r="J191" s="30" t="s">
        <v>7839</v>
      </c>
      <c r="K191" s="30" t="s">
        <v>7840</v>
      </c>
      <c r="L191" s="30" t="s">
        <v>7979</v>
      </c>
      <c r="M191" s="30">
        <v>0</v>
      </c>
      <c r="N191" s="30" t="s">
        <v>5044</v>
      </c>
      <c r="O191" s="30" t="s">
        <v>5044</v>
      </c>
      <c r="P191" s="30">
        <v>0</v>
      </c>
      <c r="Q191" s="30">
        <v>0</v>
      </c>
      <c r="R191" s="30">
        <v>0</v>
      </c>
      <c r="S191" s="30">
        <v>1</v>
      </c>
      <c r="T191" s="30">
        <v>4</v>
      </c>
      <c r="U191" s="30">
        <v>268</v>
      </c>
      <c r="V191" s="30">
        <v>0</v>
      </c>
      <c r="W191" s="30">
        <v>1</v>
      </c>
      <c r="X191" s="30">
        <v>0</v>
      </c>
      <c r="Y191" s="30">
        <v>1</v>
      </c>
      <c r="Z191" s="30">
        <v>1</v>
      </c>
      <c r="AA191" s="30" t="s">
        <v>8015</v>
      </c>
      <c r="AB191" s="30">
        <v>1</v>
      </c>
      <c r="AC191" s="30">
        <v>1</v>
      </c>
      <c r="AD191" s="30">
        <v>0</v>
      </c>
      <c r="AE191" s="30">
        <v>0</v>
      </c>
      <c r="AF191" s="30">
        <v>1</v>
      </c>
      <c r="AG191" s="30"/>
      <c r="AH191" s="30"/>
      <c r="AI191" s="55"/>
      <c r="AJ191" s="55"/>
      <c r="AK191" s="30"/>
      <c r="AL191" s="74" t="s">
        <v>8035</v>
      </c>
      <c r="AM191" s="30"/>
      <c r="AN191" s="30"/>
      <c r="AS191" s="109"/>
    </row>
    <row r="192" spans="1:45" ht="63" customHeight="1" x14ac:dyDescent="0.2">
      <c r="A192" s="30">
        <v>187</v>
      </c>
      <c r="B192" s="30" t="s">
        <v>7868</v>
      </c>
      <c r="C192" s="30" t="s">
        <v>7869</v>
      </c>
      <c r="D192" s="48">
        <v>2024</v>
      </c>
      <c r="E192" s="30"/>
      <c r="F192" s="30">
        <v>280</v>
      </c>
      <c r="G192" s="30">
        <v>2</v>
      </c>
      <c r="H192" s="30" t="s">
        <v>6533</v>
      </c>
      <c r="I192" s="30" t="s">
        <v>13</v>
      </c>
      <c r="J192" s="30" t="s">
        <v>7870</v>
      </c>
      <c r="K192" s="30" t="s">
        <v>7871</v>
      </c>
      <c r="L192" s="30" t="s">
        <v>5580</v>
      </c>
      <c r="M192" s="30">
        <v>0</v>
      </c>
      <c r="N192" s="30" t="s">
        <v>5044</v>
      </c>
      <c r="O192" s="30" t="s">
        <v>5044</v>
      </c>
      <c r="P192" s="30">
        <v>0</v>
      </c>
      <c r="Q192" s="30">
        <v>0</v>
      </c>
      <c r="R192" s="30">
        <v>0</v>
      </c>
      <c r="S192" s="30">
        <v>1</v>
      </c>
      <c r="T192" s="30">
        <v>1</v>
      </c>
      <c r="U192" s="30">
        <v>347</v>
      </c>
      <c r="V192" s="30">
        <v>1</v>
      </c>
      <c r="W192" s="30">
        <v>0</v>
      </c>
      <c r="X192" s="30">
        <v>0</v>
      </c>
      <c r="Y192" s="30">
        <v>1</v>
      </c>
      <c r="Z192" s="30">
        <v>0</v>
      </c>
      <c r="AA192" s="30"/>
      <c r="AB192" s="30">
        <v>0</v>
      </c>
      <c r="AC192" s="30">
        <v>0</v>
      </c>
      <c r="AD192" s="30">
        <v>1</v>
      </c>
      <c r="AE192" s="30">
        <v>0</v>
      </c>
      <c r="AF192" s="30">
        <v>0</v>
      </c>
      <c r="AG192" s="30">
        <v>1</v>
      </c>
      <c r="AH192" s="30" t="s">
        <v>8111</v>
      </c>
      <c r="AI192" s="55">
        <v>0</v>
      </c>
      <c r="AJ192" s="55"/>
      <c r="AK192" s="30"/>
      <c r="AL192" s="88" t="s">
        <v>8076</v>
      </c>
      <c r="AM192" s="30">
        <v>1</v>
      </c>
      <c r="AN192" s="30">
        <v>1</v>
      </c>
      <c r="AO192" s="30">
        <v>1</v>
      </c>
      <c r="AP192" s="31" t="s">
        <v>8109</v>
      </c>
      <c r="AQ192" s="31">
        <v>0</v>
      </c>
      <c r="AR192" s="81" t="s">
        <v>8110</v>
      </c>
      <c r="AS192" s="109"/>
    </row>
    <row r="193" spans="1:45" ht="63" customHeight="1" x14ac:dyDescent="0.2">
      <c r="A193" s="30">
        <v>194</v>
      </c>
      <c r="B193" s="30" t="s">
        <v>7872</v>
      </c>
      <c r="C193" s="30" t="s">
        <v>7873</v>
      </c>
      <c r="D193" s="48">
        <v>2024</v>
      </c>
      <c r="E193" s="30"/>
      <c r="F193" s="30">
        <v>33</v>
      </c>
      <c r="G193" s="30">
        <v>1</v>
      </c>
      <c r="H193" s="30" t="s">
        <v>7980</v>
      </c>
      <c r="I193" s="30" t="s">
        <v>13</v>
      </c>
      <c r="J193" s="30" t="s">
        <v>7874</v>
      </c>
      <c r="K193" s="30" t="s">
        <v>7875</v>
      </c>
      <c r="L193" s="30" t="s">
        <v>7981</v>
      </c>
      <c r="M193" s="30">
        <v>0</v>
      </c>
      <c r="N193" s="30" t="s">
        <v>5044</v>
      </c>
      <c r="O193" s="30" t="s">
        <v>5044</v>
      </c>
      <c r="P193" s="30">
        <v>0</v>
      </c>
      <c r="Q193" s="30">
        <v>0</v>
      </c>
      <c r="R193" s="30">
        <v>0</v>
      </c>
      <c r="S193" s="30">
        <v>9</v>
      </c>
      <c r="T193" s="30">
        <v>1</v>
      </c>
      <c r="U193" s="30">
        <v>60</v>
      </c>
      <c r="V193" s="30">
        <v>0</v>
      </c>
      <c r="W193" s="30">
        <v>1</v>
      </c>
      <c r="X193" s="30">
        <v>0</v>
      </c>
      <c r="Y193" s="30">
        <v>1</v>
      </c>
      <c r="Z193" s="30">
        <v>0</v>
      </c>
      <c r="AA193" s="30"/>
      <c r="AB193" s="30">
        <v>0</v>
      </c>
      <c r="AC193" s="30">
        <v>0</v>
      </c>
      <c r="AD193" s="30">
        <v>1.75</v>
      </c>
      <c r="AE193" s="30">
        <v>0</v>
      </c>
      <c r="AF193" s="30">
        <v>0</v>
      </c>
      <c r="AG193" s="30"/>
      <c r="AH193" s="30"/>
      <c r="AI193" s="55"/>
      <c r="AJ193" s="55"/>
      <c r="AK193" s="30"/>
      <c r="AL193" s="74" t="s">
        <v>8036</v>
      </c>
      <c r="AM193" s="30"/>
      <c r="AN193" s="30"/>
      <c r="AS193" s="109"/>
    </row>
    <row r="194" spans="1:45" ht="63" customHeight="1" x14ac:dyDescent="0.2">
      <c r="A194" s="30">
        <v>67</v>
      </c>
      <c r="B194" s="30" t="s">
        <v>7752</v>
      </c>
      <c r="C194" s="30" t="s">
        <v>7753</v>
      </c>
      <c r="D194" s="48">
        <v>2024</v>
      </c>
      <c r="E194" s="30"/>
      <c r="F194" s="30">
        <v>24</v>
      </c>
      <c r="G194" s="30">
        <v>1</v>
      </c>
      <c r="H194" s="30" t="s">
        <v>66</v>
      </c>
      <c r="I194" s="30" t="s">
        <v>13</v>
      </c>
      <c r="J194" s="30" t="s">
        <v>7754</v>
      </c>
      <c r="K194" s="30" t="s">
        <v>7755</v>
      </c>
      <c r="L194" s="30" t="s">
        <v>7982</v>
      </c>
      <c r="M194" s="30">
        <v>0</v>
      </c>
      <c r="N194" s="30" t="s">
        <v>5044</v>
      </c>
      <c r="O194" s="30" t="s">
        <v>5044</v>
      </c>
      <c r="P194" s="30">
        <v>0</v>
      </c>
      <c r="Q194" s="30">
        <v>0</v>
      </c>
      <c r="R194" s="30">
        <v>0</v>
      </c>
      <c r="S194" s="30">
        <v>1</v>
      </c>
      <c r="T194" s="30">
        <v>4</v>
      </c>
      <c r="U194" s="30">
        <v>126</v>
      </c>
      <c r="V194" s="30">
        <v>1</v>
      </c>
      <c r="W194" s="30">
        <v>0</v>
      </c>
      <c r="X194" s="30">
        <v>0</v>
      </c>
      <c r="Y194" s="30">
        <v>1</v>
      </c>
      <c r="Z194" s="30">
        <v>0</v>
      </c>
      <c r="AA194" s="30" t="s">
        <v>5044</v>
      </c>
      <c r="AB194" s="30">
        <v>0</v>
      </c>
      <c r="AC194" s="30">
        <v>0</v>
      </c>
      <c r="AD194" s="30">
        <v>0</v>
      </c>
      <c r="AE194" s="30">
        <v>0</v>
      </c>
      <c r="AF194" s="30">
        <v>1</v>
      </c>
      <c r="AG194" s="30">
        <v>1</v>
      </c>
      <c r="AH194" s="30" t="s">
        <v>8108</v>
      </c>
      <c r="AI194" s="55">
        <v>0</v>
      </c>
      <c r="AJ194" s="55"/>
      <c r="AK194" s="30" t="s">
        <v>7983</v>
      </c>
      <c r="AL194" s="88" t="s">
        <v>8075</v>
      </c>
      <c r="AM194" s="30">
        <v>2</v>
      </c>
      <c r="AN194" s="30">
        <v>1</v>
      </c>
      <c r="AO194" s="30" t="s">
        <v>5044</v>
      </c>
      <c r="AP194" s="81" t="s">
        <v>5044</v>
      </c>
      <c r="AQ194" s="31">
        <v>0</v>
      </c>
      <c r="AR194" s="81" t="s">
        <v>5044</v>
      </c>
      <c r="AS194" s="109"/>
    </row>
    <row r="195" spans="1:45" ht="63" hidden="1" customHeight="1" x14ac:dyDescent="0.2">
      <c r="A195" s="159">
        <v>56</v>
      </c>
      <c r="B195" s="159" t="s">
        <v>7735</v>
      </c>
      <c r="C195" s="159" t="s">
        <v>7736</v>
      </c>
      <c r="D195" s="135">
        <v>2024</v>
      </c>
      <c r="E195" s="159" t="s">
        <v>7737</v>
      </c>
      <c r="F195" s="159">
        <v>10</v>
      </c>
      <c r="G195" s="159">
        <v>1</v>
      </c>
      <c r="H195" s="159"/>
      <c r="I195" s="159" t="s">
        <v>13</v>
      </c>
      <c r="J195" s="159" t="s">
        <v>7738</v>
      </c>
      <c r="K195" s="159" t="s">
        <v>7739</v>
      </c>
      <c r="L195" s="159">
        <v>19701345</v>
      </c>
      <c r="M195" s="159">
        <v>1</v>
      </c>
      <c r="N195" s="159">
        <v>0</v>
      </c>
      <c r="O195" s="159" t="s">
        <v>5044</v>
      </c>
      <c r="P195" s="159">
        <v>1</v>
      </c>
      <c r="Q195" s="159">
        <v>0</v>
      </c>
      <c r="R195" s="159">
        <v>0</v>
      </c>
      <c r="S195" s="159">
        <v>1</v>
      </c>
      <c r="T195" s="159">
        <v>1</v>
      </c>
      <c r="U195" s="159">
        <v>72</v>
      </c>
      <c r="V195" s="159">
        <v>0</v>
      </c>
      <c r="W195" s="159">
        <v>1</v>
      </c>
      <c r="X195" s="159">
        <v>0</v>
      </c>
      <c r="Y195" s="159" t="s">
        <v>5044</v>
      </c>
      <c r="Z195" s="159" t="s">
        <v>5044</v>
      </c>
      <c r="AA195" s="159" t="s">
        <v>5044</v>
      </c>
      <c r="AB195" s="159" t="s">
        <v>5044</v>
      </c>
      <c r="AC195" s="159" t="s">
        <v>5044</v>
      </c>
      <c r="AD195" s="159" t="s">
        <v>5044</v>
      </c>
      <c r="AE195" s="159" t="s">
        <v>5044</v>
      </c>
      <c r="AF195" s="159" t="s">
        <v>5044</v>
      </c>
      <c r="AG195" s="159"/>
      <c r="AH195" s="159"/>
      <c r="AI195" s="160"/>
      <c r="AJ195" s="160"/>
      <c r="AK195" s="159"/>
      <c r="AL195" s="136" t="s">
        <v>8037</v>
      </c>
      <c r="AM195" s="159"/>
      <c r="AN195" s="159"/>
      <c r="AO195" s="115"/>
      <c r="AP195" s="115"/>
      <c r="AQ195" s="115"/>
      <c r="AR195" s="115"/>
    </row>
    <row r="196" spans="1:45" ht="63" customHeight="1" x14ac:dyDescent="0.2">
      <c r="A196" s="30">
        <v>174</v>
      </c>
      <c r="B196" s="30" t="s">
        <v>7845</v>
      </c>
      <c r="C196" s="30" t="s">
        <v>7846</v>
      </c>
      <c r="D196" s="48">
        <v>2024</v>
      </c>
      <c r="E196" s="30"/>
      <c r="F196" s="30">
        <v>111</v>
      </c>
      <c r="G196" s="30">
        <v>5</v>
      </c>
      <c r="H196" s="30" t="s">
        <v>6530</v>
      </c>
      <c r="I196" s="30" t="s">
        <v>13</v>
      </c>
      <c r="J196" s="30" t="s">
        <v>7847</v>
      </c>
      <c r="K196" s="30" t="s">
        <v>7848</v>
      </c>
      <c r="L196" s="30" t="s">
        <v>7984</v>
      </c>
      <c r="M196" s="30">
        <v>0</v>
      </c>
      <c r="N196" s="30" t="s">
        <v>5044</v>
      </c>
      <c r="O196" s="30" t="s">
        <v>5044</v>
      </c>
      <c r="P196" s="30">
        <v>0</v>
      </c>
      <c r="Q196" s="30">
        <v>0</v>
      </c>
      <c r="R196" s="30">
        <v>0</v>
      </c>
      <c r="S196" s="30">
        <v>1</v>
      </c>
      <c r="T196" s="30">
        <v>5</v>
      </c>
      <c r="U196" s="30">
        <v>130</v>
      </c>
      <c r="V196" s="30">
        <v>0</v>
      </c>
      <c r="W196" s="30">
        <v>1</v>
      </c>
      <c r="X196" s="30">
        <v>0</v>
      </c>
      <c r="Y196" s="30">
        <v>1</v>
      </c>
      <c r="Z196" s="30">
        <v>0</v>
      </c>
      <c r="AA196" s="30" t="s">
        <v>5044</v>
      </c>
      <c r="AB196" s="30">
        <v>1</v>
      </c>
      <c r="AC196" s="30">
        <v>0</v>
      </c>
      <c r="AD196" s="30">
        <v>1.7</v>
      </c>
      <c r="AE196" s="30">
        <v>0</v>
      </c>
      <c r="AF196" s="30">
        <v>1</v>
      </c>
      <c r="AG196" s="30"/>
      <c r="AH196" s="30"/>
      <c r="AI196" s="55"/>
      <c r="AJ196" s="55"/>
      <c r="AK196" s="30"/>
      <c r="AL196" s="74" t="s">
        <v>8038</v>
      </c>
      <c r="AM196" s="30"/>
      <c r="AN196" s="30"/>
      <c r="AS196" s="109"/>
    </row>
    <row r="197" spans="1:45" ht="63" customHeight="1" x14ac:dyDescent="0.2">
      <c r="A197" s="30">
        <v>148</v>
      </c>
      <c r="B197" s="30" t="s">
        <v>7821</v>
      </c>
      <c r="C197" s="30" t="s">
        <v>7822</v>
      </c>
      <c r="D197" s="48">
        <v>2024</v>
      </c>
      <c r="E197" s="30"/>
      <c r="F197" s="30">
        <v>43</v>
      </c>
      <c r="G197" s="30"/>
      <c r="H197" s="30" t="s">
        <v>7986</v>
      </c>
      <c r="I197" s="30" t="s">
        <v>13</v>
      </c>
      <c r="J197" s="30" t="s">
        <v>7823</v>
      </c>
      <c r="K197" s="30" t="s">
        <v>7824</v>
      </c>
      <c r="L197" s="30" t="s">
        <v>7985</v>
      </c>
      <c r="M197" s="30">
        <v>0</v>
      </c>
      <c r="N197" s="30" t="s">
        <v>5044</v>
      </c>
      <c r="O197" s="30" t="s">
        <v>5044</v>
      </c>
      <c r="P197" s="30">
        <v>0</v>
      </c>
      <c r="Q197" s="30">
        <v>0</v>
      </c>
      <c r="R197" s="30">
        <v>0</v>
      </c>
      <c r="S197" s="30">
        <v>1</v>
      </c>
      <c r="T197" s="30">
        <v>1</v>
      </c>
      <c r="U197" s="30">
        <v>81</v>
      </c>
      <c r="V197" s="30">
        <v>0</v>
      </c>
      <c r="W197" s="30">
        <v>1</v>
      </c>
      <c r="X197" s="30">
        <v>0</v>
      </c>
      <c r="Y197" s="30">
        <v>1</v>
      </c>
      <c r="Z197" s="30">
        <v>0</v>
      </c>
      <c r="AA197" s="30" t="s">
        <v>5044</v>
      </c>
      <c r="AB197" s="30">
        <v>0</v>
      </c>
      <c r="AC197" s="30">
        <v>0</v>
      </c>
      <c r="AD197" s="30">
        <v>6.6</v>
      </c>
      <c r="AE197" s="30">
        <v>0</v>
      </c>
      <c r="AF197" s="30">
        <v>0</v>
      </c>
      <c r="AG197" s="30"/>
      <c r="AH197" s="30"/>
      <c r="AI197" s="55"/>
      <c r="AJ197" s="55"/>
      <c r="AK197" s="30"/>
      <c r="AL197" s="74" t="s">
        <v>8039</v>
      </c>
      <c r="AM197" s="30"/>
      <c r="AN197" s="30"/>
      <c r="AS197" s="109"/>
    </row>
    <row r="198" spans="1:45" ht="63" customHeight="1" x14ac:dyDescent="0.2">
      <c r="A198" s="30">
        <v>368</v>
      </c>
      <c r="B198" s="30" t="s">
        <v>7923</v>
      </c>
      <c r="C198" s="30" t="s">
        <v>7924</v>
      </c>
      <c r="D198" s="48">
        <v>2024</v>
      </c>
      <c r="E198" s="30" t="s">
        <v>7775</v>
      </c>
      <c r="F198" s="30">
        <v>108</v>
      </c>
      <c r="G198" s="30">
        <v>6</v>
      </c>
      <c r="H198" s="30"/>
      <c r="I198" s="30" t="s">
        <v>13</v>
      </c>
      <c r="J198" s="30" t="s">
        <v>7925</v>
      </c>
      <c r="K198" s="30" t="s">
        <v>7926</v>
      </c>
      <c r="L198" s="30" t="s">
        <v>7987</v>
      </c>
      <c r="M198" s="30">
        <v>0</v>
      </c>
      <c r="N198" s="30" t="s">
        <v>5044</v>
      </c>
      <c r="O198" s="30" t="s">
        <v>5044</v>
      </c>
      <c r="P198" s="30">
        <v>1</v>
      </c>
      <c r="Q198" s="30">
        <v>0</v>
      </c>
      <c r="R198" s="30">
        <v>1</v>
      </c>
      <c r="S198" s="30">
        <v>2</v>
      </c>
      <c r="T198" s="30">
        <v>1</v>
      </c>
      <c r="U198" s="30">
        <v>11</v>
      </c>
      <c r="V198" s="30">
        <v>0</v>
      </c>
      <c r="W198" s="30">
        <v>1</v>
      </c>
      <c r="X198" s="30">
        <v>0</v>
      </c>
      <c r="Y198" s="30">
        <v>1</v>
      </c>
      <c r="Z198" s="30">
        <v>0</v>
      </c>
      <c r="AA198" s="30" t="s">
        <v>5044</v>
      </c>
      <c r="AB198" s="30" t="s">
        <v>5044</v>
      </c>
      <c r="AC198" s="30">
        <v>0</v>
      </c>
      <c r="AD198" s="30">
        <v>4.3</v>
      </c>
      <c r="AE198" s="30">
        <v>0</v>
      </c>
      <c r="AF198" s="30">
        <v>1</v>
      </c>
      <c r="AG198" s="30"/>
      <c r="AH198" s="30"/>
      <c r="AI198" s="55"/>
      <c r="AJ198" s="55"/>
      <c r="AK198" s="30"/>
      <c r="AL198" s="74" t="s">
        <v>8040</v>
      </c>
      <c r="AM198" s="30"/>
      <c r="AN198" s="30"/>
      <c r="AS198" s="109"/>
    </row>
    <row r="199" spans="1:45" ht="63" customHeight="1" x14ac:dyDescent="0.2">
      <c r="A199" s="30">
        <v>132</v>
      </c>
      <c r="B199" s="30" t="s">
        <v>7811</v>
      </c>
      <c r="C199" s="30" t="s">
        <v>7812</v>
      </c>
      <c r="D199" s="48">
        <v>2024</v>
      </c>
      <c r="E199" s="30" t="s">
        <v>7813</v>
      </c>
      <c r="F199" s="30">
        <v>279</v>
      </c>
      <c r="G199" s="30">
        <v>2</v>
      </c>
      <c r="H199" s="30" t="s">
        <v>6533</v>
      </c>
      <c r="I199" s="30" t="s">
        <v>13</v>
      </c>
      <c r="J199" s="30" t="s">
        <v>7814</v>
      </c>
      <c r="K199" s="30" t="s">
        <v>7815</v>
      </c>
      <c r="L199" s="30" t="s">
        <v>7988</v>
      </c>
      <c r="M199" s="30">
        <v>0</v>
      </c>
      <c r="N199" s="30" t="s">
        <v>5044</v>
      </c>
      <c r="O199" s="30" t="s">
        <v>5044</v>
      </c>
      <c r="P199" s="30">
        <v>1</v>
      </c>
      <c r="Q199" s="30">
        <v>0</v>
      </c>
      <c r="R199" s="30">
        <v>0</v>
      </c>
      <c r="S199" s="30">
        <v>1</v>
      </c>
      <c r="T199" s="30">
        <v>1</v>
      </c>
      <c r="U199" s="30">
        <v>104</v>
      </c>
      <c r="V199" s="30">
        <v>1</v>
      </c>
      <c r="W199" s="30">
        <v>0</v>
      </c>
      <c r="X199" s="30">
        <v>0</v>
      </c>
      <c r="Y199" s="30">
        <v>1</v>
      </c>
      <c r="Z199" s="30">
        <v>0</v>
      </c>
      <c r="AA199" s="30" t="s">
        <v>5044</v>
      </c>
      <c r="AB199" s="30">
        <v>0</v>
      </c>
      <c r="AC199" s="30">
        <v>0</v>
      </c>
      <c r="AD199" s="30">
        <v>0</v>
      </c>
      <c r="AE199" s="30">
        <v>0</v>
      </c>
      <c r="AF199" s="30">
        <v>0</v>
      </c>
      <c r="AG199" s="30">
        <v>0</v>
      </c>
      <c r="AH199" s="30" t="s">
        <v>8107</v>
      </c>
      <c r="AI199" s="55" t="s">
        <v>8117</v>
      </c>
      <c r="AJ199" s="55"/>
      <c r="AK199" s="30" t="s">
        <v>7813</v>
      </c>
      <c r="AL199" s="88" t="s">
        <v>8074</v>
      </c>
      <c r="AM199" s="30">
        <v>2</v>
      </c>
      <c r="AN199" s="30">
        <v>0</v>
      </c>
      <c r="AO199" s="30" t="s">
        <v>5044</v>
      </c>
      <c r="AP199" s="81" t="s">
        <v>5044</v>
      </c>
      <c r="AQ199" s="31">
        <v>1</v>
      </c>
      <c r="AR199" s="81">
        <v>0</v>
      </c>
      <c r="AS199" s="109"/>
    </row>
    <row r="200" spans="1:45" ht="63" customHeight="1" x14ac:dyDescent="0.2">
      <c r="A200" s="30">
        <v>129</v>
      </c>
      <c r="B200" s="30" t="s">
        <v>7803</v>
      </c>
      <c r="C200" s="30" t="s">
        <v>7804</v>
      </c>
      <c r="D200" s="48">
        <v>2024</v>
      </c>
      <c r="E200" s="30"/>
      <c r="F200" s="30">
        <v>280</v>
      </c>
      <c r="G200" s="30">
        <v>2</v>
      </c>
      <c r="H200" s="30" t="s">
        <v>6533</v>
      </c>
      <c r="I200" s="30" t="s">
        <v>13</v>
      </c>
      <c r="J200" s="30" t="s">
        <v>7805</v>
      </c>
      <c r="K200" s="30" t="s">
        <v>7806</v>
      </c>
      <c r="L200" s="30" t="s">
        <v>7961</v>
      </c>
      <c r="M200" s="30">
        <v>0</v>
      </c>
      <c r="N200" s="30" t="s">
        <v>5044</v>
      </c>
      <c r="O200" s="30" t="s">
        <v>5044</v>
      </c>
      <c r="P200" s="30">
        <v>0</v>
      </c>
      <c r="Q200" s="30">
        <v>0</v>
      </c>
      <c r="R200" s="30">
        <v>0</v>
      </c>
      <c r="S200" s="30">
        <v>9</v>
      </c>
      <c r="T200" s="30">
        <v>4</v>
      </c>
      <c r="U200" s="30">
        <v>300</v>
      </c>
      <c r="V200" s="30">
        <v>1</v>
      </c>
      <c r="W200" s="30">
        <v>0</v>
      </c>
      <c r="X200" s="30">
        <v>0</v>
      </c>
      <c r="Y200" s="30">
        <v>1</v>
      </c>
      <c r="Z200" s="30">
        <v>0</v>
      </c>
      <c r="AA200" s="30" t="s">
        <v>5044</v>
      </c>
      <c r="AB200" s="30">
        <v>0</v>
      </c>
      <c r="AC200" s="30">
        <v>0</v>
      </c>
      <c r="AD200" s="30">
        <v>3.9</v>
      </c>
      <c r="AE200" s="30">
        <v>0</v>
      </c>
      <c r="AF200" s="30">
        <v>0</v>
      </c>
      <c r="AG200" s="30">
        <v>1</v>
      </c>
      <c r="AH200" s="30" t="s">
        <v>8106</v>
      </c>
      <c r="AI200" s="55">
        <v>0</v>
      </c>
      <c r="AJ200" s="55">
        <v>0</v>
      </c>
      <c r="AK200" s="30" t="s">
        <v>7990</v>
      </c>
      <c r="AL200" s="30" t="s">
        <v>8073</v>
      </c>
      <c r="AM200" s="30">
        <v>1</v>
      </c>
      <c r="AN200" s="30">
        <v>1</v>
      </c>
      <c r="AO200" s="30">
        <v>1</v>
      </c>
      <c r="AP200" s="81" t="s">
        <v>8105</v>
      </c>
      <c r="AQ200" s="31">
        <v>0</v>
      </c>
      <c r="AR200" s="81" t="s">
        <v>8110</v>
      </c>
      <c r="AS200" s="109"/>
    </row>
    <row r="201" spans="1:45" ht="63" customHeight="1" x14ac:dyDescent="0.2">
      <c r="A201" s="30">
        <v>83</v>
      </c>
      <c r="B201" s="30" t="s">
        <v>7769</v>
      </c>
      <c r="C201" s="30" t="s">
        <v>7770</v>
      </c>
      <c r="D201" s="48">
        <v>2025</v>
      </c>
      <c r="E201" s="30"/>
      <c r="F201" s="30"/>
      <c r="G201" s="30"/>
      <c r="H201" s="30" t="s">
        <v>6454</v>
      </c>
      <c r="I201" s="30" t="s">
        <v>13</v>
      </c>
      <c r="J201" s="30" t="s">
        <v>7771</v>
      </c>
      <c r="K201" s="30" t="s">
        <v>7772</v>
      </c>
      <c r="L201" s="30" t="s">
        <v>7991</v>
      </c>
      <c r="M201" s="30">
        <v>0</v>
      </c>
      <c r="N201" s="30" t="s">
        <v>5044</v>
      </c>
      <c r="O201" s="30" t="s">
        <v>5044</v>
      </c>
      <c r="P201" s="30">
        <v>0</v>
      </c>
      <c r="Q201" s="30">
        <v>0</v>
      </c>
      <c r="R201" s="30">
        <v>0</v>
      </c>
      <c r="S201" s="30">
        <v>1</v>
      </c>
      <c r="T201" s="30">
        <v>2</v>
      </c>
      <c r="U201" s="30">
        <v>110</v>
      </c>
      <c r="V201" s="30">
        <v>0</v>
      </c>
      <c r="W201" s="30">
        <v>1</v>
      </c>
      <c r="X201" s="30">
        <v>0</v>
      </c>
      <c r="Y201" s="30">
        <v>1</v>
      </c>
      <c r="Z201" s="30">
        <v>1</v>
      </c>
      <c r="AA201" s="30" t="s">
        <v>7992</v>
      </c>
      <c r="AB201" s="30">
        <v>0</v>
      </c>
      <c r="AC201" s="62">
        <v>1</v>
      </c>
      <c r="AD201" s="62">
        <v>8.6999999999999993</v>
      </c>
      <c r="AE201" s="62">
        <v>0</v>
      </c>
      <c r="AF201" s="62" t="s">
        <v>8016</v>
      </c>
      <c r="AG201" s="62"/>
      <c r="AH201" s="62"/>
      <c r="AI201" s="55"/>
      <c r="AJ201" s="55"/>
      <c r="AK201" s="30" t="s">
        <v>7993</v>
      </c>
      <c r="AL201" s="171" t="s">
        <v>8042</v>
      </c>
      <c r="AM201" s="30"/>
      <c r="AN201" s="30"/>
      <c r="AS201" s="109"/>
    </row>
    <row r="202" spans="1:45" ht="63" customHeight="1" x14ac:dyDescent="0.2">
      <c r="A202" s="30">
        <v>43</v>
      </c>
      <c r="B202" s="30" t="s">
        <v>7714</v>
      </c>
      <c r="C202" s="30" t="s">
        <v>7715</v>
      </c>
      <c r="D202" s="48">
        <v>2025</v>
      </c>
      <c r="E202" s="30"/>
      <c r="F202" s="30">
        <v>16</v>
      </c>
      <c r="G202" s="30">
        <v>6</v>
      </c>
      <c r="H202" s="30" t="s">
        <v>7994</v>
      </c>
      <c r="I202" s="30" t="s">
        <v>13</v>
      </c>
      <c r="J202" s="30" t="s">
        <v>7716</v>
      </c>
      <c r="K202" s="30" t="s">
        <v>7717</v>
      </c>
      <c r="L202" s="30" t="s">
        <v>5183</v>
      </c>
      <c r="M202" s="30">
        <v>0</v>
      </c>
      <c r="N202" s="30" t="s">
        <v>5044</v>
      </c>
      <c r="O202" s="30" t="s">
        <v>5044</v>
      </c>
      <c r="P202" s="30">
        <v>0</v>
      </c>
      <c r="Q202" s="30">
        <v>0</v>
      </c>
      <c r="R202" s="30">
        <v>0</v>
      </c>
      <c r="S202" s="30">
        <v>1</v>
      </c>
      <c r="T202" s="30">
        <v>1</v>
      </c>
      <c r="U202" s="30">
        <v>52</v>
      </c>
      <c r="V202" s="30">
        <v>0</v>
      </c>
      <c r="W202" s="30">
        <v>1</v>
      </c>
      <c r="X202" s="30">
        <v>0</v>
      </c>
      <c r="Y202" s="30">
        <v>1</v>
      </c>
      <c r="Z202" s="30">
        <v>0</v>
      </c>
      <c r="AA202" s="30" t="s">
        <v>5044</v>
      </c>
      <c r="AB202" s="30">
        <v>0</v>
      </c>
      <c r="AC202" s="30">
        <v>0</v>
      </c>
      <c r="AD202" s="30">
        <v>8.6999999999999993</v>
      </c>
      <c r="AE202" s="30">
        <v>0</v>
      </c>
      <c r="AF202" s="30">
        <v>1</v>
      </c>
      <c r="AG202" s="30"/>
      <c r="AH202" s="30"/>
      <c r="AI202" s="55"/>
      <c r="AJ202" s="55"/>
      <c r="AK202" s="30"/>
      <c r="AL202" s="74" t="s">
        <v>8043</v>
      </c>
      <c r="AM202" s="30"/>
      <c r="AN202" s="30"/>
      <c r="AS202" s="109"/>
    </row>
    <row r="203" spans="1:45" ht="63" hidden="1" customHeight="1" x14ac:dyDescent="0.2">
      <c r="A203" s="159">
        <v>53</v>
      </c>
      <c r="B203" s="159" t="s">
        <v>7726</v>
      </c>
      <c r="C203" s="159" t="s">
        <v>7727</v>
      </c>
      <c r="D203" s="135">
        <v>2025</v>
      </c>
      <c r="E203" s="159" t="s">
        <v>305</v>
      </c>
      <c r="F203" s="159">
        <v>20</v>
      </c>
      <c r="G203" s="159" t="s">
        <v>7728</v>
      </c>
      <c r="H203" s="159" t="s">
        <v>7996</v>
      </c>
      <c r="I203" s="159" t="s">
        <v>13</v>
      </c>
      <c r="J203" s="159" t="s">
        <v>7729</v>
      </c>
      <c r="K203" s="159" t="s">
        <v>7730</v>
      </c>
      <c r="L203" s="159" t="s">
        <v>7995</v>
      </c>
      <c r="M203" s="159">
        <v>1</v>
      </c>
      <c r="N203" s="159">
        <v>0</v>
      </c>
      <c r="O203" s="159">
        <v>0</v>
      </c>
      <c r="P203" s="159">
        <v>0</v>
      </c>
      <c r="Q203" s="159">
        <v>0</v>
      </c>
      <c r="R203" s="159">
        <v>0</v>
      </c>
      <c r="S203" s="159">
        <v>1</v>
      </c>
      <c r="T203" s="159">
        <v>1</v>
      </c>
      <c r="U203" s="159">
        <v>400</v>
      </c>
      <c r="V203" s="159">
        <v>0</v>
      </c>
      <c r="W203" s="159">
        <v>1</v>
      </c>
      <c r="X203" s="159">
        <v>0</v>
      </c>
      <c r="Y203" s="159" t="s">
        <v>5044</v>
      </c>
      <c r="Z203" s="159" t="s">
        <v>5044</v>
      </c>
      <c r="AA203" s="159" t="s">
        <v>5044</v>
      </c>
      <c r="AB203" s="159" t="s">
        <v>5044</v>
      </c>
      <c r="AC203" s="159" t="s">
        <v>5044</v>
      </c>
      <c r="AD203" s="159" t="s">
        <v>5044</v>
      </c>
      <c r="AE203" s="159" t="s">
        <v>5044</v>
      </c>
      <c r="AF203" s="159" t="s">
        <v>5044</v>
      </c>
      <c r="AG203" s="159"/>
      <c r="AH203" s="159"/>
      <c r="AI203" s="160"/>
      <c r="AJ203" s="160"/>
      <c r="AK203" s="159"/>
      <c r="AL203" s="136" t="s">
        <v>8044</v>
      </c>
      <c r="AM203" s="159"/>
      <c r="AN203" s="159"/>
      <c r="AO203" s="115"/>
      <c r="AP203" s="115"/>
      <c r="AQ203" s="115"/>
      <c r="AR203" s="115"/>
    </row>
    <row r="204" spans="1:45" ht="63" customHeight="1" x14ac:dyDescent="0.2">
      <c r="A204" s="30">
        <v>64</v>
      </c>
      <c r="B204" s="30" t="s">
        <v>7744</v>
      </c>
      <c r="C204" s="30" t="s">
        <v>7745</v>
      </c>
      <c r="D204" s="48">
        <v>2025</v>
      </c>
      <c r="E204" s="30"/>
      <c r="F204" s="30">
        <v>40</v>
      </c>
      <c r="G204" s="30">
        <v>1</v>
      </c>
      <c r="H204" s="30" t="s">
        <v>6855</v>
      </c>
      <c r="I204" s="30" t="s">
        <v>13</v>
      </c>
      <c r="J204" s="30" t="s">
        <v>7746</v>
      </c>
      <c r="K204" s="30" t="s">
        <v>7747</v>
      </c>
      <c r="L204" s="30" t="s">
        <v>7997</v>
      </c>
      <c r="M204" s="30">
        <v>0</v>
      </c>
      <c r="N204" s="30" t="s">
        <v>5044</v>
      </c>
      <c r="O204" s="30" t="s">
        <v>5044</v>
      </c>
      <c r="P204" s="30">
        <v>0</v>
      </c>
      <c r="Q204" s="30">
        <v>0</v>
      </c>
      <c r="R204" s="30">
        <v>0</v>
      </c>
      <c r="S204" s="30">
        <v>1</v>
      </c>
      <c r="T204" s="30">
        <v>1</v>
      </c>
      <c r="U204" s="30">
        <v>95</v>
      </c>
      <c r="V204" s="30">
        <v>0</v>
      </c>
      <c r="W204" s="30">
        <v>1</v>
      </c>
      <c r="X204" s="30">
        <v>0</v>
      </c>
      <c r="Y204" s="30">
        <v>1</v>
      </c>
      <c r="Z204" s="30">
        <v>0</v>
      </c>
      <c r="AA204" s="30" t="s">
        <v>5044</v>
      </c>
      <c r="AB204" s="30">
        <v>0</v>
      </c>
      <c r="AC204" s="30">
        <v>0</v>
      </c>
      <c r="AD204" s="30">
        <v>5.7</v>
      </c>
      <c r="AE204" s="30">
        <v>0</v>
      </c>
      <c r="AF204" s="30">
        <v>1</v>
      </c>
      <c r="AG204" s="30"/>
      <c r="AH204" s="30"/>
      <c r="AI204" s="55"/>
      <c r="AJ204" s="55"/>
      <c r="AK204" s="30"/>
      <c r="AL204" s="74" t="s">
        <v>8045</v>
      </c>
      <c r="AM204" s="30"/>
      <c r="AN204" s="30"/>
      <c r="AS204" s="109"/>
    </row>
    <row r="205" spans="1:45" ht="63" customHeight="1" x14ac:dyDescent="0.2">
      <c r="A205" s="30">
        <v>55</v>
      </c>
      <c r="B205" s="30" t="s">
        <v>7731</v>
      </c>
      <c r="C205" s="30" t="s">
        <v>7732</v>
      </c>
      <c r="D205" s="48">
        <v>2025</v>
      </c>
      <c r="E205" s="30"/>
      <c r="F205" s="30">
        <v>10</v>
      </c>
      <c r="G205" s="30">
        <v>2</v>
      </c>
      <c r="H205" s="30" t="s">
        <v>7998</v>
      </c>
      <c r="I205" s="30" t="s">
        <v>13</v>
      </c>
      <c r="J205" s="30" t="s">
        <v>7733</v>
      </c>
      <c r="K205" s="30" t="s">
        <v>7734</v>
      </c>
      <c r="L205" s="30" t="s">
        <v>5802</v>
      </c>
      <c r="M205" s="30">
        <v>0</v>
      </c>
      <c r="N205" s="30" t="s">
        <v>5044</v>
      </c>
      <c r="O205" s="30" t="s">
        <v>5044</v>
      </c>
      <c r="P205" s="30">
        <v>0</v>
      </c>
      <c r="Q205" s="30">
        <v>0</v>
      </c>
      <c r="R205" s="30">
        <v>0</v>
      </c>
      <c r="S205" s="30">
        <v>1</v>
      </c>
      <c r="T205" s="30">
        <v>2</v>
      </c>
      <c r="U205" s="30">
        <v>486</v>
      </c>
      <c r="V205" s="30">
        <v>0</v>
      </c>
      <c r="W205" s="30">
        <v>1</v>
      </c>
      <c r="X205" s="30">
        <v>0</v>
      </c>
      <c r="Y205" s="30">
        <v>1</v>
      </c>
      <c r="Z205" s="30">
        <v>0</v>
      </c>
      <c r="AA205" s="30" t="s">
        <v>5044</v>
      </c>
      <c r="AB205" s="30">
        <v>1</v>
      </c>
      <c r="AC205" s="30">
        <v>0</v>
      </c>
      <c r="AD205" s="30">
        <v>0</v>
      </c>
      <c r="AE205" s="30">
        <v>0</v>
      </c>
      <c r="AF205" s="30">
        <v>1</v>
      </c>
      <c r="AG205" s="30"/>
      <c r="AH205" s="30"/>
      <c r="AI205" s="55"/>
      <c r="AJ205" s="55"/>
      <c r="AK205" s="30"/>
      <c r="AL205" s="74" t="s">
        <v>8046</v>
      </c>
      <c r="AM205" s="30"/>
      <c r="AN205" s="30"/>
      <c r="AS205" s="109"/>
    </row>
    <row r="206" spans="1:45" ht="63" customHeight="1" x14ac:dyDescent="0.2">
      <c r="A206" s="30">
        <v>334</v>
      </c>
      <c r="B206" s="30" t="s">
        <v>7915</v>
      </c>
      <c r="C206" s="30" t="s">
        <v>7916</v>
      </c>
      <c r="D206" s="48">
        <v>2025</v>
      </c>
      <c r="E206" s="30"/>
      <c r="F206" s="30"/>
      <c r="G206" s="30"/>
      <c r="H206" s="30" t="s">
        <v>6533</v>
      </c>
      <c r="I206" s="30" t="s">
        <v>13</v>
      </c>
      <c r="J206" s="30" t="s">
        <v>7917</v>
      </c>
      <c r="K206" s="30" t="s">
        <v>7918</v>
      </c>
      <c r="L206" s="30" t="s">
        <v>7999</v>
      </c>
      <c r="M206" s="30">
        <v>0</v>
      </c>
      <c r="N206" s="30" t="s">
        <v>5044</v>
      </c>
      <c r="O206" s="30" t="s">
        <v>5044</v>
      </c>
      <c r="P206" s="30">
        <v>0</v>
      </c>
      <c r="Q206" s="30">
        <v>0</v>
      </c>
      <c r="R206" s="30">
        <v>0</v>
      </c>
      <c r="S206" s="30">
        <v>9</v>
      </c>
      <c r="T206" s="30">
        <v>4</v>
      </c>
      <c r="U206" s="30">
        <v>100</v>
      </c>
      <c r="V206" s="30">
        <v>0</v>
      </c>
      <c r="W206" s="30">
        <v>1</v>
      </c>
      <c r="X206" s="30">
        <v>0</v>
      </c>
      <c r="Y206" s="30">
        <v>1</v>
      </c>
      <c r="Z206" s="30">
        <v>1</v>
      </c>
      <c r="AA206" s="30" t="s">
        <v>8017</v>
      </c>
      <c r="AB206" s="30">
        <v>1</v>
      </c>
      <c r="AC206" s="30">
        <v>0</v>
      </c>
      <c r="AD206" s="30">
        <v>0</v>
      </c>
      <c r="AE206" s="30">
        <v>0</v>
      </c>
      <c r="AF206" s="30">
        <v>1</v>
      </c>
      <c r="AG206" s="30"/>
      <c r="AH206" s="30"/>
      <c r="AI206" s="55"/>
      <c r="AJ206" s="55"/>
      <c r="AK206" s="30"/>
      <c r="AL206" s="74" t="s">
        <v>8047</v>
      </c>
      <c r="AM206" s="30"/>
      <c r="AN206" s="30"/>
      <c r="AS206" s="109"/>
    </row>
    <row r="207" spans="1:45" ht="63" customHeight="1" x14ac:dyDescent="0.2">
      <c r="A207" s="30">
        <v>88</v>
      </c>
      <c r="B207" s="30" t="s">
        <v>7778</v>
      </c>
      <c r="C207" s="30" t="s">
        <v>7779</v>
      </c>
      <c r="D207" s="48">
        <v>2025</v>
      </c>
      <c r="E207" s="30"/>
      <c r="F207" s="30">
        <v>160</v>
      </c>
      <c r="G207" s="30">
        <v>4</v>
      </c>
      <c r="H207" s="30" t="s">
        <v>6676</v>
      </c>
      <c r="I207" s="30" t="s">
        <v>13</v>
      </c>
      <c r="J207" s="30" t="s">
        <v>7780</v>
      </c>
      <c r="K207" s="30" t="s">
        <v>7781</v>
      </c>
      <c r="L207" s="30" t="s">
        <v>8000</v>
      </c>
      <c r="M207" s="30">
        <v>0</v>
      </c>
      <c r="N207" s="30" t="s">
        <v>5044</v>
      </c>
      <c r="O207" s="30" t="s">
        <v>5044</v>
      </c>
      <c r="P207" s="30">
        <v>0</v>
      </c>
      <c r="Q207" s="30">
        <v>0</v>
      </c>
      <c r="R207" s="30">
        <v>1</v>
      </c>
      <c r="S207" s="30">
        <v>1</v>
      </c>
      <c r="T207" s="30">
        <v>1</v>
      </c>
      <c r="U207" s="30">
        <v>225</v>
      </c>
      <c r="V207" s="30">
        <v>0</v>
      </c>
      <c r="W207" s="30">
        <v>1</v>
      </c>
      <c r="X207" s="30">
        <v>0</v>
      </c>
      <c r="Y207" s="30">
        <v>1</v>
      </c>
      <c r="Z207" s="30">
        <v>0</v>
      </c>
      <c r="AA207" s="30" t="s">
        <v>5044</v>
      </c>
      <c r="AB207" s="30">
        <v>1</v>
      </c>
      <c r="AC207" s="30">
        <v>0</v>
      </c>
      <c r="AD207" s="30">
        <v>1</v>
      </c>
      <c r="AE207" s="30">
        <v>0</v>
      </c>
      <c r="AF207" s="30">
        <v>0</v>
      </c>
      <c r="AG207" s="30"/>
      <c r="AH207" s="30"/>
      <c r="AI207" s="55"/>
      <c r="AJ207" s="55"/>
      <c r="AK207" s="30"/>
      <c r="AL207" s="74" t="s">
        <v>8048</v>
      </c>
      <c r="AM207" s="30"/>
      <c r="AN207" s="30"/>
      <c r="AS207" s="109"/>
    </row>
    <row r="208" spans="1:45" ht="63" customHeight="1" x14ac:dyDescent="0.2">
      <c r="A208" s="30">
        <v>10</v>
      </c>
      <c r="B208" s="30" t="s">
        <v>7689</v>
      </c>
      <c r="C208" s="30" t="s">
        <v>7690</v>
      </c>
      <c r="D208" s="48">
        <v>2025</v>
      </c>
      <c r="E208" s="30"/>
      <c r="F208" s="30">
        <v>67</v>
      </c>
      <c r="G208" s="30">
        <v>6</v>
      </c>
      <c r="H208" s="30" t="s">
        <v>7966</v>
      </c>
      <c r="I208" s="30" t="s">
        <v>13</v>
      </c>
      <c r="J208" s="30" t="s">
        <v>7691</v>
      </c>
      <c r="K208" s="30" t="s">
        <v>7692</v>
      </c>
      <c r="L208" s="30" t="s">
        <v>8001</v>
      </c>
      <c r="M208" s="30">
        <v>0</v>
      </c>
      <c r="N208" s="30" t="s">
        <v>5044</v>
      </c>
      <c r="O208" s="30" t="s">
        <v>5044</v>
      </c>
      <c r="P208" s="30">
        <v>0</v>
      </c>
      <c r="Q208" s="30">
        <v>0</v>
      </c>
      <c r="R208" s="30">
        <v>0</v>
      </c>
      <c r="S208" s="30">
        <v>1</v>
      </c>
      <c r="T208" s="30">
        <v>4</v>
      </c>
      <c r="U208" s="30">
        <v>652</v>
      </c>
      <c r="V208" s="30">
        <v>0</v>
      </c>
      <c r="W208" s="30">
        <v>1</v>
      </c>
      <c r="X208" s="30">
        <v>0</v>
      </c>
      <c r="Y208" s="30">
        <v>1</v>
      </c>
      <c r="Z208" s="30">
        <v>0</v>
      </c>
      <c r="AA208" s="30" t="s">
        <v>5044</v>
      </c>
      <c r="AB208" s="30">
        <v>0</v>
      </c>
      <c r="AC208" s="30">
        <v>0</v>
      </c>
      <c r="AD208" s="30">
        <v>0.5</v>
      </c>
      <c r="AE208" s="30">
        <v>0</v>
      </c>
      <c r="AF208" s="30">
        <v>0</v>
      </c>
      <c r="AG208" s="30"/>
      <c r="AH208" s="30"/>
      <c r="AI208" s="55"/>
      <c r="AJ208" s="55"/>
      <c r="AK208" s="30" t="s">
        <v>5217</v>
      </c>
      <c r="AL208" s="74" t="s">
        <v>8049</v>
      </c>
      <c r="AM208" s="30"/>
      <c r="AN208" s="30"/>
      <c r="AS208" s="109"/>
    </row>
    <row r="209" spans="1:45" ht="63" customHeight="1" x14ac:dyDescent="0.2">
      <c r="A209" s="30">
        <v>96</v>
      </c>
      <c r="B209" s="30" t="s">
        <v>7782</v>
      </c>
      <c r="C209" s="30" t="s">
        <v>7783</v>
      </c>
      <c r="D209" s="48">
        <v>2025</v>
      </c>
      <c r="E209" s="30"/>
      <c r="F209" s="30">
        <v>281</v>
      </c>
      <c r="G209" s="30">
        <v>6</v>
      </c>
      <c r="H209" s="30" t="s">
        <v>6533</v>
      </c>
      <c r="I209" s="30" t="s">
        <v>13</v>
      </c>
      <c r="J209" s="30" t="s">
        <v>7784</v>
      </c>
      <c r="K209" s="30" t="s">
        <v>7785</v>
      </c>
      <c r="L209" s="30" t="s">
        <v>8002</v>
      </c>
      <c r="M209" s="30">
        <v>0</v>
      </c>
      <c r="N209" s="30" t="s">
        <v>5044</v>
      </c>
      <c r="O209" s="30" t="s">
        <v>5044</v>
      </c>
      <c r="P209" s="30">
        <v>0</v>
      </c>
      <c r="Q209" s="30">
        <v>0</v>
      </c>
      <c r="R209" s="30">
        <v>0</v>
      </c>
      <c r="S209" s="30">
        <v>2</v>
      </c>
      <c r="T209" s="30">
        <v>4</v>
      </c>
      <c r="U209" s="30">
        <v>219</v>
      </c>
      <c r="V209" s="30">
        <v>0</v>
      </c>
      <c r="W209" s="30">
        <v>1</v>
      </c>
      <c r="X209" s="30">
        <v>0</v>
      </c>
      <c r="Y209" s="30">
        <v>1</v>
      </c>
      <c r="Z209" s="30">
        <v>0</v>
      </c>
      <c r="AA209" s="30" t="s">
        <v>5044</v>
      </c>
      <c r="AB209" s="30">
        <v>0</v>
      </c>
      <c r="AC209" s="30">
        <v>0</v>
      </c>
      <c r="AD209" s="30">
        <v>0.4</v>
      </c>
      <c r="AE209" s="30">
        <v>0</v>
      </c>
      <c r="AF209" s="30">
        <v>0</v>
      </c>
      <c r="AG209" s="30"/>
      <c r="AH209" s="30"/>
      <c r="AI209" s="55"/>
      <c r="AJ209" s="55"/>
      <c r="AK209" s="30"/>
      <c r="AL209" s="74" t="s">
        <v>8050</v>
      </c>
      <c r="AM209" s="30"/>
      <c r="AN209" s="30"/>
      <c r="AS209" s="109"/>
    </row>
    <row r="210" spans="1:45" ht="63" customHeight="1" x14ac:dyDescent="0.2">
      <c r="A210" s="30">
        <v>42</v>
      </c>
      <c r="B210" s="30" t="s">
        <v>7709</v>
      </c>
      <c r="C210" s="30" t="s">
        <v>7710</v>
      </c>
      <c r="D210" s="48">
        <v>2025</v>
      </c>
      <c r="E210" s="30" t="s">
        <v>7711</v>
      </c>
      <c r="F210" s="30"/>
      <c r="G210" s="30"/>
      <c r="H210" s="30" t="s">
        <v>1334</v>
      </c>
      <c r="I210" s="30" t="s">
        <v>13</v>
      </c>
      <c r="J210" s="30" t="s">
        <v>7712</v>
      </c>
      <c r="K210" s="30" t="s">
        <v>7713</v>
      </c>
      <c r="L210" s="30" t="s">
        <v>5359</v>
      </c>
      <c r="M210" s="30">
        <v>0</v>
      </c>
      <c r="N210" s="30" t="s">
        <v>5044</v>
      </c>
      <c r="O210" s="30" t="s">
        <v>5044</v>
      </c>
      <c r="P210" s="30">
        <v>0</v>
      </c>
      <c r="Q210" s="30">
        <v>0</v>
      </c>
      <c r="R210" s="30">
        <v>0</v>
      </c>
      <c r="S210" s="30">
        <v>9</v>
      </c>
      <c r="T210" s="30">
        <v>1</v>
      </c>
      <c r="U210" s="30">
        <v>160</v>
      </c>
      <c r="V210" s="30">
        <v>0</v>
      </c>
      <c r="W210" s="30">
        <v>1</v>
      </c>
      <c r="X210" s="30">
        <v>0</v>
      </c>
      <c r="Y210" s="30">
        <v>1</v>
      </c>
      <c r="Z210" s="30">
        <v>0</v>
      </c>
      <c r="AA210" s="30" t="s">
        <v>5044</v>
      </c>
      <c r="AB210" s="30">
        <v>0</v>
      </c>
      <c r="AC210" s="30">
        <v>0</v>
      </c>
      <c r="AD210" s="30">
        <v>0</v>
      </c>
      <c r="AE210" s="30">
        <v>0</v>
      </c>
      <c r="AF210" s="30">
        <v>1</v>
      </c>
      <c r="AG210" s="30"/>
      <c r="AH210" s="30"/>
      <c r="AI210" s="55"/>
      <c r="AJ210" s="55"/>
      <c r="AK210" s="30"/>
      <c r="AL210" s="74" t="s">
        <v>8051</v>
      </c>
      <c r="AM210" s="30"/>
      <c r="AN210" s="30"/>
      <c r="AS210" s="109"/>
    </row>
    <row r="211" spans="1:45" ht="63" hidden="1" customHeight="1" x14ac:dyDescent="0.2">
      <c r="A211" s="150">
        <v>77</v>
      </c>
      <c r="B211" s="150" t="s">
        <v>7760</v>
      </c>
      <c r="C211" s="150" t="s">
        <v>7761</v>
      </c>
      <c r="D211" s="164">
        <v>2025</v>
      </c>
      <c r="E211" s="150" t="s">
        <v>7762</v>
      </c>
      <c r="F211" s="150">
        <v>12</v>
      </c>
      <c r="G211" s="150">
        <v>1</v>
      </c>
      <c r="H211" s="150" t="s">
        <v>8003</v>
      </c>
      <c r="I211" s="150" t="s">
        <v>13</v>
      </c>
      <c r="J211" s="150" t="s">
        <v>7763</v>
      </c>
      <c r="K211" s="150" t="s">
        <v>7764</v>
      </c>
      <c r="L211" s="150" t="s">
        <v>8004</v>
      </c>
      <c r="M211" s="150">
        <v>1</v>
      </c>
      <c r="N211" s="150">
        <v>0</v>
      </c>
      <c r="O211" s="150">
        <v>0</v>
      </c>
      <c r="P211" s="150">
        <v>0</v>
      </c>
      <c r="Q211" s="150">
        <v>0</v>
      </c>
      <c r="R211" s="150">
        <v>0</v>
      </c>
      <c r="S211" s="150">
        <v>9</v>
      </c>
      <c r="T211" s="150">
        <v>2</v>
      </c>
      <c r="U211" s="150">
        <v>168</v>
      </c>
      <c r="V211" s="150">
        <v>0</v>
      </c>
      <c r="W211" s="150">
        <v>1</v>
      </c>
      <c r="X211" s="150">
        <v>0</v>
      </c>
      <c r="Y211" s="150" t="s">
        <v>5044</v>
      </c>
      <c r="Z211" s="150" t="s">
        <v>5044</v>
      </c>
      <c r="AA211" s="150" t="s">
        <v>5044</v>
      </c>
      <c r="AB211" s="150" t="s">
        <v>5044</v>
      </c>
      <c r="AC211" s="150" t="s">
        <v>5044</v>
      </c>
      <c r="AD211" s="150" t="s">
        <v>5044</v>
      </c>
      <c r="AE211" s="150" t="s">
        <v>5044</v>
      </c>
      <c r="AF211" s="150" t="s">
        <v>5044</v>
      </c>
      <c r="AG211" s="150"/>
      <c r="AH211" s="150"/>
      <c r="AI211" s="151"/>
      <c r="AJ211" s="151"/>
      <c r="AK211" s="150"/>
      <c r="AL211" s="75" t="s">
        <v>8052</v>
      </c>
      <c r="AM211" s="150"/>
      <c r="AN211" s="150"/>
      <c r="AO211" s="32"/>
      <c r="AP211" s="32"/>
      <c r="AQ211" s="32"/>
      <c r="AR211" s="32"/>
    </row>
    <row r="212" spans="1:45" ht="63" hidden="1" customHeight="1" x14ac:dyDescent="0.2">
      <c r="A212" s="133">
        <v>52</v>
      </c>
      <c r="B212" s="133" t="s">
        <v>7722</v>
      </c>
      <c r="C212" s="133" t="s">
        <v>7723</v>
      </c>
      <c r="D212" s="138">
        <v>2025</v>
      </c>
      <c r="E212" s="133" t="s">
        <v>305</v>
      </c>
      <c r="F212" s="133">
        <v>16</v>
      </c>
      <c r="G212" s="133">
        <v>7</v>
      </c>
      <c r="H212" s="133" t="s">
        <v>7994</v>
      </c>
      <c r="I212" s="133" t="s">
        <v>13</v>
      </c>
      <c r="J212" s="133" t="s">
        <v>7724</v>
      </c>
      <c r="K212" s="133" t="s">
        <v>7725</v>
      </c>
      <c r="L212" s="133" t="s">
        <v>8005</v>
      </c>
      <c r="M212" s="133">
        <v>1</v>
      </c>
      <c r="N212" s="133">
        <v>0</v>
      </c>
      <c r="O212" s="133">
        <v>0</v>
      </c>
      <c r="P212" s="133">
        <v>0</v>
      </c>
      <c r="Q212" s="133">
        <v>0</v>
      </c>
      <c r="R212" s="133">
        <v>0</v>
      </c>
      <c r="S212" s="133">
        <v>1</v>
      </c>
      <c r="T212" s="133">
        <v>1</v>
      </c>
      <c r="U212" s="133">
        <v>60</v>
      </c>
      <c r="V212" s="133">
        <v>0</v>
      </c>
      <c r="W212" s="133">
        <v>1</v>
      </c>
      <c r="X212" s="133">
        <v>0</v>
      </c>
      <c r="Y212" s="133" t="s">
        <v>5044</v>
      </c>
      <c r="Z212" s="133" t="s">
        <v>5044</v>
      </c>
      <c r="AA212" s="133" t="s">
        <v>5044</v>
      </c>
      <c r="AB212" s="133" t="s">
        <v>5044</v>
      </c>
      <c r="AC212" s="133" t="s">
        <v>5044</v>
      </c>
      <c r="AD212" s="133" t="s">
        <v>5044</v>
      </c>
      <c r="AE212" s="133" t="s">
        <v>5044</v>
      </c>
      <c r="AF212" s="133" t="s">
        <v>5044</v>
      </c>
      <c r="AG212" s="133"/>
      <c r="AH212" s="133"/>
      <c r="AI212" s="134"/>
      <c r="AJ212" s="134"/>
      <c r="AK212" s="133"/>
      <c r="AL212" s="136" t="s">
        <v>8053</v>
      </c>
      <c r="AM212" s="133"/>
      <c r="AN212" s="133"/>
      <c r="AO212" s="119"/>
      <c r="AP212" s="119"/>
      <c r="AQ212" s="119"/>
      <c r="AR212" s="119"/>
    </row>
    <row r="213" spans="1:45" ht="63" customHeight="1" x14ac:dyDescent="0.2">
      <c r="A213" s="30">
        <v>59</v>
      </c>
      <c r="B213" s="30" t="s">
        <v>7740</v>
      </c>
      <c r="C213" s="30" t="s">
        <v>7741</v>
      </c>
      <c r="D213" s="48">
        <v>2025</v>
      </c>
      <c r="E213" s="30"/>
      <c r="F213" s="30">
        <v>281</v>
      </c>
      <c r="G213" s="30">
        <v>5</v>
      </c>
      <c r="H213" s="30"/>
      <c r="I213" s="30" t="s">
        <v>13</v>
      </c>
      <c r="J213" s="30" t="s">
        <v>7742</v>
      </c>
      <c r="K213" s="30" t="s">
        <v>7743</v>
      </c>
      <c r="L213" s="30" t="s">
        <v>8006</v>
      </c>
      <c r="M213" s="30">
        <v>0</v>
      </c>
      <c r="N213" s="30" t="s">
        <v>5044</v>
      </c>
      <c r="O213" s="30" t="s">
        <v>5044</v>
      </c>
      <c r="P213" s="30">
        <v>0</v>
      </c>
      <c r="Q213" s="30">
        <v>0</v>
      </c>
      <c r="R213" s="30">
        <v>0</v>
      </c>
      <c r="S213" s="30">
        <v>9</v>
      </c>
      <c r="T213" s="30">
        <v>1</v>
      </c>
      <c r="U213" s="30">
        <v>38</v>
      </c>
      <c r="V213" s="30">
        <v>0</v>
      </c>
      <c r="W213" s="30">
        <v>1</v>
      </c>
      <c r="X213" s="30">
        <v>0</v>
      </c>
      <c r="Y213" s="30">
        <v>1</v>
      </c>
      <c r="Z213" s="30">
        <v>0</v>
      </c>
      <c r="AA213" s="30" t="s">
        <v>5044</v>
      </c>
      <c r="AB213" s="30">
        <v>1</v>
      </c>
      <c r="AC213" s="30" t="s">
        <v>5044</v>
      </c>
      <c r="AD213" s="30">
        <v>17.399999999999999</v>
      </c>
      <c r="AE213" s="30">
        <v>1</v>
      </c>
      <c r="AF213" s="30">
        <v>0</v>
      </c>
      <c r="AG213" s="30"/>
      <c r="AH213" s="30"/>
      <c r="AI213" s="55"/>
      <c r="AJ213" s="55"/>
      <c r="AK213" s="30"/>
      <c r="AL213" s="74" t="s">
        <v>8054</v>
      </c>
      <c r="AM213" s="30"/>
      <c r="AN213" s="30"/>
      <c r="AS213" s="109"/>
    </row>
    <row r="214" spans="1:45" ht="63" customHeight="1" x14ac:dyDescent="0.2">
      <c r="A214" s="30">
        <v>44</v>
      </c>
      <c r="B214" s="30" t="s">
        <v>7718</v>
      </c>
      <c r="C214" s="30" t="s">
        <v>7719</v>
      </c>
      <c r="D214" s="48">
        <v>2025</v>
      </c>
      <c r="E214" s="30"/>
      <c r="F214" s="30"/>
      <c r="G214" s="30"/>
      <c r="H214" s="30" t="s">
        <v>8007</v>
      </c>
      <c r="I214" s="30" t="s">
        <v>13</v>
      </c>
      <c r="J214" s="30" t="s">
        <v>7720</v>
      </c>
      <c r="K214" s="30" t="s">
        <v>7721</v>
      </c>
      <c r="L214" s="30" t="s">
        <v>8008</v>
      </c>
      <c r="M214" s="30">
        <v>0</v>
      </c>
      <c r="N214" s="30" t="s">
        <v>5044</v>
      </c>
      <c r="O214" s="30" t="s">
        <v>5044</v>
      </c>
      <c r="P214" s="30">
        <v>0</v>
      </c>
      <c r="Q214" s="30">
        <v>0</v>
      </c>
      <c r="R214" s="30">
        <v>0</v>
      </c>
      <c r="S214" s="30">
        <v>1</v>
      </c>
      <c r="T214" s="30">
        <v>4</v>
      </c>
      <c r="U214" s="30">
        <v>36</v>
      </c>
      <c r="V214" s="30">
        <v>0</v>
      </c>
      <c r="W214" s="30">
        <v>1</v>
      </c>
      <c r="X214" s="30">
        <v>0</v>
      </c>
      <c r="Y214" s="30">
        <v>1</v>
      </c>
      <c r="Z214" s="30">
        <v>0</v>
      </c>
      <c r="AA214" s="30" t="s">
        <v>5044</v>
      </c>
      <c r="AB214" s="30">
        <v>1</v>
      </c>
      <c r="AC214" s="30">
        <v>1</v>
      </c>
      <c r="AD214" s="30">
        <v>12.2</v>
      </c>
      <c r="AE214" s="30">
        <v>1</v>
      </c>
      <c r="AF214" s="30" t="s">
        <v>5044</v>
      </c>
      <c r="AG214" s="30"/>
      <c r="AH214" s="30"/>
      <c r="AI214" s="55"/>
      <c r="AJ214" s="55"/>
      <c r="AK214" s="30"/>
      <c r="AL214" s="74" t="s">
        <v>8055</v>
      </c>
      <c r="AM214" s="30"/>
      <c r="AN214" s="30"/>
      <c r="AS214" s="109"/>
    </row>
    <row r="215" spans="1:45" ht="63" hidden="1" customHeight="1" x14ac:dyDescent="0.2">
      <c r="A215" s="150">
        <v>393</v>
      </c>
      <c r="B215" s="150" t="s">
        <v>7934</v>
      </c>
      <c r="C215" s="150" t="s">
        <v>7935</v>
      </c>
      <c r="D215" s="164">
        <v>2025</v>
      </c>
      <c r="E215" s="150" t="s">
        <v>7936</v>
      </c>
      <c r="F215" s="150">
        <v>32</v>
      </c>
      <c r="G215" s="150">
        <v>2</v>
      </c>
      <c r="H215" s="150"/>
      <c r="I215" s="150" t="s">
        <v>386</v>
      </c>
      <c r="J215" s="150" t="s">
        <v>7937</v>
      </c>
      <c r="K215" s="150" t="s">
        <v>7938</v>
      </c>
      <c r="L215" s="150"/>
      <c r="M215" s="150"/>
      <c r="N215" s="150"/>
      <c r="O215" s="150"/>
      <c r="P215" s="150"/>
      <c r="Q215" s="150"/>
      <c r="R215" s="150"/>
      <c r="S215" s="150"/>
      <c r="T215" s="150"/>
      <c r="U215" s="150"/>
      <c r="V215" s="150"/>
      <c r="W215" s="150"/>
      <c r="X215" s="150"/>
      <c r="Y215" s="150"/>
      <c r="Z215" s="150"/>
      <c r="AA215" s="150"/>
      <c r="AB215" s="150"/>
      <c r="AC215" s="150"/>
      <c r="AD215" s="150"/>
      <c r="AE215" s="150"/>
      <c r="AF215" s="150"/>
      <c r="AG215" s="150"/>
      <c r="AH215" s="150"/>
      <c r="AI215" s="151">
        <v>1</v>
      </c>
      <c r="AJ215" s="151"/>
      <c r="AK215" s="150"/>
      <c r="AL215" s="75"/>
      <c r="AM215" s="150"/>
      <c r="AN215" s="150"/>
      <c r="AO215" s="32"/>
      <c r="AP215" s="32"/>
      <c r="AQ215" s="32"/>
      <c r="AR215" s="32"/>
    </row>
    <row r="216" spans="1:45" ht="63" hidden="1" customHeight="1" x14ac:dyDescent="0.2">
      <c r="A216" s="30">
        <v>82</v>
      </c>
      <c r="B216" s="30" t="s">
        <v>7765</v>
      </c>
      <c r="C216" s="30" t="s">
        <v>7766</v>
      </c>
      <c r="D216" s="48">
        <v>2025</v>
      </c>
      <c r="E216" s="30" t="s">
        <v>305</v>
      </c>
      <c r="F216" s="30">
        <v>71</v>
      </c>
      <c r="G216" s="30"/>
      <c r="H216" s="30" t="s">
        <v>8009</v>
      </c>
      <c r="I216" s="30" t="s">
        <v>13</v>
      </c>
      <c r="J216" s="30" t="s">
        <v>7767</v>
      </c>
      <c r="K216" s="30" t="s">
        <v>7768</v>
      </c>
      <c r="L216" s="30" t="s">
        <v>8010</v>
      </c>
      <c r="M216" s="30">
        <v>1</v>
      </c>
      <c r="N216" s="30">
        <v>0</v>
      </c>
      <c r="O216" s="30">
        <v>0</v>
      </c>
      <c r="P216" s="30">
        <v>0</v>
      </c>
      <c r="Q216" s="30">
        <v>0</v>
      </c>
      <c r="R216" s="30">
        <v>0</v>
      </c>
      <c r="S216" s="30">
        <v>3</v>
      </c>
      <c r="T216" s="30">
        <v>1</v>
      </c>
      <c r="U216" s="30">
        <v>180</v>
      </c>
      <c r="V216" s="30">
        <v>0</v>
      </c>
      <c r="W216" s="30">
        <v>1</v>
      </c>
      <c r="X216" s="30">
        <v>0</v>
      </c>
      <c r="Y216" s="30" t="s">
        <v>5044</v>
      </c>
      <c r="Z216" s="30" t="s">
        <v>5044</v>
      </c>
      <c r="AA216" s="30" t="s">
        <v>5044</v>
      </c>
      <c r="AB216" s="30" t="s">
        <v>5044</v>
      </c>
      <c r="AC216" s="30" t="s">
        <v>5044</v>
      </c>
      <c r="AD216" s="30" t="s">
        <v>5044</v>
      </c>
      <c r="AE216" s="30" t="s">
        <v>5044</v>
      </c>
      <c r="AF216" s="30" t="s">
        <v>5044</v>
      </c>
      <c r="AG216" s="30"/>
      <c r="AH216" s="30"/>
      <c r="AI216" s="55"/>
      <c r="AJ216" s="55"/>
      <c r="AK216" s="30"/>
      <c r="AL216" s="75" t="s">
        <v>8056</v>
      </c>
      <c r="AM216" s="30"/>
      <c r="AN216" s="30"/>
    </row>
    <row r="217" spans="1:45" ht="63" hidden="1" customHeight="1" x14ac:dyDescent="0.2">
      <c r="A217" s="133">
        <v>71</v>
      </c>
      <c r="B217" s="133" t="s">
        <v>7756</v>
      </c>
      <c r="C217" s="133" t="s">
        <v>7757</v>
      </c>
      <c r="D217" s="138">
        <v>2025</v>
      </c>
      <c r="E217" s="133" t="s">
        <v>305</v>
      </c>
      <c r="F217" s="133">
        <v>15</v>
      </c>
      <c r="G217" s="133">
        <v>5</v>
      </c>
      <c r="H217" s="133"/>
      <c r="I217" s="133" t="s">
        <v>13</v>
      </c>
      <c r="J217" s="133" t="s">
        <v>7758</v>
      </c>
      <c r="K217" s="133" t="s">
        <v>7759</v>
      </c>
      <c r="L217" s="133" t="s">
        <v>8011</v>
      </c>
      <c r="M217" s="133">
        <v>1</v>
      </c>
      <c r="N217" s="133">
        <v>0</v>
      </c>
      <c r="O217" s="133">
        <v>0</v>
      </c>
      <c r="P217" s="133">
        <v>0</v>
      </c>
      <c r="Q217" s="133">
        <v>0</v>
      </c>
      <c r="R217" s="133">
        <v>0</v>
      </c>
      <c r="S217" s="133">
        <v>1</v>
      </c>
      <c r="T217" s="133">
        <v>1</v>
      </c>
      <c r="U217" s="133">
        <v>350</v>
      </c>
      <c r="V217" s="133">
        <v>1</v>
      </c>
      <c r="W217" s="133">
        <v>1</v>
      </c>
      <c r="X217" s="133">
        <v>0</v>
      </c>
      <c r="Y217" s="133" t="s">
        <v>5044</v>
      </c>
      <c r="Z217" s="133" t="s">
        <v>5044</v>
      </c>
      <c r="AA217" s="133" t="s">
        <v>5044</v>
      </c>
      <c r="AB217" s="133" t="s">
        <v>5044</v>
      </c>
      <c r="AC217" s="133" t="s">
        <v>5044</v>
      </c>
      <c r="AD217" s="133" t="s">
        <v>5044</v>
      </c>
      <c r="AE217" s="133" t="s">
        <v>5044</v>
      </c>
      <c r="AF217" s="133" t="s">
        <v>5044</v>
      </c>
      <c r="AG217" s="133"/>
      <c r="AH217" s="133"/>
      <c r="AI217" s="134"/>
      <c r="AJ217" s="134"/>
      <c r="AK217" s="133"/>
      <c r="AL217" s="136" t="s">
        <v>8057</v>
      </c>
      <c r="AM217" s="133"/>
      <c r="AN217" s="133"/>
      <c r="AO217" s="119"/>
      <c r="AP217" s="119"/>
      <c r="AQ217" s="119"/>
      <c r="AR217" s="119"/>
    </row>
    <row r="218" spans="1:45" ht="63" customHeight="1" x14ac:dyDescent="0.2">
      <c r="A218" s="30">
        <v>85</v>
      </c>
      <c r="B218" s="30" t="s">
        <v>7773</v>
      </c>
      <c r="C218" s="30" t="s">
        <v>7774</v>
      </c>
      <c r="D218" s="48">
        <v>2025</v>
      </c>
      <c r="E218" s="30" t="s">
        <v>7775</v>
      </c>
      <c r="F218" s="30"/>
      <c r="G218" s="30"/>
      <c r="H218" s="30"/>
      <c r="I218" s="30" t="s">
        <v>13</v>
      </c>
      <c r="J218" s="30" t="s">
        <v>7776</v>
      </c>
      <c r="K218" s="30" t="s">
        <v>7777</v>
      </c>
      <c r="L218" s="30"/>
      <c r="M218" s="30">
        <v>0</v>
      </c>
      <c r="N218" s="30" t="s">
        <v>5044</v>
      </c>
      <c r="O218" s="30" t="s">
        <v>5044</v>
      </c>
      <c r="P218" s="30">
        <v>1</v>
      </c>
      <c r="Q218" s="30">
        <v>0</v>
      </c>
      <c r="R218" s="30">
        <v>0</v>
      </c>
      <c r="S218" s="30">
        <v>1</v>
      </c>
      <c r="T218" s="30">
        <v>2</v>
      </c>
      <c r="U218" s="30">
        <v>129</v>
      </c>
      <c r="V218" s="30">
        <v>0</v>
      </c>
      <c r="W218" s="30">
        <v>1</v>
      </c>
      <c r="X218" s="30">
        <v>0</v>
      </c>
      <c r="Y218" s="30">
        <v>1</v>
      </c>
      <c r="Z218" s="30">
        <v>1</v>
      </c>
      <c r="AA218" s="30" t="s">
        <v>8018</v>
      </c>
      <c r="AB218" s="30" t="s">
        <v>5044</v>
      </c>
      <c r="AC218" s="30">
        <v>0</v>
      </c>
      <c r="AD218" s="30">
        <v>0</v>
      </c>
      <c r="AE218" s="30">
        <v>0</v>
      </c>
      <c r="AF218" s="30">
        <v>1</v>
      </c>
      <c r="AG218" s="30"/>
      <c r="AH218" s="30"/>
      <c r="AI218" s="55"/>
      <c r="AJ218" s="55"/>
      <c r="AK218" s="30"/>
      <c r="AL218" s="74" t="s">
        <v>8058</v>
      </c>
      <c r="AM218" s="30"/>
      <c r="AN218" s="30"/>
      <c r="AS218" s="109"/>
    </row>
    <row r="219" spans="1:45" ht="63" hidden="1" customHeight="1" x14ac:dyDescent="0.2">
      <c r="A219" s="159">
        <v>97</v>
      </c>
      <c r="B219" s="159" t="s">
        <v>7786</v>
      </c>
      <c r="C219" s="159" t="s">
        <v>7787</v>
      </c>
      <c r="D219" s="165">
        <v>2025</v>
      </c>
      <c r="E219" s="159" t="s">
        <v>8012</v>
      </c>
      <c r="F219" s="159">
        <v>14</v>
      </c>
      <c r="G219" s="159">
        <v>2</v>
      </c>
      <c r="H219" s="159"/>
      <c r="I219" s="159" t="s">
        <v>13</v>
      </c>
      <c r="J219" s="159" t="s">
        <v>7788</v>
      </c>
      <c r="K219" s="159" t="s">
        <v>7789</v>
      </c>
      <c r="L219" s="159"/>
      <c r="M219" s="159"/>
      <c r="N219" s="159"/>
      <c r="O219" s="159"/>
      <c r="P219" s="159"/>
      <c r="Q219" s="159"/>
      <c r="R219" s="159">
        <v>1</v>
      </c>
      <c r="S219" s="159"/>
      <c r="T219" s="159"/>
      <c r="U219" s="159"/>
      <c r="V219" s="159"/>
      <c r="W219" s="159"/>
      <c r="X219" s="159"/>
      <c r="Y219" s="159"/>
      <c r="Z219" s="159"/>
      <c r="AA219" s="159"/>
      <c r="AB219" s="159"/>
      <c r="AC219" s="159"/>
      <c r="AD219" s="159"/>
      <c r="AE219" s="159"/>
      <c r="AF219" s="159"/>
      <c r="AG219" s="159"/>
      <c r="AH219" s="159"/>
      <c r="AI219" s="160">
        <v>1</v>
      </c>
      <c r="AJ219" s="160"/>
      <c r="AK219" s="159" t="s">
        <v>8012</v>
      </c>
      <c r="AL219" s="159"/>
      <c r="AM219" s="159"/>
      <c r="AN219" s="159"/>
      <c r="AO219" s="115"/>
      <c r="AP219" s="115"/>
      <c r="AQ219" s="115"/>
      <c r="AR219" s="115"/>
    </row>
    <row r="220" spans="1:45" ht="63" customHeight="1" x14ac:dyDescent="0.2">
      <c r="A220" s="30">
        <v>34</v>
      </c>
      <c r="B220" s="30" t="s">
        <v>7697</v>
      </c>
      <c r="C220" s="30" t="s">
        <v>7698</v>
      </c>
      <c r="D220" s="48">
        <v>2025</v>
      </c>
      <c r="E220" s="30"/>
      <c r="F220" s="30"/>
      <c r="G220" s="30"/>
      <c r="H220" s="30"/>
      <c r="I220" s="30" t="s">
        <v>13</v>
      </c>
      <c r="J220" s="30" t="s">
        <v>7699</v>
      </c>
      <c r="K220" s="30" t="s">
        <v>7700</v>
      </c>
      <c r="L220" s="30" t="s">
        <v>8013</v>
      </c>
      <c r="M220" s="30">
        <v>0</v>
      </c>
      <c r="N220" s="30" t="s">
        <v>5044</v>
      </c>
      <c r="O220" s="30" t="s">
        <v>5044</v>
      </c>
      <c r="P220" s="30">
        <v>0</v>
      </c>
      <c r="Q220" s="30">
        <v>0</v>
      </c>
      <c r="R220" s="30">
        <v>0</v>
      </c>
      <c r="S220" s="30">
        <v>9</v>
      </c>
      <c r="T220" s="30">
        <v>1</v>
      </c>
      <c r="U220" s="30">
        <v>80</v>
      </c>
      <c r="V220" s="30">
        <v>0</v>
      </c>
      <c r="W220" s="30">
        <v>1</v>
      </c>
      <c r="X220" s="30">
        <v>0</v>
      </c>
      <c r="Y220" s="30">
        <v>1</v>
      </c>
      <c r="Z220" s="30">
        <v>0</v>
      </c>
      <c r="AA220" s="30" t="s">
        <v>5044</v>
      </c>
      <c r="AB220" s="30">
        <v>0</v>
      </c>
      <c r="AC220" s="30">
        <v>0</v>
      </c>
      <c r="AD220" s="30">
        <v>1</v>
      </c>
      <c r="AE220" s="30">
        <v>0</v>
      </c>
      <c r="AF220" s="30">
        <v>1</v>
      </c>
      <c r="AG220" s="30"/>
      <c r="AH220" s="30"/>
      <c r="AI220" s="55"/>
      <c r="AJ220" s="55"/>
      <c r="AK220" s="30" t="s">
        <v>5217</v>
      </c>
      <c r="AL220" s="30"/>
      <c r="AM220" s="30"/>
      <c r="AN220" s="30"/>
      <c r="AS220" s="109"/>
    </row>
    <row r="221" spans="1:45" ht="63" hidden="1" customHeight="1" x14ac:dyDescent="0.2">
      <c r="A221" s="32">
        <v>7723</v>
      </c>
      <c r="B221" s="32" t="s">
        <v>2602</v>
      </c>
      <c r="C221" s="32" t="s">
        <v>2603</v>
      </c>
      <c r="D221" s="166" t="s">
        <v>46</v>
      </c>
      <c r="E221" s="32"/>
      <c r="F221" s="32" t="s">
        <v>51</v>
      </c>
      <c r="G221" s="32" t="s">
        <v>52</v>
      </c>
      <c r="H221" s="32" t="s">
        <v>53</v>
      </c>
      <c r="I221" s="32" t="s">
        <v>13</v>
      </c>
      <c r="J221" s="32" t="s">
        <v>2604</v>
      </c>
      <c r="K221" s="32" t="s">
        <v>2605</v>
      </c>
      <c r="L221" s="145" t="s">
        <v>6172</v>
      </c>
      <c r="M221" s="32">
        <v>1</v>
      </c>
      <c r="N221" s="32">
        <v>0</v>
      </c>
      <c r="O221" s="32"/>
      <c r="P221" s="32">
        <v>0</v>
      </c>
      <c r="Q221" s="32">
        <v>0</v>
      </c>
      <c r="R221" s="32">
        <v>0</v>
      </c>
      <c r="S221" s="32">
        <v>1</v>
      </c>
      <c r="T221" s="32">
        <v>1</v>
      </c>
      <c r="U221" s="32">
        <v>252</v>
      </c>
      <c r="V221" s="32">
        <v>1</v>
      </c>
      <c r="W221" s="32">
        <v>0</v>
      </c>
      <c r="X221" s="32">
        <v>0</v>
      </c>
      <c r="Y221" s="32" t="s">
        <v>5044</v>
      </c>
      <c r="Z221" s="32" t="s">
        <v>5044</v>
      </c>
      <c r="AA221" s="32"/>
      <c r="AB221" s="32" t="s">
        <v>5044</v>
      </c>
      <c r="AC221" s="32"/>
      <c r="AD221" s="32"/>
      <c r="AE221" s="32"/>
      <c r="AF221" s="32"/>
      <c r="AG221" s="32"/>
      <c r="AH221" s="32"/>
      <c r="AI221" s="144">
        <v>0</v>
      </c>
      <c r="AJ221" s="144">
        <v>0</v>
      </c>
      <c r="AK221" s="32"/>
      <c r="AL221" s="32"/>
      <c r="AM221" s="32"/>
      <c r="AN221" s="32"/>
      <c r="AO221" s="32"/>
      <c r="AP221" s="32"/>
      <c r="AQ221" s="32"/>
      <c r="AR221" s="32"/>
    </row>
    <row r="222" spans="1:45" ht="63" hidden="1" customHeight="1" x14ac:dyDescent="0.2">
      <c r="A222" s="119">
        <v>4388</v>
      </c>
      <c r="B222" s="119" t="s">
        <v>7578</v>
      </c>
      <c r="C222" s="119" t="s">
        <v>1169</v>
      </c>
      <c r="D222" s="139" t="s">
        <v>46</v>
      </c>
      <c r="E222" s="119" t="s">
        <v>5318</v>
      </c>
      <c r="F222" s="119">
        <v>19</v>
      </c>
      <c r="G222" s="119">
        <v>1</v>
      </c>
      <c r="H222" s="119" t="s">
        <v>6794</v>
      </c>
      <c r="I222" s="119" t="s">
        <v>6516</v>
      </c>
      <c r="J222" s="119" t="s">
        <v>7579</v>
      </c>
      <c r="K222" s="119" t="s">
        <v>1170</v>
      </c>
      <c r="L222" s="119" t="s">
        <v>5688</v>
      </c>
      <c r="M222" s="119">
        <v>1</v>
      </c>
      <c r="N222" s="119">
        <v>0</v>
      </c>
      <c r="O222" s="119" t="s">
        <v>5318</v>
      </c>
      <c r="P222" s="119">
        <v>0</v>
      </c>
      <c r="Q222" s="119">
        <v>0</v>
      </c>
      <c r="R222" s="119">
        <v>0</v>
      </c>
      <c r="S222" s="119">
        <v>1</v>
      </c>
      <c r="T222" s="119">
        <v>1</v>
      </c>
      <c r="U222" s="119">
        <v>90</v>
      </c>
      <c r="V222" s="119">
        <v>0</v>
      </c>
      <c r="W222" s="119">
        <v>1</v>
      </c>
      <c r="X222" s="119">
        <v>0</v>
      </c>
      <c r="Y222" s="119" t="s">
        <v>5044</v>
      </c>
      <c r="Z222" s="119" t="s">
        <v>5044</v>
      </c>
      <c r="AA222" s="119" t="s">
        <v>5318</v>
      </c>
      <c r="AB222" s="119" t="s">
        <v>5044</v>
      </c>
      <c r="AC222" s="119"/>
      <c r="AD222" s="119"/>
      <c r="AE222" s="119"/>
      <c r="AF222" s="119"/>
      <c r="AG222" s="119"/>
      <c r="AH222" s="119"/>
      <c r="AI222" s="122">
        <v>0</v>
      </c>
      <c r="AJ222" s="122">
        <v>0</v>
      </c>
      <c r="AK222" s="119" t="s">
        <v>5318</v>
      </c>
      <c r="AL222" s="119" t="s">
        <v>5318</v>
      </c>
      <c r="AM222" s="119" t="s">
        <v>5318</v>
      </c>
      <c r="AN222" s="119" t="s">
        <v>5318</v>
      </c>
      <c r="AO222" s="119"/>
      <c r="AP222" s="119"/>
      <c r="AQ222" s="119"/>
      <c r="AR222" s="119"/>
    </row>
    <row r="223" spans="1:45" ht="63" customHeight="1" x14ac:dyDescent="0.2">
      <c r="A223" s="31">
        <v>3258</v>
      </c>
      <c r="B223" s="31" t="s">
        <v>7313</v>
      </c>
      <c r="C223" s="31" t="s">
        <v>899</v>
      </c>
      <c r="D223" s="49" t="s">
        <v>46</v>
      </c>
      <c r="E223" s="31" t="s">
        <v>5318</v>
      </c>
      <c r="F223" s="31">
        <v>270</v>
      </c>
      <c r="G223" s="31">
        <v>5</v>
      </c>
      <c r="H223" s="31" t="s">
        <v>6533</v>
      </c>
      <c r="I223" s="31" t="s">
        <v>6516</v>
      </c>
      <c r="J223" s="31" t="s">
        <v>7314</v>
      </c>
      <c r="K223" s="31" t="s">
        <v>901</v>
      </c>
      <c r="L223" s="38" t="s">
        <v>5612</v>
      </c>
      <c r="M223" s="31">
        <v>0</v>
      </c>
      <c r="N223" s="31" t="s">
        <v>5318</v>
      </c>
      <c r="O223" s="31" t="s">
        <v>5318</v>
      </c>
      <c r="P223" s="31">
        <v>0</v>
      </c>
      <c r="Q223" s="31">
        <v>0</v>
      </c>
      <c r="R223" s="31">
        <v>0</v>
      </c>
      <c r="S223" s="31">
        <v>1</v>
      </c>
      <c r="T223" s="31">
        <v>1</v>
      </c>
      <c r="U223" s="31">
        <v>176</v>
      </c>
      <c r="V223" s="31">
        <v>0</v>
      </c>
      <c r="W223" s="31">
        <v>1</v>
      </c>
      <c r="X223" s="31">
        <v>0</v>
      </c>
      <c r="Y223" s="31">
        <v>1</v>
      </c>
      <c r="Z223" s="31">
        <v>0</v>
      </c>
      <c r="AA223" s="31" t="s">
        <v>5318</v>
      </c>
      <c r="AB223" s="31">
        <v>0</v>
      </c>
      <c r="AI223" s="54">
        <v>0</v>
      </c>
      <c r="AJ223" s="54">
        <v>0</v>
      </c>
      <c r="AK223" s="31" t="s">
        <v>5318</v>
      </c>
      <c r="AL223" s="31" t="s">
        <v>5318</v>
      </c>
      <c r="AM223" s="31" t="s">
        <v>5318</v>
      </c>
      <c r="AN223" s="31" t="s">
        <v>5318</v>
      </c>
      <c r="AS223" s="109"/>
    </row>
    <row r="224" spans="1:45" ht="63" hidden="1" customHeight="1" x14ac:dyDescent="0.2">
      <c r="A224" s="115">
        <v>6594</v>
      </c>
      <c r="B224" s="115" t="s">
        <v>2124</v>
      </c>
      <c r="C224" s="115" t="s">
        <v>2125</v>
      </c>
      <c r="D224" s="167" t="s">
        <v>46</v>
      </c>
      <c r="E224" s="115"/>
      <c r="F224" s="115" t="s">
        <v>788</v>
      </c>
      <c r="G224" s="115" t="s">
        <v>17</v>
      </c>
      <c r="H224" s="115" t="s">
        <v>290</v>
      </c>
      <c r="I224" s="115" t="s">
        <v>13</v>
      </c>
      <c r="J224" s="115" t="s">
        <v>2126</v>
      </c>
      <c r="K224" s="115" t="s">
        <v>2127</v>
      </c>
      <c r="L224" s="115"/>
      <c r="M224" s="115"/>
      <c r="N224" s="115"/>
      <c r="O224" s="115"/>
      <c r="P224" s="115"/>
      <c r="Q224" s="115">
        <v>1</v>
      </c>
      <c r="R224" s="115"/>
      <c r="S224" s="115"/>
      <c r="T224" s="115"/>
      <c r="U224" s="115"/>
      <c r="V224" s="115"/>
      <c r="W224" s="115"/>
      <c r="X224" s="115"/>
      <c r="Y224" s="115"/>
      <c r="Z224" s="115"/>
      <c r="AA224" s="115"/>
      <c r="AB224" s="115"/>
      <c r="AC224" s="115"/>
      <c r="AD224" s="115"/>
      <c r="AE224" s="115"/>
      <c r="AF224" s="115"/>
      <c r="AG224" s="115"/>
      <c r="AH224" s="115"/>
      <c r="AI224" s="143">
        <v>1</v>
      </c>
      <c r="AJ224" s="143">
        <v>0</v>
      </c>
      <c r="AK224" s="115" t="s">
        <v>6284</v>
      </c>
      <c r="AL224" s="115"/>
      <c r="AM224" s="115"/>
      <c r="AN224" s="115"/>
      <c r="AO224" s="115"/>
      <c r="AP224" s="115"/>
      <c r="AQ224" s="115"/>
      <c r="AR224" s="115"/>
    </row>
    <row r="225" spans="1:45" ht="63" customHeight="1" x14ac:dyDescent="0.2">
      <c r="A225" s="31">
        <v>8659</v>
      </c>
      <c r="B225" s="31" t="s">
        <v>3044</v>
      </c>
      <c r="C225" s="31" t="s">
        <v>3045</v>
      </c>
      <c r="D225" s="49" t="s">
        <v>46</v>
      </c>
      <c r="F225" s="31" t="s">
        <v>900</v>
      </c>
      <c r="G225" s="31" t="s">
        <v>32</v>
      </c>
      <c r="H225" s="31" t="s">
        <v>43</v>
      </c>
      <c r="I225" s="31" t="s">
        <v>13</v>
      </c>
      <c r="J225" s="31" t="s">
        <v>3046</v>
      </c>
      <c r="K225" s="31" t="s">
        <v>3047</v>
      </c>
      <c r="L225" s="31" t="s">
        <v>5890</v>
      </c>
      <c r="M225" s="31">
        <v>0</v>
      </c>
      <c r="N225" s="31" t="s">
        <v>5044</v>
      </c>
      <c r="O225" s="31" t="s">
        <v>5044</v>
      </c>
      <c r="P225" s="31">
        <v>0</v>
      </c>
      <c r="Q225" s="31">
        <v>0</v>
      </c>
      <c r="R225" s="31">
        <v>0</v>
      </c>
      <c r="S225" s="31">
        <v>9</v>
      </c>
      <c r="T225" s="31">
        <v>1</v>
      </c>
      <c r="U225" s="31">
        <v>147</v>
      </c>
      <c r="V225" s="31">
        <v>0</v>
      </c>
      <c r="W225" s="31">
        <v>1</v>
      </c>
      <c r="X225" s="31">
        <v>0</v>
      </c>
      <c r="Y225" s="31">
        <v>1</v>
      </c>
      <c r="Z225" s="31">
        <v>0</v>
      </c>
      <c r="AA225" s="31" t="s">
        <v>6004</v>
      </c>
      <c r="AB225" s="31">
        <v>1</v>
      </c>
      <c r="AI225" s="54">
        <v>0</v>
      </c>
      <c r="AJ225" s="54">
        <v>0</v>
      </c>
      <c r="AS225" s="109"/>
    </row>
    <row r="226" spans="1:45" ht="63" hidden="1" customHeight="1" x14ac:dyDescent="0.2">
      <c r="A226" s="115">
        <v>3193</v>
      </c>
      <c r="B226" s="115" t="s">
        <v>7295</v>
      </c>
      <c r="C226" s="115" t="s">
        <v>881</v>
      </c>
      <c r="D226" s="167" t="s">
        <v>46</v>
      </c>
      <c r="E226" s="115" t="s">
        <v>5318</v>
      </c>
      <c r="F226" s="115">
        <v>29</v>
      </c>
      <c r="G226" s="115">
        <v>1</v>
      </c>
      <c r="H226" s="115" t="s">
        <v>7296</v>
      </c>
      <c r="I226" s="115" t="s">
        <v>6516</v>
      </c>
      <c r="J226" s="115" t="s">
        <v>7297</v>
      </c>
      <c r="K226" s="115" t="s">
        <v>883</v>
      </c>
      <c r="L226" s="168" t="s">
        <v>5604</v>
      </c>
      <c r="M226" s="115">
        <v>0</v>
      </c>
      <c r="N226" s="115" t="s">
        <v>5318</v>
      </c>
      <c r="O226" s="115" t="s">
        <v>5318</v>
      </c>
      <c r="P226" s="115">
        <v>0</v>
      </c>
      <c r="Q226" s="115">
        <v>0</v>
      </c>
      <c r="R226" s="115">
        <v>1</v>
      </c>
      <c r="S226" s="115">
        <v>5</v>
      </c>
      <c r="T226" s="115">
        <v>1</v>
      </c>
      <c r="U226" s="115" t="s">
        <v>5318</v>
      </c>
      <c r="V226" s="115" t="s">
        <v>5318</v>
      </c>
      <c r="W226" s="115" t="s">
        <v>5318</v>
      </c>
      <c r="X226" s="115" t="s">
        <v>5318</v>
      </c>
      <c r="Y226" s="115" t="s">
        <v>5318</v>
      </c>
      <c r="Z226" s="115" t="s">
        <v>5318</v>
      </c>
      <c r="AA226" s="115" t="s">
        <v>5318</v>
      </c>
      <c r="AB226" s="115" t="s">
        <v>5318</v>
      </c>
      <c r="AC226" s="115"/>
      <c r="AD226" s="115"/>
      <c r="AE226" s="115"/>
      <c r="AF226" s="115"/>
      <c r="AG226" s="115"/>
      <c r="AH226" s="115"/>
      <c r="AI226" s="143">
        <v>1</v>
      </c>
      <c r="AJ226" s="143">
        <v>0</v>
      </c>
      <c r="AK226" s="115" t="s">
        <v>6277</v>
      </c>
      <c r="AL226" s="115" t="s">
        <v>5318</v>
      </c>
      <c r="AM226" s="115" t="s">
        <v>5318</v>
      </c>
      <c r="AN226" s="115" t="s">
        <v>5318</v>
      </c>
      <c r="AO226" s="115"/>
      <c r="AP226" s="115"/>
      <c r="AQ226" s="115"/>
      <c r="AR226" s="115"/>
    </row>
    <row r="227" spans="1:45" ht="63" customHeight="1" x14ac:dyDescent="0.2">
      <c r="A227" s="31">
        <v>7035</v>
      </c>
      <c r="B227" s="31" t="s">
        <v>2299</v>
      </c>
      <c r="C227" s="31" t="s">
        <v>2300</v>
      </c>
      <c r="D227" s="49" t="s">
        <v>46</v>
      </c>
      <c r="F227" s="31" t="s">
        <v>2301</v>
      </c>
      <c r="G227" s="31" t="s">
        <v>2302</v>
      </c>
      <c r="H227" s="31" t="s">
        <v>180</v>
      </c>
      <c r="I227" s="31" t="s">
        <v>13</v>
      </c>
      <c r="J227" s="31" t="s">
        <v>2303</v>
      </c>
      <c r="K227" s="31" t="s">
        <v>2304</v>
      </c>
      <c r="L227" s="31" t="s">
        <v>6104</v>
      </c>
      <c r="M227" s="31">
        <v>0</v>
      </c>
      <c r="P227" s="31">
        <v>0</v>
      </c>
      <c r="Q227" s="31">
        <v>0</v>
      </c>
      <c r="R227" s="31">
        <v>0</v>
      </c>
      <c r="S227" s="31">
        <v>1</v>
      </c>
      <c r="T227" s="31">
        <v>1</v>
      </c>
      <c r="U227" s="31">
        <v>417</v>
      </c>
      <c r="V227" s="31">
        <v>0</v>
      </c>
      <c r="W227" s="31">
        <v>1</v>
      </c>
      <c r="X227" s="31">
        <v>0</v>
      </c>
      <c r="Y227" s="31">
        <v>1</v>
      </c>
      <c r="Z227" s="31">
        <v>0</v>
      </c>
      <c r="AB227" s="31">
        <v>0</v>
      </c>
      <c r="AI227" s="54">
        <v>0</v>
      </c>
      <c r="AJ227" s="54">
        <v>0</v>
      </c>
      <c r="AS227" s="109"/>
    </row>
    <row r="228" spans="1:45" ht="63" hidden="1" customHeight="1" x14ac:dyDescent="0.2">
      <c r="A228" s="32">
        <v>1422</v>
      </c>
      <c r="B228" s="32" t="s">
        <v>6872</v>
      </c>
      <c r="C228" s="32" t="s">
        <v>431</v>
      </c>
      <c r="D228" s="166" t="s">
        <v>46</v>
      </c>
      <c r="E228" s="32" t="s">
        <v>305</v>
      </c>
      <c r="F228" s="32">
        <v>19</v>
      </c>
      <c r="G228" s="32">
        <v>1</v>
      </c>
      <c r="H228" s="32" t="s">
        <v>6595</v>
      </c>
      <c r="I228" s="32" t="s">
        <v>6516</v>
      </c>
      <c r="J228" s="32" t="s">
        <v>6873</v>
      </c>
      <c r="K228" s="32" t="s">
        <v>432</v>
      </c>
      <c r="L228" s="145" t="s">
        <v>5420</v>
      </c>
      <c r="M228" s="32">
        <v>1</v>
      </c>
      <c r="N228" s="32">
        <v>1</v>
      </c>
      <c r="O228" s="32">
        <v>1</v>
      </c>
      <c r="P228" s="32">
        <v>0</v>
      </c>
      <c r="Q228" s="32">
        <v>0</v>
      </c>
      <c r="R228" s="32">
        <v>0</v>
      </c>
      <c r="S228" s="32">
        <v>1</v>
      </c>
      <c r="T228" s="32">
        <v>1</v>
      </c>
      <c r="U228" s="32">
        <v>714</v>
      </c>
      <c r="V228" s="32">
        <v>1</v>
      </c>
      <c r="W228" s="32">
        <v>0</v>
      </c>
      <c r="X228" s="32">
        <v>0</v>
      </c>
      <c r="Y228" s="32" t="s">
        <v>5044</v>
      </c>
      <c r="Z228" s="32" t="s">
        <v>5044</v>
      </c>
      <c r="AA228" s="32" t="s">
        <v>5318</v>
      </c>
      <c r="AB228" s="32" t="s">
        <v>5044</v>
      </c>
      <c r="AC228" s="32"/>
      <c r="AD228" s="32"/>
      <c r="AE228" s="32"/>
      <c r="AF228" s="32"/>
      <c r="AG228" s="32"/>
      <c r="AH228" s="32"/>
      <c r="AI228" s="144">
        <v>1</v>
      </c>
      <c r="AJ228" s="144">
        <v>0</v>
      </c>
      <c r="AK228" s="32" t="s">
        <v>6144</v>
      </c>
      <c r="AL228" s="32" t="s">
        <v>5318</v>
      </c>
      <c r="AM228" s="32" t="s">
        <v>5318</v>
      </c>
      <c r="AN228" s="32" t="s">
        <v>5318</v>
      </c>
      <c r="AO228" s="32"/>
      <c r="AP228" s="32"/>
      <c r="AQ228" s="32"/>
      <c r="AR228" s="32"/>
    </row>
    <row r="229" spans="1:45" ht="63" hidden="1" customHeight="1" x14ac:dyDescent="0.2">
      <c r="A229" s="31">
        <v>10210</v>
      </c>
      <c r="B229" s="31" t="s">
        <v>3777</v>
      </c>
      <c r="C229" s="31" t="s">
        <v>3778</v>
      </c>
      <c r="D229" s="49" t="s">
        <v>46</v>
      </c>
      <c r="E229" s="31" t="s">
        <v>305</v>
      </c>
      <c r="F229" s="31" t="s">
        <v>47</v>
      </c>
      <c r="G229" s="31" t="s">
        <v>37</v>
      </c>
      <c r="H229" s="31" t="s">
        <v>19</v>
      </c>
      <c r="I229" s="31" t="s">
        <v>13</v>
      </c>
      <c r="J229" s="31" t="s">
        <v>3779</v>
      </c>
      <c r="K229" s="31" t="s">
        <v>3780</v>
      </c>
      <c r="L229" s="31" t="s">
        <v>6055</v>
      </c>
      <c r="M229" s="31">
        <v>1</v>
      </c>
      <c r="N229" s="31">
        <v>1</v>
      </c>
      <c r="O229" s="31">
        <v>0</v>
      </c>
      <c r="P229" s="31" t="s">
        <v>5318</v>
      </c>
      <c r="Q229" s="31" t="s">
        <v>5318</v>
      </c>
      <c r="R229" s="31" t="s">
        <v>5318</v>
      </c>
      <c r="S229" s="31" t="s">
        <v>5318</v>
      </c>
      <c r="T229" s="31" t="s">
        <v>5318</v>
      </c>
      <c r="U229" s="31" t="s">
        <v>5318</v>
      </c>
      <c r="V229" s="31" t="s">
        <v>5318</v>
      </c>
      <c r="W229" s="31" t="s">
        <v>5318</v>
      </c>
      <c r="X229" s="31" t="s">
        <v>5318</v>
      </c>
      <c r="Y229" s="31" t="s">
        <v>5318</v>
      </c>
      <c r="Z229" s="31" t="s">
        <v>5318</v>
      </c>
      <c r="AA229" s="31" t="s">
        <v>5318</v>
      </c>
      <c r="AB229" s="31" t="s">
        <v>5318</v>
      </c>
      <c r="AI229" s="54">
        <v>1</v>
      </c>
      <c r="AJ229" s="54">
        <v>0</v>
      </c>
      <c r="AK229" s="31" t="s">
        <v>5462</v>
      </c>
    </row>
    <row r="230" spans="1:45" ht="63" hidden="1" customHeight="1" x14ac:dyDescent="0.2">
      <c r="A230" s="31">
        <v>3281</v>
      </c>
      <c r="B230" s="31" t="s">
        <v>7320</v>
      </c>
      <c r="C230" s="31" t="s">
        <v>906</v>
      </c>
      <c r="D230" s="49" t="s">
        <v>46</v>
      </c>
      <c r="E230" s="31" t="s">
        <v>5318</v>
      </c>
      <c r="F230" s="31">
        <v>8</v>
      </c>
      <c r="G230" s="31">
        <v>12</v>
      </c>
      <c r="H230" s="31" t="s">
        <v>7044</v>
      </c>
      <c r="I230" s="31" t="s">
        <v>6516</v>
      </c>
      <c r="J230" s="31" t="s">
        <v>7321</v>
      </c>
      <c r="K230" s="31" t="s">
        <v>907</v>
      </c>
      <c r="L230" s="36" t="s">
        <v>5614</v>
      </c>
      <c r="M230" s="31">
        <v>1</v>
      </c>
      <c r="N230" s="31">
        <v>0</v>
      </c>
      <c r="O230" s="31" t="s">
        <v>5318</v>
      </c>
      <c r="P230" s="31">
        <v>0</v>
      </c>
      <c r="Q230" s="31">
        <v>0</v>
      </c>
      <c r="R230" s="31">
        <v>0</v>
      </c>
      <c r="S230" s="31" t="s">
        <v>5044</v>
      </c>
      <c r="T230" s="31">
        <v>1</v>
      </c>
      <c r="U230" s="31">
        <v>258</v>
      </c>
      <c r="V230" s="31">
        <v>0</v>
      </c>
      <c r="W230" s="31">
        <v>1</v>
      </c>
      <c r="X230" s="31">
        <v>0</v>
      </c>
      <c r="Y230" s="31" t="s">
        <v>5044</v>
      </c>
      <c r="Z230" s="31" t="s">
        <v>5044</v>
      </c>
      <c r="AA230" s="31" t="s">
        <v>5318</v>
      </c>
      <c r="AB230" s="31" t="s">
        <v>5044</v>
      </c>
      <c r="AI230" s="54">
        <v>0</v>
      </c>
      <c r="AJ230" s="54">
        <v>0</v>
      </c>
      <c r="AK230" s="31" t="s">
        <v>5318</v>
      </c>
      <c r="AL230" s="31" t="s">
        <v>5318</v>
      </c>
      <c r="AM230" s="31" t="s">
        <v>5318</v>
      </c>
      <c r="AN230" s="31" t="s">
        <v>5318</v>
      </c>
    </row>
    <row r="231" spans="1:45" ht="63" hidden="1" customHeight="1" x14ac:dyDescent="0.2">
      <c r="A231" s="31">
        <v>9021</v>
      </c>
      <c r="B231" s="31" t="s">
        <v>3220</v>
      </c>
      <c r="C231" s="31" t="s">
        <v>3221</v>
      </c>
      <c r="D231" s="49" t="s">
        <v>46</v>
      </c>
      <c r="F231" s="31" t="s">
        <v>51</v>
      </c>
      <c r="G231" s="31" t="s">
        <v>52</v>
      </c>
      <c r="H231" s="31" t="s">
        <v>53</v>
      </c>
      <c r="I231" s="31" t="s">
        <v>13</v>
      </c>
      <c r="J231" s="31" t="s">
        <v>3222</v>
      </c>
      <c r="K231" s="31" t="s">
        <v>3223</v>
      </c>
      <c r="L231" s="31" t="s">
        <v>5940</v>
      </c>
      <c r="M231" s="31">
        <v>1</v>
      </c>
      <c r="N231" s="31">
        <v>1</v>
      </c>
      <c r="O231" s="31">
        <v>1</v>
      </c>
      <c r="P231" s="31" t="s">
        <v>5318</v>
      </c>
      <c r="Q231" s="31" t="s">
        <v>5318</v>
      </c>
      <c r="R231" s="31" t="s">
        <v>5318</v>
      </c>
      <c r="S231" s="31" t="s">
        <v>5318</v>
      </c>
      <c r="T231" s="31" t="s">
        <v>5318</v>
      </c>
      <c r="U231" s="31" t="s">
        <v>5318</v>
      </c>
      <c r="V231" s="31" t="s">
        <v>5318</v>
      </c>
      <c r="W231" s="31" t="s">
        <v>5318</v>
      </c>
      <c r="X231" s="31" t="s">
        <v>5318</v>
      </c>
      <c r="Y231" s="31" t="s">
        <v>5318</v>
      </c>
      <c r="Z231" s="31" t="s">
        <v>5318</v>
      </c>
      <c r="AA231" s="31" t="s">
        <v>5318</v>
      </c>
      <c r="AB231" s="31" t="s">
        <v>5318</v>
      </c>
      <c r="AI231" s="54">
        <v>1</v>
      </c>
      <c r="AJ231" s="54">
        <v>0</v>
      </c>
      <c r="AK231" s="31" t="s">
        <v>6154</v>
      </c>
    </row>
    <row r="232" spans="1:45" ht="63" hidden="1" customHeight="1" x14ac:dyDescent="0.2">
      <c r="A232" s="31">
        <v>2785</v>
      </c>
      <c r="B232" s="31" t="s">
        <v>7192</v>
      </c>
      <c r="C232" s="31" t="s">
        <v>772</v>
      </c>
      <c r="D232" s="49" t="s">
        <v>46</v>
      </c>
      <c r="E232" s="31" t="s">
        <v>5318</v>
      </c>
      <c r="F232" s="31">
        <v>20</v>
      </c>
      <c r="G232" s="31">
        <v>1</v>
      </c>
      <c r="H232" s="31" t="s">
        <v>6538</v>
      </c>
      <c r="I232" s="31" t="s">
        <v>6516</v>
      </c>
      <c r="J232" s="31" t="s">
        <v>7193</v>
      </c>
      <c r="K232" s="31" t="s">
        <v>773</v>
      </c>
      <c r="L232" s="38" t="s">
        <v>5560</v>
      </c>
      <c r="M232" s="31">
        <v>1</v>
      </c>
      <c r="N232" s="31">
        <v>0</v>
      </c>
      <c r="O232" s="31" t="s">
        <v>5318</v>
      </c>
      <c r="P232" s="31">
        <v>0</v>
      </c>
      <c r="Q232" s="31">
        <v>0</v>
      </c>
      <c r="R232" s="31">
        <v>0</v>
      </c>
      <c r="S232" s="31">
        <v>1</v>
      </c>
      <c r="T232" s="31">
        <v>4</v>
      </c>
      <c r="U232" s="31">
        <v>514</v>
      </c>
      <c r="V232" s="31">
        <v>0</v>
      </c>
      <c r="W232" s="31">
        <v>1</v>
      </c>
      <c r="X232" s="31">
        <v>0</v>
      </c>
      <c r="Y232" s="31" t="s">
        <v>5044</v>
      </c>
      <c r="Z232" s="31" t="s">
        <v>5044</v>
      </c>
      <c r="AA232" s="31" t="s">
        <v>5318</v>
      </c>
      <c r="AB232" s="31" t="s">
        <v>5044</v>
      </c>
      <c r="AI232" s="54">
        <v>0</v>
      </c>
      <c r="AJ232" s="54">
        <v>0</v>
      </c>
      <c r="AK232" s="31" t="s">
        <v>5318</v>
      </c>
      <c r="AL232" s="31" t="s">
        <v>5318</v>
      </c>
      <c r="AM232" s="31" t="s">
        <v>5318</v>
      </c>
      <c r="AN232" s="31" t="s">
        <v>5318</v>
      </c>
    </row>
    <row r="233" spans="1:45" ht="63" hidden="1" customHeight="1" x14ac:dyDescent="0.2">
      <c r="A233" s="31">
        <v>1449</v>
      </c>
      <c r="B233" s="31" t="s">
        <v>6880</v>
      </c>
      <c r="C233" s="31" t="s">
        <v>439</v>
      </c>
      <c r="D233" s="49" t="s">
        <v>46</v>
      </c>
      <c r="E233" s="31" t="s">
        <v>5318</v>
      </c>
      <c r="F233" s="31">
        <v>21</v>
      </c>
      <c r="G233" s="31">
        <v>11</v>
      </c>
      <c r="H233" s="31" t="s">
        <v>6867</v>
      </c>
      <c r="I233" s="31" t="s">
        <v>6516</v>
      </c>
      <c r="J233" s="31" t="s">
        <v>6881</v>
      </c>
      <c r="K233" s="31" t="s">
        <v>440</v>
      </c>
      <c r="L233" s="36" t="s">
        <v>5233</v>
      </c>
      <c r="M233" s="31" t="s">
        <v>5318</v>
      </c>
      <c r="N233" s="31" t="s">
        <v>5318</v>
      </c>
      <c r="O233" s="31" t="s">
        <v>5318</v>
      </c>
      <c r="P233" s="31" t="s">
        <v>5318</v>
      </c>
      <c r="Q233" s="31" t="s">
        <v>5318</v>
      </c>
      <c r="R233" s="31">
        <v>1</v>
      </c>
      <c r="S233" s="31" t="s">
        <v>5318</v>
      </c>
      <c r="T233" s="31" t="s">
        <v>5318</v>
      </c>
      <c r="U233" s="31" t="s">
        <v>5318</v>
      </c>
      <c r="V233" s="31" t="s">
        <v>5318</v>
      </c>
      <c r="W233" s="31" t="s">
        <v>5318</v>
      </c>
      <c r="X233" s="31" t="s">
        <v>5318</v>
      </c>
      <c r="Y233" s="31" t="s">
        <v>5318</v>
      </c>
      <c r="Z233" s="31" t="s">
        <v>5318</v>
      </c>
      <c r="AA233" s="31" t="s">
        <v>5318</v>
      </c>
      <c r="AB233" s="31" t="s">
        <v>5318</v>
      </c>
      <c r="AI233" s="54">
        <v>1</v>
      </c>
      <c r="AJ233" s="54">
        <v>0</v>
      </c>
      <c r="AK233" s="31" t="s">
        <v>6275</v>
      </c>
      <c r="AL233" s="31" t="s">
        <v>5318</v>
      </c>
      <c r="AM233" s="31" t="s">
        <v>5318</v>
      </c>
      <c r="AN233" s="31" t="s">
        <v>5318</v>
      </c>
    </row>
    <row r="234" spans="1:45" ht="63" hidden="1" customHeight="1" x14ac:dyDescent="0.2">
      <c r="A234" s="119">
        <v>1689</v>
      </c>
      <c r="B234" s="119" t="s">
        <v>6931</v>
      </c>
      <c r="C234" s="119" t="s">
        <v>494</v>
      </c>
      <c r="D234" s="139" t="s">
        <v>46</v>
      </c>
      <c r="E234" s="119" t="s">
        <v>5318</v>
      </c>
      <c r="F234" s="119">
        <v>20</v>
      </c>
      <c r="G234" s="119">
        <v>1</v>
      </c>
      <c r="H234" s="119" t="s">
        <v>6538</v>
      </c>
      <c r="I234" s="119" t="s">
        <v>6516</v>
      </c>
      <c r="J234" s="119" t="s">
        <v>6932</v>
      </c>
      <c r="K234" s="119" t="s">
        <v>495</v>
      </c>
      <c r="L234" s="123" t="s">
        <v>5438</v>
      </c>
      <c r="M234" s="119">
        <v>1</v>
      </c>
      <c r="N234" s="119">
        <v>0</v>
      </c>
      <c r="O234" s="119" t="s">
        <v>5318</v>
      </c>
      <c r="P234" s="119">
        <v>0</v>
      </c>
      <c r="Q234" s="119">
        <v>0</v>
      </c>
      <c r="R234" s="119">
        <v>0</v>
      </c>
      <c r="S234" s="119">
        <v>1</v>
      </c>
      <c r="T234" s="119">
        <v>4</v>
      </c>
      <c r="U234" s="119">
        <v>125</v>
      </c>
      <c r="V234" s="119">
        <v>0</v>
      </c>
      <c r="W234" s="119">
        <v>1</v>
      </c>
      <c r="X234" s="119">
        <v>0</v>
      </c>
      <c r="Y234" s="119" t="s">
        <v>5044</v>
      </c>
      <c r="Z234" s="119" t="s">
        <v>5044</v>
      </c>
      <c r="AA234" s="119" t="s">
        <v>5318</v>
      </c>
      <c r="AB234" s="119" t="s">
        <v>5044</v>
      </c>
      <c r="AC234" s="119"/>
      <c r="AD234" s="119"/>
      <c r="AE234" s="119"/>
      <c r="AF234" s="119"/>
      <c r="AG234" s="119"/>
      <c r="AH234" s="119"/>
      <c r="AI234" s="122">
        <v>0</v>
      </c>
      <c r="AJ234" s="122">
        <v>0</v>
      </c>
      <c r="AK234" s="119" t="s">
        <v>5318</v>
      </c>
      <c r="AL234" s="119" t="s">
        <v>5318</v>
      </c>
      <c r="AM234" s="119" t="s">
        <v>5318</v>
      </c>
      <c r="AN234" s="119" t="s">
        <v>5318</v>
      </c>
      <c r="AO234" s="119"/>
      <c r="AP234" s="119"/>
      <c r="AQ234" s="119"/>
      <c r="AR234" s="119"/>
    </row>
    <row r="235" spans="1:45" ht="63" customHeight="1" x14ac:dyDescent="0.2">
      <c r="A235" s="31">
        <v>3262</v>
      </c>
      <c r="B235" s="31" t="s">
        <v>7317</v>
      </c>
      <c r="C235" s="31" t="s">
        <v>904</v>
      </c>
      <c r="D235" s="49" t="s">
        <v>46</v>
      </c>
      <c r="E235" s="31" t="s">
        <v>5318</v>
      </c>
      <c r="F235" s="31">
        <v>86</v>
      </c>
      <c r="G235" s="31">
        <v>1</v>
      </c>
      <c r="H235" s="31" t="s">
        <v>7318</v>
      </c>
      <c r="I235" s="31" t="s">
        <v>6516</v>
      </c>
      <c r="J235" s="31" t="s">
        <v>7319</v>
      </c>
      <c r="K235" s="81" t="s">
        <v>905</v>
      </c>
      <c r="L235" s="31" t="s">
        <v>5318</v>
      </c>
      <c r="M235" s="31">
        <v>0</v>
      </c>
      <c r="N235" s="81" t="s">
        <v>5044</v>
      </c>
      <c r="O235" s="81" t="s">
        <v>5044</v>
      </c>
      <c r="P235" s="31">
        <v>0</v>
      </c>
      <c r="Q235" s="31">
        <v>0</v>
      </c>
      <c r="R235" s="31">
        <v>0</v>
      </c>
      <c r="S235" s="31">
        <v>1</v>
      </c>
      <c r="T235" s="31">
        <v>1</v>
      </c>
      <c r="U235" s="31">
        <v>80</v>
      </c>
      <c r="V235" s="31">
        <v>1</v>
      </c>
      <c r="W235" s="31">
        <v>0</v>
      </c>
      <c r="X235" s="31">
        <v>0</v>
      </c>
      <c r="Y235" s="31">
        <v>1</v>
      </c>
      <c r="Z235" s="31">
        <v>0</v>
      </c>
      <c r="AA235" s="81" t="s">
        <v>5044</v>
      </c>
      <c r="AB235" s="31">
        <v>0</v>
      </c>
      <c r="AC235" s="31">
        <v>0</v>
      </c>
      <c r="AD235" s="31">
        <v>1.53</v>
      </c>
      <c r="AE235" s="31">
        <v>0</v>
      </c>
      <c r="AF235" s="31">
        <v>0</v>
      </c>
      <c r="AG235" s="81" t="s">
        <v>5044</v>
      </c>
      <c r="AH235" s="81" t="s">
        <v>5044</v>
      </c>
      <c r="AI235" s="54">
        <v>0</v>
      </c>
      <c r="AJ235" s="54">
        <v>0</v>
      </c>
      <c r="AK235" s="31" t="s">
        <v>5105</v>
      </c>
      <c r="AL235" s="77" t="s">
        <v>8072</v>
      </c>
      <c r="AM235" s="81" t="s">
        <v>5044</v>
      </c>
      <c r="AN235" s="31" t="s">
        <v>5318</v>
      </c>
      <c r="AO235" s="31" t="s">
        <v>5318</v>
      </c>
      <c r="AS235" s="109"/>
    </row>
    <row r="236" spans="1:45" ht="63" customHeight="1" x14ac:dyDescent="0.2">
      <c r="A236" s="31">
        <v>5389</v>
      </c>
      <c r="B236" s="31" t="s">
        <v>1598</v>
      </c>
      <c r="C236" s="31" t="s">
        <v>1599</v>
      </c>
      <c r="D236" s="45" t="s">
        <v>16</v>
      </c>
      <c r="F236" s="31" t="s">
        <v>1180</v>
      </c>
      <c r="H236" s="31" t="s">
        <v>572</v>
      </c>
      <c r="I236" s="31" t="s">
        <v>13</v>
      </c>
      <c r="J236" s="31" t="s">
        <v>1600</v>
      </c>
      <c r="K236" s="31" t="s">
        <v>1601</v>
      </c>
      <c r="L236" s="31" t="s">
        <v>5678</v>
      </c>
      <c r="M236" s="31">
        <v>0</v>
      </c>
      <c r="P236" s="31">
        <v>1</v>
      </c>
      <c r="Q236" s="31">
        <v>0</v>
      </c>
      <c r="R236" s="31">
        <v>0</v>
      </c>
      <c r="S236" s="31">
        <v>1</v>
      </c>
      <c r="T236" s="31">
        <v>1</v>
      </c>
      <c r="U236" s="31">
        <v>44</v>
      </c>
      <c r="V236" s="31">
        <v>0</v>
      </c>
      <c r="W236" s="31">
        <v>1</v>
      </c>
      <c r="X236" s="31">
        <v>0</v>
      </c>
      <c r="Y236" s="31">
        <v>1</v>
      </c>
      <c r="Z236" s="31">
        <v>0</v>
      </c>
      <c r="AB236" s="31" t="s">
        <v>5044</v>
      </c>
      <c r="AI236" s="54">
        <v>0</v>
      </c>
      <c r="AJ236" s="54">
        <v>0</v>
      </c>
      <c r="AK236" s="31" t="s">
        <v>3714</v>
      </c>
      <c r="AS236" s="109"/>
    </row>
    <row r="237" spans="1:45" ht="63" customHeight="1" x14ac:dyDescent="0.2">
      <c r="A237" s="31">
        <v>2961</v>
      </c>
      <c r="B237" s="31" t="s">
        <v>7234</v>
      </c>
      <c r="C237" s="31" t="s">
        <v>816</v>
      </c>
      <c r="D237" s="45" t="s">
        <v>16</v>
      </c>
      <c r="E237" s="31" t="s">
        <v>5318</v>
      </c>
      <c r="F237" s="31">
        <v>12</v>
      </c>
      <c r="G237" s="31">
        <v>1</v>
      </c>
      <c r="H237" s="31" t="s">
        <v>6645</v>
      </c>
      <c r="I237" s="31" t="s">
        <v>6516</v>
      </c>
      <c r="J237" s="31" t="s">
        <v>7235</v>
      </c>
      <c r="K237" s="31" t="s">
        <v>817</v>
      </c>
      <c r="L237" s="36" t="s">
        <v>5583</v>
      </c>
      <c r="M237" s="31">
        <v>0</v>
      </c>
      <c r="N237" s="31" t="s">
        <v>5318</v>
      </c>
      <c r="O237" s="31" t="s">
        <v>5318</v>
      </c>
      <c r="P237" s="31">
        <v>1</v>
      </c>
      <c r="Q237" s="31">
        <v>0</v>
      </c>
      <c r="R237" s="31">
        <v>0</v>
      </c>
      <c r="S237" s="31">
        <v>1</v>
      </c>
      <c r="T237" s="31">
        <v>1</v>
      </c>
      <c r="U237" s="31">
        <v>36</v>
      </c>
      <c r="V237" s="31">
        <v>0</v>
      </c>
      <c r="W237" s="31">
        <v>1</v>
      </c>
      <c r="X237" s="31">
        <v>0</v>
      </c>
      <c r="Y237" s="31">
        <v>1</v>
      </c>
      <c r="Z237" s="31">
        <v>0</v>
      </c>
      <c r="AA237" s="31" t="s">
        <v>5318</v>
      </c>
      <c r="AB237" s="31" t="s">
        <v>5044</v>
      </c>
      <c r="AI237" s="54">
        <v>0</v>
      </c>
      <c r="AJ237" s="54">
        <v>0</v>
      </c>
      <c r="AK237" s="31" t="s">
        <v>5105</v>
      </c>
      <c r="AL237" s="31" t="s">
        <v>5318</v>
      </c>
      <c r="AM237" s="31" t="s">
        <v>5318</v>
      </c>
      <c r="AN237" s="31" t="s">
        <v>5318</v>
      </c>
      <c r="AS237" s="109"/>
    </row>
    <row r="238" spans="1:45" ht="63" customHeight="1" x14ac:dyDescent="0.2">
      <c r="A238" s="31">
        <v>3378</v>
      </c>
      <c r="B238" s="31" t="s">
        <v>7352</v>
      </c>
      <c r="C238" s="31" t="s">
        <v>940</v>
      </c>
      <c r="D238" s="45" t="s">
        <v>16</v>
      </c>
      <c r="E238" s="31" t="s">
        <v>5318</v>
      </c>
      <c r="F238" s="31">
        <v>157</v>
      </c>
      <c r="G238" s="31">
        <v>4</v>
      </c>
      <c r="H238" s="31" t="s">
        <v>6676</v>
      </c>
      <c r="I238" s="31" t="s">
        <v>6516</v>
      </c>
      <c r="J238" s="31" t="s">
        <v>7353</v>
      </c>
      <c r="K238" s="31" t="s">
        <v>942</v>
      </c>
      <c r="L238" s="38" t="s">
        <v>5624</v>
      </c>
      <c r="M238" s="31">
        <v>0</v>
      </c>
      <c r="N238" s="31" t="s">
        <v>5318</v>
      </c>
      <c r="O238" s="31" t="s">
        <v>5318</v>
      </c>
      <c r="P238" s="31">
        <v>0</v>
      </c>
      <c r="Q238" s="31">
        <v>0</v>
      </c>
      <c r="R238" s="31">
        <v>0</v>
      </c>
      <c r="S238" s="31">
        <v>1</v>
      </c>
      <c r="T238" s="31">
        <v>1</v>
      </c>
      <c r="U238" s="31">
        <v>253</v>
      </c>
      <c r="V238" s="31">
        <v>0</v>
      </c>
      <c r="W238" s="31">
        <v>1</v>
      </c>
      <c r="X238" s="31">
        <v>0</v>
      </c>
      <c r="Y238" s="31">
        <v>1</v>
      </c>
      <c r="Z238" s="31">
        <v>0</v>
      </c>
      <c r="AA238" s="31" t="s">
        <v>5318</v>
      </c>
      <c r="AB238" s="31">
        <v>1</v>
      </c>
      <c r="AI238" s="54">
        <v>0</v>
      </c>
      <c r="AJ238" s="54">
        <v>0</v>
      </c>
      <c r="AK238" s="31" t="s">
        <v>5318</v>
      </c>
      <c r="AL238" s="31" t="s">
        <v>5318</v>
      </c>
      <c r="AM238" s="31" t="s">
        <v>5318</v>
      </c>
      <c r="AN238" s="31" t="s">
        <v>5318</v>
      </c>
      <c r="AS238" s="109"/>
    </row>
    <row r="239" spans="1:45" ht="63" hidden="1" customHeight="1" x14ac:dyDescent="0.2">
      <c r="A239" s="32">
        <v>11678</v>
      </c>
      <c r="B239" s="32" t="s">
        <v>4456</v>
      </c>
      <c r="C239" s="32" t="s">
        <v>4457</v>
      </c>
      <c r="D239" s="46" t="s">
        <v>16</v>
      </c>
      <c r="E239" s="32" t="s">
        <v>305</v>
      </c>
      <c r="F239" s="32" t="s">
        <v>118</v>
      </c>
      <c r="G239" s="32" t="s">
        <v>52</v>
      </c>
      <c r="H239" s="32" t="s">
        <v>53</v>
      </c>
      <c r="I239" s="32" t="s">
        <v>13</v>
      </c>
      <c r="J239" s="32" t="s">
        <v>4458</v>
      </c>
      <c r="K239" s="32" t="s">
        <v>4459</v>
      </c>
      <c r="L239" s="149" t="s">
        <v>5292</v>
      </c>
      <c r="M239" s="32">
        <v>1</v>
      </c>
      <c r="N239" s="32">
        <v>0</v>
      </c>
      <c r="O239" s="32"/>
      <c r="P239" s="32">
        <v>0</v>
      </c>
      <c r="Q239" s="32">
        <v>0</v>
      </c>
      <c r="R239" s="32">
        <v>0</v>
      </c>
      <c r="S239" s="32">
        <v>1</v>
      </c>
      <c r="T239" s="32">
        <v>2</v>
      </c>
      <c r="U239" s="32">
        <v>240</v>
      </c>
      <c r="V239" s="32">
        <v>0</v>
      </c>
      <c r="W239" s="32">
        <v>1</v>
      </c>
      <c r="X239" s="32">
        <v>0</v>
      </c>
      <c r="Y239" s="32" t="s">
        <v>5044</v>
      </c>
      <c r="Z239" s="32" t="s">
        <v>5044</v>
      </c>
      <c r="AA239" s="32"/>
      <c r="AB239" s="32" t="s">
        <v>5044</v>
      </c>
      <c r="AC239" s="32"/>
      <c r="AD239" s="32"/>
      <c r="AE239" s="32"/>
      <c r="AF239" s="32"/>
      <c r="AG239" s="32"/>
      <c r="AH239" s="32"/>
      <c r="AI239" s="144">
        <v>0</v>
      </c>
      <c r="AJ239" s="144">
        <v>0</v>
      </c>
      <c r="AK239" s="32"/>
      <c r="AL239" s="32"/>
      <c r="AM239" s="32"/>
      <c r="AN239" s="32"/>
      <c r="AO239" s="32"/>
      <c r="AP239" s="32"/>
      <c r="AQ239" s="32"/>
      <c r="AR239" s="32"/>
    </row>
    <row r="240" spans="1:45" ht="63" hidden="1" customHeight="1" x14ac:dyDescent="0.2">
      <c r="A240" s="31">
        <v>478</v>
      </c>
      <c r="B240" s="31" t="s">
        <v>6636</v>
      </c>
      <c r="C240" s="31" t="s">
        <v>174</v>
      </c>
      <c r="D240" s="46" t="s">
        <v>16</v>
      </c>
      <c r="E240" s="31" t="s">
        <v>5318</v>
      </c>
      <c r="F240" s="31">
        <v>7</v>
      </c>
      <c r="G240" s="31">
        <v>1</v>
      </c>
      <c r="H240" s="31" t="s">
        <v>6637</v>
      </c>
      <c r="I240" s="31" t="s">
        <v>6516</v>
      </c>
      <c r="J240" s="31" t="s">
        <v>6638</v>
      </c>
      <c r="K240" s="31" t="s">
        <v>176</v>
      </c>
      <c r="L240" s="31" t="s">
        <v>5098</v>
      </c>
      <c r="M240" s="31">
        <v>1</v>
      </c>
      <c r="N240" s="31">
        <v>0</v>
      </c>
      <c r="O240" s="31" t="s">
        <v>5318</v>
      </c>
      <c r="P240" s="31">
        <v>0</v>
      </c>
      <c r="Q240" s="31">
        <v>0</v>
      </c>
      <c r="R240" s="31">
        <v>0</v>
      </c>
      <c r="S240" s="31">
        <v>1</v>
      </c>
      <c r="T240" s="31">
        <v>2</v>
      </c>
      <c r="U240" s="31">
        <v>2275</v>
      </c>
      <c r="V240" s="31">
        <v>0</v>
      </c>
      <c r="W240" s="31">
        <v>1</v>
      </c>
      <c r="X240" s="31">
        <v>0</v>
      </c>
      <c r="Y240" s="31" t="s">
        <v>5044</v>
      </c>
      <c r="Z240" s="31" t="s">
        <v>5044</v>
      </c>
      <c r="AA240" s="31" t="s">
        <v>5318</v>
      </c>
      <c r="AB240" s="31" t="s">
        <v>5041</v>
      </c>
      <c r="AI240" s="54">
        <v>0</v>
      </c>
      <c r="AJ240" s="54">
        <v>0</v>
      </c>
      <c r="AK240" s="31" t="s">
        <v>5318</v>
      </c>
      <c r="AL240" s="31" t="s">
        <v>5318</v>
      </c>
      <c r="AM240" s="31" t="s">
        <v>5318</v>
      </c>
      <c r="AN240" s="31" t="s">
        <v>5318</v>
      </c>
    </row>
    <row r="241" spans="1:45" ht="63" hidden="1" customHeight="1" x14ac:dyDescent="0.2">
      <c r="A241" s="119">
        <v>11412</v>
      </c>
      <c r="B241" s="119" t="s">
        <v>4331</v>
      </c>
      <c r="C241" s="119" t="s">
        <v>4332</v>
      </c>
      <c r="D241" s="46" t="s">
        <v>16</v>
      </c>
      <c r="E241" s="119" t="s">
        <v>305</v>
      </c>
      <c r="F241" s="119" t="s">
        <v>118</v>
      </c>
      <c r="G241" s="119" t="s">
        <v>52</v>
      </c>
      <c r="H241" s="119" t="s">
        <v>53</v>
      </c>
      <c r="I241" s="119" t="s">
        <v>13</v>
      </c>
      <c r="J241" s="119" t="s">
        <v>4333</v>
      </c>
      <c r="K241" s="119" t="s">
        <v>4334</v>
      </c>
      <c r="L241" s="128" t="s">
        <v>5266</v>
      </c>
      <c r="M241" s="119">
        <v>1</v>
      </c>
      <c r="N241" s="119">
        <v>0</v>
      </c>
      <c r="O241" s="119"/>
      <c r="P241" s="119">
        <v>0</v>
      </c>
      <c r="Q241" s="119">
        <v>0</v>
      </c>
      <c r="R241" s="119">
        <v>0</v>
      </c>
      <c r="S241" s="119">
        <v>1</v>
      </c>
      <c r="T241" s="119">
        <v>1</v>
      </c>
      <c r="U241" s="119">
        <v>100</v>
      </c>
      <c r="V241" s="119">
        <v>0</v>
      </c>
      <c r="W241" s="119">
        <v>1</v>
      </c>
      <c r="X241" s="119">
        <v>0</v>
      </c>
      <c r="Y241" s="119" t="s">
        <v>5044</v>
      </c>
      <c r="Z241" s="119" t="s">
        <v>5044</v>
      </c>
      <c r="AA241" s="119"/>
      <c r="AB241" s="119" t="s">
        <v>5044</v>
      </c>
      <c r="AC241" s="119"/>
      <c r="AD241" s="119"/>
      <c r="AE241" s="119"/>
      <c r="AF241" s="119"/>
      <c r="AG241" s="119"/>
      <c r="AH241" s="119"/>
      <c r="AI241" s="122">
        <v>0</v>
      </c>
      <c r="AJ241" s="122">
        <v>0</v>
      </c>
      <c r="AK241" s="119"/>
      <c r="AL241" s="119"/>
      <c r="AM241" s="119"/>
      <c r="AN241" s="119"/>
      <c r="AO241" s="119"/>
      <c r="AP241" s="119"/>
      <c r="AQ241" s="119"/>
      <c r="AR241" s="119"/>
    </row>
    <row r="242" spans="1:45" ht="63" customHeight="1" x14ac:dyDescent="0.2">
      <c r="A242" s="31">
        <v>10595</v>
      </c>
      <c r="B242" s="31" t="s">
        <v>3963</v>
      </c>
      <c r="C242" s="31" t="s">
        <v>3964</v>
      </c>
      <c r="D242" s="45" t="s">
        <v>16</v>
      </c>
      <c r="F242" s="31" t="s">
        <v>186</v>
      </c>
      <c r="G242" s="31" t="s">
        <v>32</v>
      </c>
      <c r="H242" s="31" t="s">
        <v>43</v>
      </c>
      <c r="I242" s="31" t="s">
        <v>13</v>
      </c>
      <c r="J242" s="31" t="s">
        <v>3965</v>
      </c>
      <c r="K242" s="31" t="s">
        <v>3966</v>
      </c>
      <c r="L242" s="31" t="s">
        <v>5339</v>
      </c>
      <c r="M242" s="31">
        <v>0</v>
      </c>
      <c r="P242" s="31">
        <v>0</v>
      </c>
      <c r="Q242" s="31">
        <v>0</v>
      </c>
      <c r="R242" s="31">
        <v>0</v>
      </c>
      <c r="S242" s="31">
        <v>1</v>
      </c>
      <c r="T242" s="31">
        <v>4</v>
      </c>
      <c r="U242" s="31">
        <v>312</v>
      </c>
      <c r="V242" s="31">
        <v>0</v>
      </c>
      <c r="W242" s="31">
        <v>1</v>
      </c>
      <c r="X242" s="31">
        <v>0</v>
      </c>
      <c r="Y242" s="31">
        <v>1</v>
      </c>
      <c r="Z242" s="31">
        <v>0</v>
      </c>
      <c r="AB242" s="31">
        <v>0</v>
      </c>
      <c r="AI242" s="54">
        <v>0</v>
      </c>
      <c r="AJ242" s="54">
        <v>0</v>
      </c>
      <c r="AS242" s="109"/>
    </row>
    <row r="243" spans="1:45" ht="63" hidden="1" customHeight="1" x14ac:dyDescent="0.2">
      <c r="A243" s="115">
        <v>7840</v>
      </c>
      <c r="B243" s="115" t="s">
        <v>2662</v>
      </c>
      <c r="C243" s="115" t="s">
        <v>2663</v>
      </c>
      <c r="D243" s="46" t="s">
        <v>16</v>
      </c>
      <c r="E243" s="115"/>
      <c r="F243" s="115" t="s">
        <v>17</v>
      </c>
      <c r="G243" s="115"/>
      <c r="H243" s="115" t="s">
        <v>130</v>
      </c>
      <c r="I243" s="115" t="s">
        <v>13</v>
      </c>
      <c r="J243" s="115" t="s">
        <v>2664</v>
      </c>
      <c r="K243" s="115" t="s">
        <v>2665</v>
      </c>
      <c r="L243" s="168" t="s">
        <v>6180</v>
      </c>
      <c r="M243" s="115">
        <v>1</v>
      </c>
      <c r="N243" s="115">
        <v>0</v>
      </c>
      <c r="O243" s="115"/>
      <c r="P243" s="115">
        <v>0</v>
      </c>
      <c r="Q243" s="115">
        <v>0</v>
      </c>
      <c r="R243" s="115">
        <v>0</v>
      </c>
      <c r="S243" s="115">
        <v>1</v>
      </c>
      <c r="T243" s="115">
        <v>1</v>
      </c>
      <c r="U243" s="115">
        <v>128</v>
      </c>
      <c r="V243" s="115">
        <v>1</v>
      </c>
      <c r="W243" s="115">
        <v>0</v>
      </c>
      <c r="X243" s="115">
        <v>0</v>
      </c>
      <c r="Y243" s="115" t="s">
        <v>5044</v>
      </c>
      <c r="Z243" s="115" t="s">
        <v>5044</v>
      </c>
      <c r="AA243" s="115"/>
      <c r="AB243" s="115" t="s">
        <v>5044</v>
      </c>
      <c r="AC243" s="115"/>
      <c r="AD243" s="115"/>
      <c r="AE243" s="115"/>
      <c r="AF243" s="115"/>
      <c r="AG243" s="115"/>
      <c r="AH243" s="115"/>
      <c r="AI243" s="143">
        <v>0</v>
      </c>
      <c r="AJ243" s="143">
        <v>0</v>
      </c>
      <c r="AK243" s="115"/>
      <c r="AL243" s="115"/>
      <c r="AM243" s="115"/>
      <c r="AN243" s="115"/>
      <c r="AO243" s="115"/>
      <c r="AP243" s="115"/>
      <c r="AQ243" s="115"/>
      <c r="AR243" s="115"/>
    </row>
    <row r="244" spans="1:45" ht="63" customHeight="1" x14ac:dyDescent="0.2">
      <c r="A244" s="31">
        <v>4536</v>
      </c>
      <c r="B244" s="31" t="s">
        <v>7619</v>
      </c>
      <c r="C244" s="31" t="s">
        <v>1210</v>
      </c>
      <c r="D244" s="45" t="s">
        <v>16</v>
      </c>
      <c r="E244" s="31" t="s">
        <v>5318</v>
      </c>
      <c r="F244" s="31">
        <v>275</v>
      </c>
      <c r="G244" s="31">
        <v>3</v>
      </c>
      <c r="H244" s="31" t="s">
        <v>6533</v>
      </c>
      <c r="I244" s="31" t="s">
        <v>6516</v>
      </c>
      <c r="J244" s="31" t="s">
        <v>7620</v>
      </c>
      <c r="K244" s="31" t="s">
        <v>1211</v>
      </c>
      <c r="L244" s="31" t="s">
        <v>5712</v>
      </c>
      <c r="M244" s="31">
        <v>0</v>
      </c>
      <c r="N244" s="31" t="s">
        <v>5318</v>
      </c>
      <c r="O244" s="31" t="s">
        <v>5318</v>
      </c>
      <c r="P244" s="31">
        <v>0</v>
      </c>
      <c r="Q244" s="31">
        <v>0</v>
      </c>
      <c r="R244" s="31">
        <v>0</v>
      </c>
      <c r="S244" s="31">
        <v>1</v>
      </c>
      <c r="T244" s="31">
        <v>1</v>
      </c>
      <c r="U244" s="31">
        <v>761</v>
      </c>
      <c r="V244" s="31">
        <v>0</v>
      </c>
      <c r="W244" s="31">
        <v>1</v>
      </c>
      <c r="X244" s="31">
        <v>0</v>
      </c>
      <c r="Y244" s="31">
        <v>1</v>
      </c>
      <c r="Z244" s="31">
        <v>0</v>
      </c>
      <c r="AA244" s="31" t="s">
        <v>5318</v>
      </c>
      <c r="AB244" s="31">
        <v>0</v>
      </c>
      <c r="AI244" s="54">
        <v>0</v>
      </c>
      <c r="AJ244" s="54">
        <v>0</v>
      </c>
      <c r="AK244" s="31" t="s">
        <v>5318</v>
      </c>
      <c r="AL244" s="31" t="s">
        <v>5318</v>
      </c>
      <c r="AM244" s="31" t="s">
        <v>5318</v>
      </c>
      <c r="AN244" s="31" t="s">
        <v>5318</v>
      </c>
      <c r="AS244" s="109"/>
    </row>
    <row r="245" spans="1:45" ht="63" customHeight="1" x14ac:dyDescent="0.2">
      <c r="A245" s="31">
        <v>11811</v>
      </c>
      <c r="B245" s="31" t="s">
        <v>4519</v>
      </c>
      <c r="C245" s="31" t="s">
        <v>4520</v>
      </c>
      <c r="D245" s="45" t="s">
        <v>16</v>
      </c>
      <c r="F245" s="31" t="s">
        <v>186</v>
      </c>
      <c r="G245" s="31" t="s">
        <v>32</v>
      </c>
      <c r="H245" s="31" t="s">
        <v>43</v>
      </c>
      <c r="I245" s="31" t="s">
        <v>13</v>
      </c>
      <c r="J245" s="31" t="s">
        <v>4521</v>
      </c>
      <c r="K245" s="31" t="s">
        <v>4522</v>
      </c>
      <c r="L245" s="36" t="s">
        <v>5304</v>
      </c>
      <c r="M245" s="31">
        <v>0</v>
      </c>
      <c r="P245" s="31">
        <v>0</v>
      </c>
      <c r="Q245" s="31">
        <v>0</v>
      </c>
      <c r="R245" s="31">
        <v>0</v>
      </c>
      <c r="S245" s="31">
        <v>1</v>
      </c>
      <c r="T245" s="31">
        <v>1</v>
      </c>
      <c r="U245" s="31">
        <v>57</v>
      </c>
      <c r="V245" s="31">
        <v>0</v>
      </c>
      <c r="W245" s="31">
        <v>1</v>
      </c>
      <c r="X245" s="31">
        <v>0</v>
      </c>
      <c r="Y245" s="31">
        <v>1</v>
      </c>
      <c r="Z245" s="31">
        <v>0</v>
      </c>
      <c r="AB245" s="31">
        <v>1</v>
      </c>
      <c r="AI245" s="54">
        <v>0</v>
      </c>
      <c r="AJ245" s="54">
        <v>0</v>
      </c>
      <c r="AS245" s="109"/>
    </row>
    <row r="246" spans="1:45" ht="63" hidden="1" customHeight="1" x14ac:dyDescent="0.2">
      <c r="A246" s="115">
        <v>25</v>
      </c>
      <c r="B246" s="115" t="s">
        <v>6518</v>
      </c>
      <c r="C246" s="115" t="s">
        <v>15</v>
      </c>
      <c r="D246" s="46" t="s">
        <v>16</v>
      </c>
      <c r="E246" s="115" t="s">
        <v>5318</v>
      </c>
      <c r="F246" s="115">
        <v>12</v>
      </c>
      <c r="G246" s="115">
        <v>4</v>
      </c>
      <c r="H246" s="115" t="s">
        <v>6519</v>
      </c>
      <c r="I246" s="115" t="s">
        <v>6516</v>
      </c>
      <c r="J246" s="115" t="s">
        <v>6520</v>
      </c>
      <c r="K246" s="115" t="s">
        <v>20</v>
      </c>
      <c r="L246" s="115" t="s">
        <v>5042</v>
      </c>
      <c r="M246" s="115">
        <v>1</v>
      </c>
      <c r="N246" s="115">
        <v>1</v>
      </c>
      <c r="O246" s="115">
        <v>0</v>
      </c>
      <c r="P246" s="115" t="s">
        <v>5318</v>
      </c>
      <c r="Q246" s="115" t="s">
        <v>5318</v>
      </c>
      <c r="R246" s="115" t="s">
        <v>5318</v>
      </c>
      <c r="S246" s="115" t="s">
        <v>5318</v>
      </c>
      <c r="T246" s="115" t="s">
        <v>5318</v>
      </c>
      <c r="U246" s="115" t="s">
        <v>5318</v>
      </c>
      <c r="V246" s="115" t="s">
        <v>5318</v>
      </c>
      <c r="W246" s="115" t="s">
        <v>5318</v>
      </c>
      <c r="X246" s="115" t="s">
        <v>5318</v>
      </c>
      <c r="Y246" s="115" t="s">
        <v>5318</v>
      </c>
      <c r="Z246" s="115" t="s">
        <v>5318</v>
      </c>
      <c r="AA246" s="115" t="s">
        <v>5318</v>
      </c>
      <c r="AB246" s="115" t="s">
        <v>5318</v>
      </c>
      <c r="AC246" s="115"/>
      <c r="AD246" s="115"/>
      <c r="AE246" s="115"/>
      <c r="AF246" s="115"/>
      <c r="AG246" s="115"/>
      <c r="AH246" s="115"/>
      <c r="AI246" s="143">
        <v>1</v>
      </c>
      <c r="AJ246" s="143">
        <v>0</v>
      </c>
      <c r="AK246" s="115" t="s">
        <v>5462</v>
      </c>
      <c r="AL246" s="115" t="s">
        <v>5318</v>
      </c>
      <c r="AM246" s="115" t="s">
        <v>5318</v>
      </c>
      <c r="AN246" s="115" t="s">
        <v>5318</v>
      </c>
      <c r="AO246" s="115"/>
      <c r="AP246" s="115"/>
      <c r="AQ246" s="115"/>
      <c r="AR246" s="115"/>
    </row>
    <row r="247" spans="1:45" ht="63" customHeight="1" x14ac:dyDescent="0.2">
      <c r="A247" s="31">
        <v>10199</v>
      </c>
      <c r="B247" s="31" t="s">
        <v>3768</v>
      </c>
      <c r="C247" s="31" t="s">
        <v>3769</v>
      </c>
      <c r="D247" s="45" t="s">
        <v>16</v>
      </c>
      <c r="H247" s="31" t="s">
        <v>140</v>
      </c>
      <c r="I247" s="31" t="s">
        <v>13</v>
      </c>
      <c r="J247" s="31" t="s">
        <v>3770</v>
      </c>
      <c r="K247" s="31" t="s">
        <v>3771</v>
      </c>
      <c r="L247" s="31" t="s">
        <v>6053</v>
      </c>
      <c r="M247" s="31">
        <v>0</v>
      </c>
      <c r="N247" s="31" t="s">
        <v>5044</v>
      </c>
      <c r="O247" s="31" t="s">
        <v>5044</v>
      </c>
      <c r="P247" s="31">
        <v>1</v>
      </c>
      <c r="Q247" s="31">
        <v>0</v>
      </c>
      <c r="R247" s="31">
        <v>0</v>
      </c>
      <c r="S247" s="31" t="s">
        <v>6054</v>
      </c>
      <c r="T247" s="31">
        <v>2</v>
      </c>
      <c r="U247" s="31">
        <v>81</v>
      </c>
      <c r="V247" s="31">
        <v>0</v>
      </c>
      <c r="W247" s="31">
        <v>1</v>
      </c>
      <c r="X247" s="31">
        <v>0</v>
      </c>
      <c r="Y247" s="31">
        <v>1</v>
      </c>
      <c r="Z247" s="31">
        <v>0</v>
      </c>
      <c r="AA247" s="31" t="s">
        <v>6502</v>
      </c>
      <c r="AB247" s="31">
        <v>1</v>
      </c>
      <c r="AI247" s="54">
        <v>0</v>
      </c>
      <c r="AJ247" s="54">
        <v>0</v>
      </c>
      <c r="AK247" s="31" t="s">
        <v>6290</v>
      </c>
      <c r="AS247" s="109"/>
    </row>
    <row r="248" spans="1:45" ht="63" hidden="1" customHeight="1" x14ac:dyDescent="0.2">
      <c r="A248" s="32">
        <v>864</v>
      </c>
      <c r="B248" s="32" t="s">
        <v>6727</v>
      </c>
      <c r="C248" s="32" t="s">
        <v>272</v>
      </c>
      <c r="D248" s="46" t="s">
        <v>16</v>
      </c>
      <c r="E248" s="32" t="s">
        <v>5318</v>
      </c>
      <c r="F248" s="32">
        <v>8</v>
      </c>
      <c r="G248" s="32">
        <v>1</v>
      </c>
      <c r="H248" s="32" t="s">
        <v>6728</v>
      </c>
      <c r="I248" s="32" t="s">
        <v>6516</v>
      </c>
      <c r="J248" s="32" t="s">
        <v>6729</v>
      </c>
      <c r="K248" s="32" t="s">
        <v>274</v>
      </c>
      <c r="L248" s="32" t="s">
        <v>5131</v>
      </c>
      <c r="M248" s="32">
        <v>1</v>
      </c>
      <c r="N248" s="32">
        <v>1</v>
      </c>
      <c r="O248" s="32">
        <v>0</v>
      </c>
      <c r="P248" s="32" t="s">
        <v>5318</v>
      </c>
      <c r="Q248" s="32" t="s">
        <v>5318</v>
      </c>
      <c r="R248" s="32" t="s">
        <v>5318</v>
      </c>
      <c r="S248" s="32" t="s">
        <v>5318</v>
      </c>
      <c r="T248" s="32" t="s">
        <v>5318</v>
      </c>
      <c r="U248" s="32" t="s">
        <v>5318</v>
      </c>
      <c r="V248" s="32" t="s">
        <v>5318</v>
      </c>
      <c r="W248" s="32" t="s">
        <v>5318</v>
      </c>
      <c r="X248" s="32" t="s">
        <v>5318</v>
      </c>
      <c r="Y248" s="32" t="s">
        <v>5318</v>
      </c>
      <c r="Z248" s="32" t="s">
        <v>5318</v>
      </c>
      <c r="AA248" s="32" t="s">
        <v>5318</v>
      </c>
      <c r="AB248" s="32" t="s">
        <v>5318</v>
      </c>
      <c r="AC248" s="32"/>
      <c r="AD248" s="32"/>
      <c r="AE248" s="32"/>
      <c r="AF248" s="32"/>
      <c r="AG248" s="32"/>
      <c r="AH248" s="32"/>
      <c r="AI248" s="144">
        <v>1</v>
      </c>
      <c r="AJ248" s="144">
        <v>0</v>
      </c>
      <c r="AK248" s="32" t="s">
        <v>6730</v>
      </c>
      <c r="AL248" s="32" t="s">
        <v>5318</v>
      </c>
      <c r="AM248" s="32" t="s">
        <v>5318</v>
      </c>
      <c r="AN248" s="32" t="s">
        <v>5318</v>
      </c>
      <c r="AO248" s="32"/>
      <c r="AP248" s="32"/>
      <c r="AQ248" s="32"/>
      <c r="AR248" s="32"/>
    </row>
    <row r="249" spans="1:45" ht="63" hidden="1" customHeight="1" x14ac:dyDescent="0.2">
      <c r="A249" s="31">
        <v>11711</v>
      </c>
      <c r="B249" s="31" t="s">
        <v>4478</v>
      </c>
      <c r="C249" s="31" t="s">
        <v>4479</v>
      </c>
      <c r="D249" s="46" t="s">
        <v>16</v>
      </c>
      <c r="F249" s="31" t="s">
        <v>118</v>
      </c>
      <c r="G249" s="31" t="s">
        <v>52</v>
      </c>
      <c r="H249" s="31" t="s">
        <v>53</v>
      </c>
      <c r="I249" s="31" t="s">
        <v>13</v>
      </c>
      <c r="J249" s="31" t="s">
        <v>4480</v>
      </c>
      <c r="K249" s="31" t="s">
        <v>4481</v>
      </c>
      <c r="L249" s="38" t="s">
        <v>5296</v>
      </c>
      <c r="M249" s="31">
        <v>1</v>
      </c>
      <c r="N249" s="31">
        <v>0</v>
      </c>
      <c r="P249" s="31">
        <v>0</v>
      </c>
      <c r="Q249" s="31">
        <v>0</v>
      </c>
      <c r="R249" s="31">
        <v>0</v>
      </c>
      <c r="S249" s="31">
        <v>1</v>
      </c>
      <c r="T249" s="31">
        <v>1</v>
      </c>
      <c r="U249" s="31">
        <v>120</v>
      </c>
      <c r="V249" s="31">
        <v>1</v>
      </c>
      <c r="W249" s="31">
        <v>0</v>
      </c>
      <c r="X249" s="31">
        <v>0</v>
      </c>
      <c r="Y249" s="31" t="s">
        <v>5044</v>
      </c>
      <c r="Z249" s="31" t="s">
        <v>5044</v>
      </c>
      <c r="AB249" s="31" t="s">
        <v>5044</v>
      </c>
      <c r="AI249" s="54">
        <v>0</v>
      </c>
      <c r="AJ249" s="54">
        <v>0</v>
      </c>
    </row>
    <row r="250" spans="1:45" ht="63" hidden="1" customHeight="1" x14ac:dyDescent="0.2">
      <c r="A250" s="119">
        <v>9613</v>
      </c>
      <c r="B250" s="119" t="s">
        <v>3495</v>
      </c>
      <c r="C250" s="119" t="s">
        <v>3496</v>
      </c>
      <c r="D250" s="46" t="s">
        <v>16</v>
      </c>
      <c r="E250" s="119"/>
      <c r="F250" s="119" t="s">
        <v>37</v>
      </c>
      <c r="G250" s="119" t="s">
        <v>37</v>
      </c>
      <c r="H250" s="119" t="s">
        <v>396</v>
      </c>
      <c r="I250" s="119" t="s">
        <v>13</v>
      </c>
      <c r="J250" s="119" t="s">
        <v>3497</v>
      </c>
      <c r="K250" s="119" t="s">
        <v>3498</v>
      </c>
      <c r="L250" s="119" t="s">
        <v>5998</v>
      </c>
      <c r="M250" s="119">
        <v>1</v>
      </c>
      <c r="N250" s="119">
        <v>0</v>
      </c>
      <c r="O250" s="119" t="s">
        <v>5044</v>
      </c>
      <c r="P250" s="119">
        <v>0</v>
      </c>
      <c r="Q250" s="119">
        <v>0</v>
      </c>
      <c r="R250" s="119">
        <v>0</v>
      </c>
      <c r="S250" s="119">
        <v>1</v>
      </c>
      <c r="T250" s="119">
        <v>5</v>
      </c>
      <c r="U250" s="119">
        <v>20</v>
      </c>
      <c r="V250" s="119">
        <v>0</v>
      </c>
      <c r="W250" s="119">
        <v>1</v>
      </c>
      <c r="X250" s="119">
        <v>0</v>
      </c>
      <c r="Y250" s="119" t="s">
        <v>5044</v>
      </c>
      <c r="Z250" s="119" t="s">
        <v>5044</v>
      </c>
      <c r="AA250" s="119" t="s">
        <v>5318</v>
      </c>
      <c r="AB250" s="119" t="s">
        <v>5044</v>
      </c>
      <c r="AC250" s="119"/>
      <c r="AD250" s="119"/>
      <c r="AE250" s="119"/>
      <c r="AF250" s="119"/>
      <c r="AG250" s="119"/>
      <c r="AH250" s="119"/>
      <c r="AI250" s="122">
        <v>0</v>
      </c>
      <c r="AJ250" s="122">
        <v>0</v>
      </c>
      <c r="AK250" s="119"/>
      <c r="AL250" s="119"/>
      <c r="AM250" s="119"/>
      <c r="AN250" s="119"/>
      <c r="AO250" s="119"/>
      <c r="AP250" s="119"/>
      <c r="AQ250" s="119"/>
      <c r="AR250" s="119"/>
    </row>
    <row r="251" spans="1:45" ht="63" customHeight="1" x14ac:dyDescent="0.2">
      <c r="A251" s="31">
        <v>1155</v>
      </c>
      <c r="B251" s="31" t="s">
        <v>6817</v>
      </c>
      <c r="C251" s="31" t="s">
        <v>371</v>
      </c>
      <c r="D251" s="45" t="s">
        <v>16</v>
      </c>
      <c r="E251" s="31" t="s">
        <v>5318</v>
      </c>
      <c r="F251" s="31">
        <v>46</v>
      </c>
      <c r="G251" s="31">
        <v>11</v>
      </c>
      <c r="H251" s="31" t="s">
        <v>6745</v>
      </c>
      <c r="I251" s="31" t="s">
        <v>6516</v>
      </c>
      <c r="J251" s="31" t="s">
        <v>6818</v>
      </c>
      <c r="K251" s="31" t="s">
        <v>373</v>
      </c>
      <c r="L251" s="38" t="s">
        <v>5400</v>
      </c>
      <c r="M251" s="31">
        <v>0</v>
      </c>
      <c r="N251" s="31" t="s">
        <v>5318</v>
      </c>
      <c r="O251" s="31" t="s">
        <v>5318</v>
      </c>
      <c r="P251" s="31">
        <v>0</v>
      </c>
      <c r="Q251" s="31">
        <v>0</v>
      </c>
      <c r="R251" s="31">
        <v>0</v>
      </c>
      <c r="S251" s="31">
        <v>1</v>
      </c>
      <c r="T251" s="31">
        <v>4</v>
      </c>
      <c r="U251" s="31">
        <v>168</v>
      </c>
      <c r="V251" s="31">
        <v>0</v>
      </c>
      <c r="W251" s="31">
        <v>1</v>
      </c>
      <c r="X251" s="31">
        <v>0</v>
      </c>
      <c r="Y251" s="31">
        <v>1</v>
      </c>
      <c r="Z251" s="31">
        <v>0</v>
      </c>
      <c r="AA251" s="31" t="s">
        <v>5318</v>
      </c>
      <c r="AB251" s="31">
        <v>1</v>
      </c>
      <c r="AI251" s="54">
        <v>0</v>
      </c>
      <c r="AJ251" s="54">
        <v>0</v>
      </c>
      <c r="AK251" s="31" t="s">
        <v>5318</v>
      </c>
      <c r="AL251" s="31" t="s">
        <v>5318</v>
      </c>
      <c r="AM251" s="31" t="s">
        <v>5318</v>
      </c>
      <c r="AN251" s="31" t="s">
        <v>5318</v>
      </c>
      <c r="AS251" s="109"/>
    </row>
    <row r="252" spans="1:45" ht="63" hidden="1" customHeight="1" x14ac:dyDescent="0.2">
      <c r="A252" s="32">
        <v>4834</v>
      </c>
      <c r="B252" s="32" t="s">
        <v>1307</v>
      </c>
      <c r="C252" s="32" t="s">
        <v>1308</v>
      </c>
      <c r="D252" s="46" t="s">
        <v>16</v>
      </c>
      <c r="E252" s="32"/>
      <c r="F252" s="32" t="s">
        <v>17</v>
      </c>
      <c r="G252" s="32" t="s">
        <v>48</v>
      </c>
      <c r="H252" s="32" t="s">
        <v>19</v>
      </c>
      <c r="I252" s="32" t="s">
        <v>13</v>
      </c>
      <c r="J252" s="32" t="s">
        <v>1309</v>
      </c>
      <c r="K252" s="32" t="s">
        <v>1310</v>
      </c>
      <c r="L252" s="32" t="s">
        <v>5735</v>
      </c>
      <c r="M252" s="32">
        <v>1</v>
      </c>
      <c r="N252" s="32">
        <v>0</v>
      </c>
      <c r="O252" s="32"/>
      <c r="P252" s="32">
        <v>0</v>
      </c>
      <c r="Q252" s="32">
        <v>0</v>
      </c>
      <c r="R252" s="32">
        <v>0</v>
      </c>
      <c r="S252" s="32">
        <v>1</v>
      </c>
      <c r="T252" s="32">
        <v>1</v>
      </c>
      <c r="U252" s="32">
        <v>160</v>
      </c>
      <c r="V252" s="32">
        <v>1</v>
      </c>
      <c r="W252" s="32">
        <v>0</v>
      </c>
      <c r="X252" s="32">
        <v>0</v>
      </c>
      <c r="Y252" s="32" t="s">
        <v>5044</v>
      </c>
      <c r="Z252" s="32" t="s">
        <v>5044</v>
      </c>
      <c r="AA252" s="32"/>
      <c r="AB252" s="32" t="s">
        <v>5044</v>
      </c>
      <c r="AC252" s="32"/>
      <c r="AD252" s="32"/>
      <c r="AE252" s="32"/>
      <c r="AF252" s="32"/>
      <c r="AG252" s="32"/>
      <c r="AH252" s="32"/>
      <c r="AI252" s="144">
        <v>0</v>
      </c>
      <c r="AJ252" s="144">
        <v>0</v>
      </c>
      <c r="AK252" s="32"/>
      <c r="AL252" s="32"/>
      <c r="AM252" s="32"/>
      <c r="AN252" s="32"/>
      <c r="AO252" s="32"/>
      <c r="AP252" s="32"/>
      <c r="AQ252" s="32"/>
      <c r="AR252" s="32"/>
    </row>
    <row r="253" spans="1:45" ht="63" hidden="1" customHeight="1" x14ac:dyDescent="0.2">
      <c r="A253" s="119">
        <v>12455</v>
      </c>
      <c r="B253" s="119" t="s">
        <v>4833</v>
      </c>
      <c r="C253" s="119" t="s">
        <v>4834</v>
      </c>
      <c r="D253" s="46" t="s">
        <v>16</v>
      </c>
      <c r="E253" s="119" t="s">
        <v>4837</v>
      </c>
      <c r="F253" s="119" t="s">
        <v>299</v>
      </c>
      <c r="G253" s="119" t="s">
        <v>107</v>
      </c>
      <c r="H253" s="119" t="s">
        <v>172</v>
      </c>
      <c r="I253" s="119" t="s">
        <v>386</v>
      </c>
      <c r="J253" s="119" t="s">
        <v>4835</v>
      </c>
      <c r="K253" s="119" t="s">
        <v>4836</v>
      </c>
      <c r="L253" s="123" t="s">
        <v>5188</v>
      </c>
      <c r="M253" s="119">
        <v>1</v>
      </c>
      <c r="N253" s="119">
        <v>0</v>
      </c>
      <c r="O253" s="119"/>
      <c r="P253" s="119">
        <v>0</v>
      </c>
      <c r="Q253" s="119">
        <v>0</v>
      </c>
      <c r="R253" s="119">
        <v>0</v>
      </c>
      <c r="S253" s="119" t="s">
        <v>5149</v>
      </c>
      <c r="T253" s="119">
        <v>1</v>
      </c>
      <c r="U253" s="119">
        <v>90</v>
      </c>
      <c r="V253" s="119">
        <v>1</v>
      </c>
      <c r="W253" s="119">
        <v>0</v>
      </c>
      <c r="X253" s="119">
        <v>0</v>
      </c>
      <c r="Y253" s="119" t="s">
        <v>5044</v>
      </c>
      <c r="Z253" s="119" t="s">
        <v>5044</v>
      </c>
      <c r="AA253" s="119"/>
      <c r="AB253" s="119" t="s">
        <v>5044</v>
      </c>
      <c r="AC253" s="119"/>
      <c r="AD253" s="119"/>
      <c r="AE253" s="119"/>
      <c r="AF253" s="119"/>
      <c r="AG253" s="119"/>
      <c r="AH253" s="119"/>
      <c r="AI253" s="122">
        <v>0</v>
      </c>
      <c r="AJ253" s="122">
        <v>0</v>
      </c>
      <c r="AK253" s="119"/>
      <c r="AL253" s="119"/>
      <c r="AM253" s="119"/>
      <c r="AN253" s="119"/>
      <c r="AO253" s="119"/>
      <c r="AP253" s="119"/>
      <c r="AQ253" s="119"/>
      <c r="AR253" s="119"/>
    </row>
    <row r="254" spans="1:45" s="40" customFormat="1" ht="85" x14ac:dyDescent="0.2">
      <c r="A254" s="31">
        <v>9962</v>
      </c>
      <c r="B254" s="31" t="s">
        <v>3641</v>
      </c>
      <c r="C254" s="31" t="s">
        <v>3642</v>
      </c>
      <c r="D254" s="45" t="s">
        <v>16</v>
      </c>
      <c r="E254" s="31"/>
      <c r="F254" s="31" t="s">
        <v>136</v>
      </c>
      <c r="G254" s="31" t="s">
        <v>52</v>
      </c>
      <c r="H254" s="31" t="s">
        <v>300</v>
      </c>
      <c r="I254" s="31" t="s">
        <v>13</v>
      </c>
      <c r="J254" s="31" t="s">
        <v>3643</v>
      </c>
      <c r="K254" s="31" t="s">
        <v>3644</v>
      </c>
      <c r="L254" s="31" t="s">
        <v>6030</v>
      </c>
      <c r="M254" s="31">
        <v>0</v>
      </c>
      <c r="N254" s="31" t="s">
        <v>5044</v>
      </c>
      <c r="O254" s="31" t="s">
        <v>5044</v>
      </c>
      <c r="P254" s="31">
        <v>0</v>
      </c>
      <c r="Q254" s="31">
        <v>0</v>
      </c>
      <c r="R254" s="31">
        <v>0</v>
      </c>
      <c r="S254" s="31">
        <v>1</v>
      </c>
      <c r="T254" s="31">
        <v>1</v>
      </c>
      <c r="U254" s="31">
        <v>97</v>
      </c>
      <c r="V254" s="31">
        <v>0</v>
      </c>
      <c r="W254" s="31">
        <v>1</v>
      </c>
      <c r="X254" s="31">
        <v>0</v>
      </c>
      <c r="Y254" s="31">
        <v>1</v>
      </c>
      <c r="Z254" s="31">
        <v>0</v>
      </c>
      <c r="AA254" s="31" t="s">
        <v>5318</v>
      </c>
      <c r="AB254" s="31">
        <v>1</v>
      </c>
      <c r="AC254" s="31"/>
      <c r="AD254" s="31"/>
      <c r="AE254" s="31"/>
      <c r="AF254" s="31"/>
      <c r="AG254" s="31"/>
      <c r="AH254" s="31"/>
      <c r="AI254" s="54">
        <v>0</v>
      </c>
      <c r="AJ254" s="54">
        <v>0</v>
      </c>
      <c r="AK254" s="31" t="s">
        <v>5318</v>
      </c>
      <c r="AL254" s="31"/>
      <c r="AM254" s="31"/>
      <c r="AN254" s="31"/>
      <c r="AO254" s="30"/>
      <c r="AP254" s="30"/>
      <c r="AQ254" s="30"/>
      <c r="AR254" s="30"/>
    </row>
    <row r="255" spans="1:45" s="40" customFormat="1" ht="85" hidden="1" x14ac:dyDescent="0.2">
      <c r="A255" s="39">
        <v>8261</v>
      </c>
      <c r="B255" s="39" t="s">
        <v>2886</v>
      </c>
      <c r="C255" s="39" t="s">
        <v>2887</v>
      </c>
      <c r="D255" s="141" t="s">
        <v>16</v>
      </c>
      <c r="E255" s="39"/>
      <c r="F255" s="39" t="s">
        <v>118</v>
      </c>
      <c r="G255" s="39" t="s">
        <v>52</v>
      </c>
      <c r="H255" s="39" t="s">
        <v>53</v>
      </c>
      <c r="I255" s="39" t="s">
        <v>13</v>
      </c>
      <c r="J255" s="39" t="s">
        <v>2888</v>
      </c>
      <c r="K255" s="39" t="s">
        <v>2889</v>
      </c>
      <c r="L255" s="39" t="s">
        <v>6226</v>
      </c>
      <c r="M255" s="39">
        <v>1</v>
      </c>
      <c r="N255" s="39">
        <v>0</v>
      </c>
      <c r="O255" s="39" t="s">
        <v>5044</v>
      </c>
      <c r="P255" s="39" t="s">
        <v>5044</v>
      </c>
      <c r="Q255" s="39">
        <v>0</v>
      </c>
      <c r="R255" s="39">
        <v>0</v>
      </c>
      <c r="S255" s="39">
        <v>1</v>
      </c>
      <c r="T255" s="39">
        <v>1</v>
      </c>
      <c r="U255" s="39">
        <v>100</v>
      </c>
      <c r="V255" s="39">
        <v>0</v>
      </c>
      <c r="W255" s="39">
        <v>10</v>
      </c>
      <c r="X255" s="39">
        <v>0</v>
      </c>
      <c r="Y255" s="39" t="s">
        <v>5044</v>
      </c>
      <c r="Z255" s="39" t="s">
        <v>5044</v>
      </c>
      <c r="AA255" s="39" t="s">
        <v>5318</v>
      </c>
      <c r="AB255" s="39" t="s">
        <v>5044</v>
      </c>
      <c r="AC255" s="39"/>
      <c r="AD255" s="39"/>
      <c r="AE255" s="39"/>
      <c r="AF255" s="39"/>
      <c r="AG255" s="39"/>
      <c r="AH255" s="39"/>
      <c r="AI255" s="56">
        <v>0</v>
      </c>
      <c r="AJ255" s="56">
        <v>0</v>
      </c>
      <c r="AK255" s="39" t="s">
        <v>5318</v>
      </c>
      <c r="AL255" s="39"/>
      <c r="AM255" s="39"/>
      <c r="AN255" s="39"/>
    </row>
    <row r="256" spans="1:45" s="40" customFormat="1" ht="85" x14ac:dyDescent="0.2">
      <c r="A256" s="31">
        <v>2871</v>
      </c>
      <c r="B256" s="31" t="s">
        <v>7203</v>
      </c>
      <c r="C256" s="31" t="s">
        <v>783</v>
      </c>
      <c r="D256" s="45" t="s">
        <v>16</v>
      </c>
      <c r="E256" s="31" t="s">
        <v>5318</v>
      </c>
      <c r="F256" s="31">
        <v>172</v>
      </c>
      <c r="G256" s="31">
        <v>2</v>
      </c>
      <c r="H256" s="31" t="s">
        <v>6553</v>
      </c>
      <c r="I256" s="31" t="s">
        <v>6878</v>
      </c>
      <c r="J256" s="31" t="s">
        <v>7204</v>
      </c>
      <c r="K256" s="31" t="s">
        <v>784</v>
      </c>
      <c r="L256" s="36" t="s">
        <v>5566</v>
      </c>
      <c r="M256" s="31">
        <v>0</v>
      </c>
      <c r="N256" s="31" t="s">
        <v>5318</v>
      </c>
      <c r="O256" s="31" t="s">
        <v>5318</v>
      </c>
      <c r="P256" s="31">
        <v>0</v>
      </c>
      <c r="Q256" s="31">
        <v>0</v>
      </c>
      <c r="R256" s="31">
        <v>0</v>
      </c>
      <c r="S256" s="31">
        <v>1</v>
      </c>
      <c r="T256" s="31">
        <v>1</v>
      </c>
      <c r="U256" s="31">
        <v>71</v>
      </c>
      <c r="V256" s="31">
        <v>0</v>
      </c>
      <c r="W256" s="31">
        <v>1</v>
      </c>
      <c r="X256" s="31">
        <v>0</v>
      </c>
      <c r="Y256" s="31">
        <v>1</v>
      </c>
      <c r="Z256" s="31">
        <v>0</v>
      </c>
      <c r="AA256" s="31" t="s">
        <v>5318</v>
      </c>
      <c r="AB256" s="31" t="s">
        <v>5044</v>
      </c>
      <c r="AC256" s="31"/>
      <c r="AD256" s="31"/>
      <c r="AE256" s="31"/>
      <c r="AF256" s="31"/>
      <c r="AG256" s="31"/>
      <c r="AH256" s="31"/>
      <c r="AI256" s="54">
        <v>0</v>
      </c>
      <c r="AJ256" s="54">
        <v>0</v>
      </c>
      <c r="AK256" s="31" t="s">
        <v>5567</v>
      </c>
      <c r="AL256" s="31" t="s">
        <v>5318</v>
      </c>
      <c r="AM256" s="31" t="s">
        <v>5318</v>
      </c>
      <c r="AN256" s="31" t="s">
        <v>5318</v>
      </c>
      <c r="AO256" s="30"/>
      <c r="AP256" s="30"/>
      <c r="AQ256" s="30"/>
      <c r="AR256" s="30"/>
    </row>
    <row r="257" spans="1:45" s="40" customFormat="1" ht="102" hidden="1" x14ac:dyDescent="0.2">
      <c r="A257" s="39">
        <v>5111</v>
      </c>
      <c r="B257" s="39" t="s">
        <v>1460</v>
      </c>
      <c r="C257" s="39" t="s">
        <v>1461</v>
      </c>
      <c r="D257" s="141" t="s">
        <v>16</v>
      </c>
      <c r="E257" s="39"/>
      <c r="F257" s="39" t="s">
        <v>118</v>
      </c>
      <c r="G257" s="39" t="s">
        <v>52</v>
      </c>
      <c r="H257" s="39" t="s">
        <v>53</v>
      </c>
      <c r="I257" s="39" t="s">
        <v>13</v>
      </c>
      <c r="J257" s="39"/>
      <c r="K257" s="39" t="s">
        <v>1462</v>
      </c>
      <c r="L257" s="39" t="s">
        <v>5766</v>
      </c>
      <c r="M257" s="39">
        <v>1</v>
      </c>
      <c r="N257" s="39">
        <v>0</v>
      </c>
      <c r="O257" s="39"/>
      <c r="P257" s="39">
        <v>0</v>
      </c>
      <c r="Q257" s="39">
        <v>0</v>
      </c>
      <c r="R257" s="39">
        <v>0</v>
      </c>
      <c r="S257" s="39">
        <v>1</v>
      </c>
      <c r="T257" s="39">
        <v>1</v>
      </c>
      <c r="U257" s="39">
        <v>290</v>
      </c>
      <c r="V257" s="39">
        <v>0</v>
      </c>
      <c r="W257" s="39">
        <v>1</v>
      </c>
      <c r="X257" s="39">
        <v>0</v>
      </c>
      <c r="Y257" s="39" t="s">
        <v>5044</v>
      </c>
      <c r="Z257" s="39" t="s">
        <v>5044</v>
      </c>
      <c r="AA257" s="39"/>
      <c r="AB257" s="39" t="s">
        <v>5044</v>
      </c>
      <c r="AC257" s="39"/>
      <c r="AD257" s="39"/>
      <c r="AE257" s="39"/>
      <c r="AF257" s="39"/>
      <c r="AG257" s="39"/>
      <c r="AH257" s="39"/>
      <c r="AI257" s="56">
        <v>0</v>
      </c>
      <c r="AJ257" s="56">
        <v>0</v>
      </c>
      <c r="AK257" s="39"/>
      <c r="AL257" s="39"/>
      <c r="AM257" s="39"/>
      <c r="AN257" s="39"/>
    </row>
    <row r="258" spans="1:45" s="30" customFormat="1" ht="102" customHeight="1" x14ac:dyDescent="0.2">
      <c r="A258" s="31">
        <v>9217</v>
      </c>
      <c r="B258" s="31" t="s">
        <v>3302</v>
      </c>
      <c r="C258" s="31" t="s">
        <v>3303</v>
      </c>
      <c r="D258" s="45" t="s">
        <v>16</v>
      </c>
      <c r="E258" s="31"/>
      <c r="F258" s="31" t="s">
        <v>1700</v>
      </c>
      <c r="G258" s="31" t="s">
        <v>144</v>
      </c>
      <c r="H258" s="31" t="s">
        <v>596</v>
      </c>
      <c r="I258" s="31" t="s">
        <v>13</v>
      </c>
      <c r="J258" s="31" t="s">
        <v>3304</v>
      </c>
      <c r="K258" s="81" t="s">
        <v>3305</v>
      </c>
      <c r="L258" s="31" t="s">
        <v>5781</v>
      </c>
      <c r="M258" s="31">
        <v>0</v>
      </c>
      <c r="N258" s="31" t="s">
        <v>5044</v>
      </c>
      <c r="O258" s="31" t="s">
        <v>5044</v>
      </c>
      <c r="P258" s="31">
        <v>0</v>
      </c>
      <c r="Q258" s="31">
        <v>9</v>
      </c>
      <c r="R258" s="31">
        <v>9</v>
      </c>
      <c r="S258" s="31">
        <v>1</v>
      </c>
      <c r="T258" s="31">
        <v>1</v>
      </c>
      <c r="U258" s="31">
        <v>112</v>
      </c>
      <c r="V258" s="31">
        <v>1</v>
      </c>
      <c r="W258" s="31">
        <v>0</v>
      </c>
      <c r="X258" s="31">
        <v>0</v>
      </c>
      <c r="Y258" s="31">
        <v>1</v>
      </c>
      <c r="Z258" s="31">
        <v>0</v>
      </c>
      <c r="AA258" s="81" t="s">
        <v>5044</v>
      </c>
      <c r="AB258" s="31">
        <v>0</v>
      </c>
      <c r="AC258" s="31">
        <v>0</v>
      </c>
      <c r="AD258" s="31">
        <v>3</v>
      </c>
      <c r="AE258" s="31">
        <v>0</v>
      </c>
      <c r="AF258" s="31">
        <v>0</v>
      </c>
      <c r="AG258" s="31">
        <v>1</v>
      </c>
      <c r="AH258" s="31" t="s">
        <v>8103</v>
      </c>
      <c r="AI258" s="54">
        <v>0</v>
      </c>
      <c r="AJ258" s="54">
        <v>0</v>
      </c>
      <c r="AK258" s="31" t="s">
        <v>5318</v>
      </c>
      <c r="AL258" s="81" t="s">
        <v>8071</v>
      </c>
      <c r="AM258" s="31">
        <v>1</v>
      </c>
      <c r="AN258" s="31">
        <v>1</v>
      </c>
      <c r="AO258" s="31">
        <v>1</v>
      </c>
      <c r="AP258" s="30" t="s">
        <v>8104</v>
      </c>
      <c r="AQ258" s="30">
        <v>0</v>
      </c>
      <c r="AR258" s="30" t="s">
        <v>8110</v>
      </c>
      <c r="AS258" s="113"/>
    </row>
    <row r="259" spans="1:45" s="40" customFormat="1" ht="136" hidden="1" x14ac:dyDescent="0.2">
      <c r="A259" s="39">
        <v>2396</v>
      </c>
      <c r="B259" s="39" t="s">
        <v>7083</v>
      </c>
      <c r="C259" s="39" t="s">
        <v>657</v>
      </c>
      <c r="D259" s="140" t="s">
        <v>16</v>
      </c>
      <c r="E259" s="39" t="s">
        <v>5318</v>
      </c>
      <c r="F259" s="39">
        <v>22</v>
      </c>
      <c r="G259" s="39">
        <v>1</v>
      </c>
      <c r="H259" s="39" t="s">
        <v>6595</v>
      </c>
      <c r="I259" s="39" t="s">
        <v>6516</v>
      </c>
      <c r="J259" s="39" t="s">
        <v>7084</v>
      </c>
      <c r="K259" s="39" t="s">
        <v>658</v>
      </c>
      <c r="L259" s="41" t="s">
        <v>5527</v>
      </c>
      <c r="M259" s="39">
        <v>1</v>
      </c>
      <c r="N259" s="39">
        <v>0</v>
      </c>
      <c r="O259" s="39" t="s">
        <v>5318</v>
      </c>
      <c r="P259" s="39">
        <v>0</v>
      </c>
      <c r="Q259" s="39">
        <v>0</v>
      </c>
      <c r="R259" s="39">
        <v>0</v>
      </c>
      <c r="S259" s="39">
        <v>1</v>
      </c>
      <c r="T259" s="39">
        <v>5</v>
      </c>
      <c r="U259" s="39">
        <v>172</v>
      </c>
      <c r="V259" s="39">
        <v>0</v>
      </c>
      <c r="W259" s="39">
        <v>1</v>
      </c>
      <c r="X259" s="39">
        <v>0</v>
      </c>
      <c r="Y259" s="39" t="s">
        <v>5044</v>
      </c>
      <c r="Z259" s="39" t="s">
        <v>5044</v>
      </c>
      <c r="AA259" s="39" t="s">
        <v>5318</v>
      </c>
      <c r="AB259" s="39" t="s">
        <v>5044</v>
      </c>
      <c r="AC259" s="39"/>
      <c r="AD259" s="39"/>
      <c r="AE259" s="39"/>
      <c r="AF259" s="39"/>
      <c r="AG259" s="39"/>
      <c r="AH259" s="39"/>
      <c r="AI259" s="56">
        <v>0</v>
      </c>
      <c r="AJ259" s="56">
        <v>0</v>
      </c>
      <c r="AK259" s="39" t="s">
        <v>5318</v>
      </c>
      <c r="AL259" s="39" t="s">
        <v>5318</v>
      </c>
      <c r="AM259" s="39" t="s">
        <v>5318</v>
      </c>
      <c r="AN259" s="39" t="s">
        <v>5318</v>
      </c>
    </row>
    <row r="260" spans="1:45" s="40" customFormat="1" ht="119" hidden="1" x14ac:dyDescent="0.2">
      <c r="A260" s="39">
        <v>5895</v>
      </c>
      <c r="B260" s="39" t="s">
        <v>1783</v>
      </c>
      <c r="C260" s="39" t="s">
        <v>1784</v>
      </c>
      <c r="D260" s="120" t="s">
        <v>16</v>
      </c>
      <c r="E260" s="39"/>
      <c r="F260" s="39" t="s">
        <v>37</v>
      </c>
      <c r="G260" s="39" t="s">
        <v>52</v>
      </c>
      <c r="H260" s="39" t="s">
        <v>396</v>
      </c>
      <c r="I260" s="39" t="s">
        <v>13</v>
      </c>
      <c r="J260" s="39" t="s">
        <v>1785</v>
      </c>
      <c r="K260" s="39" t="s">
        <v>1786</v>
      </c>
      <c r="L260" s="39" t="s">
        <v>5810</v>
      </c>
      <c r="M260" s="39">
        <v>1</v>
      </c>
      <c r="N260" s="39">
        <v>0</v>
      </c>
      <c r="O260" s="39" t="s">
        <v>5044</v>
      </c>
      <c r="P260" s="39">
        <v>0</v>
      </c>
      <c r="Q260" s="39">
        <v>0</v>
      </c>
      <c r="R260" s="39">
        <v>0</v>
      </c>
      <c r="S260" s="39">
        <v>1</v>
      </c>
      <c r="T260" s="39">
        <v>1</v>
      </c>
      <c r="U260" s="39">
        <v>244</v>
      </c>
      <c r="V260" s="39">
        <v>0</v>
      </c>
      <c r="W260" s="39">
        <v>1</v>
      </c>
      <c r="X260" s="39">
        <v>0</v>
      </c>
      <c r="Y260" s="39" t="s">
        <v>5044</v>
      </c>
      <c r="Z260" s="39" t="s">
        <v>5044</v>
      </c>
      <c r="AA260" s="39" t="s">
        <v>5318</v>
      </c>
      <c r="AB260" s="39" t="s">
        <v>5044</v>
      </c>
      <c r="AC260" s="39"/>
      <c r="AD260" s="39"/>
      <c r="AE260" s="39"/>
      <c r="AF260" s="39"/>
      <c r="AG260" s="39"/>
      <c r="AH260" s="39"/>
      <c r="AI260" s="56">
        <v>0</v>
      </c>
      <c r="AJ260" s="56">
        <v>0</v>
      </c>
      <c r="AK260" s="39" t="s">
        <v>5318</v>
      </c>
      <c r="AL260" s="39"/>
      <c r="AM260" s="39"/>
      <c r="AN260" s="39"/>
    </row>
    <row r="261" spans="1:45" s="40" customFormat="1" ht="153" x14ac:dyDescent="0.2">
      <c r="A261" s="31">
        <v>7895</v>
      </c>
      <c r="B261" s="31" t="s">
        <v>2692</v>
      </c>
      <c r="C261" s="31" t="s">
        <v>2693</v>
      </c>
      <c r="D261" s="45" t="s">
        <v>16</v>
      </c>
      <c r="E261" s="31"/>
      <c r="F261" s="31" t="s">
        <v>27</v>
      </c>
      <c r="G261" s="31" t="s">
        <v>92</v>
      </c>
      <c r="H261" s="31" t="s">
        <v>241</v>
      </c>
      <c r="I261" s="31" t="s">
        <v>13</v>
      </c>
      <c r="J261" s="31" t="s">
        <v>2694</v>
      </c>
      <c r="K261" s="31" t="s">
        <v>2695</v>
      </c>
      <c r="L261" s="38" t="s">
        <v>6185</v>
      </c>
      <c r="M261" s="31">
        <v>0</v>
      </c>
      <c r="N261" s="31"/>
      <c r="O261" s="31"/>
      <c r="P261" s="31">
        <v>0</v>
      </c>
      <c r="Q261" s="31">
        <v>0</v>
      </c>
      <c r="R261" s="31">
        <v>0</v>
      </c>
      <c r="S261" s="31">
        <v>1</v>
      </c>
      <c r="T261" s="31">
        <v>4</v>
      </c>
      <c r="U261" s="31">
        <v>1070</v>
      </c>
      <c r="V261" s="31">
        <v>0</v>
      </c>
      <c r="W261" s="31">
        <v>0</v>
      </c>
      <c r="X261" s="31">
        <v>1</v>
      </c>
      <c r="Y261" s="31">
        <v>1</v>
      </c>
      <c r="Z261" s="31" t="s">
        <v>5044</v>
      </c>
      <c r="AA261" s="31"/>
      <c r="AB261" s="31" t="s">
        <v>5044</v>
      </c>
      <c r="AC261" s="31"/>
      <c r="AD261" s="31"/>
      <c r="AE261" s="31"/>
      <c r="AF261" s="31"/>
      <c r="AG261" s="31"/>
      <c r="AH261" s="31"/>
      <c r="AI261" s="54">
        <v>0</v>
      </c>
      <c r="AJ261" s="54">
        <v>0</v>
      </c>
      <c r="AK261" s="31" t="s">
        <v>6294</v>
      </c>
      <c r="AL261" s="31"/>
      <c r="AM261" s="31"/>
      <c r="AN261" s="31"/>
      <c r="AO261" s="30"/>
      <c r="AP261" s="30"/>
      <c r="AQ261" s="30"/>
      <c r="AR261" s="30"/>
    </row>
    <row r="262" spans="1:45" s="40" customFormat="1" ht="102" hidden="1" x14ac:dyDescent="0.2">
      <c r="A262" s="39">
        <v>1829</v>
      </c>
      <c r="B262" s="39" t="s">
        <v>6953</v>
      </c>
      <c r="C262" s="39" t="s">
        <v>518</v>
      </c>
      <c r="D262" s="140" t="s">
        <v>16</v>
      </c>
      <c r="E262" s="39" t="s">
        <v>305</v>
      </c>
      <c r="F262" s="39">
        <v>23</v>
      </c>
      <c r="G262" s="39">
        <v>1</v>
      </c>
      <c r="H262" s="39" t="s">
        <v>6538</v>
      </c>
      <c r="I262" s="39" t="s">
        <v>6516</v>
      </c>
      <c r="J262" s="39" t="s">
        <v>6954</v>
      </c>
      <c r="K262" s="39" t="s">
        <v>519</v>
      </c>
      <c r="L262" s="42" t="s">
        <v>5446</v>
      </c>
      <c r="M262" s="39">
        <v>1</v>
      </c>
      <c r="N262" s="39">
        <v>0</v>
      </c>
      <c r="O262" s="39" t="s">
        <v>5318</v>
      </c>
      <c r="P262" s="39">
        <v>0</v>
      </c>
      <c r="Q262" s="39">
        <v>0</v>
      </c>
      <c r="R262" s="39">
        <v>0</v>
      </c>
      <c r="S262" s="39">
        <v>3</v>
      </c>
      <c r="T262" s="39">
        <v>1</v>
      </c>
      <c r="U262" s="39">
        <v>42</v>
      </c>
      <c r="V262" s="39">
        <v>0</v>
      </c>
      <c r="W262" s="39">
        <v>1</v>
      </c>
      <c r="X262" s="39">
        <v>0</v>
      </c>
      <c r="Y262" s="39" t="s">
        <v>5044</v>
      </c>
      <c r="Z262" s="39" t="s">
        <v>5044</v>
      </c>
      <c r="AA262" s="39" t="s">
        <v>5318</v>
      </c>
      <c r="AB262" s="39" t="s">
        <v>5044</v>
      </c>
      <c r="AC262" s="39"/>
      <c r="AD262" s="39"/>
      <c r="AE262" s="39"/>
      <c r="AF262" s="39"/>
      <c r="AG262" s="39"/>
      <c r="AH262" s="39"/>
      <c r="AI262" s="56">
        <v>0</v>
      </c>
      <c r="AJ262" s="56">
        <v>0</v>
      </c>
      <c r="AK262" s="39" t="s">
        <v>5318</v>
      </c>
      <c r="AL262" s="39" t="s">
        <v>5318</v>
      </c>
      <c r="AM262" s="39" t="s">
        <v>5318</v>
      </c>
      <c r="AN262" s="39" t="s">
        <v>5318</v>
      </c>
    </row>
    <row r="263" spans="1:45" s="40" customFormat="1" ht="136" hidden="1" x14ac:dyDescent="0.2">
      <c r="A263" s="39">
        <v>9024</v>
      </c>
      <c r="B263" s="39" t="s">
        <v>3224</v>
      </c>
      <c r="C263" s="39" t="s">
        <v>3225</v>
      </c>
      <c r="D263" s="120" t="s">
        <v>16</v>
      </c>
      <c r="E263" s="39"/>
      <c r="F263" s="39" t="s">
        <v>48</v>
      </c>
      <c r="G263" s="39"/>
      <c r="H263" s="39" t="s">
        <v>3226</v>
      </c>
      <c r="I263" s="39" t="s">
        <v>13</v>
      </c>
      <c r="J263" s="39"/>
      <c r="K263" s="39" t="s">
        <v>3227</v>
      </c>
      <c r="L263" s="39" t="s">
        <v>5941</v>
      </c>
      <c r="M263" s="39">
        <v>1</v>
      </c>
      <c r="N263" s="39">
        <v>0</v>
      </c>
      <c r="O263" s="39" t="s">
        <v>5044</v>
      </c>
      <c r="P263" s="39">
        <v>0</v>
      </c>
      <c r="Q263" s="39">
        <v>0</v>
      </c>
      <c r="R263" s="39">
        <v>0</v>
      </c>
      <c r="S263" s="39" t="s">
        <v>5942</v>
      </c>
      <c r="T263" s="39">
        <v>1</v>
      </c>
      <c r="U263" s="39">
        <v>1560</v>
      </c>
      <c r="V263" s="39">
        <v>0</v>
      </c>
      <c r="W263" s="39">
        <v>1</v>
      </c>
      <c r="X263" s="39">
        <v>0</v>
      </c>
      <c r="Y263" s="39" t="s">
        <v>5044</v>
      </c>
      <c r="Z263" s="39" t="s">
        <v>5044</v>
      </c>
      <c r="AA263" s="39" t="s">
        <v>5318</v>
      </c>
      <c r="AB263" s="39" t="s">
        <v>5044</v>
      </c>
      <c r="AC263" s="39"/>
      <c r="AD263" s="39"/>
      <c r="AE263" s="39"/>
      <c r="AF263" s="39"/>
      <c r="AG263" s="39"/>
      <c r="AH263" s="39"/>
      <c r="AI263" s="56">
        <v>0</v>
      </c>
      <c r="AJ263" s="56">
        <v>0</v>
      </c>
      <c r="AK263" s="39" t="s">
        <v>5318</v>
      </c>
      <c r="AL263" s="39"/>
      <c r="AM263" s="39"/>
      <c r="AN263" s="39"/>
    </row>
    <row r="264" spans="1:45" s="104" customFormat="1" ht="82" customHeight="1" x14ac:dyDescent="0.2">
      <c r="A264" s="103" t="s">
        <v>8135</v>
      </c>
      <c r="B264" s="104" t="s">
        <v>8019</v>
      </c>
      <c r="C264" s="104" t="s">
        <v>8020</v>
      </c>
      <c r="D264" s="104">
        <v>2020</v>
      </c>
      <c r="H264" s="104" t="s">
        <v>6676</v>
      </c>
      <c r="K264" s="105" t="s">
        <v>4271</v>
      </c>
      <c r="L264" s="104" t="s">
        <v>5252</v>
      </c>
      <c r="M264" s="104">
        <v>0</v>
      </c>
      <c r="N264" s="104" t="s">
        <v>5044</v>
      </c>
      <c r="O264" s="104" t="s">
        <v>5044</v>
      </c>
      <c r="P264" s="104">
        <v>0</v>
      </c>
      <c r="Q264" s="104">
        <v>0</v>
      </c>
      <c r="R264" s="104">
        <v>0</v>
      </c>
      <c r="S264" s="104">
        <v>1</v>
      </c>
      <c r="T264" s="104">
        <v>2</v>
      </c>
      <c r="U264" s="104">
        <v>120</v>
      </c>
      <c r="V264" s="104">
        <v>1</v>
      </c>
      <c r="W264" s="104">
        <v>0</v>
      </c>
      <c r="X264" s="104">
        <v>0</v>
      </c>
      <c r="Y264" s="104">
        <v>1</v>
      </c>
      <c r="Z264" s="104">
        <v>0</v>
      </c>
      <c r="AA264" s="105" t="s">
        <v>5044</v>
      </c>
      <c r="AB264" s="104">
        <v>0</v>
      </c>
      <c r="AC264" s="104">
        <v>0</v>
      </c>
      <c r="AD264" s="104">
        <v>3.2</v>
      </c>
      <c r="AE264" s="104">
        <v>0</v>
      </c>
      <c r="AF264" s="104">
        <v>0</v>
      </c>
      <c r="AG264" s="104">
        <v>1</v>
      </c>
      <c r="AH264" s="105" t="s">
        <v>8101</v>
      </c>
      <c r="AI264" s="104">
        <v>0</v>
      </c>
      <c r="AJ264" s="104">
        <v>0</v>
      </c>
      <c r="AL264" s="106" t="s">
        <v>8070</v>
      </c>
      <c r="AM264" s="106">
        <v>2</v>
      </c>
      <c r="AN264" s="104">
        <v>1</v>
      </c>
      <c r="AO264" s="104">
        <v>1</v>
      </c>
      <c r="AP264" s="104" t="s">
        <v>8102</v>
      </c>
      <c r="AQ264" s="104">
        <v>0</v>
      </c>
      <c r="AR264" s="105" t="s">
        <v>5044</v>
      </c>
      <c r="AS264" s="114"/>
    </row>
    <row r="265" spans="1:45" ht="63" customHeight="1" x14ac:dyDescent="0.2">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144"/>
      <c r="AJ265" s="144"/>
      <c r="AK265" s="32"/>
      <c r="AL265" s="32"/>
      <c r="AM265" s="32"/>
      <c r="AN265" s="32"/>
      <c r="AO265" s="32"/>
      <c r="AP265" s="32"/>
      <c r="AQ265" s="32"/>
      <c r="AR265" s="32"/>
    </row>
  </sheetData>
  <sheetProtection formatCells="0" formatColumns="0" formatRows="0" insertColumns="0" insertRows="0" insertHyperlinks="0" deleteColumns="0" deleteRows="0" sort="0" autoFilter="0" pivotTables="0"/>
  <autoFilter ref="A1:AK264" xr:uid="{00000000-0001-0000-0000-000000000000}">
    <filterColumn colId="12">
      <filters>
        <filter val="0"/>
        <filter val="0=no, 1=yes"/>
      </filters>
    </filterColumn>
    <filterColumn colId="34">
      <filters blank="1">
        <filter val="0"/>
        <filter val="0=no, 1=yes"/>
      </filters>
    </filterColumn>
  </autoFilter>
  <hyperlinks>
    <hyperlink ref="L96" r:id="rId1" tooltip="See in ClinicalTrials.gov" display="http://clinicaltrials.gov/show/NCT04219787" xr:uid="{52185B3B-1D3D-E541-AF21-69D1532944D6}"/>
    <hyperlink ref="L122" r:id="rId2" display="https://bmjopen.bmj.com/lookup/external-ref?link_type=CLINTRIALGOV&amp;access_num=NCT04534998&amp;atom=%2Fbmjopen%2F11%2F11%2Fe052087.atom" xr:uid="{9646CC47-1218-AA4D-8D48-462966E37049}"/>
    <hyperlink ref="L17" r:id="rId3" tooltip="See in ClinicalTrials.gov" display="http://clinicaltrials.gov/show/NCT01362127" xr:uid="{348AE163-59F2-E248-A3EB-B0B2D52BCBF8}"/>
    <hyperlink ref="L243" r:id="rId4" tooltip="See in ClinicalTrials.gov" display="http://clinicaltrials.gov/show/NCT05042882" xr:uid="{D54F12F8-F7B9-9C4B-ABAC-EDD4FBD86121}"/>
    <hyperlink ref="L261" r:id="rId5" tooltip="See in ClinicalTrials.gov" display="http://clinicaltrials.gov/show/NCT01899547" xr:uid="{EFCF4380-8CAC-D74A-81FE-0C8727DFB01E}"/>
    <hyperlink ref="L24" r:id="rId6" display="http://www.isrctn.com/ISRCTN56164274" xr:uid="{4AC95F34-1E55-7741-8893-C549FE4F5724}"/>
    <hyperlink ref="L114" r:id="rId7" tooltip="See in ClinicalTrials.gov" display="http://clinicaltrials.gov/show/NCT037812016" xr:uid="{41D0BC8C-8D51-314B-A2DF-7BD3408AE612}"/>
    <hyperlink ref="L241" r:id="rId8" display="https://www.drks.de/drks_web/navigate.do?navigationId=trial.HTML&amp;TRIAL_ID=DRKS00024395" xr:uid="{88B43739-ADF5-1041-8902-C04A01AC2E73}"/>
    <hyperlink ref="L25" r:id="rId9" tooltip="See in ClinicalTrials.gov" display="http://clinicaltrials.gov/show/NCT02371304" xr:uid="{9DDE8B3E-772B-044F-A5E0-F56226CFABEA}"/>
    <hyperlink ref="L18" r:id="rId10" tooltip="See in ClinicalTrials.gov" display="http://clinicaltrials.gov/show/NCT02243735" xr:uid="{91521B1D-8A69-5F4E-AFD3-03EF77FA0BDD}"/>
    <hyperlink ref="L91" r:id="rId11" tooltip="See in ClinicalTrials.gov" display="http://clinicaltrials.gov/show/NCT02667860" xr:uid="{E6490173-3CD1-0641-B318-6EC8541B8B3A}"/>
    <hyperlink ref="L239" r:id="rId12" tooltip="See in ClinicalTrials.gov" display="http://clinicaltrials.gov/show/NCT04007952" xr:uid="{12377ED3-D8B1-404E-82BB-7EFD0F80903D}"/>
    <hyperlink ref="L249" r:id="rId13" tooltip="See in ClinicalTrials.gov" display="http://clinicaltrials.gov/show/NCT04558151" xr:uid="{C1F70F57-80CC-E34D-A5FC-B7BB849778B9}"/>
    <hyperlink ref="L160" r:id="rId14" tooltip="See in ClinicalTrials.gov" display="http://clinicaltrials.gov/show/NCT04461301" xr:uid="{3E54BECA-CA5F-814E-A245-B07339E40440}"/>
    <hyperlink ref="K108" r:id="rId15" xr:uid="{A4E3380A-8687-2A44-AFDF-4051C81B53C7}"/>
    <hyperlink ref="J108" r:id="rId16" xr:uid="{15BBACAE-F8BF-A544-B910-D63C88062229}"/>
    <hyperlink ref="K150" r:id="rId17" xr:uid="{745B8E51-6052-9A49-8CDB-C36F65FCBE38}"/>
    <hyperlink ref="J150" r:id="rId18" xr:uid="{3ABF420B-73D6-E746-8019-7E83B4103E45}"/>
    <hyperlink ref="L150" r:id="rId19" xr:uid="{A21676BD-74FC-3541-B45A-0E2D75FB6F39}"/>
    <hyperlink ref="L47" r:id="rId20" xr:uid="{8E790894-3479-0A48-B444-D47F39D69AC2}"/>
    <hyperlink ref="L142" r:id="rId21" xr:uid="{F4666CDF-A7C5-7242-A17F-9D19813514E5}"/>
    <hyperlink ref="L109" r:id="rId22" xr:uid="{83871620-9C33-494C-8EAC-6B9C7040301B}"/>
    <hyperlink ref="L251" r:id="rId23" xr:uid="{F085D64F-C2D2-6646-BC34-D845AA16D0E6}"/>
    <hyperlink ref="L128" r:id="rId24" xr:uid="{11FE82F4-B17A-9A45-9040-EF247BA1544D}"/>
    <hyperlink ref="L92" r:id="rId25" xr:uid="{DD830F52-5010-0E46-931E-7BE6DE896D35}"/>
    <hyperlink ref="L262" r:id="rId26" xr:uid="{7B1D5B29-86CF-3141-90E6-E1F72B375810}"/>
    <hyperlink ref="L123" r:id="rId27" xr:uid="{55565C47-79B3-334F-936C-8426158D18B9}"/>
    <hyperlink ref="L99" r:id="rId28" xr:uid="{768EA6B6-C29F-E749-A7DC-B3F3F7DF2C11}"/>
    <hyperlink ref="L232" r:id="rId29" xr:uid="{8699B560-882F-334E-B27D-F221B0623425}"/>
    <hyperlink ref="L85" r:id="rId30" xr:uid="{51A26E7F-6973-874F-A180-716230571E72}"/>
    <hyperlink ref="L179" r:id="rId31" xr:uid="{E32384FC-E2E4-4646-B850-987EF8491EEC}"/>
    <hyperlink ref="L64" r:id="rId32" xr:uid="{821BBD44-DEC0-F249-9EE2-B7823B2DB3F1}"/>
    <hyperlink ref="L174" r:id="rId33" xr:uid="{EFB35E87-09E8-6E4C-B515-F10593FAD5E8}"/>
    <hyperlink ref="L44" r:id="rId34" xr:uid="{07E250A0-8E7A-AC43-BBF3-08FA6C03C844}"/>
    <hyperlink ref="L134" r:id="rId35" xr:uid="{C4C37C1D-504B-0F43-945D-6F11D7616E4B}"/>
    <hyperlink ref="L88" r:id="rId36" xr:uid="{E201F5DF-BE9B-7D45-8B2B-27BA94B7E9A0}"/>
    <hyperlink ref="L226" r:id="rId37" xr:uid="{B1ABC5F2-F061-A94A-AF8F-F443FBFFFF2E}"/>
    <hyperlink ref="L223" r:id="rId38" xr:uid="{0170BE03-0B53-5146-924C-7A2BD9C23635}"/>
    <hyperlink ref="L28" r:id="rId39" xr:uid="{6914BA2D-5D76-954D-853F-EE1E6893C101}"/>
    <hyperlink ref="L238" r:id="rId40" xr:uid="{4D63E0E5-B4CF-094B-BD34-D10CFD968BDC}"/>
    <hyperlink ref="L43" r:id="rId41" xr:uid="{E5C031FF-2549-2A46-A2CE-118A541FBB61}"/>
    <hyperlink ref="J80" r:id="rId42" xr:uid="{1EB44BDE-3508-FC4D-BEBE-98F6C26B2F22}"/>
    <hyperlink ref="L159" r:id="rId43" display="https://bmjopen.bmj.com/lookup/external-ref?link_type=CLINTRIALGOV&amp;access_num=NCT04461301&amp;atom=%2Fbmjopen%2F13%2F1%2Fe070253.atom" xr:uid="{A83D7F63-8229-874A-9384-DD1EA697C1BB}"/>
    <hyperlink ref="L29" r:id="rId44" xr:uid="{5FC3223A-8C8F-4843-8366-EB5DD9BAC06E}"/>
    <hyperlink ref="AL12" r:id="rId45" xr:uid="{D976240C-D576-3448-8BB7-4661C63FB906}"/>
    <hyperlink ref="J30" r:id="rId46" xr:uid="{18A22087-2F22-D04C-84AF-66B882ADD5FE}"/>
    <hyperlink ref="K30" r:id="rId47" xr:uid="{C6D4EF8C-E561-9145-8F3F-C6B0B1A09BC7}"/>
    <hyperlink ref="L30" r:id="rId48" xr:uid="{5AAB07E1-41DC-D940-8C22-F336BBC69C5C}"/>
    <hyperlink ref="AL30" r:id="rId49" xr:uid="{4315AF66-0B02-854A-8C08-5172A64737F3}"/>
    <hyperlink ref="AL35" r:id="rId50" xr:uid="{BA13269D-D47D-D84A-98CF-41F0B2673AC5}"/>
    <hyperlink ref="L77" r:id="rId51" tooltip="See in ClinicalTrials.gov" display="http://clinicaltrials.gov/show/NCT03963427" xr:uid="{C9CA298D-4A65-B040-9651-6ED4331DBC22}"/>
    <hyperlink ref="AL77" r:id="rId52" xr:uid="{51340BBE-EA33-7143-8EED-38C817C43F33}"/>
    <hyperlink ref="L78" r:id="rId53" xr:uid="{B94457D7-F877-CC48-B1ED-1273CC1D64B0}"/>
    <hyperlink ref="AL82" r:id="rId54" xr:uid="{8D74B875-4BFA-7F41-8808-2F2D92104FD3}"/>
    <hyperlink ref="AL103" r:id="rId55" xr:uid="{1D835BDF-9830-4B41-88FB-58F8084E1C7F}"/>
    <hyperlink ref="AL143" r:id="rId56" xr:uid="{B0C6889D-4570-D44A-8772-4311ECD9F238}"/>
    <hyperlink ref="AL145" r:id="rId57" xr:uid="{76C8F597-5A5B-D446-966F-ACDED3BADEE7}"/>
    <hyperlink ref="AL153" r:id="rId58" xr:uid="{EDB72062-1DD5-904B-8790-111CEBFFD8F6}"/>
    <hyperlink ref="AL180" r:id="rId59" xr:uid="{EC97254C-35C0-D749-98B1-90A536DB467C}"/>
    <hyperlink ref="AL181" r:id="rId60" xr:uid="{02BAFEA1-4B94-CE42-A90F-70628E5A7590}"/>
    <hyperlink ref="AL183" r:id="rId61" xr:uid="{31CE5F69-69F9-794D-B825-CE28E4783500}"/>
    <hyperlink ref="AL192" r:id="rId62" xr:uid="{029D57E9-93E2-604F-A13E-B0AA2AA9E53C}"/>
    <hyperlink ref="AL194" r:id="rId63" xr:uid="{FC3488B0-AABE-1F45-8B3F-37E753D0E6F8}"/>
    <hyperlink ref="AL199" r:id="rId64" xr:uid="{2287A441-8A0B-904E-8BC4-63AC5D83511A}"/>
  </hyperlinks>
  <pageMargins left="0.7" right="0.7" top="0.75" bottom="0.75" header="0.3" footer="0.3"/>
  <pageSetup orientation="portrait"/>
  <legacyDrawing r:id="rId6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25"/>
  <sheetViews>
    <sheetView zoomScale="61" zoomScaleNormal="61" workbookViewId="0">
      <pane ySplit="1940" topLeftCell="A21" activePane="bottomLeft"/>
      <selection activeCell="V1" sqref="V1:AC1"/>
      <selection pane="bottomLeft" activeCell="A25" sqref="A25:XFD25"/>
    </sheetView>
  </sheetViews>
  <sheetFormatPr baseColWidth="10" defaultColWidth="8.83203125" defaultRowHeight="63" customHeight="1" x14ac:dyDescent="0.2"/>
  <cols>
    <col min="1" max="1" width="8.83203125" style="31"/>
    <col min="2" max="2" width="37.5" style="31" customWidth="1"/>
    <col min="3" max="3" width="30.33203125" style="31" customWidth="1"/>
    <col min="4" max="4" width="8.1640625" style="31" customWidth="1"/>
    <col min="5" max="5" width="11.6640625" style="31" customWidth="1"/>
    <col min="6" max="6" width="9.33203125" style="31" customWidth="1"/>
    <col min="7" max="7" width="8.6640625" style="31" customWidth="1"/>
    <col min="8" max="8" width="18" style="31" customWidth="1"/>
    <col min="9" max="9" width="11.83203125" style="31" customWidth="1"/>
    <col min="10" max="10" width="59.83203125" style="31" customWidth="1"/>
    <col min="11" max="11" width="28.83203125" style="31" customWidth="1"/>
    <col min="12" max="12" width="17.83203125" style="31" customWidth="1"/>
    <col min="13" max="15" width="15" style="31" customWidth="1"/>
    <col min="16" max="16" width="18.5" style="31" customWidth="1"/>
    <col min="17" max="18" width="17.83203125" style="31" customWidth="1"/>
    <col min="19" max="20" width="16.6640625" style="31" customWidth="1"/>
    <col min="21" max="21" width="14.1640625" style="31" customWidth="1"/>
    <col min="22" max="24" width="12.83203125" style="31" customWidth="1"/>
    <col min="25" max="25" width="14.5" style="31" customWidth="1"/>
    <col min="26" max="26" width="25.83203125" style="31" customWidth="1"/>
    <col min="27" max="27" width="26.5" style="31" customWidth="1"/>
    <col min="28" max="28" width="22.83203125" style="31" customWidth="1"/>
    <col min="29" max="33" width="19.6640625" style="31" customWidth="1"/>
    <col min="34" max="34" width="47.5" style="31" customWidth="1"/>
    <col min="35" max="36" width="17.1640625" style="54" customWidth="1"/>
    <col min="37" max="37" width="30.1640625" style="31" customWidth="1"/>
    <col min="38" max="39" width="14.5" style="31" customWidth="1"/>
    <col min="40" max="40" width="11.1640625" style="31" customWidth="1"/>
    <col min="41" max="41" width="11.5" style="31" customWidth="1"/>
    <col min="42" max="42" width="52.1640625" style="31" customWidth="1"/>
    <col min="43" max="43" width="8.83203125" style="31"/>
    <col min="44" max="44" width="12.6640625" style="31" customWidth="1"/>
    <col min="45" max="16384" width="8.83203125" style="31"/>
  </cols>
  <sheetData>
    <row r="1" spans="1:44" s="15" customFormat="1" ht="63" customHeight="1" x14ac:dyDescent="0.2">
      <c r="A1" s="15" t="s">
        <v>0</v>
      </c>
      <c r="B1" s="15" t="s">
        <v>1</v>
      </c>
      <c r="C1" s="15" t="s">
        <v>2</v>
      </c>
      <c r="D1" s="15" t="s">
        <v>3</v>
      </c>
      <c r="E1" s="15" t="s">
        <v>7</v>
      </c>
      <c r="F1" s="15" t="s">
        <v>5031</v>
      </c>
      <c r="G1" s="15" t="s">
        <v>5032</v>
      </c>
      <c r="H1" s="15" t="s">
        <v>5033</v>
      </c>
      <c r="I1" s="15" t="s">
        <v>4</v>
      </c>
      <c r="J1" s="15" t="s">
        <v>5</v>
      </c>
      <c r="K1" s="15" t="s">
        <v>6</v>
      </c>
      <c r="L1" s="15" t="s">
        <v>5014</v>
      </c>
      <c r="M1" s="15" t="s">
        <v>5015</v>
      </c>
      <c r="N1" s="15" t="s">
        <v>5091</v>
      </c>
      <c r="O1" s="15" t="s">
        <v>5092</v>
      </c>
      <c r="P1" s="15" t="s">
        <v>5017</v>
      </c>
      <c r="Q1" s="15" t="s">
        <v>5018</v>
      </c>
      <c r="R1" s="15" t="s">
        <v>5019</v>
      </c>
      <c r="S1" s="15" t="s">
        <v>5026</v>
      </c>
      <c r="T1" s="15" t="s">
        <v>5027</v>
      </c>
      <c r="U1" s="15" t="s">
        <v>5037</v>
      </c>
      <c r="V1" s="15" t="s">
        <v>5023</v>
      </c>
      <c r="W1" s="15" t="s">
        <v>5024</v>
      </c>
      <c r="X1" s="15" t="s">
        <v>5025</v>
      </c>
      <c r="Y1" s="15" t="s">
        <v>8099</v>
      </c>
      <c r="Z1" s="15" t="s">
        <v>5051</v>
      </c>
      <c r="AA1" s="15" t="s">
        <v>5029</v>
      </c>
      <c r="AB1" s="15" t="s">
        <v>5063</v>
      </c>
      <c r="AC1" s="15" t="s">
        <v>7941</v>
      </c>
      <c r="AD1" s="15" t="s">
        <v>7942</v>
      </c>
      <c r="AE1" s="15" t="s">
        <v>7944</v>
      </c>
      <c r="AF1" s="15" t="s">
        <v>7945</v>
      </c>
      <c r="AG1" s="15" t="s">
        <v>8095</v>
      </c>
      <c r="AH1" s="15" t="s">
        <v>8096</v>
      </c>
      <c r="AI1" s="51" t="s">
        <v>5061</v>
      </c>
      <c r="AJ1" s="51" t="s">
        <v>5102</v>
      </c>
      <c r="AK1" s="15" t="s">
        <v>5040</v>
      </c>
      <c r="AL1" s="15" t="s">
        <v>8021</v>
      </c>
      <c r="AM1" s="15" t="s">
        <v>8087</v>
      </c>
      <c r="AN1" s="15" t="s">
        <v>8022</v>
      </c>
      <c r="AO1" s="15" t="s">
        <v>8023</v>
      </c>
      <c r="AP1" s="15" t="s">
        <v>8024</v>
      </c>
      <c r="AQ1" s="15" t="s">
        <v>8025</v>
      </c>
      <c r="AR1" s="15" t="s">
        <v>8027</v>
      </c>
    </row>
    <row r="2" spans="1:44" s="7" customFormat="1" ht="75" customHeight="1" x14ac:dyDescent="0.2">
      <c r="L2" s="7" t="s">
        <v>5062</v>
      </c>
      <c r="M2" s="7" t="s">
        <v>5016</v>
      </c>
      <c r="N2" s="7" t="s">
        <v>5016</v>
      </c>
      <c r="O2" s="7" t="s">
        <v>5016</v>
      </c>
      <c r="P2" s="7" t="s">
        <v>5016</v>
      </c>
      <c r="Q2" s="7" t="s">
        <v>5016</v>
      </c>
      <c r="R2" s="7" t="s">
        <v>5016</v>
      </c>
      <c r="S2" s="7" t="s">
        <v>7661</v>
      </c>
      <c r="T2" s="7" t="s">
        <v>5028</v>
      </c>
      <c r="V2" s="7" t="s">
        <v>5016</v>
      </c>
      <c r="W2" s="7" t="s">
        <v>5016</v>
      </c>
      <c r="X2" s="7" t="s">
        <v>5016</v>
      </c>
      <c r="Y2" s="7" t="s">
        <v>5056</v>
      </c>
      <c r="Z2" s="43" t="s">
        <v>7940</v>
      </c>
      <c r="AA2" s="7" t="s">
        <v>5030</v>
      </c>
      <c r="AB2" s="7" t="s">
        <v>7660</v>
      </c>
      <c r="AC2" s="7" t="s">
        <v>5016</v>
      </c>
      <c r="AD2" s="43" t="s">
        <v>7943</v>
      </c>
      <c r="AE2" s="7" t="s">
        <v>5016</v>
      </c>
      <c r="AF2" s="43" t="s">
        <v>7946</v>
      </c>
      <c r="AG2" s="7" t="s">
        <v>5016</v>
      </c>
      <c r="AH2" s="77" t="s">
        <v>8097</v>
      </c>
      <c r="AI2" s="52" t="s">
        <v>5016</v>
      </c>
      <c r="AJ2" s="52" t="s">
        <v>5103</v>
      </c>
      <c r="AM2" s="98" t="s">
        <v>8088</v>
      </c>
      <c r="AN2" s="7" t="s">
        <v>5016</v>
      </c>
      <c r="AO2" s="7" t="s">
        <v>5016</v>
      </c>
      <c r="AP2" s="73" t="s">
        <v>5030</v>
      </c>
      <c r="AQ2" s="73" t="s">
        <v>8026</v>
      </c>
      <c r="AR2" s="73" t="s">
        <v>5030</v>
      </c>
    </row>
    <row r="3" spans="1:44" s="79" customFormat="1" ht="63" customHeight="1" x14ac:dyDescent="0.2">
      <c r="A3" s="79">
        <v>11587</v>
      </c>
      <c r="B3" s="80" t="s">
        <v>4431</v>
      </c>
      <c r="C3" s="79" t="s">
        <v>4432</v>
      </c>
      <c r="D3" s="94">
        <v>2015</v>
      </c>
      <c r="E3" s="79" t="s">
        <v>4435</v>
      </c>
      <c r="F3" s="79" t="s">
        <v>865</v>
      </c>
      <c r="G3" s="79" t="s">
        <v>48</v>
      </c>
      <c r="H3" s="79" t="s">
        <v>160</v>
      </c>
      <c r="I3" s="79" t="s">
        <v>13</v>
      </c>
      <c r="J3" s="79" t="s">
        <v>4433</v>
      </c>
      <c r="K3" s="92" t="s">
        <v>4434</v>
      </c>
      <c r="L3" s="80"/>
      <c r="M3" s="79">
        <v>0</v>
      </c>
      <c r="N3" s="80" t="s">
        <v>5044</v>
      </c>
      <c r="O3" s="80" t="s">
        <v>5044</v>
      </c>
      <c r="P3" s="79">
        <v>0</v>
      </c>
      <c r="Q3" s="79">
        <v>0</v>
      </c>
      <c r="R3" s="79">
        <v>1</v>
      </c>
      <c r="S3" s="79">
        <v>1</v>
      </c>
      <c r="T3" s="79">
        <v>1</v>
      </c>
      <c r="U3" s="79">
        <v>97</v>
      </c>
      <c r="V3" s="79">
        <v>1</v>
      </c>
      <c r="W3" s="79">
        <v>0</v>
      </c>
      <c r="X3" s="79">
        <v>0</v>
      </c>
      <c r="Y3" s="79">
        <v>1</v>
      </c>
      <c r="Z3" s="79">
        <v>0</v>
      </c>
      <c r="AB3" s="79">
        <v>0</v>
      </c>
      <c r="AH3" s="92" t="s">
        <v>5044</v>
      </c>
      <c r="AI3" s="79">
        <v>1</v>
      </c>
      <c r="AJ3" s="79">
        <v>0</v>
      </c>
      <c r="AK3" s="80" t="s">
        <v>8094</v>
      </c>
      <c r="AL3" s="95" t="s">
        <v>8077</v>
      </c>
      <c r="AM3" s="95"/>
    </row>
    <row r="4" spans="1:44" ht="63" customHeight="1" x14ac:dyDescent="0.2">
      <c r="A4" s="31" t="s">
        <v>6374</v>
      </c>
      <c r="B4" s="31" t="s">
        <v>6375</v>
      </c>
      <c r="C4" s="31" t="s">
        <v>6376</v>
      </c>
      <c r="D4" s="45">
        <v>2016</v>
      </c>
      <c r="H4" s="31" t="s">
        <v>6377</v>
      </c>
      <c r="J4" s="37" t="s">
        <v>6378</v>
      </c>
      <c r="K4" s="93" t="s">
        <v>741</v>
      </c>
      <c r="L4" s="37" t="s">
        <v>5552</v>
      </c>
      <c r="M4" s="31">
        <v>0</v>
      </c>
      <c r="N4" s="77" t="s">
        <v>5044</v>
      </c>
      <c r="O4" s="77" t="s">
        <v>5044</v>
      </c>
      <c r="P4" s="31">
        <v>0</v>
      </c>
      <c r="Q4" s="31">
        <v>0</v>
      </c>
      <c r="R4" s="31">
        <v>0</v>
      </c>
      <c r="S4" s="31">
        <v>1</v>
      </c>
      <c r="T4" s="31">
        <v>5</v>
      </c>
      <c r="U4" s="31">
        <v>144</v>
      </c>
      <c r="V4" s="31">
        <v>1</v>
      </c>
      <c r="W4" s="31">
        <v>0</v>
      </c>
      <c r="X4" s="31">
        <v>0</v>
      </c>
      <c r="Y4" s="31">
        <v>1</v>
      </c>
      <c r="Z4" s="31">
        <v>0</v>
      </c>
      <c r="AB4" s="31">
        <v>0</v>
      </c>
      <c r="AC4" s="31">
        <v>0</v>
      </c>
      <c r="AD4" s="31">
        <v>0</v>
      </c>
      <c r="AE4" s="31">
        <v>0</v>
      </c>
      <c r="AF4" s="31">
        <v>1</v>
      </c>
      <c r="AG4" s="31">
        <v>0</v>
      </c>
      <c r="AH4" s="77" t="s">
        <v>8130</v>
      </c>
      <c r="AI4" s="54">
        <v>0</v>
      </c>
      <c r="AJ4" s="54">
        <v>0</v>
      </c>
      <c r="AL4" s="78" t="s">
        <v>8069</v>
      </c>
      <c r="AM4" s="82">
        <v>2</v>
      </c>
      <c r="AN4" s="31">
        <v>0</v>
      </c>
      <c r="AO4" s="77" t="s">
        <v>5044</v>
      </c>
      <c r="AP4" s="77" t="s">
        <v>5044</v>
      </c>
      <c r="AQ4" s="31">
        <v>0</v>
      </c>
      <c r="AR4" s="77" t="s">
        <v>5044</v>
      </c>
    </row>
    <row r="5" spans="1:44" s="79" customFormat="1" ht="63" customHeight="1" x14ac:dyDescent="0.2">
      <c r="A5" s="79">
        <v>4890</v>
      </c>
      <c r="B5" s="79" t="s">
        <v>1347</v>
      </c>
      <c r="C5" s="79" t="s">
        <v>1348</v>
      </c>
      <c r="D5" s="94">
        <v>2016</v>
      </c>
      <c r="F5" s="79" t="s">
        <v>118</v>
      </c>
      <c r="G5" s="79" t="s">
        <v>17</v>
      </c>
      <c r="H5" s="79" t="s">
        <v>157</v>
      </c>
      <c r="I5" s="79" t="s">
        <v>13</v>
      </c>
      <c r="J5" s="79" t="s">
        <v>1349</v>
      </c>
      <c r="K5" s="80" t="s">
        <v>1350</v>
      </c>
      <c r="L5" s="79" t="s">
        <v>5742</v>
      </c>
      <c r="M5" s="79">
        <v>0</v>
      </c>
      <c r="N5" s="80" t="s">
        <v>5044</v>
      </c>
      <c r="O5" s="80" t="s">
        <v>5044</v>
      </c>
      <c r="P5" s="79">
        <v>0</v>
      </c>
      <c r="Q5" s="79">
        <v>0</v>
      </c>
      <c r="R5" s="79">
        <v>1</v>
      </c>
      <c r="S5" s="79">
        <v>1</v>
      </c>
      <c r="T5" s="79">
        <v>1</v>
      </c>
      <c r="U5" s="79">
        <v>322</v>
      </c>
      <c r="V5" s="79">
        <v>1</v>
      </c>
      <c r="W5" s="79">
        <v>0</v>
      </c>
      <c r="X5" s="79">
        <v>0</v>
      </c>
      <c r="Y5" s="79">
        <v>1</v>
      </c>
      <c r="Z5" s="79">
        <v>0</v>
      </c>
      <c r="AB5" s="79">
        <v>0</v>
      </c>
      <c r="AC5" s="79">
        <v>0</v>
      </c>
      <c r="AD5" s="79">
        <v>0.48</v>
      </c>
      <c r="AE5" s="79">
        <v>0</v>
      </c>
      <c r="AF5" s="79">
        <v>1</v>
      </c>
      <c r="AG5" s="79">
        <v>0</v>
      </c>
      <c r="AH5" s="80" t="s">
        <v>5044</v>
      </c>
      <c r="AI5" s="79">
        <v>0</v>
      </c>
      <c r="AJ5" s="79">
        <v>0</v>
      </c>
      <c r="AK5" s="80" t="s">
        <v>8098</v>
      </c>
      <c r="AL5" s="95" t="s">
        <v>8078</v>
      </c>
      <c r="AM5" s="95">
        <v>1</v>
      </c>
      <c r="AN5" s="79">
        <v>0</v>
      </c>
      <c r="AO5" s="79">
        <v>0</v>
      </c>
      <c r="AP5" s="80" t="s">
        <v>5044</v>
      </c>
      <c r="AQ5" s="80">
        <v>0</v>
      </c>
      <c r="AR5" s="80" t="s">
        <v>5044</v>
      </c>
    </row>
    <row r="6" spans="1:44" ht="63" customHeight="1" x14ac:dyDescent="0.2">
      <c r="A6" s="31">
        <v>5981</v>
      </c>
      <c r="B6" s="31" t="s">
        <v>1812</v>
      </c>
      <c r="C6" s="31" t="s">
        <v>1813</v>
      </c>
      <c r="D6" s="45">
        <v>2018</v>
      </c>
      <c r="F6" s="31" t="s">
        <v>299</v>
      </c>
      <c r="G6" s="31" t="s">
        <v>18</v>
      </c>
      <c r="H6" s="31" t="s">
        <v>1814</v>
      </c>
      <c r="I6" s="31" t="s">
        <v>13</v>
      </c>
      <c r="J6" s="31" t="s">
        <v>1815</v>
      </c>
      <c r="K6" s="81" t="s">
        <v>1816</v>
      </c>
      <c r="L6" s="31" t="s">
        <v>5318</v>
      </c>
      <c r="M6" s="31">
        <v>0</v>
      </c>
      <c r="N6" s="31" t="s">
        <v>5044</v>
      </c>
      <c r="O6" s="31" t="s">
        <v>5044</v>
      </c>
      <c r="P6" s="31">
        <v>0</v>
      </c>
      <c r="Q6" s="31">
        <v>0</v>
      </c>
      <c r="R6" s="31">
        <v>0</v>
      </c>
      <c r="S6" s="31">
        <v>1</v>
      </c>
      <c r="T6" s="31">
        <v>4</v>
      </c>
      <c r="U6" s="31">
        <v>144</v>
      </c>
      <c r="V6" s="31">
        <v>1</v>
      </c>
      <c r="W6" s="31">
        <v>0</v>
      </c>
      <c r="X6" s="31">
        <v>0</v>
      </c>
      <c r="Y6" s="31">
        <v>1</v>
      </c>
      <c r="Z6" s="31">
        <v>0</v>
      </c>
      <c r="AA6" s="31" t="s">
        <v>5318</v>
      </c>
      <c r="AB6" s="96">
        <v>1</v>
      </c>
      <c r="AC6" s="96">
        <v>1</v>
      </c>
      <c r="AD6" s="96">
        <v>6.09</v>
      </c>
      <c r="AE6" s="96">
        <v>0</v>
      </c>
      <c r="AF6" s="96">
        <v>0</v>
      </c>
      <c r="AG6" s="96" t="s">
        <v>8131</v>
      </c>
      <c r="AH6" s="77" t="s">
        <v>5044</v>
      </c>
      <c r="AI6" s="54">
        <v>0</v>
      </c>
      <c r="AJ6" s="54">
        <v>0</v>
      </c>
      <c r="AK6" s="31" t="s">
        <v>5318</v>
      </c>
      <c r="AL6" s="77" t="s">
        <v>5044</v>
      </c>
      <c r="AM6" s="77">
        <v>0</v>
      </c>
      <c r="AN6" s="77" t="s">
        <v>5044</v>
      </c>
      <c r="AO6" s="77" t="s">
        <v>5044</v>
      </c>
      <c r="AP6" s="77" t="s">
        <v>5044</v>
      </c>
      <c r="AQ6" s="77" t="s">
        <v>5044</v>
      </c>
      <c r="AR6" s="77" t="s">
        <v>5044</v>
      </c>
    </row>
    <row r="7" spans="1:44" ht="63" customHeight="1" x14ac:dyDescent="0.2">
      <c r="A7" s="31">
        <v>11441</v>
      </c>
      <c r="B7" s="31" t="s">
        <v>4344</v>
      </c>
      <c r="C7" s="31" t="s">
        <v>4345</v>
      </c>
      <c r="D7" s="45">
        <v>2020</v>
      </c>
      <c r="F7" s="31" t="s">
        <v>372</v>
      </c>
      <c r="G7" s="31" t="s">
        <v>17</v>
      </c>
      <c r="H7" s="31" t="s">
        <v>1321</v>
      </c>
      <c r="I7" s="31" t="s">
        <v>13</v>
      </c>
      <c r="J7" s="31" t="s">
        <v>4346</v>
      </c>
      <c r="K7" s="77" t="s">
        <v>4347</v>
      </c>
      <c r="L7" s="38" t="s">
        <v>5269</v>
      </c>
      <c r="M7" s="31">
        <v>0</v>
      </c>
      <c r="N7" s="77" t="s">
        <v>5044</v>
      </c>
      <c r="O7" s="77" t="s">
        <v>5044</v>
      </c>
      <c r="P7" s="31">
        <v>0</v>
      </c>
      <c r="Q7" s="31">
        <v>0</v>
      </c>
      <c r="R7" s="31">
        <v>0</v>
      </c>
      <c r="S7" s="31" t="s">
        <v>5270</v>
      </c>
      <c r="T7" s="31">
        <v>1</v>
      </c>
      <c r="U7" s="31">
        <v>150</v>
      </c>
      <c r="V7" s="97">
        <v>0</v>
      </c>
      <c r="W7" s="97">
        <v>1</v>
      </c>
      <c r="X7" s="97">
        <v>0</v>
      </c>
      <c r="Y7" s="31">
        <v>1</v>
      </c>
      <c r="Z7" s="31">
        <v>0</v>
      </c>
      <c r="AB7" s="31">
        <v>0</v>
      </c>
      <c r="AC7" s="31">
        <v>0</v>
      </c>
      <c r="AD7" s="31">
        <v>4.5999999999999996</v>
      </c>
      <c r="AE7" s="31">
        <v>0</v>
      </c>
      <c r="AF7" s="31">
        <v>1</v>
      </c>
      <c r="AG7" s="31">
        <v>0</v>
      </c>
      <c r="AH7" s="77" t="s">
        <v>5044</v>
      </c>
      <c r="AI7" s="54">
        <v>0</v>
      </c>
      <c r="AJ7" s="54">
        <v>0</v>
      </c>
      <c r="AK7" s="80" t="s">
        <v>8100</v>
      </c>
      <c r="AL7" s="78" t="s">
        <v>8079</v>
      </c>
      <c r="AM7" s="78">
        <v>2</v>
      </c>
      <c r="AN7" s="31">
        <v>0</v>
      </c>
      <c r="AO7" s="31">
        <v>0</v>
      </c>
      <c r="AQ7" s="31">
        <v>0</v>
      </c>
      <c r="AR7" s="77" t="s">
        <v>5044</v>
      </c>
    </row>
    <row r="8" spans="1:44" ht="63" customHeight="1" x14ac:dyDescent="0.2">
      <c r="A8" s="31">
        <v>1995</v>
      </c>
      <c r="B8" s="31" t="s">
        <v>6998</v>
      </c>
      <c r="C8" s="31" t="s">
        <v>567</v>
      </c>
      <c r="D8" s="45">
        <v>2020</v>
      </c>
      <c r="E8" s="31" t="s">
        <v>5318</v>
      </c>
      <c r="F8" s="31">
        <v>155</v>
      </c>
      <c r="G8" s="31">
        <v>4</v>
      </c>
      <c r="H8" s="31" t="s">
        <v>6676</v>
      </c>
      <c r="I8" s="31" t="s">
        <v>6516</v>
      </c>
      <c r="J8" s="31" t="s">
        <v>6999</v>
      </c>
      <c r="K8" s="81" t="s">
        <v>569</v>
      </c>
      <c r="L8" s="38" t="s">
        <v>5461</v>
      </c>
      <c r="M8" s="31">
        <v>0</v>
      </c>
      <c r="N8" s="31" t="s">
        <v>5318</v>
      </c>
      <c r="O8" s="31" t="s">
        <v>5318</v>
      </c>
      <c r="P8" s="31">
        <v>0</v>
      </c>
      <c r="Q8" s="31">
        <v>0</v>
      </c>
      <c r="R8" s="31">
        <v>0</v>
      </c>
      <c r="S8" s="31">
        <v>1</v>
      </c>
      <c r="T8" s="31">
        <v>1</v>
      </c>
      <c r="U8" s="31">
        <v>168</v>
      </c>
      <c r="V8" s="31">
        <v>1</v>
      </c>
      <c r="W8" s="31">
        <v>0</v>
      </c>
      <c r="X8" s="31">
        <v>0</v>
      </c>
      <c r="Y8" s="31">
        <v>1</v>
      </c>
      <c r="Z8" s="31">
        <v>0</v>
      </c>
      <c r="AA8" s="77" t="s">
        <v>5044</v>
      </c>
      <c r="AB8" s="77" t="s">
        <v>8093</v>
      </c>
      <c r="AC8" s="31">
        <v>0</v>
      </c>
      <c r="AD8" s="31">
        <v>6.16</v>
      </c>
      <c r="AE8" s="31">
        <v>0</v>
      </c>
      <c r="AF8" s="31">
        <v>0</v>
      </c>
      <c r="AG8" s="31">
        <v>1</v>
      </c>
      <c r="AH8" s="81" t="s">
        <v>8129</v>
      </c>
      <c r="AI8" s="54">
        <v>0</v>
      </c>
      <c r="AJ8" s="54">
        <v>0</v>
      </c>
      <c r="AK8" s="31" t="s">
        <v>5318</v>
      </c>
      <c r="AL8" s="81" t="s">
        <v>8080</v>
      </c>
      <c r="AM8" s="77">
        <v>1</v>
      </c>
      <c r="AN8" s="31">
        <v>1</v>
      </c>
      <c r="AO8" s="31">
        <v>1</v>
      </c>
      <c r="AP8" s="31" t="s">
        <v>8128</v>
      </c>
      <c r="AQ8" s="31">
        <v>1</v>
      </c>
      <c r="AR8" s="77" t="s">
        <v>8092</v>
      </c>
    </row>
    <row r="9" spans="1:44" ht="63" customHeight="1" x14ac:dyDescent="0.2">
      <c r="A9" s="31">
        <v>6257</v>
      </c>
      <c r="B9" s="31" t="s">
        <v>1965</v>
      </c>
      <c r="C9" s="31" t="s">
        <v>1966</v>
      </c>
      <c r="D9" s="45">
        <v>2020</v>
      </c>
      <c r="F9" s="31" t="s">
        <v>1967</v>
      </c>
      <c r="G9" s="31" t="s">
        <v>144</v>
      </c>
      <c r="H9" s="31" t="s">
        <v>459</v>
      </c>
      <c r="I9" s="31" t="s">
        <v>13</v>
      </c>
      <c r="J9" s="31" t="s">
        <v>1968</v>
      </c>
      <c r="K9" s="81" t="s">
        <v>1969</v>
      </c>
      <c r="L9" s="31" t="s">
        <v>5849</v>
      </c>
      <c r="M9" s="31">
        <v>0</v>
      </c>
      <c r="N9" s="31" t="s">
        <v>5044</v>
      </c>
      <c r="O9" s="31" t="s">
        <v>5044</v>
      </c>
      <c r="P9" s="31">
        <v>0</v>
      </c>
      <c r="Q9" s="31">
        <v>0</v>
      </c>
      <c r="R9" s="31">
        <v>0</v>
      </c>
      <c r="S9" s="31">
        <v>1</v>
      </c>
      <c r="T9" s="31">
        <v>1</v>
      </c>
      <c r="U9" s="31">
        <v>261</v>
      </c>
      <c r="V9" s="31">
        <v>1</v>
      </c>
      <c r="W9" s="31">
        <v>0</v>
      </c>
      <c r="X9" s="31">
        <v>0</v>
      </c>
      <c r="Y9" s="31">
        <v>1</v>
      </c>
      <c r="Z9" s="31">
        <v>0</v>
      </c>
      <c r="AA9" s="31" t="s">
        <v>5318</v>
      </c>
      <c r="AB9" s="31">
        <v>0</v>
      </c>
      <c r="AC9" s="31">
        <v>0</v>
      </c>
      <c r="AD9" s="31">
        <v>3</v>
      </c>
      <c r="AE9" s="31">
        <v>0</v>
      </c>
      <c r="AF9" s="31">
        <v>0</v>
      </c>
      <c r="AG9" s="31">
        <v>1</v>
      </c>
      <c r="AH9" s="31" t="s">
        <v>8126</v>
      </c>
      <c r="AI9" s="54">
        <v>0</v>
      </c>
      <c r="AJ9" s="54">
        <v>0</v>
      </c>
      <c r="AK9" s="31" t="s">
        <v>5318</v>
      </c>
      <c r="AL9" s="78" t="s">
        <v>8081</v>
      </c>
      <c r="AM9" s="78">
        <v>1</v>
      </c>
      <c r="AN9" s="31">
        <v>1</v>
      </c>
      <c r="AO9" s="31">
        <v>1</v>
      </c>
      <c r="AP9" s="81" t="s">
        <v>8127</v>
      </c>
      <c r="AQ9" s="31">
        <v>0</v>
      </c>
    </row>
    <row r="10" spans="1:44" ht="63" customHeight="1" x14ac:dyDescent="0.2">
      <c r="A10" s="31">
        <v>11525</v>
      </c>
      <c r="B10" s="31" t="s">
        <v>4382</v>
      </c>
      <c r="C10" s="31" t="s">
        <v>4383</v>
      </c>
      <c r="D10" s="45">
        <v>2021</v>
      </c>
      <c r="F10" s="31" t="s">
        <v>4384</v>
      </c>
      <c r="G10" s="31" t="s">
        <v>293</v>
      </c>
      <c r="H10" s="31" t="s">
        <v>972</v>
      </c>
      <c r="I10" s="31" t="s">
        <v>13</v>
      </c>
      <c r="J10" s="31" t="s">
        <v>4385</v>
      </c>
      <c r="K10" s="81" t="s">
        <v>4386</v>
      </c>
      <c r="L10" s="36" t="s">
        <v>5278</v>
      </c>
      <c r="M10" s="31">
        <v>0</v>
      </c>
      <c r="P10" s="31">
        <v>0</v>
      </c>
      <c r="Q10" s="31">
        <v>0</v>
      </c>
      <c r="R10" s="31">
        <v>0</v>
      </c>
      <c r="S10" s="31">
        <v>1</v>
      </c>
      <c r="T10" s="31">
        <v>1</v>
      </c>
      <c r="U10" s="31">
        <v>104</v>
      </c>
      <c r="V10" s="31">
        <v>1</v>
      </c>
      <c r="W10" s="31">
        <v>0</v>
      </c>
      <c r="X10" s="31">
        <v>0</v>
      </c>
      <c r="Y10" s="31">
        <v>1</v>
      </c>
      <c r="Z10" s="31">
        <v>0</v>
      </c>
      <c r="AB10" s="31">
        <v>0</v>
      </c>
      <c r="AC10" s="31">
        <v>0</v>
      </c>
      <c r="AD10" s="31">
        <v>1</v>
      </c>
      <c r="AE10" s="31">
        <v>0</v>
      </c>
      <c r="AF10" s="31">
        <v>0</v>
      </c>
      <c r="AG10" s="31">
        <v>1</v>
      </c>
      <c r="AH10" s="31" t="s">
        <v>8125</v>
      </c>
      <c r="AI10" s="54">
        <v>0</v>
      </c>
      <c r="AJ10" s="54">
        <v>0</v>
      </c>
      <c r="AL10" s="78" t="s">
        <v>8082</v>
      </c>
      <c r="AM10" s="78">
        <v>1</v>
      </c>
      <c r="AN10" s="31">
        <v>1</v>
      </c>
      <c r="AO10" s="31">
        <v>1</v>
      </c>
      <c r="AP10" s="31" t="s">
        <v>8124</v>
      </c>
      <c r="AQ10" s="31">
        <v>0</v>
      </c>
    </row>
    <row r="11" spans="1:44" ht="63" customHeight="1" x14ac:dyDescent="0.2">
      <c r="A11" s="31">
        <v>9984</v>
      </c>
      <c r="B11" s="31" t="s">
        <v>3654</v>
      </c>
      <c r="C11" s="31" t="s">
        <v>3655</v>
      </c>
      <c r="D11" s="47">
        <v>2023</v>
      </c>
      <c r="F11" s="31" t="s">
        <v>129</v>
      </c>
      <c r="G11" s="31" t="s">
        <v>52</v>
      </c>
      <c r="H11" s="31" t="s">
        <v>183</v>
      </c>
      <c r="I11" s="31" t="s">
        <v>13</v>
      </c>
      <c r="J11" s="31" t="s">
        <v>3656</v>
      </c>
      <c r="K11" s="81" t="s">
        <v>3657</v>
      </c>
      <c r="L11" s="31" t="s">
        <v>6033</v>
      </c>
      <c r="M11" s="31">
        <v>0</v>
      </c>
      <c r="N11" s="31" t="s">
        <v>5044</v>
      </c>
      <c r="O11" s="31" t="s">
        <v>5044</v>
      </c>
      <c r="P11" s="31">
        <v>0</v>
      </c>
      <c r="Q11" s="31">
        <v>0</v>
      </c>
      <c r="R11" s="31">
        <v>0</v>
      </c>
      <c r="S11" s="31" t="s">
        <v>6034</v>
      </c>
      <c r="T11" s="31">
        <v>1</v>
      </c>
      <c r="U11" s="31">
        <v>2141</v>
      </c>
      <c r="V11" s="31">
        <v>1</v>
      </c>
      <c r="W11" s="31">
        <v>1</v>
      </c>
      <c r="X11" s="31">
        <v>0</v>
      </c>
      <c r="Y11" s="31">
        <v>1</v>
      </c>
      <c r="Z11" s="31">
        <v>0</v>
      </c>
      <c r="AA11" s="31" t="s">
        <v>5318</v>
      </c>
      <c r="AB11" s="31">
        <v>0</v>
      </c>
      <c r="AC11" s="31">
        <v>0</v>
      </c>
      <c r="AD11" s="31">
        <v>0.9</v>
      </c>
      <c r="AE11" s="31">
        <v>0</v>
      </c>
      <c r="AF11" s="97" t="s">
        <v>5041</v>
      </c>
      <c r="AG11" s="31">
        <v>0</v>
      </c>
      <c r="AH11" s="81" t="s">
        <v>5044</v>
      </c>
      <c r="AI11" s="54">
        <v>0</v>
      </c>
      <c r="AJ11" s="54">
        <v>0</v>
      </c>
      <c r="AK11" s="81" t="s">
        <v>8123</v>
      </c>
      <c r="AL11" s="78" t="s">
        <v>8083</v>
      </c>
      <c r="AM11" s="78">
        <v>2</v>
      </c>
      <c r="AN11" s="31">
        <v>0</v>
      </c>
      <c r="AO11" s="81" t="s">
        <v>5044</v>
      </c>
      <c r="AP11" s="81" t="s">
        <v>5044</v>
      </c>
    </row>
    <row r="12" spans="1:44" ht="63" customHeight="1" x14ac:dyDescent="0.2">
      <c r="A12" s="31">
        <v>5256</v>
      </c>
      <c r="B12" s="31" t="s">
        <v>1530</v>
      </c>
      <c r="C12" s="31" t="s">
        <v>1531</v>
      </c>
      <c r="D12" s="47">
        <v>2023</v>
      </c>
      <c r="F12" s="31" t="s">
        <v>351</v>
      </c>
      <c r="G12" s="31" t="s">
        <v>37</v>
      </c>
      <c r="H12" s="31" t="s">
        <v>217</v>
      </c>
      <c r="I12" s="31" t="s">
        <v>13</v>
      </c>
      <c r="J12" s="31" t="s">
        <v>1532</v>
      </c>
      <c r="K12" s="81" t="s">
        <v>1533</v>
      </c>
      <c r="L12" s="31" t="s">
        <v>5420</v>
      </c>
      <c r="M12" s="31">
        <v>0</v>
      </c>
      <c r="P12" s="31">
        <v>0</v>
      </c>
      <c r="Q12" s="31">
        <v>0</v>
      </c>
      <c r="R12" s="31">
        <v>0</v>
      </c>
      <c r="S12" s="31">
        <v>1</v>
      </c>
      <c r="T12" s="31">
        <v>1</v>
      </c>
      <c r="U12" s="31">
        <v>269</v>
      </c>
      <c r="V12" s="31">
        <v>1</v>
      </c>
      <c r="W12" s="31">
        <v>0</v>
      </c>
      <c r="X12" s="31">
        <v>0</v>
      </c>
      <c r="Y12" s="31">
        <v>1</v>
      </c>
      <c r="Z12" s="31">
        <v>1</v>
      </c>
      <c r="AA12" s="31" t="s">
        <v>6496</v>
      </c>
      <c r="AB12" s="79">
        <v>1</v>
      </c>
      <c r="AC12" s="31">
        <v>0</v>
      </c>
      <c r="AD12" s="31">
        <v>0</v>
      </c>
      <c r="AE12" s="31">
        <v>0</v>
      </c>
      <c r="AF12" s="31">
        <v>1</v>
      </c>
      <c r="AG12" s="31">
        <v>1</v>
      </c>
      <c r="AH12" s="31" t="s">
        <v>8122</v>
      </c>
      <c r="AI12" s="54">
        <v>0</v>
      </c>
      <c r="AJ12" s="54">
        <v>0</v>
      </c>
      <c r="AL12" s="78" t="s">
        <v>8084</v>
      </c>
      <c r="AM12" s="78">
        <v>1</v>
      </c>
      <c r="AN12" s="31">
        <v>1</v>
      </c>
      <c r="AO12" s="92">
        <v>1</v>
      </c>
      <c r="AP12" s="97" t="s">
        <v>8132</v>
      </c>
    </row>
    <row r="13" spans="1:44" ht="63" customHeight="1" x14ac:dyDescent="0.2">
      <c r="A13" s="31">
        <v>1273</v>
      </c>
      <c r="B13" s="81" t="s">
        <v>6841</v>
      </c>
      <c r="C13" s="31" t="s">
        <v>398</v>
      </c>
      <c r="D13" s="47">
        <v>2023</v>
      </c>
      <c r="E13" s="31" t="s">
        <v>5318</v>
      </c>
      <c r="F13" s="31">
        <v>66</v>
      </c>
      <c r="G13" s="31">
        <v>2</v>
      </c>
      <c r="H13" s="31" t="s">
        <v>6598</v>
      </c>
      <c r="I13" s="31" t="s">
        <v>6516</v>
      </c>
      <c r="J13" s="31" t="s">
        <v>6842</v>
      </c>
      <c r="K13" s="81" t="s">
        <v>400</v>
      </c>
      <c r="L13" s="36" t="s">
        <v>5406</v>
      </c>
      <c r="M13" s="31">
        <v>0</v>
      </c>
      <c r="N13" s="31" t="s">
        <v>5318</v>
      </c>
      <c r="O13" s="31" t="s">
        <v>5318</v>
      </c>
      <c r="P13" s="31">
        <v>0</v>
      </c>
      <c r="Q13" s="31">
        <v>0</v>
      </c>
      <c r="R13" s="31">
        <v>0</v>
      </c>
      <c r="S13" s="31">
        <v>1</v>
      </c>
      <c r="T13" s="31">
        <v>2</v>
      </c>
      <c r="U13" s="31">
        <v>22</v>
      </c>
      <c r="V13" s="31">
        <v>1</v>
      </c>
      <c r="W13" s="31">
        <v>0</v>
      </c>
      <c r="X13" s="31">
        <v>0</v>
      </c>
      <c r="Y13" s="31">
        <v>1</v>
      </c>
      <c r="Z13" s="31">
        <v>0</v>
      </c>
      <c r="AA13" s="31" t="s">
        <v>5318</v>
      </c>
      <c r="AB13" s="31">
        <v>1</v>
      </c>
      <c r="AC13" s="31">
        <v>1</v>
      </c>
      <c r="AD13" s="31">
        <v>14.8</v>
      </c>
      <c r="AE13" s="31">
        <v>1</v>
      </c>
      <c r="AF13" s="31">
        <v>1</v>
      </c>
      <c r="AG13" s="31">
        <v>1</v>
      </c>
      <c r="AH13" s="31" t="s">
        <v>8121</v>
      </c>
      <c r="AI13" s="54">
        <v>0</v>
      </c>
      <c r="AJ13" s="54">
        <v>0</v>
      </c>
      <c r="AK13" s="31" t="s">
        <v>5318</v>
      </c>
      <c r="AL13" s="78" t="s">
        <v>8133</v>
      </c>
      <c r="AM13" s="77">
        <v>1</v>
      </c>
      <c r="AN13" s="31">
        <v>1</v>
      </c>
      <c r="AO13" s="92">
        <v>1</v>
      </c>
      <c r="AP13" s="97" t="s">
        <v>8134</v>
      </c>
      <c r="AQ13" s="31">
        <v>0</v>
      </c>
    </row>
    <row r="14" spans="1:44" s="102" customFormat="1" ht="63" customHeight="1" x14ac:dyDescent="0.2">
      <c r="A14" s="99">
        <v>117</v>
      </c>
      <c r="B14" s="99" t="s">
        <v>7799</v>
      </c>
      <c r="C14" s="99" t="s">
        <v>7800</v>
      </c>
      <c r="D14" s="100">
        <v>2023</v>
      </c>
      <c r="E14" s="99"/>
      <c r="F14" s="99">
        <v>49</v>
      </c>
      <c r="G14" s="99">
        <v>12</v>
      </c>
      <c r="H14" s="99" t="s">
        <v>1321</v>
      </c>
      <c r="I14" s="99" t="s">
        <v>13</v>
      </c>
      <c r="J14" s="99" t="s">
        <v>7801</v>
      </c>
      <c r="K14" s="99" t="s">
        <v>7802</v>
      </c>
      <c r="L14" s="99" t="s">
        <v>5423</v>
      </c>
      <c r="M14" s="99">
        <v>0</v>
      </c>
      <c r="N14" s="99"/>
      <c r="O14" s="99"/>
      <c r="P14" s="99">
        <v>0</v>
      </c>
      <c r="Q14" s="99">
        <v>0</v>
      </c>
      <c r="R14" s="99">
        <v>1</v>
      </c>
      <c r="S14" s="99">
        <v>1</v>
      </c>
      <c r="T14" s="99">
        <v>1</v>
      </c>
      <c r="U14" s="99">
        <v>211</v>
      </c>
      <c r="V14" s="99">
        <v>1</v>
      </c>
      <c r="W14" s="99">
        <v>0</v>
      </c>
      <c r="X14" s="99">
        <v>0</v>
      </c>
      <c r="Y14" s="99">
        <v>1</v>
      </c>
      <c r="Z14" s="99">
        <v>0</v>
      </c>
      <c r="AA14" s="99"/>
      <c r="AB14" s="99">
        <v>0</v>
      </c>
      <c r="AC14" s="99">
        <v>0</v>
      </c>
      <c r="AD14" s="99">
        <v>0</v>
      </c>
      <c r="AE14" s="99">
        <v>0</v>
      </c>
      <c r="AF14" s="99">
        <v>1</v>
      </c>
      <c r="AG14" s="99">
        <v>0</v>
      </c>
      <c r="AH14" s="99"/>
      <c r="AI14" s="99" t="s">
        <v>8117</v>
      </c>
      <c r="AJ14" s="99"/>
      <c r="AK14" s="101" t="s">
        <v>8120</v>
      </c>
      <c r="AL14" s="99" t="s">
        <v>8091</v>
      </c>
      <c r="AM14" s="99">
        <v>1</v>
      </c>
      <c r="AN14" s="99">
        <v>0</v>
      </c>
      <c r="AO14" s="99">
        <v>0</v>
      </c>
      <c r="AP14" s="102" t="s">
        <v>8119</v>
      </c>
      <c r="AQ14" s="102">
        <v>0</v>
      </c>
      <c r="AR14" s="101" t="s">
        <v>5044</v>
      </c>
    </row>
    <row r="15" spans="1:44" ht="63" customHeight="1" x14ac:dyDescent="0.2">
      <c r="A15" s="71">
        <v>149</v>
      </c>
      <c r="B15" s="71" t="s">
        <v>7825</v>
      </c>
      <c r="C15" s="71" t="s">
        <v>7826</v>
      </c>
      <c r="D15" s="83">
        <v>2024</v>
      </c>
      <c r="E15" s="71"/>
      <c r="F15" s="71">
        <v>176</v>
      </c>
      <c r="G15" s="71">
        <v>4</v>
      </c>
      <c r="H15" s="71" t="s">
        <v>2624</v>
      </c>
      <c r="I15" s="71" t="s">
        <v>13</v>
      </c>
      <c r="J15" s="71" t="s">
        <v>7827</v>
      </c>
      <c r="K15" s="71" t="s">
        <v>7828</v>
      </c>
      <c r="L15" s="71" t="s">
        <v>7962</v>
      </c>
      <c r="M15" s="71">
        <v>0</v>
      </c>
      <c r="N15" s="71"/>
      <c r="O15" s="71"/>
      <c r="P15" s="71">
        <v>0</v>
      </c>
      <c r="Q15" s="71">
        <v>0</v>
      </c>
      <c r="R15" s="71">
        <v>0</v>
      </c>
      <c r="S15" s="71">
        <v>1</v>
      </c>
      <c r="T15" s="71">
        <v>4</v>
      </c>
      <c r="U15" s="71">
        <v>140</v>
      </c>
      <c r="V15" s="71">
        <v>1</v>
      </c>
      <c r="W15" s="71">
        <v>0</v>
      </c>
      <c r="X15" s="71">
        <v>0</v>
      </c>
      <c r="Y15" s="71">
        <v>1</v>
      </c>
      <c r="Z15" s="71">
        <v>0</v>
      </c>
      <c r="AA15" s="71" t="s">
        <v>5044</v>
      </c>
      <c r="AB15" s="71">
        <v>0</v>
      </c>
      <c r="AC15" s="71">
        <v>0</v>
      </c>
      <c r="AD15" s="72">
        <v>1.7</v>
      </c>
      <c r="AE15" s="71">
        <v>0</v>
      </c>
      <c r="AF15" s="72">
        <v>0</v>
      </c>
      <c r="AG15" s="72">
        <v>1</v>
      </c>
      <c r="AH15" s="72" t="s">
        <v>8118</v>
      </c>
      <c r="AI15" s="71"/>
      <c r="AJ15" s="71"/>
      <c r="AK15" s="71" t="s">
        <v>7963</v>
      </c>
      <c r="AL15" s="78" t="s">
        <v>8090</v>
      </c>
      <c r="AM15" s="71">
        <v>2</v>
      </c>
      <c r="AN15" s="71">
        <v>0</v>
      </c>
      <c r="AO15" s="71" t="s">
        <v>5044</v>
      </c>
      <c r="AP15" s="81" t="s">
        <v>5044</v>
      </c>
      <c r="AQ15" s="31">
        <v>0</v>
      </c>
      <c r="AR15" s="81" t="s">
        <v>5044</v>
      </c>
    </row>
    <row r="16" spans="1:44" ht="63" customHeight="1" x14ac:dyDescent="0.2">
      <c r="A16" s="71">
        <v>28</v>
      </c>
      <c r="B16" s="71" t="s">
        <v>7693</v>
      </c>
      <c r="C16" s="71" t="s">
        <v>7694</v>
      </c>
      <c r="D16" s="83">
        <v>2024</v>
      </c>
      <c r="E16" s="71"/>
      <c r="F16" s="71">
        <v>99</v>
      </c>
      <c r="G16" s="71"/>
      <c r="H16" s="71" t="s">
        <v>7964</v>
      </c>
      <c r="I16" s="71" t="s">
        <v>13</v>
      </c>
      <c r="J16" s="71" t="s">
        <v>7695</v>
      </c>
      <c r="K16" s="71" t="s">
        <v>7696</v>
      </c>
      <c r="L16" s="71" t="s">
        <v>7965</v>
      </c>
      <c r="M16" s="71">
        <v>0</v>
      </c>
      <c r="N16" s="71" t="s">
        <v>5044</v>
      </c>
      <c r="O16" s="71" t="s">
        <v>5044</v>
      </c>
      <c r="P16" s="71">
        <v>0</v>
      </c>
      <c r="Q16" s="71">
        <v>0</v>
      </c>
      <c r="R16" s="71">
        <v>0</v>
      </c>
      <c r="S16" s="71">
        <v>9</v>
      </c>
      <c r="T16" s="71">
        <v>4</v>
      </c>
      <c r="U16" s="71">
        <v>160</v>
      </c>
      <c r="V16" s="71">
        <v>1</v>
      </c>
      <c r="W16" s="71">
        <v>0</v>
      </c>
      <c r="X16" s="71">
        <v>0</v>
      </c>
      <c r="Y16" s="71">
        <v>1</v>
      </c>
      <c r="Z16" s="71">
        <v>0</v>
      </c>
      <c r="AA16" s="71"/>
      <c r="AB16" s="71">
        <v>1</v>
      </c>
      <c r="AC16" s="71">
        <v>1</v>
      </c>
      <c r="AD16" s="71">
        <v>3.9</v>
      </c>
      <c r="AE16" s="71">
        <v>0</v>
      </c>
      <c r="AF16" s="72">
        <v>0</v>
      </c>
      <c r="AG16" s="72">
        <v>1</v>
      </c>
      <c r="AH16" s="72" t="s">
        <v>8116</v>
      </c>
      <c r="AI16" s="71">
        <v>0</v>
      </c>
      <c r="AJ16" s="71"/>
      <c r="AK16" s="71"/>
      <c r="AL16" s="78" t="s">
        <v>8089</v>
      </c>
      <c r="AM16" s="71">
        <v>2</v>
      </c>
      <c r="AN16" s="71">
        <v>1</v>
      </c>
      <c r="AO16" s="71" t="s">
        <v>5044</v>
      </c>
      <c r="AP16" s="81" t="s">
        <v>5044</v>
      </c>
    </row>
    <row r="17" spans="1:44" s="70" customFormat="1" ht="63" customHeight="1" x14ac:dyDescent="0.2">
      <c r="A17" s="68">
        <v>66</v>
      </c>
      <c r="B17" s="68" t="s">
        <v>7748</v>
      </c>
      <c r="C17" s="68" t="s">
        <v>7749</v>
      </c>
      <c r="D17" s="84">
        <v>2024</v>
      </c>
      <c r="E17" s="68"/>
      <c r="F17" s="68">
        <v>409</v>
      </c>
      <c r="G17" s="68">
        <v>1</v>
      </c>
      <c r="H17" s="68" t="s">
        <v>596</v>
      </c>
      <c r="I17" s="68" t="s">
        <v>13</v>
      </c>
      <c r="J17" s="68" t="s">
        <v>7750</v>
      </c>
      <c r="K17" s="68" t="s">
        <v>7751</v>
      </c>
      <c r="L17" s="68" t="s">
        <v>6218</v>
      </c>
      <c r="M17" s="68">
        <v>0</v>
      </c>
      <c r="N17" s="68" t="s">
        <v>5044</v>
      </c>
      <c r="O17" s="68" t="s">
        <v>5044</v>
      </c>
      <c r="P17" s="68">
        <v>1</v>
      </c>
      <c r="Q17" s="68">
        <v>0</v>
      </c>
      <c r="R17" s="68">
        <v>0</v>
      </c>
      <c r="S17" s="68">
        <v>1</v>
      </c>
      <c r="T17" s="68">
        <v>1</v>
      </c>
      <c r="U17" s="68">
        <v>30</v>
      </c>
      <c r="V17" s="68">
        <v>1</v>
      </c>
      <c r="W17" s="68">
        <v>0</v>
      </c>
      <c r="X17" s="68">
        <v>0</v>
      </c>
      <c r="Y17" s="68">
        <v>1</v>
      </c>
      <c r="Z17" s="68">
        <v>0</v>
      </c>
      <c r="AA17" s="68" t="s">
        <v>5044</v>
      </c>
      <c r="AB17" s="68">
        <v>0</v>
      </c>
      <c r="AC17" s="68">
        <v>0</v>
      </c>
      <c r="AD17" s="68">
        <v>2.7</v>
      </c>
      <c r="AE17" s="68">
        <v>0</v>
      </c>
      <c r="AF17" s="91">
        <v>0</v>
      </c>
      <c r="AG17" s="91">
        <v>0</v>
      </c>
      <c r="AH17" s="91" t="s">
        <v>8115</v>
      </c>
      <c r="AI17" s="68" t="s">
        <v>8117</v>
      </c>
      <c r="AJ17" s="68"/>
      <c r="AK17" s="68" t="s">
        <v>7813</v>
      </c>
      <c r="AL17" s="89" t="s">
        <v>8086</v>
      </c>
      <c r="AM17" s="68">
        <v>1</v>
      </c>
      <c r="AN17" s="68">
        <v>1</v>
      </c>
      <c r="AO17" s="68">
        <v>0</v>
      </c>
      <c r="AP17" s="70" t="s">
        <v>8114</v>
      </c>
      <c r="AQ17" s="90" t="s">
        <v>5044</v>
      </c>
    </row>
    <row r="18" spans="1:44" ht="63" customHeight="1" x14ac:dyDescent="0.2">
      <c r="A18" s="30">
        <v>131</v>
      </c>
      <c r="B18" s="30" t="s">
        <v>7807</v>
      </c>
      <c r="C18" s="30" t="s">
        <v>7808</v>
      </c>
      <c r="D18" s="48">
        <v>2024</v>
      </c>
      <c r="E18" s="30"/>
      <c r="F18" s="30">
        <v>159</v>
      </c>
      <c r="G18" s="30">
        <v>6</v>
      </c>
      <c r="H18" s="30" t="s">
        <v>6676</v>
      </c>
      <c r="I18" s="30" t="s">
        <v>13</v>
      </c>
      <c r="J18" s="30" t="s">
        <v>7809</v>
      </c>
      <c r="K18" s="30" t="s">
        <v>7810</v>
      </c>
      <c r="L18" s="30" t="s">
        <v>7974</v>
      </c>
      <c r="M18" s="30">
        <v>0</v>
      </c>
      <c r="N18" s="30" t="s">
        <v>5044</v>
      </c>
      <c r="O18" s="30" t="s">
        <v>5044</v>
      </c>
      <c r="P18" s="30">
        <v>0</v>
      </c>
      <c r="Q18" s="30">
        <v>0</v>
      </c>
      <c r="R18" s="30">
        <v>0</v>
      </c>
      <c r="S18" s="30">
        <v>1</v>
      </c>
      <c r="T18" s="30">
        <v>1</v>
      </c>
      <c r="U18" s="30">
        <v>610</v>
      </c>
      <c r="V18" s="30">
        <v>1</v>
      </c>
      <c r="W18" s="30">
        <v>0</v>
      </c>
      <c r="X18" s="30">
        <v>0</v>
      </c>
      <c r="Y18" s="30">
        <v>1</v>
      </c>
      <c r="Z18" s="30">
        <v>0</v>
      </c>
      <c r="AA18" s="30"/>
      <c r="AB18" s="30">
        <v>1</v>
      </c>
      <c r="AC18" s="30">
        <v>1</v>
      </c>
      <c r="AD18" s="30">
        <v>8.6999999999999993</v>
      </c>
      <c r="AE18" s="30">
        <v>0</v>
      </c>
      <c r="AF18" s="30">
        <v>1</v>
      </c>
      <c r="AG18" s="30">
        <v>1</v>
      </c>
      <c r="AH18" s="30" t="s">
        <v>8112</v>
      </c>
      <c r="AI18" s="55">
        <v>0</v>
      </c>
      <c r="AJ18" s="55"/>
      <c r="AK18" s="30"/>
      <c r="AL18" s="30" t="s">
        <v>8085</v>
      </c>
      <c r="AM18" s="30">
        <v>1</v>
      </c>
      <c r="AN18" s="30">
        <v>1</v>
      </c>
      <c r="AO18" s="30">
        <v>1</v>
      </c>
      <c r="AP18" s="31" t="s">
        <v>8113</v>
      </c>
      <c r="AQ18" s="31">
        <v>0</v>
      </c>
      <c r="AR18" s="81" t="s">
        <v>5044</v>
      </c>
    </row>
    <row r="19" spans="1:44" ht="63" customHeight="1" x14ac:dyDescent="0.2">
      <c r="A19" s="30">
        <v>187</v>
      </c>
      <c r="B19" s="30" t="s">
        <v>7868</v>
      </c>
      <c r="C19" s="30" t="s">
        <v>7869</v>
      </c>
      <c r="D19" s="48">
        <v>2024</v>
      </c>
      <c r="E19" s="30"/>
      <c r="F19" s="30">
        <v>280</v>
      </c>
      <c r="G19" s="30">
        <v>2</v>
      </c>
      <c r="H19" s="30" t="s">
        <v>6533</v>
      </c>
      <c r="I19" s="30" t="s">
        <v>13</v>
      </c>
      <c r="J19" s="30" t="s">
        <v>7870</v>
      </c>
      <c r="K19" s="30" t="s">
        <v>7871</v>
      </c>
      <c r="L19" s="30" t="s">
        <v>5580</v>
      </c>
      <c r="M19" s="30">
        <v>0</v>
      </c>
      <c r="N19" s="30" t="s">
        <v>5044</v>
      </c>
      <c r="O19" s="30" t="s">
        <v>5044</v>
      </c>
      <c r="P19" s="30">
        <v>0</v>
      </c>
      <c r="Q19" s="30">
        <v>0</v>
      </c>
      <c r="R19" s="30">
        <v>0</v>
      </c>
      <c r="S19" s="30">
        <v>1</v>
      </c>
      <c r="T19" s="30">
        <v>1</v>
      </c>
      <c r="U19" s="30">
        <v>347</v>
      </c>
      <c r="V19" s="30">
        <v>1</v>
      </c>
      <c r="W19" s="30">
        <v>0</v>
      </c>
      <c r="X19" s="30">
        <v>0</v>
      </c>
      <c r="Y19" s="30">
        <v>1</v>
      </c>
      <c r="Z19" s="30">
        <v>0</v>
      </c>
      <c r="AA19" s="30"/>
      <c r="AB19" s="30">
        <v>0</v>
      </c>
      <c r="AC19" s="30">
        <v>0</v>
      </c>
      <c r="AD19" s="30">
        <v>1</v>
      </c>
      <c r="AE19" s="30">
        <v>0</v>
      </c>
      <c r="AF19" s="30">
        <v>0</v>
      </c>
      <c r="AG19" s="30">
        <v>1</v>
      </c>
      <c r="AH19" s="30" t="s">
        <v>8111</v>
      </c>
      <c r="AI19" s="55">
        <v>0</v>
      </c>
      <c r="AJ19" s="55"/>
      <c r="AK19" s="30"/>
      <c r="AL19" s="88" t="s">
        <v>8076</v>
      </c>
      <c r="AM19" s="30">
        <v>1</v>
      </c>
      <c r="AN19" s="30">
        <v>1</v>
      </c>
      <c r="AO19" s="30">
        <v>1</v>
      </c>
      <c r="AP19" s="31" t="s">
        <v>8109</v>
      </c>
      <c r="AQ19" s="31">
        <v>0</v>
      </c>
      <c r="AR19" s="81" t="s">
        <v>8110</v>
      </c>
    </row>
    <row r="20" spans="1:44" ht="63" customHeight="1" x14ac:dyDescent="0.2">
      <c r="A20" s="30">
        <v>67</v>
      </c>
      <c r="B20" s="30" t="s">
        <v>7752</v>
      </c>
      <c r="C20" s="30" t="s">
        <v>7753</v>
      </c>
      <c r="D20" s="48">
        <v>2024</v>
      </c>
      <c r="E20" s="30"/>
      <c r="F20" s="30">
        <v>24</v>
      </c>
      <c r="G20" s="30">
        <v>1</v>
      </c>
      <c r="H20" s="30" t="s">
        <v>66</v>
      </c>
      <c r="I20" s="30" t="s">
        <v>13</v>
      </c>
      <c r="J20" s="30" t="s">
        <v>7754</v>
      </c>
      <c r="K20" s="30" t="s">
        <v>7755</v>
      </c>
      <c r="L20" s="30" t="s">
        <v>7982</v>
      </c>
      <c r="M20" s="30">
        <v>0</v>
      </c>
      <c r="N20" s="30" t="s">
        <v>5044</v>
      </c>
      <c r="O20" s="30" t="s">
        <v>5044</v>
      </c>
      <c r="P20" s="30">
        <v>0</v>
      </c>
      <c r="Q20" s="30">
        <v>0</v>
      </c>
      <c r="R20" s="30">
        <v>0</v>
      </c>
      <c r="S20" s="30">
        <v>1</v>
      </c>
      <c r="T20" s="30">
        <v>4</v>
      </c>
      <c r="U20" s="30">
        <v>126</v>
      </c>
      <c r="V20" s="30">
        <v>1</v>
      </c>
      <c r="W20" s="30">
        <v>0</v>
      </c>
      <c r="X20" s="30">
        <v>0</v>
      </c>
      <c r="Y20" s="30">
        <v>1</v>
      </c>
      <c r="Z20" s="30">
        <v>0</v>
      </c>
      <c r="AA20" s="30" t="s">
        <v>5044</v>
      </c>
      <c r="AB20" s="30">
        <v>0</v>
      </c>
      <c r="AC20" s="30">
        <v>0</v>
      </c>
      <c r="AD20" s="30">
        <v>0</v>
      </c>
      <c r="AE20" s="30">
        <v>0</v>
      </c>
      <c r="AF20" s="30">
        <v>1</v>
      </c>
      <c r="AG20" s="30">
        <v>1</v>
      </c>
      <c r="AH20" s="30" t="s">
        <v>8108</v>
      </c>
      <c r="AI20" s="55">
        <v>0</v>
      </c>
      <c r="AJ20" s="55"/>
      <c r="AK20" s="30" t="s">
        <v>7983</v>
      </c>
      <c r="AL20" s="88" t="s">
        <v>8075</v>
      </c>
      <c r="AM20" s="30">
        <v>2</v>
      </c>
      <c r="AN20" s="30">
        <v>1</v>
      </c>
      <c r="AO20" s="30" t="s">
        <v>5044</v>
      </c>
      <c r="AP20" s="81" t="s">
        <v>5044</v>
      </c>
      <c r="AQ20" s="31">
        <v>0</v>
      </c>
      <c r="AR20" s="81" t="s">
        <v>5044</v>
      </c>
    </row>
    <row r="21" spans="1:44" ht="63" customHeight="1" x14ac:dyDescent="0.2">
      <c r="A21" s="30">
        <v>132</v>
      </c>
      <c r="B21" s="30" t="s">
        <v>7811</v>
      </c>
      <c r="C21" s="30" t="s">
        <v>7812</v>
      </c>
      <c r="D21" s="48">
        <v>2024</v>
      </c>
      <c r="E21" s="30" t="s">
        <v>7813</v>
      </c>
      <c r="F21" s="30">
        <v>279</v>
      </c>
      <c r="G21" s="30">
        <v>2</v>
      </c>
      <c r="H21" s="30" t="s">
        <v>6533</v>
      </c>
      <c r="I21" s="30" t="s">
        <v>13</v>
      </c>
      <c r="J21" s="30" t="s">
        <v>7814</v>
      </c>
      <c r="K21" s="30" t="s">
        <v>7815</v>
      </c>
      <c r="L21" s="30" t="s">
        <v>7988</v>
      </c>
      <c r="M21" s="30">
        <v>0</v>
      </c>
      <c r="N21" s="30" t="s">
        <v>5044</v>
      </c>
      <c r="O21" s="30" t="s">
        <v>5044</v>
      </c>
      <c r="P21" s="30">
        <v>1</v>
      </c>
      <c r="Q21" s="30">
        <v>0</v>
      </c>
      <c r="R21" s="30">
        <v>0</v>
      </c>
      <c r="S21" s="30">
        <v>1</v>
      </c>
      <c r="T21" s="30">
        <v>1</v>
      </c>
      <c r="U21" s="30">
        <v>104</v>
      </c>
      <c r="V21" s="30">
        <v>1</v>
      </c>
      <c r="W21" s="30">
        <v>0</v>
      </c>
      <c r="X21" s="30">
        <v>0</v>
      </c>
      <c r="Y21" s="30">
        <v>1</v>
      </c>
      <c r="Z21" s="30">
        <v>0</v>
      </c>
      <c r="AA21" s="30" t="s">
        <v>5044</v>
      </c>
      <c r="AB21" s="30">
        <v>0</v>
      </c>
      <c r="AC21" s="30">
        <v>0</v>
      </c>
      <c r="AD21" s="30">
        <v>0</v>
      </c>
      <c r="AE21" s="30">
        <v>0</v>
      </c>
      <c r="AF21" s="30">
        <v>0</v>
      </c>
      <c r="AG21" s="30">
        <v>0</v>
      </c>
      <c r="AH21" s="30" t="s">
        <v>8107</v>
      </c>
      <c r="AI21" s="55" t="s">
        <v>8117</v>
      </c>
      <c r="AJ21" s="55"/>
      <c r="AK21" s="30" t="s">
        <v>7813</v>
      </c>
      <c r="AL21" s="88" t="s">
        <v>8074</v>
      </c>
      <c r="AM21" s="30">
        <v>2</v>
      </c>
      <c r="AN21" s="30">
        <v>0</v>
      </c>
      <c r="AO21" s="30" t="s">
        <v>5044</v>
      </c>
      <c r="AP21" s="81" t="s">
        <v>5044</v>
      </c>
      <c r="AQ21" s="31">
        <v>1</v>
      </c>
      <c r="AR21" s="81">
        <v>0</v>
      </c>
    </row>
    <row r="22" spans="1:44" ht="63" customHeight="1" x14ac:dyDescent="0.2">
      <c r="A22" s="30">
        <v>129</v>
      </c>
      <c r="B22" s="30" t="s">
        <v>7803</v>
      </c>
      <c r="C22" s="30" t="s">
        <v>7804</v>
      </c>
      <c r="D22" s="48">
        <v>2024</v>
      </c>
      <c r="E22" s="30"/>
      <c r="F22" s="30">
        <v>280</v>
      </c>
      <c r="G22" s="30">
        <v>2</v>
      </c>
      <c r="H22" s="30" t="s">
        <v>6533</v>
      </c>
      <c r="I22" s="30" t="s">
        <v>13</v>
      </c>
      <c r="J22" s="30" t="s">
        <v>7805</v>
      </c>
      <c r="K22" s="30" t="s">
        <v>7806</v>
      </c>
      <c r="L22" s="30" t="s">
        <v>7961</v>
      </c>
      <c r="M22" s="30">
        <v>0</v>
      </c>
      <c r="N22" s="30" t="s">
        <v>5044</v>
      </c>
      <c r="O22" s="30" t="s">
        <v>5044</v>
      </c>
      <c r="P22" s="30">
        <v>0</v>
      </c>
      <c r="Q22" s="30">
        <v>0</v>
      </c>
      <c r="R22" s="30">
        <v>0</v>
      </c>
      <c r="S22" s="30">
        <v>9</v>
      </c>
      <c r="T22" s="30">
        <v>4</v>
      </c>
      <c r="U22" s="30">
        <v>300</v>
      </c>
      <c r="V22" s="30">
        <v>1</v>
      </c>
      <c r="W22" s="30">
        <v>0</v>
      </c>
      <c r="X22" s="30">
        <v>0</v>
      </c>
      <c r="Y22" s="30">
        <v>1</v>
      </c>
      <c r="Z22" s="30">
        <v>0</v>
      </c>
      <c r="AA22" s="30" t="s">
        <v>5044</v>
      </c>
      <c r="AB22" s="30">
        <v>0</v>
      </c>
      <c r="AC22" s="30">
        <v>0</v>
      </c>
      <c r="AD22" s="30">
        <v>3.9</v>
      </c>
      <c r="AE22" s="30">
        <v>0</v>
      </c>
      <c r="AF22" s="30">
        <v>0</v>
      </c>
      <c r="AG22" s="30">
        <v>1</v>
      </c>
      <c r="AH22" s="30" t="s">
        <v>8106</v>
      </c>
      <c r="AI22" s="55">
        <v>0</v>
      </c>
      <c r="AJ22" s="55">
        <v>0</v>
      </c>
      <c r="AK22" s="30" t="s">
        <v>7990</v>
      </c>
      <c r="AL22" s="30" t="s">
        <v>8073</v>
      </c>
      <c r="AM22" s="30">
        <v>1</v>
      </c>
      <c r="AN22" s="30">
        <v>1</v>
      </c>
      <c r="AO22" s="30">
        <v>1</v>
      </c>
      <c r="AP22" s="81" t="s">
        <v>8105</v>
      </c>
      <c r="AQ22" s="31">
        <v>0</v>
      </c>
      <c r="AR22" s="81" t="s">
        <v>8110</v>
      </c>
    </row>
    <row r="23" spans="1:44" ht="63" customHeight="1" x14ac:dyDescent="0.2">
      <c r="A23" s="31">
        <v>3262</v>
      </c>
      <c r="B23" s="31" t="s">
        <v>7317</v>
      </c>
      <c r="C23" s="31" t="s">
        <v>904</v>
      </c>
      <c r="D23" s="49" t="s">
        <v>46</v>
      </c>
      <c r="E23" s="31" t="s">
        <v>5318</v>
      </c>
      <c r="F23" s="31">
        <v>86</v>
      </c>
      <c r="G23" s="31">
        <v>1</v>
      </c>
      <c r="H23" s="31" t="s">
        <v>7318</v>
      </c>
      <c r="I23" s="31" t="s">
        <v>6516</v>
      </c>
      <c r="J23" s="31" t="s">
        <v>7319</v>
      </c>
      <c r="K23" s="81" t="s">
        <v>905</v>
      </c>
      <c r="L23" s="31" t="s">
        <v>5318</v>
      </c>
      <c r="M23" s="31">
        <v>0</v>
      </c>
      <c r="N23" s="81" t="s">
        <v>5044</v>
      </c>
      <c r="O23" s="81" t="s">
        <v>5044</v>
      </c>
      <c r="P23" s="31">
        <v>0</v>
      </c>
      <c r="Q23" s="31">
        <v>0</v>
      </c>
      <c r="R23" s="31">
        <v>0</v>
      </c>
      <c r="S23" s="31">
        <v>1</v>
      </c>
      <c r="T23" s="31">
        <v>1</v>
      </c>
      <c r="U23" s="31">
        <v>80</v>
      </c>
      <c r="V23" s="31">
        <v>1</v>
      </c>
      <c r="W23" s="31">
        <v>0</v>
      </c>
      <c r="X23" s="31">
        <v>0</v>
      </c>
      <c r="Y23" s="31">
        <v>1</v>
      </c>
      <c r="Z23" s="31">
        <v>0</v>
      </c>
      <c r="AA23" s="81" t="s">
        <v>5044</v>
      </c>
      <c r="AB23" s="31">
        <v>0</v>
      </c>
      <c r="AC23" s="31">
        <v>0</v>
      </c>
      <c r="AD23" s="31">
        <v>1.53</v>
      </c>
      <c r="AE23" s="31">
        <v>0</v>
      </c>
      <c r="AF23" s="31">
        <v>0</v>
      </c>
      <c r="AG23" s="81" t="s">
        <v>5044</v>
      </c>
      <c r="AH23" s="81" t="s">
        <v>5044</v>
      </c>
      <c r="AI23" s="54">
        <v>0</v>
      </c>
      <c r="AJ23" s="54">
        <v>0</v>
      </c>
      <c r="AK23" s="31" t="s">
        <v>5105</v>
      </c>
      <c r="AL23" s="77" t="s">
        <v>8072</v>
      </c>
      <c r="AM23" s="81" t="s">
        <v>5044</v>
      </c>
      <c r="AN23" s="31" t="s">
        <v>5318</v>
      </c>
      <c r="AO23" s="31" t="s">
        <v>5318</v>
      </c>
    </row>
    <row r="24" spans="1:44" s="30" customFormat="1" ht="102" customHeight="1" x14ac:dyDescent="0.2">
      <c r="A24" s="31">
        <v>9217</v>
      </c>
      <c r="B24" s="31" t="s">
        <v>3302</v>
      </c>
      <c r="C24" s="31" t="s">
        <v>3303</v>
      </c>
      <c r="D24" s="45" t="s">
        <v>16</v>
      </c>
      <c r="E24" s="31"/>
      <c r="F24" s="31" t="s">
        <v>1700</v>
      </c>
      <c r="G24" s="31" t="s">
        <v>144</v>
      </c>
      <c r="H24" s="31" t="s">
        <v>596</v>
      </c>
      <c r="I24" s="31" t="s">
        <v>13</v>
      </c>
      <c r="J24" s="31" t="s">
        <v>3304</v>
      </c>
      <c r="K24" s="81" t="s">
        <v>3305</v>
      </c>
      <c r="L24" s="31" t="s">
        <v>5781</v>
      </c>
      <c r="M24" s="31">
        <v>0</v>
      </c>
      <c r="N24" s="31" t="s">
        <v>5044</v>
      </c>
      <c r="O24" s="31" t="s">
        <v>5044</v>
      </c>
      <c r="P24" s="31">
        <v>0</v>
      </c>
      <c r="Q24" s="31">
        <v>9</v>
      </c>
      <c r="R24" s="31">
        <v>9</v>
      </c>
      <c r="S24" s="31">
        <v>1</v>
      </c>
      <c r="T24" s="31">
        <v>1</v>
      </c>
      <c r="U24" s="31">
        <v>112</v>
      </c>
      <c r="V24" s="31">
        <v>1</v>
      </c>
      <c r="W24" s="31">
        <v>0</v>
      </c>
      <c r="X24" s="31">
        <v>0</v>
      </c>
      <c r="Y24" s="31">
        <v>1</v>
      </c>
      <c r="Z24" s="31">
        <v>0</v>
      </c>
      <c r="AA24" s="81" t="s">
        <v>5044</v>
      </c>
      <c r="AB24" s="31">
        <v>0</v>
      </c>
      <c r="AC24" s="31">
        <v>0</v>
      </c>
      <c r="AD24" s="31">
        <v>3</v>
      </c>
      <c r="AE24" s="31">
        <v>0</v>
      </c>
      <c r="AF24" s="31">
        <v>0</v>
      </c>
      <c r="AG24" s="31">
        <v>1</v>
      </c>
      <c r="AH24" s="31" t="s">
        <v>8103</v>
      </c>
      <c r="AI24" s="54">
        <v>0</v>
      </c>
      <c r="AJ24" s="54">
        <v>0</v>
      </c>
      <c r="AK24" s="31" t="s">
        <v>5318</v>
      </c>
      <c r="AL24" s="81" t="s">
        <v>8071</v>
      </c>
      <c r="AM24" s="31">
        <v>1</v>
      </c>
      <c r="AN24" s="31">
        <v>1</v>
      </c>
      <c r="AO24" s="31">
        <v>1</v>
      </c>
      <c r="AP24" s="30" t="s">
        <v>8104</v>
      </c>
      <c r="AQ24" s="30">
        <v>0</v>
      </c>
      <c r="AR24" s="30" t="s">
        <v>8110</v>
      </c>
    </row>
    <row r="25" spans="1:44" s="85" customFormat="1" ht="82" customHeight="1" x14ac:dyDescent="0.2">
      <c r="B25" s="85" t="s">
        <v>8019</v>
      </c>
      <c r="C25" s="85" t="s">
        <v>8020</v>
      </c>
      <c r="D25" s="85">
        <v>2020</v>
      </c>
      <c r="H25" s="85" t="s">
        <v>6676</v>
      </c>
      <c r="K25" s="86" t="s">
        <v>4271</v>
      </c>
      <c r="L25" s="85" t="s">
        <v>5252</v>
      </c>
      <c r="M25" s="85">
        <v>0</v>
      </c>
      <c r="N25" s="85" t="s">
        <v>5044</v>
      </c>
      <c r="O25" s="85" t="s">
        <v>5044</v>
      </c>
      <c r="P25" s="85">
        <v>0</v>
      </c>
      <c r="Q25" s="85">
        <v>0</v>
      </c>
      <c r="R25" s="85">
        <v>0</v>
      </c>
      <c r="S25" s="85">
        <v>1</v>
      </c>
      <c r="T25" s="85">
        <v>2</v>
      </c>
      <c r="U25" s="85">
        <v>120</v>
      </c>
      <c r="V25" s="85">
        <v>1</v>
      </c>
      <c r="W25" s="85">
        <v>0</v>
      </c>
      <c r="X25" s="85">
        <v>0</v>
      </c>
      <c r="Y25" s="85">
        <v>1</v>
      </c>
      <c r="Z25" s="85">
        <v>0</v>
      </c>
      <c r="AA25" s="86" t="s">
        <v>5044</v>
      </c>
      <c r="AB25" s="85">
        <v>0</v>
      </c>
      <c r="AC25" s="85">
        <v>0</v>
      </c>
      <c r="AD25" s="85">
        <v>3.2</v>
      </c>
      <c r="AE25" s="85">
        <v>0</v>
      </c>
      <c r="AF25" s="85">
        <v>0</v>
      </c>
      <c r="AG25" s="85">
        <v>1</v>
      </c>
      <c r="AH25" s="86" t="s">
        <v>8101</v>
      </c>
      <c r="AI25" s="85">
        <v>0</v>
      </c>
      <c r="AJ25" s="85">
        <v>0</v>
      </c>
      <c r="AL25" s="87" t="s">
        <v>8070</v>
      </c>
      <c r="AM25" s="87">
        <v>2</v>
      </c>
      <c r="AN25" s="85">
        <v>1</v>
      </c>
      <c r="AO25" s="85">
        <v>1</v>
      </c>
      <c r="AP25" s="85" t="s">
        <v>8102</v>
      </c>
      <c r="AQ25" s="85">
        <v>0</v>
      </c>
      <c r="AR25" s="86" t="s">
        <v>5044</v>
      </c>
    </row>
  </sheetData>
  <sheetProtection formatCells="0" formatColumns="0" formatRows="0" insertColumns="0" insertRows="0" insertHyperlinks="0" deleteColumns="0" deleteRows="0" sort="0" autoFilter="0" pivotTables="0"/>
  <autoFilter ref="A1:AK25" xr:uid="{00000000-0001-0000-0000-000000000000}"/>
  <sortState xmlns:xlrd2="http://schemas.microsoft.com/office/spreadsheetml/2017/richdata2" ref="A3:AX24">
    <sortCondition ref="D3:D24"/>
    <sortCondition ref="B3:B24"/>
  </sortState>
  <hyperlinks>
    <hyperlink ref="L7" r:id="rId1" tooltip="See in ClinicalTrials.gov" display="http://clinicaltrials.gov/show/NCT03963427" xr:uid="{56409CF9-F04F-1D4E-AA28-3F53256920EC}"/>
    <hyperlink ref="J4" r:id="rId2" xr:uid="{527EF4EB-330A-234C-BC1C-401688EB3A6B}"/>
    <hyperlink ref="K4" r:id="rId3" xr:uid="{E22EA1D6-165E-E749-BD9B-1EDB36FBB396}"/>
    <hyperlink ref="L4" r:id="rId4" xr:uid="{037A2199-2599-5744-AB3B-7C26A267D29F}"/>
    <hyperlink ref="L8" r:id="rId5" xr:uid="{2F9BFB92-6BE8-9047-B708-99495406CBC6}"/>
    <hyperlink ref="AL4" r:id="rId6" xr:uid="{7B6C9823-8AFA-5543-8F69-377F5A7FA6AC}"/>
    <hyperlink ref="AL3" r:id="rId7" xr:uid="{959CD5EA-816F-7B45-AAEA-A8E9AF225BB4}"/>
    <hyperlink ref="AL7" r:id="rId8" xr:uid="{CE72E8CB-111F-3F4B-88C1-B938AD1C8339}"/>
    <hyperlink ref="AL9" r:id="rId9" xr:uid="{967054CC-7AA9-CF47-B152-16B7680DDF43}"/>
    <hyperlink ref="AL10" r:id="rId10" xr:uid="{1B69367B-955E-4947-A7AA-4A8FF7E0D475}"/>
    <hyperlink ref="AL11" r:id="rId11" xr:uid="{E2CDE8E0-5954-0B4E-96C9-C9683920BA5B}"/>
    <hyperlink ref="AL12" r:id="rId12" xr:uid="{D3DA44A8-9D27-2644-898F-51800A756C61}"/>
    <hyperlink ref="AL5" r:id="rId13" xr:uid="{5A6D5FAC-4746-CD47-8C72-4BD5F2362DFC}"/>
    <hyperlink ref="AL21" r:id="rId14" xr:uid="{28AEA43A-3CE2-8148-9AF0-06F151EF1058}"/>
    <hyperlink ref="AL20" r:id="rId15" xr:uid="{F28A383E-8A87-F14A-93BD-637712F315DF}"/>
    <hyperlink ref="AL19" r:id="rId16" xr:uid="{1089C978-8F82-7A44-A629-1D61A1454E16}"/>
    <hyperlink ref="AL17" r:id="rId17" xr:uid="{D76B982D-6DB2-FF41-B908-5C428A981B5E}"/>
    <hyperlink ref="AL16" r:id="rId18" xr:uid="{1BF18643-198E-294E-A310-53DDD1E3D782}"/>
    <hyperlink ref="AL15" r:id="rId19" xr:uid="{95DA9643-C032-4A4D-9389-1D329CE3EF8A}"/>
    <hyperlink ref="AL13" r:id="rId20" xr:uid="{EC821EF9-76BE-134D-844F-01F35DA5AE02}"/>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91D40-4890-D94A-B86A-A68873A19C96}">
  <dimension ref="A1:AT1118"/>
  <sheetViews>
    <sheetView zoomScale="80" zoomScaleNormal="80" workbookViewId="0">
      <pane xSplit="8640" ySplit="2860" topLeftCell="U1" activePane="bottomRight"/>
      <selection sqref="A1:XFD1048576"/>
      <selection pane="topRight" activeCell="AO487" sqref="AO487"/>
      <selection pane="bottomLeft" activeCell="A1277" sqref="A9:XFD1277"/>
      <selection pane="bottomRight" activeCell="AG1113" sqref="AG1113"/>
    </sheetView>
  </sheetViews>
  <sheetFormatPr baseColWidth="10" defaultColWidth="8.83203125" defaultRowHeight="63" customHeight="1" x14ac:dyDescent="0.2"/>
  <cols>
    <col min="1" max="1" width="8.83203125" style="7"/>
    <col min="2" max="2" width="37.5" style="7" customWidth="1"/>
    <col min="3" max="3" width="30.33203125" style="7" customWidth="1"/>
    <col min="4" max="4" width="8.1640625" style="7" customWidth="1"/>
    <col min="5" max="5" width="11.6640625" style="7" customWidth="1"/>
    <col min="6" max="6" width="9.33203125" style="7" customWidth="1"/>
    <col min="7" max="7" width="8.6640625" style="7" customWidth="1"/>
    <col min="8" max="8" width="18" style="7" customWidth="1"/>
    <col min="9" max="9" width="11.83203125" style="7" customWidth="1"/>
    <col min="10" max="10" width="59.83203125" style="7" customWidth="1"/>
    <col min="11" max="11" width="28.83203125" style="7" customWidth="1"/>
    <col min="12" max="12" width="17.83203125" style="7" customWidth="1"/>
    <col min="13" max="15" width="15" style="7" customWidth="1"/>
    <col min="16" max="16" width="18.5" style="7" customWidth="1"/>
    <col min="17" max="18" width="17.83203125" style="7" customWidth="1"/>
    <col min="19" max="20" width="16.6640625" style="7" customWidth="1"/>
    <col min="21" max="21" width="14.1640625" style="7" customWidth="1"/>
    <col min="22" max="27" width="12.83203125" style="7" customWidth="1"/>
    <col min="28" max="28" width="14.6640625" style="7" customWidth="1"/>
    <col min="29" max="29" width="14.5" style="7" customWidth="1"/>
    <col min="30" max="30" width="22.1640625" style="7" customWidth="1"/>
    <col min="31" max="31" width="23" style="7" customWidth="1"/>
    <col min="32" max="32" width="23.83203125" style="7" customWidth="1"/>
    <col min="33" max="33" width="21.6640625" style="7" customWidth="1"/>
    <col min="34" max="34" width="23.6640625" style="7" customWidth="1"/>
    <col min="35" max="35" width="24.5" style="7" customWidth="1"/>
    <col min="36" max="36" width="25.83203125" style="7" customWidth="1"/>
    <col min="37" max="37" width="26.5" style="7" customWidth="1"/>
    <col min="38" max="38" width="22.83203125" style="7" customWidth="1"/>
    <col min="39" max="39" width="17.1640625" style="7" customWidth="1"/>
    <col min="40" max="40" width="48.1640625" style="7" customWidth="1"/>
    <col min="41" max="41" width="8.83203125" style="7"/>
    <col min="42" max="42" width="12.5" style="7" bestFit="1" customWidth="1"/>
    <col min="43" max="43" width="8.83203125" style="7"/>
    <col min="44" max="44" width="12.5" style="7" bestFit="1" customWidth="1"/>
    <col min="45" max="45" width="8.83203125" style="7"/>
    <col min="46" max="46" width="12.5" style="7" bestFit="1" customWidth="1"/>
    <col min="47" max="16384" width="8.83203125" style="7"/>
  </cols>
  <sheetData>
    <row r="1" spans="1:43" s="15" customFormat="1" ht="63" customHeight="1" x14ac:dyDescent="0.2">
      <c r="A1" s="15" t="s">
        <v>0</v>
      </c>
      <c r="B1" s="15" t="s">
        <v>1</v>
      </c>
      <c r="C1" s="15" t="s">
        <v>2</v>
      </c>
      <c r="D1" s="15" t="s">
        <v>3</v>
      </c>
      <c r="E1" s="15" t="s">
        <v>7</v>
      </c>
      <c r="F1" s="15" t="s">
        <v>5031</v>
      </c>
      <c r="G1" s="15" t="s">
        <v>5032</v>
      </c>
      <c r="H1" s="15" t="s">
        <v>5033</v>
      </c>
      <c r="I1" s="15" t="s">
        <v>4</v>
      </c>
      <c r="J1" s="15" t="s">
        <v>5</v>
      </c>
      <c r="K1" s="15" t="s">
        <v>6</v>
      </c>
      <c r="L1" s="15" t="s">
        <v>5014</v>
      </c>
      <c r="M1" s="15" t="s">
        <v>5015</v>
      </c>
      <c r="N1" s="15" t="s">
        <v>5091</v>
      </c>
      <c r="O1" s="15" t="s">
        <v>5092</v>
      </c>
      <c r="P1" s="15" t="s">
        <v>5017</v>
      </c>
      <c r="Q1" s="15" t="s">
        <v>5018</v>
      </c>
      <c r="R1" s="15" t="s">
        <v>5019</v>
      </c>
      <c r="S1" s="15" t="s">
        <v>5026</v>
      </c>
      <c r="T1" s="15" t="s">
        <v>5027</v>
      </c>
      <c r="U1" s="15" t="s">
        <v>5037</v>
      </c>
      <c r="V1" s="15" t="s">
        <v>5021</v>
      </c>
      <c r="W1" s="15" t="s">
        <v>5020</v>
      </c>
      <c r="X1" s="15" t="s">
        <v>5022</v>
      </c>
      <c r="Y1" s="15" t="s">
        <v>5023</v>
      </c>
      <c r="Z1" s="15" t="s">
        <v>5024</v>
      </c>
      <c r="AA1" s="15" t="s">
        <v>5025</v>
      </c>
      <c r="AB1" s="15" t="s">
        <v>5038</v>
      </c>
      <c r="AC1" s="15" t="s">
        <v>5039</v>
      </c>
      <c r="AD1" s="15" t="s">
        <v>5049</v>
      </c>
      <c r="AE1" s="15" t="s">
        <v>5045</v>
      </c>
      <c r="AF1" s="15" t="s">
        <v>5046</v>
      </c>
      <c r="AG1" s="15" t="s">
        <v>5047</v>
      </c>
      <c r="AH1" s="15" t="s">
        <v>5050</v>
      </c>
      <c r="AI1" s="15" t="s">
        <v>5048</v>
      </c>
      <c r="AJ1" s="15" t="s">
        <v>5051</v>
      </c>
      <c r="AK1" s="15" t="s">
        <v>5029</v>
      </c>
      <c r="AL1" s="15" t="s">
        <v>5063</v>
      </c>
      <c r="AM1" s="15" t="s">
        <v>5061</v>
      </c>
      <c r="AN1" s="15" t="s">
        <v>5040</v>
      </c>
    </row>
    <row r="2" spans="1:43" ht="75" customHeight="1" x14ac:dyDescent="0.2">
      <c r="L2" s="7" t="s">
        <v>5062</v>
      </c>
      <c r="M2" s="7" t="s">
        <v>5016</v>
      </c>
      <c r="N2" s="7" t="s">
        <v>5016</v>
      </c>
      <c r="O2" s="7" t="s">
        <v>5016</v>
      </c>
      <c r="P2" s="7" t="s">
        <v>5016</v>
      </c>
      <c r="Q2" s="7" t="s">
        <v>5016</v>
      </c>
      <c r="R2" s="7" t="s">
        <v>5016</v>
      </c>
      <c r="S2" s="26" t="s">
        <v>7661</v>
      </c>
      <c r="T2" s="18" t="s">
        <v>5028</v>
      </c>
      <c r="V2" s="7" t="s">
        <v>5016</v>
      </c>
      <c r="W2" s="7" t="s">
        <v>5016</v>
      </c>
      <c r="X2" s="7" t="s">
        <v>5016</v>
      </c>
      <c r="Y2" s="7" t="s">
        <v>5016</v>
      </c>
      <c r="Z2" s="7" t="s">
        <v>5016</v>
      </c>
      <c r="AA2" s="7" t="s">
        <v>5016</v>
      </c>
      <c r="AB2" s="7" t="s">
        <v>5016</v>
      </c>
      <c r="AC2" s="7" t="s">
        <v>5056</v>
      </c>
      <c r="AD2" s="7" t="s">
        <v>7658</v>
      </c>
      <c r="AE2" s="7" t="s">
        <v>7662</v>
      </c>
      <c r="AF2" s="7" t="s">
        <v>5058</v>
      </c>
      <c r="AG2" s="7" t="s">
        <v>7659</v>
      </c>
      <c r="AH2" s="7" t="s">
        <v>7662</v>
      </c>
      <c r="AI2" s="7" t="s">
        <v>5059</v>
      </c>
      <c r="AJ2" s="7" t="s">
        <v>5060</v>
      </c>
      <c r="AK2" s="7" t="s">
        <v>5030</v>
      </c>
      <c r="AL2" s="7" t="s">
        <v>7660</v>
      </c>
      <c r="AM2" s="7" t="s">
        <v>5016</v>
      </c>
    </row>
    <row r="3" spans="1:43" ht="63" customHeight="1" x14ac:dyDescent="0.2">
      <c r="A3" s="7">
        <v>11</v>
      </c>
      <c r="B3" s="9" t="s">
        <v>6514</v>
      </c>
      <c r="C3" s="9" t="s">
        <v>8</v>
      </c>
      <c r="D3" s="9">
        <v>2007</v>
      </c>
      <c r="E3" s="9" t="s">
        <v>5318</v>
      </c>
      <c r="F3" s="9">
        <v>51</v>
      </c>
      <c r="G3" s="9">
        <v>5</v>
      </c>
      <c r="H3" s="9" t="s">
        <v>6515</v>
      </c>
      <c r="I3" s="9" t="s">
        <v>6516</v>
      </c>
      <c r="J3" s="9" t="s">
        <v>6517</v>
      </c>
      <c r="K3" s="9" t="s">
        <v>14</v>
      </c>
      <c r="L3" s="9" t="s">
        <v>5041</v>
      </c>
      <c r="M3" s="9">
        <v>0</v>
      </c>
      <c r="N3" s="9" t="s">
        <v>5044</v>
      </c>
      <c r="O3" s="9" t="s">
        <v>5044</v>
      </c>
      <c r="P3" s="9">
        <v>0</v>
      </c>
      <c r="Q3" s="9">
        <v>0</v>
      </c>
      <c r="R3" s="9">
        <v>1</v>
      </c>
      <c r="S3" s="9">
        <v>5</v>
      </c>
      <c r="T3" s="9">
        <v>1</v>
      </c>
      <c r="U3" s="9">
        <v>72</v>
      </c>
      <c r="V3" s="9">
        <v>1</v>
      </c>
      <c r="W3" s="9">
        <v>0</v>
      </c>
      <c r="X3" s="9">
        <v>0</v>
      </c>
      <c r="Y3" s="9">
        <v>0</v>
      </c>
      <c r="Z3" s="9">
        <v>0</v>
      </c>
      <c r="AA3" s="9">
        <v>0</v>
      </c>
      <c r="AB3" s="9">
        <v>1</v>
      </c>
      <c r="AC3" s="9">
        <v>1</v>
      </c>
      <c r="AD3" s="9">
        <v>1</v>
      </c>
      <c r="AE3" s="9">
        <v>0</v>
      </c>
      <c r="AF3" s="9">
        <v>0</v>
      </c>
      <c r="AG3" s="24" t="s">
        <v>5044</v>
      </c>
      <c r="AH3" s="24" t="s">
        <v>5044</v>
      </c>
      <c r="AI3" s="24" t="s">
        <v>5044</v>
      </c>
      <c r="AJ3" s="9" t="s">
        <v>5044</v>
      </c>
      <c r="AK3" s="9" t="s">
        <v>5318</v>
      </c>
      <c r="AL3" s="9">
        <v>1</v>
      </c>
      <c r="AM3" s="9">
        <v>0</v>
      </c>
      <c r="AN3" s="9">
        <v>0</v>
      </c>
      <c r="AO3" s="9">
        <v>0</v>
      </c>
      <c r="AP3" s="9" t="s">
        <v>5318</v>
      </c>
      <c r="AQ3" s="9" t="s">
        <v>5318</v>
      </c>
    </row>
    <row r="4" spans="1:43" ht="63" customHeight="1" x14ac:dyDescent="0.2">
      <c r="A4" s="10">
        <v>52</v>
      </c>
      <c r="B4" s="11" t="s">
        <v>6521</v>
      </c>
      <c r="C4" s="11" t="s">
        <v>21</v>
      </c>
      <c r="D4" s="11">
        <v>2018</v>
      </c>
      <c r="E4" s="11" t="s">
        <v>5318</v>
      </c>
      <c r="F4" s="11">
        <v>2018</v>
      </c>
      <c r="G4" s="11" t="s">
        <v>5318</v>
      </c>
      <c r="H4" s="11" t="s">
        <v>6522</v>
      </c>
      <c r="I4" s="11" t="s">
        <v>6516</v>
      </c>
      <c r="J4" s="11" t="s">
        <v>6523</v>
      </c>
      <c r="K4" s="11" t="s">
        <v>23</v>
      </c>
      <c r="L4" s="11" t="s">
        <v>5043</v>
      </c>
      <c r="M4" s="11">
        <v>0</v>
      </c>
      <c r="N4" s="9" t="s">
        <v>5044</v>
      </c>
      <c r="O4" s="9" t="s">
        <v>5044</v>
      </c>
      <c r="P4" s="11">
        <v>0</v>
      </c>
      <c r="Q4" s="11">
        <v>0</v>
      </c>
      <c r="R4" s="11">
        <v>0</v>
      </c>
      <c r="S4" s="11">
        <v>1</v>
      </c>
      <c r="T4" s="11">
        <v>4</v>
      </c>
      <c r="U4" s="11">
        <v>32</v>
      </c>
      <c r="V4" s="11">
        <v>0</v>
      </c>
      <c r="W4" s="11">
        <v>1</v>
      </c>
      <c r="X4" s="11">
        <v>0</v>
      </c>
      <c r="Y4" s="11">
        <v>0</v>
      </c>
      <c r="Z4" s="11">
        <v>0</v>
      </c>
      <c r="AA4" s="11">
        <v>0</v>
      </c>
      <c r="AB4" s="11">
        <v>1</v>
      </c>
      <c r="AC4" s="11">
        <v>1</v>
      </c>
      <c r="AD4" s="11" t="s">
        <v>5044</v>
      </c>
      <c r="AE4" s="11" t="s">
        <v>5044</v>
      </c>
      <c r="AF4" s="11" t="s">
        <v>5044</v>
      </c>
      <c r="AG4" s="11">
        <v>1</v>
      </c>
      <c r="AH4" s="11">
        <v>0</v>
      </c>
      <c r="AI4" s="11">
        <v>0</v>
      </c>
      <c r="AJ4" s="11" t="s">
        <v>5044</v>
      </c>
      <c r="AK4" s="11" t="s">
        <v>5318</v>
      </c>
      <c r="AL4" s="11">
        <v>1</v>
      </c>
      <c r="AM4" s="11">
        <v>0</v>
      </c>
      <c r="AN4" s="11">
        <v>0</v>
      </c>
      <c r="AO4" s="9">
        <v>0</v>
      </c>
      <c r="AP4" s="11" t="s">
        <v>5318</v>
      </c>
      <c r="AQ4" s="11" t="s">
        <v>5318</v>
      </c>
    </row>
    <row r="5" spans="1:43" ht="63" customHeight="1" x14ac:dyDescent="0.2">
      <c r="A5" s="10">
        <v>56</v>
      </c>
      <c r="B5" s="11" t="s">
        <v>6524</v>
      </c>
      <c r="C5" s="11" t="s">
        <v>24</v>
      </c>
      <c r="D5" s="11">
        <v>2014</v>
      </c>
      <c r="E5" s="11" t="s">
        <v>5318</v>
      </c>
      <c r="F5" s="11">
        <v>38</v>
      </c>
      <c r="G5" s="11">
        <v>8</v>
      </c>
      <c r="H5" s="11" t="s">
        <v>6525</v>
      </c>
      <c r="I5" s="11" t="s">
        <v>6516</v>
      </c>
      <c r="J5" s="11" t="s">
        <v>6526</v>
      </c>
      <c r="K5" s="11" t="s">
        <v>29</v>
      </c>
      <c r="L5" s="11" t="s">
        <v>5044</v>
      </c>
      <c r="M5" s="11">
        <v>0</v>
      </c>
      <c r="N5" s="9" t="s">
        <v>5044</v>
      </c>
      <c r="O5" s="9" t="s">
        <v>5044</v>
      </c>
      <c r="P5" s="11">
        <v>0</v>
      </c>
      <c r="Q5" s="11">
        <v>0</v>
      </c>
      <c r="R5" s="11">
        <v>0</v>
      </c>
      <c r="S5" s="11">
        <v>1</v>
      </c>
      <c r="T5" s="11">
        <v>4</v>
      </c>
      <c r="U5" s="11">
        <v>68</v>
      </c>
      <c r="V5" s="11">
        <v>1</v>
      </c>
      <c r="W5" s="11">
        <v>1</v>
      </c>
      <c r="X5" s="11">
        <v>0</v>
      </c>
      <c r="Y5" s="11">
        <v>0</v>
      </c>
      <c r="Z5" s="11">
        <v>0</v>
      </c>
      <c r="AA5" s="11">
        <v>0</v>
      </c>
      <c r="AB5" s="11">
        <v>1</v>
      </c>
      <c r="AC5" s="11">
        <v>1</v>
      </c>
      <c r="AD5" s="11">
        <v>2</v>
      </c>
      <c r="AE5" s="11">
        <v>1</v>
      </c>
      <c r="AF5" s="11">
        <v>2</v>
      </c>
      <c r="AG5" s="11">
        <v>1</v>
      </c>
      <c r="AH5" s="11">
        <v>0</v>
      </c>
      <c r="AI5" s="11">
        <v>0</v>
      </c>
      <c r="AJ5" s="11" t="s">
        <v>5044</v>
      </c>
      <c r="AK5" s="11" t="s">
        <v>5318</v>
      </c>
      <c r="AL5" s="11">
        <v>0</v>
      </c>
      <c r="AM5" s="11">
        <v>0</v>
      </c>
      <c r="AN5" s="11">
        <v>0</v>
      </c>
      <c r="AO5" s="9">
        <v>0</v>
      </c>
      <c r="AP5" s="11" t="s">
        <v>5318</v>
      </c>
      <c r="AQ5" s="11" t="s">
        <v>5318</v>
      </c>
    </row>
    <row r="6" spans="1:43" ht="63" customHeight="1" x14ac:dyDescent="0.2">
      <c r="A6" s="10">
        <v>57</v>
      </c>
      <c r="B6" s="11" t="s">
        <v>6527</v>
      </c>
      <c r="C6" s="11" t="s">
        <v>24</v>
      </c>
      <c r="D6" s="11">
        <v>2013</v>
      </c>
      <c r="E6" s="11" t="s">
        <v>5318</v>
      </c>
      <c r="F6" s="11">
        <v>37</v>
      </c>
      <c r="G6" s="11">
        <v>2</v>
      </c>
      <c r="H6" s="11" t="s">
        <v>6525</v>
      </c>
      <c r="I6" s="11" t="s">
        <v>6516</v>
      </c>
      <c r="J6" s="11" t="s">
        <v>6528</v>
      </c>
      <c r="K6" s="11" t="s">
        <v>33</v>
      </c>
      <c r="L6" s="11" t="s">
        <v>5044</v>
      </c>
      <c r="M6" s="11">
        <v>0</v>
      </c>
      <c r="N6" s="9" t="s">
        <v>5044</v>
      </c>
      <c r="O6" s="9" t="s">
        <v>5044</v>
      </c>
      <c r="P6" s="11">
        <v>0</v>
      </c>
      <c r="Q6" s="11">
        <v>0</v>
      </c>
      <c r="R6" s="11">
        <v>0</v>
      </c>
      <c r="S6" s="11">
        <v>1</v>
      </c>
      <c r="T6" s="11">
        <v>4</v>
      </c>
      <c r="U6" s="11">
        <v>76</v>
      </c>
      <c r="V6" s="11">
        <v>1</v>
      </c>
      <c r="W6" s="11">
        <v>1</v>
      </c>
      <c r="X6" s="11">
        <v>0</v>
      </c>
      <c r="Y6" s="11">
        <v>0</v>
      </c>
      <c r="Z6" s="11">
        <v>0</v>
      </c>
      <c r="AA6" s="11">
        <v>0</v>
      </c>
      <c r="AB6" s="11">
        <v>1</v>
      </c>
      <c r="AC6" s="11">
        <v>1</v>
      </c>
      <c r="AD6" s="11">
        <v>2</v>
      </c>
      <c r="AE6" s="11">
        <v>1</v>
      </c>
      <c r="AF6" s="11">
        <v>2</v>
      </c>
      <c r="AG6" s="11">
        <v>1</v>
      </c>
      <c r="AH6" s="11">
        <v>0</v>
      </c>
      <c r="AI6" s="11">
        <v>0</v>
      </c>
      <c r="AJ6" s="11" t="s">
        <v>5044</v>
      </c>
      <c r="AK6" s="11" t="s">
        <v>5318</v>
      </c>
      <c r="AL6" s="11">
        <v>0</v>
      </c>
      <c r="AM6" s="11">
        <v>0</v>
      </c>
      <c r="AN6" s="11">
        <v>0</v>
      </c>
      <c r="AO6" s="9">
        <v>0</v>
      </c>
      <c r="AP6" s="11" t="s">
        <v>5318</v>
      </c>
      <c r="AQ6" s="11" t="s">
        <v>5318</v>
      </c>
    </row>
    <row r="7" spans="1:43" ht="63" customHeight="1" x14ac:dyDescent="0.2">
      <c r="A7" s="10">
        <v>66</v>
      </c>
      <c r="B7" s="11" t="s">
        <v>6529</v>
      </c>
      <c r="C7" s="11" t="s">
        <v>34</v>
      </c>
      <c r="D7" s="11">
        <v>2012</v>
      </c>
      <c r="E7" s="11" t="s">
        <v>5318</v>
      </c>
      <c r="F7" s="11">
        <v>99</v>
      </c>
      <c r="G7" s="11">
        <v>6</v>
      </c>
      <c r="H7" s="11" t="s">
        <v>6530</v>
      </c>
      <c r="I7" s="11" t="s">
        <v>6516</v>
      </c>
      <c r="J7" s="11" t="s">
        <v>6531</v>
      </c>
      <c r="K7" s="11" t="s">
        <v>39</v>
      </c>
      <c r="L7" s="11" t="s">
        <v>5052</v>
      </c>
      <c r="M7" s="11">
        <v>0</v>
      </c>
      <c r="N7" s="9" t="s">
        <v>5044</v>
      </c>
      <c r="O7" s="9" t="s">
        <v>5044</v>
      </c>
      <c r="P7" s="11">
        <v>0</v>
      </c>
      <c r="Q7" s="11">
        <v>0</v>
      </c>
      <c r="R7" s="11">
        <v>0</v>
      </c>
      <c r="S7" s="11">
        <v>1</v>
      </c>
      <c r="T7" s="11">
        <v>4</v>
      </c>
      <c r="U7" s="11">
        <v>192</v>
      </c>
      <c r="V7" s="11">
        <v>0</v>
      </c>
      <c r="W7" s="11">
        <v>1</v>
      </c>
      <c r="X7" s="11">
        <v>0</v>
      </c>
      <c r="Y7" s="11">
        <v>0</v>
      </c>
      <c r="Z7" s="11">
        <v>0</v>
      </c>
      <c r="AA7" s="11">
        <v>0</v>
      </c>
      <c r="AB7" s="11">
        <v>1</v>
      </c>
      <c r="AC7" s="11">
        <v>1</v>
      </c>
      <c r="AD7" s="11" t="s">
        <v>5044</v>
      </c>
      <c r="AE7" s="11" t="s">
        <v>5044</v>
      </c>
      <c r="AF7" s="11" t="s">
        <v>5044</v>
      </c>
      <c r="AG7" s="11">
        <v>2</v>
      </c>
      <c r="AH7" s="11">
        <v>2</v>
      </c>
      <c r="AI7" s="11">
        <v>2</v>
      </c>
      <c r="AJ7" s="11" t="s">
        <v>5044</v>
      </c>
      <c r="AK7" s="11" t="s">
        <v>5318</v>
      </c>
      <c r="AL7" s="11">
        <v>1</v>
      </c>
      <c r="AM7" s="11">
        <v>0</v>
      </c>
      <c r="AN7" s="11" t="s">
        <v>5318</v>
      </c>
      <c r="AO7" s="11">
        <v>2</v>
      </c>
      <c r="AP7" s="11" t="s">
        <v>5318</v>
      </c>
      <c r="AQ7" s="11" t="s">
        <v>5318</v>
      </c>
    </row>
    <row r="8" spans="1:43" ht="63" customHeight="1" x14ac:dyDescent="0.2">
      <c r="A8" s="10">
        <v>71</v>
      </c>
      <c r="B8" s="11" t="s">
        <v>6532</v>
      </c>
      <c r="C8" s="11" t="s">
        <v>40</v>
      </c>
      <c r="D8" s="11">
        <v>2021</v>
      </c>
      <c r="E8" s="11" t="s">
        <v>5318</v>
      </c>
      <c r="F8" s="11">
        <v>273</v>
      </c>
      <c r="G8" s="11">
        <v>6</v>
      </c>
      <c r="H8" s="11" t="s">
        <v>6533</v>
      </c>
      <c r="I8" s="11" t="s">
        <v>6516</v>
      </c>
      <c r="J8" s="11" t="s">
        <v>6534</v>
      </c>
      <c r="K8" s="11" t="s">
        <v>44</v>
      </c>
      <c r="L8" s="11" t="s">
        <v>5053</v>
      </c>
      <c r="M8" s="11">
        <v>0</v>
      </c>
      <c r="N8" s="9" t="s">
        <v>5044</v>
      </c>
      <c r="O8" s="9" t="s">
        <v>5044</v>
      </c>
      <c r="P8" s="11">
        <v>0</v>
      </c>
      <c r="Q8" s="11">
        <v>0</v>
      </c>
      <c r="R8" s="11">
        <v>0</v>
      </c>
      <c r="S8" s="11">
        <v>1</v>
      </c>
      <c r="T8" s="11">
        <v>4</v>
      </c>
      <c r="U8" s="11">
        <v>688</v>
      </c>
      <c r="V8" s="11">
        <v>0</v>
      </c>
      <c r="W8" s="11">
        <v>1</v>
      </c>
      <c r="X8" s="11">
        <v>0</v>
      </c>
      <c r="Y8" s="11">
        <v>0</v>
      </c>
      <c r="Z8" s="11">
        <v>0</v>
      </c>
      <c r="AA8" s="11">
        <v>0</v>
      </c>
      <c r="AB8" s="11">
        <v>1</v>
      </c>
      <c r="AC8" s="11">
        <v>1</v>
      </c>
      <c r="AD8" s="11" t="s">
        <v>5044</v>
      </c>
      <c r="AE8" s="11" t="s">
        <v>5044</v>
      </c>
      <c r="AF8" s="11" t="s">
        <v>5044</v>
      </c>
      <c r="AG8" s="11">
        <v>2</v>
      </c>
      <c r="AH8" s="11">
        <v>1</v>
      </c>
      <c r="AI8" s="11">
        <v>1</v>
      </c>
      <c r="AJ8" s="11" t="s">
        <v>5044</v>
      </c>
      <c r="AK8" s="11" t="s">
        <v>5318</v>
      </c>
      <c r="AL8" s="11">
        <v>1</v>
      </c>
      <c r="AM8" s="11">
        <v>0</v>
      </c>
      <c r="AN8" s="11" t="s">
        <v>5318</v>
      </c>
      <c r="AO8" s="11">
        <v>1</v>
      </c>
      <c r="AP8" s="11" t="s">
        <v>5318</v>
      </c>
      <c r="AQ8" s="11" t="s">
        <v>5318</v>
      </c>
    </row>
    <row r="9" spans="1:43" ht="63" customHeight="1" x14ac:dyDescent="0.2">
      <c r="A9" s="10">
        <v>82</v>
      </c>
      <c r="B9" s="11" t="s">
        <v>6540</v>
      </c>
      <c r="C9" s="11" t="s">
        <v>55</v>
      </c>
      <c r="D9" s="11">
        <v>2016</v>
      </c>
      <c r="E9" s="11" t="s">
        <v>5318</v>
      </c>
      <c r="F9" s="11">
        <v>95</v>
      </c>
      <c r="G9" s="11">
        <v>27</v>
      </c>
      <c r="H9" s="11" t="s">
        <v>6541</v>
      </c>
      <c r="I9" s="11" t="s">
        <v>6516</v>
      </c>
      <c r="J9" s="11" t="s">
        <v>6542</v>
      </c>
      <c r="K9" s="11" t="s">
        <v>60</v>
      </c>
      <c r="L9" s="12" t="s">
        <v>5057</v>
      </c>
      <c r="M9" s="11">
        <v>0</v>
      </c>
      <c r="N9" s="9" t="s">
        <v>5044</v>
      </c>
      <c r="O9" s="9" t="s">
        <v>5044</v>
      </c>
      <c r="P9" s="11">
        <v>0</v>
      </c>
      <c r="Q9" s="11">
        <v>0</v>
      </c>
      <c r="R9" s="11">
        <v>0</v>
      </c>
      <c r="S9" s="11">
        <v>1</v>
      </c>
      <c r="T9" s="11">
        <v>4</v>
      </c>
      <c r="U9" s="11">
        <v>101</v>
      </c>
      <c r="V9" s="11">
        <v>0</v>
      </c>
      <c r="W9" s="11">
        <v>1</v>
      </c>
      <c r="X9" s="11">
        <v>0</v>
      </c>
      <c r="Y9" s="11">
        <v>0</v>
      </c>
      <c r="Z9" s="11">
        <v>0</v>
      </c>
      <c r="AA9" s="11">
        <v>0</v>
      </c>
      <c r="AB9" s="11">
        <v>1</v>
      </c>
      <c r="AC9" s="11">
        <v>1</v>
      </c>
      <c r="AD9" s="11" t="s">
        <v>5044</v>
      </c>
      <c r="AE9" s="11" t="s">
        <v>5044</v>
      </c>
      <c r="AF9" s="11" t="s">
        <v>5044</v>
      </c>
      <c r="AG9" s="11">
        <v>2</v>
      </c>
      <c r="AH9" s="11">
        <v>2</v>
      </c>
      <c r="AI9" s="11">
        <v>2</v>
      </c>
      <c r="AJ9" s="11" t="s">
        <v>5044</v>
      </c>
      <c r="AK9" s="11" t="s">
        <v>5318</v>
      </c>
      <c r="AL9" s="11">
        <v>1</v>
      </c>
      <c r="AM9" s="11">
        <v>0</v>
      </c>
      <c r="AN9" s="11" t="s">
        <v>5318</v>
      </c>
      <c r="AO9" s="11">
        <v>2</v>
      </c>
      <c r="AP9" s="11" t="s">
        <v>5318</v>
      </c>
      <c r="AQ9" s="11" t="s">
        <v>5318</v>
      </c>
    </row>
    <row r="10" spans="1:43" ht="63" customHeight="1" x14ac:dyDescent="0.2">
      <c r="A10" s="10">
        <v>111</v>
      </c>
      <c r="B10" s="11" t="s">
        <v>6543</v>
      </c>
      <c r="C10" s="11" t="s">
        <v>61</v>
      </c>
      <c r="D10" s="11">
        <v>2021</v>
      </c>
      <c r="E10" s="11" t="s">
        <v>5318</v>
      </c>
      <c r="F10" s="11">
        <v>131</v>
      </c>
      <c r="G10" s="11">
        <v>1</v>
      </c>
      <c r="H10" s="11" t="s">
        <v>6544</v>
      </c>
      <c r="I10" s="11" t="s">
        <v>6516</v>
      </c>
      <c r="J10" s="11" t="s">
        <v>6545</v>
      </c>
      <c r="K10" s="11" t="s">
        <v>63</v>
      </c>
      <c r="L10" s="11" t="s">
        <v>5064</v>
      </c>
      <c r="M10" s="11">
        <v>0</v>
      </c>
      <c r="N10" s="9" t="s">
        <v>5044</v>
      </c>
      <c r="O10" s="9" t="s">
        <v>5044</v>
      </c>
      <c r="P10" s="11">
        <v>0</v>
      </c>
      <c r="Q10" s="11">
        <v>0</v>
      </c>
      <c r="R10" s="11">
        <v>0</v>
      </c>
      <c r="S10" s="11">
        <v>9</v>
      </c>
      <c r="T10" s="11">
        <v>4</v>
      </c>
      <c r="U10" s="11">
        <v>220</v>
      </c>
      <c r="V10" s="11">
        <v>1</v>
      </c>
      <c r="W10" s="11">
        <v>1</v>
      </c>
      <c r="X10" s="11">
        <v>0</v>
      </c>
      <c r="Y10" s="11">
        <v>0</v>
      </c>
      <c r="Z10" s="11">
        <v>0</v>
      </c>
      <c r="AA10" s="11">
        <v>0</v>
      </c>
      <c r="AB10" s="11">
        <v>1</v>
      </c>
      <c r="AC10" s="11">
        <v>1</v>
      </c>
      <c r="AD10" s="11">
        <v>2</v>
      </c>
      <c r="AE10" s="11">
        <v>1</v>
      </c>
      <c r="AF10" s="11">
        <v>1</v>
      </c>
      <c r="AG10" s="11">
        <v>1</v>
      </c>
      <c r="AH10" s="11">
        <v>0</v>
      </c>
      <c r="AI10" s="11">
        <v>0</v>
      </c>
      <c r="AJ10" s="11" t="s">
        <v>5044</v>
      </c>
      <c r="AK10" s="11" t="s">
        <v>5318</v>
      </c>
      <c r="AL10" s="11">
        <v>1</v>
      </c>
      <c r="AM10" s="11">
        <v>0</v>
      </c>
      <c r="AN10" s="11" t="s">
        <v>5318</v>
      </c>
      <c r="AO10" s="9">
        <v>0</v>
      </c>
      <c r="AP10" s="11" t="s">
        <v>5318</v>
      </c>
      <c r="AQ10" s="11" t="s">
        <v>5318</v>
      </c>
    </row>
    <row r="11" spans="1:43" ht="63" customHeight="1" x14ac:dyDescent="0.2">
      <c r="A11" s="10">
        <v>134</v>
      </c>
      <c r="B11" s="11" t="s">
        <v>6549</v>
      </c>
      <c r="C11" s="11" t="s">
        <v>68</v>
      </c>
      <c r="D11" s="11">
        <v>2021</v>
      </c>
      <c r="E11" s="11" t="s">
        <v>5318</v>
      </c>
      <c r="F11" s="11">
        <v>27</v>
      </c>
      <c r="G11" s="11">
        <v>5</v>
      </c>
      <c r="H11" s="11" t="s">
        <v>6550</v>
      </c>
      <c r="I11" s="11" t="s">
        <v>6516</v>
      </c>
      <c r="J11" s="11" t="s">
        <v>6551</v>
      </c>
      <c r="K11" s="11" t="s">
        <v>69</v>
      </c>
      <c r="L11" s="11" t="s">
        <v>5044</v>
      </c>
      <c r="M11" s="11">
        <v>0</v>
      </c>
      <c r="N11" s="9" t="s">
        <v>5044</v>
      </c>
      <c r="O11" s="9" t="s">
        <v>5044</v>
      </c>
      <c r="P11" s="11">
        <v>0</v>
      </c>
      <c r="Q11" s="11">
        <v>0</v>
      </c>
      <c r="R11" s="11">
        <v>0</v>
      </c>
      <c r="S11" s="11">
        <v>1</v>
      </c>
      <c r="T11" s="11">
        <v>2</v>
      </c>
      <c r="U11" s="11">
        <v>87</v>
      </c>
      <c r="V11" s="11">
        <v>0</v>
      </c>
      <c r="W11" s="11">
        <v>1</v>
      </c>
      <c r="X11" s="11">
        <v>0</v>
      </c>
      <c r="Y11" s="11">
        <v>0</v>
      </c>
      <c r="Z11" s="11">
        <v>0</v>
      </c>
      <c r="AA11" s="11">
        <v>0</v>
      </c>
      <c r="AB11" s="11">
        <v>1</v>
      </c>
      <c r="AC11" s="11">
        <v>1</v>
      </c>
      <c r="AD11" s="11" t="s">
        <v>5044</v>
      </c>
      <c r="AE11" s="11" t="s">
        <v>5044</v>
      </c>
      <c r="AF11" s="11" t="s">
        <v>5044</v>
      </c>
      <c r="AG11" s="11">
        <v>1</v>
      </c>
      <c r="AH11" s="11">
        <v>0</v>
      </c>
      <c r="AI11" s="11">
        <v>0</v>
      </c>
      <c r="AJ11" s="11" t="s">
        <v>5044</v>
      </c>
      <c r="AK11" s="11" t="s">
        <v>5318</v>
      </c>
      <c r="AL11" s="11">
        <v>0</v>
      </c>
      <c r="AM11" s="11">
        <v>0</v>
      </c>
      <c r="AN11" s="11" t="s">
        <v>5318</v>
      </c>
      <c r="AO11" s="9">
        <v>0</v>
      </c>
      <c r="AP11" s="11" t="s">
        <v>5318</v>
      </c>
      <c r="AQ11" s="11" t="s">
        <v>5318</v>
      </c>
    </row>
    <row r="12" spans="1:43" ht="63" customHeight="1" x14ac:dyDescent="0.2">
      <c r="A12" s="10">
        <v>145</v>
      </c>
      <c r="B12" s="11" t="s">
        <v>6552</v>
      </c>
      <c r="C12" s="11" t="s">
        <v>70</v>
      </c>
      <c r="D12" s="11">
        <v>2018</v>
      </c>
      <c r="E12" s="11" t="s">
        <v>5318</v>
      </c>
      <c r="F12" s="11">
        <v>163</v>
      </c>
      <c r="G12" s="11">
        <v>2</v>
      </c>
      <c r="H12" s="11" t="s">
        <v>6553</v>
      </c>
      <c r="I12" s="11" t="s">
        <v>6516</v>
      </c>
      <c r="J12" s="11" t="s">
        <v>6554</v>
      </c>
      <c r="K12" s="11" t="s">
        <v>72</v>
      </c>
      <c r="L12" s="11" t="s">
        <v>5066</v>
      </c>
      <c r="M12" s="11">
        <v>0</v>
      </c>
      <c r="N12" s="9" t="s">
        <v>5044</v>
      </c>
      <c r="O12" s="9" t="s">
        <v>5044</v>
      </c>
      <c r="P12" s="11">
        <v>0</v>
      </c>
      <c r="Q12" s="11">
        <v>0</v>
      </c>
      <c r="R12" s="11">
        <v>0</v>
      </c>
      <c r="S12" s="11">
        <v>1</v>
      </c>
      <c r="T12" s="11">
        <v>4</v>
      </c>
      <c r="U12" s="11">
        <v>438</v>
      </c>
      <c r="V12" s="11">
        <v>0</v>
      </c>
      <c r="W12" s="11">
        <v>1</v>
      </c>
      <c r="X12" s="11">
        <v>0</v>
      </c>
      <c r="Y12" s="11">
        <v>0</v>
      </c>
      <c r="Z12" s="11">
        <v>0</v>
      </c>
      <c r="AA12" s="11">
        <v>0</v>
      </c>
      <c r="AB12" s="11">
        <v>1</v>
      </c>
      <c r="AC12" s="11">
        <v>1</v>
      </c>
      <c r="AD12" s="11" t="s">
        <v>5044</v>
      </c>
      <c r="AE12" s="11" t="s">
        <v>5044</v>
      </c>
      <c r="AF12" s="11" t="s">
        <v>5044</v>
      </c>
      <c r="AG12" s="11">
        <v>1</v>
      </c>
      <c r="AH12" s="11">
        <v>0</v>
      </c>
      <c r="AI12" s="11">
        <v>0</v>
      </c>
      <c r="AJ12" s="11" t="s">
        <v>5044</v>
      </c>
      <c r="AK12" s="11" t="s">
        <v>5318</v>
      </c>
      <c r="AL12" s="11">
        <v>0</v>
      </c>
      <c r="AM12" s="11">
        <v>0</v>
      </c>
      <c r="AN12" s="11" t="s">
        <v>5318</v>
      </c>
      <c r="AO12" s="9">
        <v>0</v>
      </c>
      <c r="AP12" s="11" t="s">
        <v>5318</v>
      </c>
      <c r="AQ12" s="11" t="s">
        <v>5318</v>
      </c>
    </row>
    <row r="13" spans="1:43" ht="63" customHeight="1" x14ac:dyDescent="0.2">
      <c r="A13" s="10">
        <v>157</v>
      </c>
      <c r="B13" s="11" t="s">
        <v>6555</v>
      </c>
      <c r="C13" s="11" t="s">
        <v>73</v>
      </c>
      <c r="D13" s="11">
        <v>2023</v>
      </c>
      <c r="E13" s="11" t="s">
        <v>5318</v>
      </c>
      <c r="F13" s="11">
        <v>131</v>
      </c>
      <c r="G13" s="11" t="s">
        <v>5318</v>
      </c>
      <c r="H13" s="11" t="s">
        <v>6556</v>
      </c>
      <c r="I13" s="11" t="s">
        <v>6516</v>
      </c>
      <c r="J13" s="11" t="s">
        <v>6557</v>
      </c>
      <c r="K13" s="11" t="s">
        <v>76</v>
      </c>
      <c r="L13" s="11" t="s">
        <v>5067</v>
      </c>
      <c r="M13" s="11">
        <v>0</v>
      </c>
      <c r="N13" s="9" t="s">
        <v>5044</v>
      </c>
      <c r="O13" s="9" t="s">
        <v>5044</v>
      </c>
      <c r="P13" s="11">
        <v>0</v>
      </c>
      <c r="Q13" s="11">
        <v>0</v>
      </c>
      <c r="R13" s="11">
        <v>0</v>
      </c>
      <c r="S13" s="11">
        <v>1</v>
      </c>
      <c r="T13" s="11">
        <v>4</v>
      </c>
      <c r="U13" s="11">
        <v>340</v>
      </c>
      <c r="V13" s="11">
        <v>0</v>
      </c>
      <c r="W13" s="11">
        <v>1</v>
      </c>
      <c r="X13" s="11">
        <v>0</v>
      </c>
      <c r="Y13" s="11">
        <v>0</v>
      </c>
      <c r="Z13" s="11">
        <v>0</v>
      </c>
      <c r="AA13" s="11">
        <v>0</v>
      </c>
      <c r="AB13" s="11">
        <v>1</v>
      </c>
      <c r="AC13" s="11">
        <v>1</v>
      </c>
      <c r="AD13" s="11" t="s">
        <v>5044</v>
      </c>
      <c r="AE13" s="11" t="s">
        <v>5044</v>
      </c>
      <c r="AF13" s="11" t="s">
        <v>5044</v>
      </c>
      <c r="AG13" s="11">
        <v>1</v>
      </c>
      <c r="AH13" s="11">
        <v>0</v>
      </c>
      <c r="AI13" s="11">
        <v>0</v>
      </c>
      <c r="AJ13" s="11" t="s">
        <v>5044</v>
      </c>
      <c r="AK13" s="11" t="s">
        <v>5318</v>
      </c>
      <c r="AL13" s="11">
        <v>0</v>
      </c>
      <c r="AM13" s="11">
        <v>0</v>
      </c>
      <c r="AN13" s="11" t="s">
        <v>5318</v>
      </c>
      <c r="AO13" s="9">
        <v>0</v>
      </c>
      <c r="AP13" s="11" t="s">
        <v>5318</v>
      </c>
      <c r="AQ13" s="11" t="s">
        <v>5318</v>
      </c>
    </row>
    <row r="14" spans="1:43" ht="63" customHeight="1" x14ac:dyDescent="0.2">
      <c r="A14" s="10">
        <v>158</v>
      </c>
      <c r="B14" s="11" t="s">
        <v>6558</v>
      </c>
      <c r="C14" s="11" t="s">
        <v>77</v>
      </c>
      <c r="D14" s="11">
        <v>2018</v>
      </c>
      <c r="E14" s="11" t="s">
        <v>5318</v>
      </c>
      <c r="F14" s="11">
        <v>131</v>
      </c>
      <c r="G14" s="11">
        <v>4</v>
      </c>
      <c r="H14" s="11" t="s">
        <v>6559</v>
      </c>
      <c r="I14" s="11" t="s">
        <v>6516</v>
      </c>
      <c r="J14" s="11" t="s">
        <v>6560</v>
      </c>
      <c r="K14" s="11" t="s">
        <v>78</v>
      </c>
      <c r="L14" s="11" t="s">
        <v>5044</v>
      </c>
      <c r="M14" s="11">
        <v>0</v>
      </c>
      <c r="N14" s="9" t="s">
        <v>5044</v>
      </c>
      <c r="O14" s="9" t="s">
        <v>5044</v>
      </c>
      <c r="P14" s="11">
        <v>0</v>
      </c>
      <c r="Q14" s="11">
        <v>0</v>
      </c>
      <c r="R14" s="11">
        <v>0</v>
      </c>
      <c r="S14" s="11">
        <v>1</v>
      </c>
      <c r="T14" s="11">
        <v>4</v>
      </c>
      <c r="U14" s="11">
        <v>114</v>
      </c>
      <c r="V14" s="11">
        <v>0</v>
      </c>
      <c r="W14" s="11">
        <v>1</v>
      </c>
      <c r="X14" s="11">
        <v>0</v>
      </c>
      <c r="Y14" s="11">
        <v>0</v>
      </c>
      <c r="Z14" s="11">
        <v>0</v>
      </c>
      <c r="AA14" s="11">
        <v>0</v>
      </c>
      <c r="AB14" s="11">
        <v>1</v>
      </c>
      <c r="AC14" s="11">
        <v>1</v>
      </c>
      <c r="AD14" s="11" t="s">
        <v>5044</v>
      </c>
      <c r="AE14" s="11" t="s">
        <v>5044</v>
      </c>
      <c r="AF14" s="11" t="s">
        <v>5044</v>
      </c>
      <c r="AG14" s="11">
        <v>1</v>
      </c>
      <c r="AH14" s="11">
        <v>0</v>
      </c>
      <c r="AI14" s="11">
        <v>0</v>
      </c>
      <c r="AJ14" s="11" t="s">
        <v>5044</v>
      </c>
      <c r="AK14" s="11" t="s">
        <v>5318</v>
      </c>
      <c r="AL14" s="11">
        <v>1</v>
      </c>
      <c r="AM14" s="11">
        <v>0</v>
      </c>
      <c r="AN14" s="11" t="s">
        <v>5318</v>
      </c>
      <c r="AO14" s="9">
        <v>0</v>
      </c>
      <c r="AP14" s="11" t="s">
        <v>5318</v>
      </c>
      <c r="AQ14" s="11" t="s">
        <v>5318</v>
      </c>
    </row>
    <row r="15" spans="1:43" ht="63" customHeight="1" x14ac:dyDescent="0.2">
      <c r="A15" s="10">
        <v>164</v>
      </c>
      <c r="B15" s="11" t="s">
        <v>6561</v>
      </c>
      <c r="C15" s="11" t="s">
        <v>79</v>
      </c>
      <c r="D15" s="11">
        <v>2023</v>
      </c>
      <c r="E15" s="11" t="s">
        <v>5318</v>
      </c>
      <c r="F15" s="11">
        <v>102</v>
      </c>
      <c r="G15" s="11" t="s">
        <v>5318</v>
      </c>
      <c r="H15" s="11" t="s">
        <v>6562</v>
      </c>
      <c r="I15" s="11" t="s">
        <v>6516</v>
      </c>
      <c r="J15" s="11" t="s">
        <v>6563</v>
      </c>
      <c r="K15" s="11" t="s">
        <v>81</v>
      </c>
      <c r="L15" s="11" t="s">
        <v>5068</v>
      </c>
      <c r="M15" s="11">
        <v>0</v>
      </c>
      <c r="N15" s="9" t="s">
        <v>5044</v>
      </c>
      <c r="O15" s="9" t="s">
        <v>5044</v>
      </c>
      <c r="P15" s="11">
        <v>0</v>
      </c>
      <c r="Q15" s="11">
        <v>0</v>
      </c>
      <c r="R15" s="11">
        <v>0</v>
      </c>
      <c r="S15" s="11">
        <v>9</v>
      </c>
      <c r="T15" s="11">
        <v>4</v>
      </c>
      <c r="U15" s="11">
        <v>118</v>
      </c>
      <c r="V15" s="11">
        <v>0</v>
      </c>
      <c r="W15" s="11">
        <v>1</v>
      </c>
      <c r="X15" s="11">
        <v>0</v>
      </c>
      <c r="Y15" s="11">
        <v>0</v>
      </c>
      <c r="Z15" s="11">
        <v>0</v>
      </c>
      <c r="AA15" s="11">
        <v>0</v>
      </c>
      <c r="AB15" s="11">
        <v>1</v>
      </c>
      <c r="AC15" s="11">
        <v>1</v>
      </c>
      <c r="AD15" s="11" t="s">
        <v>5044</v>
      </c>
      <c r="AE15" s="11" t="s">
        <v>5044</v>
      </c>
      <c r="AF15" s="11" t="s">
        <v>5044</v>
      </c>
      <c r="AG15" s="11">
        <v>2</v>
      </c>
      <c r="AH15" s="11">
        <v>1</v>
      </c>
      <c r="AI15" s="11">
        <v>1</v>
      </c>
      <c r="AJ15" s="11" t="s">
        <v>5044</v>
      </c>
      <c r="AK15" s="11" t="s">
        <v>5318</v>
      </c>
      <c r="AL15" s="11">
        <v>1</v>
      </c>
      <c r="AM15" s="11">
        <v>0</v>
      </c>
      <c r="AN15" s="11" t="s">
        <v>5318</v>
      </c>
      <c r="AO15" s="11">
        <v>1</v>
      </c>
      <c r="AP15" s="11" t="s">
        <v>5318</v>
      </c>
      <c r="AQ15" s="11" t="s">
        <v>5318</v>
      </c>
    </row>
    <row r="16" spans="1:43" ht="63" customHeight="1" x14ac:dyDescent="0.2">
      <c r="A16" s="10">
        <v>165</v>
      </c>
      <c r="B16" s="11" t="s">
        <v>6564</v>
      </c>
      <c r="C16" s="11" t="s">
        <v>82</v>
      </c>
      <c r="D16" s="11">
        <v>2023</v>
      </c>
      <c r="E16" s="11" t="s">
        <v>5318</v>
      </c>
      <c r="F16" s="11">
        <v>32</v>
      </c>
      <c r="G16" s="11">
        <v>1</v>
      </c>
      <c r="H16" s="11" t="s">
        <v>6565</v>
      </c>
      <c r="I16" s="11" t="s">
        <v>6516</v>
      </c>
      <c r="J16" s="11" t="s">
        <v>6566</v>
      </c>
      <c r="K16" s="11" t="s">
        <v>84</v>
      </c>
      <c r="L16" s="12" t="s">
        <v>5069</v>
      </c>
      <c r="M16" s="11">
        <v>0</v>
      </c>
      <c r="N16" s="9" t="s">
        <v>5044</v>
      </c>
      <c r="O16" s="9" t="s">
        <v>5044</v>
      </c>
      <c r="P16" s="11">
        <v>0</v>
      </c>
      <c r="Q16" s="11">
        <v>0</v>
      </c>
      <c r="R16" s="11">
        <v>0</v>
      </c>
      <c r="S16" s="11">
        <v>9</v>
      </c>
      <c r="T16" s="11">
        <v>4</v>
      </c>
      <c r="U16" s="11">
        <v>60</v>
      </c>
      <c r="V16" s="11">
        <v>0</v>
      </c>
      <c r="W16" s="11">
        <v>1</v>
      </c>
      <c r="X16" s="11">
        <v>0</v>
      </c>
      <c r="Y16" s="11">
        <v>0</v>
      </c>
      <c r="Z16" s="11">
        <v>0</v>
      </c>
      <c r="AA16" s="11">
        <v>0</v>
      </c>
      <c r="AB16" s="11">
        <v>1</v>
      </c>
      <c r="AC16" s="11">
        <v>1</v>
      </c>
      <c r="AD16" s="11" t="s">
        <v>5044</v>
      </c>
      <c r="AE16" s="11" t="s">
        <v>5044</v>
      </c>
      <c r="AF16" s="11" t="s">
        <v>5044</v>
      </c>
      <c r="AG16" s="11">
        <v>2</v>
      </c>
      <c r="AH16" s="11">
        <v>1</v>
      </c>
      <c r="AI16" s="11">
        <v>1</v>
      </c>
      <c r="AJ16" s="11" t="s">
        <v>5044</v>
      </c>
      <c r="AK16" s="11" t="s">
        <v>5318</v>
      </c>
      <c r="AL16" s="11">
        <v>1</v>
      </c>
      <c r="AM16" s="11">
        <v>0</v>
      </c>
      <c r="AN16" s="11" t="s">
        <v>5318</v>
      </c>
      <c r="AO16" s="11">
        <v>1</v>
      </c>
      <c r="AP16" s="11" t="s">
        <v>5318</v>
      </c>
      <c r="AQ16" s="11" t="s">
        <v>5318</v>
      </c>
    </row>
    <row r="17" spans="1:43" ht="63" customHeight="1" x14ac:dyDescent="0.2">
      <c r="A17" s="10">
        <v>166</v>
      </c>
      <c r="B17" s="22" t="s">
        <v>6567</v>
      </c>
      <c r="C17" s="11" t="s">
        <v>85</v>
      </c>
      <c r="D17" s="11">
        <v>2016</v>
      </c>
      <c r="E17" s="11" t="s">
        <v>5318</v>
      </c>
      <c r="F17" s="11">
        <v>27</v>
      </c>
      <c r="G17" s="11">
        <v>1</v>
      </c>
      <c r="H17" s="11" t="s">
        <v>6568</v>
      </c>
      <c r="I17" s="11" t="s">
        <v>6516</v>
      </c>
      <c r="J17" s="11" t="s">
        <v>6569</v>
      </c>
      <c r="K17" s="11" t="s">
        <v>87</v>
      </c>
      <c r="L17" s="11" t="s">
        <v>5044</v>
      </c>
      <c r="M17" s="11">
        <v>0</v>
      </c>
      <c r="N17" s="9" t="s">
        <v>5044</v>
      </c>
      <c r="O17" s="9" t="s">
        <v>5044</v>
      </c>
      <c r="P17" s="11">
        <v>0</v>
      </c>
      <c r="Q17" s="11">
        <v>0</v>
      </c>
      <c r="R17" s="11">
        <v>0</v>
      </c>
      <c r="S17" s="11">
        <v>5</v>
      </c>
      <c r="T17" s="11">
        <v>4</v>
      </c>
      <c r="U17" s="11">
        <v>140</v>
      </c>
      <c r="V17" s="11">
        <v>1</v>
      </c>
      <c r="W17" s="11">
        <v>0</v>
      </c>
      <c r="X17" s="11">
        <v>0</v>
      </c>
      <c r="Y17" s="11">
        <v>0</v>
      </c>
      <c r="Z17" s="11">
        <v>0</v>
      </c>
      <c r="AA17" s="11">
        <v>0</v>
      </c>
      <c r="AB17" s="11">
        <v>1</v>
      </c>
      <c r="AC17" s="11">
        <v>1</v>
      </c>
      <c r="AD17" s="11">
        <v>2</v>
      </c>
      <c r="AE17" s="11">
        <v>3</v>
      </c>
      <c r="AF17" s="11">
        <v>0</v>
      </c>
      <c r="AG17" s="22" t="s">
        <v>5044</v>
      </c>
      <c r="AH17" s="11" t="s">
        <v>5044</v>
      </c>
      <c r="AI17" s="11" t="s">
        <v>5044</v>
      </c>
      <c r="AJ17" s="11" t="s">
        <v>5044</v>
      </c>
      <c r="AK17" s="11" t="s">
        <v>5318</v>
      </c>
      <c r="AL17" s="11">
        <v>1</v>
      </c>
      <c r="AM17" s="11">
        <v>0</v>
      </c>
      <c r="AN17" s="11" t="s">
        <v>5318</v>
      </c>
      <c r="AO17" s="11">
        <v>3</v>
      </c>
      <c r="AP17" s="11" t="s">
        <v>5318</v>
      </c>
      <c r="AQ17" s="11" t="s">
        <v>5318</v>
      </c>
    </row>
    <row r="18" spans="1:43" ht="63" customHeight="1" x14ac:dyDescent="0.2">
      <c r="A18" s="10">
        <v>190</v>
      </c>
      <c r="B18" s="11" t="s">
        <v>6570</v>
      </c>
      <c r="C18" s="11" t="s">
        <v>88</v>
      </c>
      <c r="D18" s="11">
        <v>2023</v>
      </c>
      <c r="E18" s="11" t="s">
        <v>5318</v>
      </c>
      <c r="F18" s="11">
        <v>131</v>
      </c>
      <c r="G18" s="11">
        <v>2</v>
      </c>
      <c r="H18" s="11" t="s">
        <v>6454</v>
      </c>
      <c r="I18" s="11" t="s">
        <v>6516</v>
      </c>
      <c r="J18" s="11" t="s">
        <v>6571</v>
      </c>
      <c r="K18" s="11" t="s">
        <v>90</v>
      </c>
      <c r="L18" s="11" t="s">
        <v>5070</v>
      </c>
      <c r="M18" s="11">
        <v>0</v>
      </c>
      <c r="N18" s="9" t="s">
        <v>5044</v>
      </c>
      <c r="O18" s="9" t="s">
        <v>5044</v>
      </c>
      <c r="P18" s="11">
        <v>0</v>
      </c>
      <c r="Q18" s="11">
        <v>0</v>
      </c>
      <c r="R18" s="11">
        <v>0</v>
      </c>
      <c r="S18" s="11">
        <v>9</v>
      </c>
      <c r="T18" s="11">
        <v>4</v>
      </c>
      <c r="U18" s="11">
        <v>200</v>
      </c>
      <c r="V18" s="11">
        <v>0</v>
      </c>
      <c r="W18" s="11">
        <v>1</v>
      </c>
      <c r="X18" s="11">
        <v>0</v>
      </c>
      <c r="Y18" s="11">
        <v>0</v>
      </c>
      <c r="Z18" s="11">
        <v>0</v>
      </c>
      <c r="AA18" s="11">
        <v>0</v>
      </c>
      <c r="AB18" s="11">
        <v>1</v>
      </c>
      <c r="AC18" s="11">
        <v>1</v>
      </c>
      <c r="AD18" s="11" t="s">
        <v>5044</v>
      </c>
      <c r="AE18" s="11" t="s">
        <v>5044</v>
      </c>
      <c r="AF18" s="11" t="s">
        <v>5044</v>
      </c>
      <c r="AG18" s="11">
        <v>2</v>
      </c>
      <c r="AH18" s="11">
        <v>1</v>
      </c>
      <c r="AI18" s="11">
        <v>1</v>
      </c>
      <c r="AJ18" s="11" t="s">
        <v>5044</v>
      </c>
      <c r="AK18" s="11" t="s">
        <v>5318</v>
      </c>
      <c r="AL18" s="11">
        <v>1</v>
      </c>
      <c r="AM18" s="11">
        <v>0</v>
      </c>
      <c r="AN18" s="11" t="s">
        <v>5318</v>
      </c>
      <c r="AO18" s="11">
        <v>1</v>
      </c>
      <c r="AP18" s="11" t="s">
        <v>5318</v>
      </c>
      <c r="AQ18" s="11" t="s">
        <v>5318</v>
      </c>
    </row>
    <row r="19" spans="1:43" ht="63" customHeight="1" x14ac:dyDescent="0.2">
      <c r="A19" s="10">
        <v>213</v>
      </c>
      <c r="B19" s="11" t="s">
        <v>6572</v>
      </c>
      <c r="C19" s="11" t="s">
        <v>91</v>
      </c>
      <c r="D19" s="11">
        <v>2021</v>
      </c>
      <c r="E19" s="11" t="s">
        <v>5318</v>
      </c>
      <c r="F19" s="11">
        <v>27</v>
      </c>
      <c r="G19" s="11">
        <v>11</v>
      </c>
      <c r="H19" s="11" t="s">
        <v>6573</v>
      </c>
      <c r="I19" s="11" t="s">
        <v>6516</v>
      </c>
      <c r="J19" s="11" t="s">
        <v>6574</v>
      </c>
      <c r="K19" s="11" t="s">
        <v>93</v>
      </c>
      <c r="L19" s="11" t="s">
        <v>5071</v>
      </c>
      <c r="M19" s="11">
        <v>0</v>
      </c>
      <c r="N19" s="9" t="s">
        <v>5044</v>
      </c>
      <c r="O19" s="9" t="s">
        <v>5044</v>
      </c>
      <c r="P19" s="11">
        <v>0</v>
      </c>
      <c r="Q19" s="11">
        <v>0</v>
      </c>
      <c r="R19" s="11">
        <v>0</v>
      </c>
      <c r="S19" s="11">
        <v>1</v>
      </c>
      <c r="T19" s="11">
        <v>4</v>
      </c>
      <c r="U19" s="11">
        <v>302</v>
      </c>
      <c r="V19" s="11">
        <v>0</v>
      </c>
      <c r="W19" s="11">
        <v>1</v>
      </c>
      <c r="X19" s="11">
        <v>0</v>
      </c>
      <c r="Y19" s="11">
        <v>0</v>
      </c>
      <c r="Z19" s="11">
        <v>0</v>
      </c>
      <c r="AA19" s="11">
        <v>0</v>
      </c>
      <c r="AB19" s="11">
        <v>1</v>
      </c>
      <c r="AC19" s="11">
        <v>1</v>
      </c>
      <c r="AD19" s="11" t="s">
        <v>5044</v>
      </c>
      <c r="AE19" s="11" t="s">
        <v>5044</v>
      </c>
      <c r="AF19" s="11" t="s">
        <v>5044</v>
      </c>
      <c r="AG19" s="11">
        <v>2</v>
      </c>
      <c r="AH19" s="11">
        <v>1</v>
      </c>
      <c r="AI19" s="11">
        <v>2</v>
      </c>
      <c r="AJ19" s="11" t="s">
        <v>5044</v>
      </c>
      <c r="AK19" s="11" t="s">
        <v>5318</v>
      </c>
      <c r="AL19" s="11">
        <v>1</v>
      </c>
      <c r="AM19" s="11">
        <v>0</v>
      </c>
      <c r="AN19" s="11" t="s">
        <v>5318</v>
      </c>
      <c r="AO19" s="11">
        <v>1</v>
      </c>
      <c r="AP19" s="11" t="s">
        <v>5318</v>
      </c>
      <c r="AQ19" s="11" t="s">
        <v>5318</v>
      </c>
    </row>
    <row r="20" spans="1:43" ht="63" customHeight="1" x14ac:dyDescent="0.2">
      <c r="A20" s="10">
        <v>219</v>
      </c>
      <c r="B20" s="11" t="s">
        <v>6575</v>
      </c>
      <c r="C20" s="11" t="s">
        <v>94</v>
      </c>
      <c r="D20" s="11">
        <v>2017</v>
      </c>
      <c r="E20" s="11" t="s">
        <v>5318</v>
      </c>
      <c r="F20" s="11">
        <v>143</v>
      </c>
      <c r="G20" s="11">
        <v>12</v>
      </c>
      <c r="H20" s="11" t="s">
        <v>6576</v>
      </c>
      <c r="I20" s="11" t="s">
        <v>6516</v>
      </c>
      <c r="J20" s="11" t="s">
        <v>6577</v>
      </c>
      <c r="K20" s="11" t="s">
        <v>96</v>
      </c>
      <c r="L20" s="12" t="s">
        <v>5072</v>
      </c>
      <c r="M20" s="11">
        <v>0</v>
      </c>
      <c r="N20" s="9" t="s">
        <v>5044</v>
      </c>
      <c r="O20" s="9" t="s">
        <v>5044</v>
      </c>
      <c r="P20" s="11">
        <v>0</v>
      </c>
      <c r="Q20" s="11">
        <v>0</v>
      </c>
      <c r="R20" s="11">
        <v>0</v>
      </c>
      <c r="S20" s="11">
        <v>1</v>
      </c>
      <c r="T20" s="11">
        <v>4</v>
      </c>
      <c r="U20" s="11">
        <v>696</v>
      </c>
      <c r="V20" s="11">
        <v>1</v>
      </c>
      <c r="W20" s="11">
        <v>0</v>
      </c>
      <c r="X20" s="11">
        <v>0</v>
      </c>
      <c r="Y20" s="11">
        <v>0</v>
      </c>
      <c r="Z20" s="11">
        <v>0</v>
      </c>
      <c r="AA20" s="11">
        <v>0</v>
      </c>
      <c r="AB20" s="11">
        <v>1</v>
      </c>
      <c r="AC20" s="11">
        <v>1</v>
      </c>
      <c r="AD20" s="11">
        <v>1</v>
      </c>
      <c r="AE20" s="11">
        <v>0</v>
      </c>
      <c r="AF20" s="11">
        <v>0</v>
      </c>
      <c r="AG20" s="11" t="s">
        <v>5044</v>
      </c>
      <c r="AH20" s="11" t="s">
        <v>5044</v>
      </c>
      <c r="AI20" s="11" t="s">
        <v>5044</v>
      </c>
      <c r="AJ20" s="11" t="s">
        <v>5044</v>
      </c>
      <c r="AK20" s="11" t="s">
        <v>5318</v>
      </c>
      <c r="AL20" s="11">
        <v>1</v>
      </c>
      <c r="AM20" s="11">
        <v>0</v>
      </c>
      <c r="AN20" s="11" t="s">
        <v>5073</v>
      </c>
      <c r="AO20" s="9">
        <v>0</v>
      </c>
      <c r="AP20" s="11" t="s">
        <v>5318</v>
      </c>
      <c r="AQ20" s="11" t="s">
        <v>5318</v>
      </c>
    </row>
    <row r="21" spans="1:43" ht="63" customHeight="1" x14ac:dyDescent="0.2">
      <c r="A21" s="10">
        <v>223</v>
      </c>
      <c r="B21" s="11" t="s">
        <v>6578</v>
      </c>
      <c r="C21" s="11" t="s">
        <v>97</v>
      </c>
      <c r="D21" s="11">
        <v>2021</v>
      </c>
      <c r="E21" s="11" t="s">
        <v>5318</v>
      </c>
      <c r="F21" s="11">
        <v>68</v>
      </c>
      <c r="G21" s="11" t="s">
        <v>5318</v>
      </c>
      <c r="H21" s="11" t="s">
        <v>6579</v>
      </c>
      <c r="I21" s="11" t="s">
        <v>6516</v>
      </c>
      <c r="J21" s="11" t="s">
        <v>6580</v>
      </c>
      <c r="K21" s="11" t="s">
        <v>99</v>
      </c>
      <c r="L21" s="11" t="s">
        <v>5074</v>
      </c>
      <c r="M21" s="11">
        <v>0</v>
      </c>
      <c r="N21" s="9" t="s">
        <v>5044</v>
      </c>
      <c r="O21" s="9" t="s">
        <v>5044</v>
      </c>
      <c r="P21" s="11">
        <v>0</v>
      </c>
      <c r="Q21" s="11">
        <v>0</v>
      </c>
      <c r="R21" s="11">
        <v>0</v>
      </c>
      <c r="S21" s="11">
        <v>9</v>
      </c>
      <c r="T21" s="11">
        <v>4</v>
      </c>
      <c r="U21" s="11">
        <v>60</v>
      </c>
      <c r="V21" s="11">
        <v>0</v>
      </c>
      <c r="W21" s="11">
        <v>1</v>
      </c>
      <c r="X21" s="11">
        <v>0</v>
      </c>
      <c r="Y21" s="11">
        <v>0</v>
      </c>
      <c r="Z21" s="11">
        <v>0</v>
      </c>
      <c r="AA21" s="11">
        <v>0</v>
      </c>
      <c r="AB21" s="11">
        <v>1</v>
      </c>
      <c r="AC21" s="11">
        <v>1</v>
      </c>
      <c r="AD21" s="11" t="s">
        <v>5044</v>
      </c>
      <c r="AE21" s="11" t="s">
        <v>5044</v>
      </c>
      <c r="AF21" s="11" t="s">
        <v>5044</v>
      </c>
      <c r="AG21" s="11">
        <v>2</v>
      </c>
      <c r="AH21" s="11">
        <v>3</v>
      </c>
      <c r="AI21" s="11">
        <v>0</v>
      </c>
      <c r="AJ21" s="11" t="s">
        <v>5044</v>
      </c>
      <c r="AK21" s="11">
        <v>2</v>
      </c>
      <c r="AL21" s="11">
        <v>1</v>
      </c>
      <c r="AM21" s="11">
        <v>0</v>
      </c>
      <c r="AN21" s="11" t="s">
        <v>5318</v>
      </c>
      <c r="AO21" s="11">
        <v>3</v>
      </c>
      <c r="AP21" s="11" t="s">
        <v>5318</v>
      </c>
      <c r="AQ21" s="11" t="s">
        <v>5318</v>
      </c>
    </row>
    <row r="22" spans="1:43" ht="63" customHeight="1" x14ac:dyDescent="0.2">
      <c r="A22" s="10">
        <v>237</v>
      </c>
      <c r="B22" s="11" t="s">
        <v>6581</v>
      </c>
      <c r="C22" s="11" t="s">
        <v>100</v>
      </c>
      <c r="D22" s="11">
        <v>2020</v>
      </c>
      <c r="E22" s="11" t="s">
        <v>5318</v>
      </c>
      <c r="F22" s="11">
        <v>38</v>
      </c>
      <c r="G22" s="11">
        <v>6</v>
      </c>
      <c r="H22" s="11" t="s">
        <v>6582</v>
      </c>
      <c r="I22" s="11" t="s">
        <v>6516</v>
      </c>
      <c r="J22" s="11" t="s">
        <v>6583</v>
      </c>
      <c r="K22" s="11" t="s">
        <v>103</v>
      </c>
      <c r="L22" s="11" t="s">
        <v>5044</v>
      </c>
      <c r="M22" s="11">
        <v>0</v>
      </c>
      <c r="N22" s="9" t="s">
        <v>5044</v>
      </c>
      <c r="O22" s="9" t="s">
        <v>5044</v>
      </c>
      <c r="P22" s="11">
        <v>0</v>
      </c>
      <c r="Q22" s="11">
        <v>0</v>
      </c>
      <c r="R22" s="11">
        <v>0</v>
      </c>
      <c r="S22" s="11">
        <v>3</v>
      </c>
      <c r="T22" s="11">
        <v>4</v>
      </c>
      <c r="U22" s="11">
        <v>116</v>
      </c>
      <c r="V22" s="11">
        <v>0</v>
      </c>
      <c r="W22" s="11">
        <v>1</v>
      </c>
      <c r="X22" s="11">
        <v>0</v>
      </c>
      <c r="Y22" s="11">
        <v>0</v>
      </c>
      <c r="Z22" s="11">
        <v>0</v>
      </c>
      <c r="AA22" s="11">
        <v>0</v>
      </c>
      <c r="AB22" s="11">
        <v>1</v>
      </c>
      <c r="AC22" s="11">
        <v>1</v>
      </c>
      <c r="AD22" s="11" t="s">
        <v>5044</v>
      </c>
      <c r="AE22" s="11" t="s">
        <v>5044</v>
      </c>
      <c r="AF22" s="11" t="s">
        <v>5044</v>
      </c>
      <c r="AG22" s="11">
        <v>1</v>
      </c>
      <c r="AH22" s="11">
        <v>0</v>
      </c>
      <c r="AI22" s="11">
        <v>0</v>
      </c>
      <c r="AJ22" s="11" t="s">
        <v>5044</v>
      </c>
      <c r="AK22" s="11" t="s">
        <v>5318</v>
      </c>
      <c r="AL22" s="11">
        <v>0</v>
      </c>
      <c r="AM22" s="11">
        <v>0</v>
      </c>
      <c r="AN22" s="11" t="s">
        <v>5318</v>
      </c>
      <c r="AO22" s="9">
        <v>0</v>
      </c>
      <c r="AP22" s="11" t="s">
        <v>5318</v>
      </c>
      <c r="AQ22" s="11" t="s">
        <v>5318</v>
      </c>
    </row>
    <row r="23" spans="1:43" ht="63" customHeight="1" x14ac:dyDescent="0.2">
      <c r="A23" s="10">
        <v>260</v>
      </c>
      <c r="B23" s="11" t="s">
        <v>6588</v>
      </c>
      <c r="C23" s="11" t="s">
        <v>109</v>
      </c>
      <c r="D23" s="11">
        <v>2021</v>
      </c>
      <c r="E23" s="11" t="s">
        <v>5318</v>
      </c>
      <c r="F23" s="11">
        <v>100</v>
      </c>
      <c r="G23" s="11">
        <v>4</v>
      </c>
      <c r="H23" s="11" t="s">
        <v>6589</v>
      </c>
      <c r="I23" s="11" t="s">
        <v>6516</v>
      </c>
      <c r="J23" s="11" t="s">
        <v>6590</v>
      </c>
      <c r="K23" s="11" t="s">
        <v>112</v>
      </c>
      <c r="L23" s="11" t="s">
        <v>5077</v>
      </c>
      <c r="M23" s="11">
        <v>0</v>
      </c>
      <c r="N23" s="9" t="s">
        <v>5044</v>
      </c>
      <c r="O23" s="9" t="s">
        <v>5044</v>
      </c>
      <c r="P23" s="11">
        <v>0</v>
      </c>
      <c r="Q23" s="11">
        <v>0</v>
      </c>
      <c r="R23" s="11">
        <v>0</v>
      </c>
      <c r="S23" s="11">
        <v>1</v>
      </c>
      <c r="T23" s="11">
        <v>4</v>
      </c>
      <c r="U23" s="11">
        <v>78</v>
      </c>
      <c r="V23" s="11">
        <v>0</v>
      </c>
      <c r="W23" s="11">
        <v>1</v>
      </c>
      <c r="X23" s="11">
        <v>0</v>
      </c>
      <c r="Y23" s="11">
        <v>0</v>
      </c>
      <c r="Z23" s="11">
        <v>0</v>
      </c>
      <c r="AA23" s="11">
        <v>0</v>
      </c>
      <c r="AB23" s="11">
        <v>0</v>
      </c>
      <c r="AC23" s="11">
        <v>1</v>
      </c>
      <c r="AD23" s="11" t="s">
        <v>5044</v>
      </c>
      <c r="AE23" s="11" t="s">
        <v>5044</v>
      </c>
      <c r="AF23" s="11" t="s">
        <v>5044</v>
      </c>
      <c r="AG23" s="11">
        <v>2</v>
      </c>
      <c r="AH23" s="11">
        <v>3</v>
      </c>
      <c r="AI23" s="11">
        <v>0</v>
      </c>
      <c r="AJ23" s="11" t="s">
        <v>5044</v>
      </c>
      <c r="AK23" s="11" t="s">
        <v>5318</v>
      </c>
      <c r="AL23" s="11">
        <v>0</v>
      </c>
      <c r="AM23" s="11">
        <v>0</v>
      </c>
      <c r="AN23" s="11" t="s">
        <v>5318</v>
      </c>
      <c r="AO23" s="11">
        <v>3</v>
      </c>
      <c r="AP23" s="11" t="s">
        <v>5318</v>
      </c>
      <c r="AQ23" s="11" t="s">
        <v>5318</v>
      </c>
    </row>
    <row r="24" spans="1:43" ht="63" customHeight="1" x14ac:dyDescent="0.2">
      <c r="A24" s="10">
        <v>264</v>
      </c>
      <c r="B24" s="11" t="s">
        <v>6591</v>
      </c>
      <c r="C24" s="11" t="s">
        <v>113</v>
      </c>
      <c r="D24" s="11">
        <v>2017</v>
      </c>
      <c r="E24" s="11" t="s">
        <v>5318</v>
      </c>
      <c r="F24" s="11">
        <v>36</v>
      </c>
      <c r="G24" s="11">
        <v>5</v>
      </c>
      <c r="H24" s="11" t="s">
        <v>6592</v>
      </c>
      <c r="I24" s="11" t="s">
        <v>6516</v>
      </c>
      <c r="J24" s="11" t="s">
        <v>6593</v>
      </c>
      <c r="K24" s="11" t="s">
        <v>116</v>
      </c>
      <c r="L24" s="11" t="s">
        <v>5078</v>
      </c>
      <c r="M24" s="11">
        <v>0</v>
      </c>
      <c r="N24" s="9" t="s">
        <v>5044</v>
      </c>
      <c r="O24" s="9" t="s">
        <v>5044</v>
      </c>
      <c r="P24" s="11">
        <v>0</v>
      </c>
      <c r="Q24" s="11">
        <v>0</v>
      </c>
      <c r="R24" s="11">
        <v>0</v>
      </c>
      <c r="S24" s="11">
        <v>1</v>
      </c>
      <c r="T24" s="11">
        <v>4</v>
      </c>
      <c r="U24" s="11">
        <v>320</v>
      </c>
      <c r="V24" s="11">
        <v>1</v>
      </c>
      <c r="W24" s="11">
        <v>1</v>
      </c>
      <c r="X24" s="11">
        <v>0</v>
      </c>
      <c r="Y24" s="11">
        <v>0</v>
      </c>
      <c r="Z24" s="11">
        <v>0</v>
      </c>
      <c r="AA24" s="11">
        <v>0</v>
      </c>
      <c r="AB24" s="11">
        <v>1</v>
      </c>
      <c r="AC24" s="11">
        <v>1</v>
      </c>
      <c r="AD24" s="11">
        <v>1</v>
      </c>
      <c r="AE24" s="11">
        <v>0</v>
      </c>
      <c r="AF24" s="11">
        <v>0</v>
      </c>
      <c r="AG24" s="11">
        <v>1</v>
      </c>
      <c r="AH24" s="11">
        <v>0</v>
      </c>
      <c r="AI24" s="11">
        <v>0</v>
      </c>
      <c r="AJ24" s="11" t="s">
        <v>5044</v>
      </c>
      <c r="AK24" s="11" t="s">
        <v>5318</v>
      </c>
      <c r="AL24" s="11">
        <v>1</v>
      </c>
      <c r="AM24" s="11">
        <v>0</v>
      </c>
      <c r="AN24" s="11" t="s">
        <v>5318</v>
      </c>
      <c r="AO24" s="9">
        <v>0</v>
      </c>
      <c r="AP24" s="11" t="s">
        <v>5318</v>
      </c>
      <c r="AQ24" s="11" t="s">
        <v>5318</v>
      </c>
    </row>
    <row r="25" spans="1:43" ht="63" customHeight="1" x14ac:dyDescent="0.2">
      <c r="A25" s="10">
        <v>318</v>
      </c>
      <c r="B25" s="11" t="s">
        <v>6597</v>
      </c>
      <c r="C25" s="11" t="s">
        <v>121</v>
      </c>
      <c r="D25" s="11">
        <v>2019</v>
      </c>
      <c r="E25" s="11" t="s">
        <v>5318</v>
      </c>
      <c r="F25" s="11">
        <v>62</v>
      </c>
      <c r="G25" s="11">
        <v>2</v>
      </c>
      <c r="H25" s="11" t="s">
        <v>6598</v>
      </c>
      <c r="I25" s="11" t="s">
        <v>6516</v>
      </c>
      <c r="J25" s="11" t="s">
        <v>6599</v>
      </c>
      <c r="K25" s="11" t="s">
        <v>124</v>
      </c>
      <c r="L25" s="11" t="s">
        <v>5079</v>
      </c>
      <c r="M25" s="11">
        <v>0</v>
      </c>
      <c r="N25" s="9" t="s">
        <v>5044</v>
      </c>
      <c r="O25" s="9" t="s">
        <v>5044</v>
      </c>
      <c r="P25" s="11">
        <v>0</v>
      </c>
      <c r="Q25" s="11">
        <v>0</v>
      </c>
      <c r="R25" s="11">
        <v>0</v>
      </c>
      <c r="S25" s="11">
        <v>1</v>
      </c>
      <c r="T25" s="11">
        <v>2</v>
      </c>
      <c r="U25" s="11">
        <v>127</v>
      </c>
      <c r="V25" s="11">
        <v>0</v>
      </c>
      <c r="W25" s="11">
        <v>1</v>
      </c>
      <c r="X25" s="11">
        <v>0</v>
      </c>
      <c r="Y25" s="11">
        <v>0</v>
      </c>
      <c r="Z25" s="11">
        <v>0</v>
      </c>
      <c r="AA25" s="11">
        <v>0</v>
      </c>
      <c r="AB25" s="11">
        <v>1</v>
      </c>
      <c r="AC25" s="11">
        <v>1</v>
      </c>
      <c r="AD25" s="11" t="s">
        <v>5044</v>
      </c>
      <c r="AE25" s="11" t="s">
        <v>5044</v>
      </c>
      <c r="AF25" s="11" t="s">
        <v>5044</v>
      </c>
      <c r="AG25" s="11">
        <v>2</v>
      </c>
      <c r="AH25" s="11">
        <v>2</v>
      </c>
      <c r="AI25" s="11">
        <v>2</v>
      </c>
      <c r="AJ25" s="11" t="s">
        <v>5044</v>
      </c>
      <c r="AK25" s="11" t="s">
        <v>5318</v>
      </c>
      <c r="AL25" s="11">
        <v>1</v>
      </c>
      <c r="AM25" s="11">
        <v>0</v>
      </c>
      <c r="AN25" s="11" t="s">
        <v>5318</v>
      </c>
      <c r="AO25" s="11">
        <v>2</v>
      </c>
      <c r="AP25" s="11" t="s">
        <v>5318</v>
      </c>
      <c r="AQ25" s="11" t="s">
        <v>5318</v>
      </c>
    </row>
    <row r="26" spans="1:43" ht="63" customHeight="1" x14ac:dyDescent="0.2">
      <c r="A26" s="10">
        <v>327</v>
      </c>
      <c r="B26" s="11" t="s">
        <v>6600</v>
      </c>
      <c r="C26" s="11" t="s">
        <v>125</v>
      </c>
      <c r="D26" s="11">
        <v>2021</v>
      </c>
      <c r="E26" s="11" t="s">
        <v>5318</v>
      </c>
      <c r="F26" s="11">
        <v>2021</v>
      </c>
      <c r="G26" s="11" t="s">
        <v>5318</v>
      </c>
      <c r="H26" s="11" t="s">
        <v>6601</v>
      </c>
      <c r="I26" s="11" t="s">
        <v>6516</v>
      </c>
      <c r="J26" s="11" t="s">
        <v>6602</v>
      </c>
      <c r="K26" s="11" t="s">
        <v>127</v>
      </c>
      <c r="L26" s="11" t="s">
        <v>5080</v>
      </c>
      <c r="M26" s="11">
        <v>0</v>
      </c>
      <c r="N26" s="9" t="s">
        <v>5044</v>
      </c>
      <c r="O26" s="9" t="s">
        <v>5044</v>
      </c>
      <c r="P26" s="11">
        <v>0</v>
      </c>
      <c r="Q26" s="11">
        <v>0</v>
      </c>
      <c r="R26" s="11">
        <v>0</v>
      </c>
      <c r="S26" s="11">
        <v>3</v>
      </c>
      <c r="T26" s="11">
        <v>6</v>
      </c>
      <c r="U26" s="11">
        <v>33</v>
      </c>
      <c r="V26" s="11">
        <v>0</v>
      </c>
      <c r="W26" s="11">
        <v>1</v>
      </c>
      <c r="X26" s="11">
        <v>0</v>
      </c>
      <c r="Y26" s="11">
        <v>0</v>
      </c>
      <c r="Z26" s="11">
        <v>0</v>
      </c>
      <c r="AA26" s="11">
        <v>0</v>
      </c>
      <c r="AB26" s="11">
        <v>0</v>
      </c>
      <c r="AC26" s="11">
        <v>1</v>
      </c>
      <c r="AD26" s="11" t="s">
        <v>5044</v>
      </c>
      <c r="AE26" s="11" t="s">
        <v>5044</v>
      </c>
      <c r="AF26" s="11" t="s">
        <v>5044</v>
      </c>
      <c r="AG26" s="11">
        <v>1</v>
      </c>
      <c r="AH26" s="11">
        <v>0</v>
      </c>
      <c r="AI26" s="11">
        <v>0</v>
      </c>
      <c r="AJ26" s="11" t="s">
        <v>5044</v>
      </c>
      <c r="AK26" s="11" t="s">
        <v>5318</v>
      </c>
      <c r="AL26" s="11" t="s">
        <v>5041</v>
      </c>
      <c r="AM26" s="11">
        <v>0</v>
      </c>
      <c r="AN26" s="11" t="s">
        <v>5318</v>
      </c>
      <c r="AO26" s="9">
        <v>0</v>
      </c>
      <c r="AP26" s="11" t="s">
        <v>5318</v>
      </c>
      <c r="AQ26" s="11" t="s">
        <v>5318</v>
      </c>
    </row>
    <row r="27" spans="1:43" ht="63" customHeight="1" x14ac:dyDescent="0.2">
      <c r="A27" s="10">
        <v>364</v>
      </c>
      <c r="B27" s="11" t="s">
        <v>6606</v>
      </c>
      <c r="C27" s="11" t="s">
        <v>132</v>
      </c>
      <c r="D27" s="11">
        <v>2013</v>
      </c>
      <c r="E27" s="11" t="s">
        <v>5318</v>
      </c>
      <c r="F27" s="11">
        <v>257</v>
      </c>
      <c r="G27" s="11">
        <v>1</v>
      </c>
      <c r="H27" s="11" t="s">
        <v>6533</v>
      </c>
      <c r="I27" s="11" t="s">
        <v>6516</v>
      </c>
      <c r="J27" s="11" t="s">
        <v>6607</v>
      </c>
      <c r="K27" s="11" t="s">
        <v>134</v>
      </c>
      <c r="L27" s="12" t="s">
        <v>5082</v>
      </c>
      <c r="M27" s="11">
        <v>0</v>
      </c>
      <c r="N27" s="9" t="s">
        <v>5044</v>
      </c>
      <c r="O27" s="9" t="s">
        <v>5044</v>
      </c>
      <c r="P27" s="11">
        <v>0</v>
      </c>
      <c r="Q27" s="11">
        <v>0</v>
      </c>
      <c r="R27" s="11">
        <v>0</v>
      </c>
      <c r="S27" s="11">
        <v>1</v>
      </c>
      <c r="T27" s="11">
        <v>5</v>
      </c>
      <c r="U27" s="11">
        <v>195</v>
      </c>
      <c r="V27" s="11">
        <v>0</v>
      </c>
      <c r="W27" s="11">
        <v>1</v>
      </c>
      <c r="X27" s="11">
        <v>0</v>
      </c>
      <c r="Y27" s="11">
        <v>0</v>
      </c>
      <c r="Z27" s="11">
        <v>0</v>
      </c>
      <c r="AA27" s="11">
        <v>0</v>
      </c>
      <c r="AB27" s="11">
        <v>1</v>
      </c>
      <c r="AC27" s="11">
        <v>1</v>
      </c>
      <c r="AD27" s="11" t="s">
        <v>5044</v>
      </c>
      <c r="AE27" s="11" t="s">
        <v>5044</v>
      </c>
      <c r="AF27" s="11" t="s">
        <v>5044</v>
      </c>
      <c r="AG27" s="11">
        <v>1</v>
      </c>
      <c r="AH27" s="11">
        <v>0</v>
      </c>
      <c r="AI27" s="11">
        <v>0</v>
      </c>
      <c r="AJ27" s="11" t="s">
        <v>5044</v>
      </c>
      <c r="AK27" s="11" t="s">
        <v>5318</v>
      </c>
      <c r="AL27" s="11">
        <v>0</v>
      </c>
      <c r="AM27" s="11">
        <v>0</v>
      </c>
      <c r="AN27" s="11" t="s">
        <v>5318</v>
      </c>
      <c r="AO27" s="9">
        <v>0</v>
      </c>
      <c r="AP27" s="11" t="s">
        <v>5318</v>
      </c>
      <c r="AQ27" s="11" t="s">
        <v>5318</v>
      </c>
    </row>
    <row r="28" spans="1:43" ht="63" customHeight="1" x14ac:dyDescent="0.2">
      <c r="A28" s="10">
        <v>369</v>
      </c>
      <c r="B28" s="11" t="s">
        <v>6608</v>
      </c>
      <c r="C28" s="11" t="s">
        <v>135</v>
      </c>
      <c r="D28" s="11">
        <v>2019</v>
      </c>
      <c r="E28" s="11" t="s">
        <v>5318</v>
      </c>
      <c r="F28" s="11">
        <v>17</v>
      </c>
      <c r="G28" s="11">
        <v>1</v>
      </c>
      <c r="H28" s="11" t="s">
        <v>6609</v>
      </c>
      <c r="I28" s="11" t="s">
        <v>6516</v>
      </c>
      <c r="J28" s="11" t="s">
        <v>6610</v>
      </c>
      <c r="K28" s="11" t="s">
        <v>138</v>
      </c>
      <c r="L28" s="12" t="s">
        <v>5083</v>
      </c>
      <c r="M28" s="11">
        <v>0</v>
      </c>
      <c r="N28" s="9" t="s">
        <v>5044</v>
      </c>
      <c r="O28" s="9" t="s">
        <v>5044</v>
      </c>
      <c r="P28" s="11">
        <v>0</v>
      </c>
      <c r="Q28" s="11">
        <v>0</v>
      </c>
      <c r="R28" s="11">
        <v>0</v>
      </c>
      <c r="S28" s="11">
        <v>1</v>
      </c>
      <c r="T28" s="11">
        <v>4</v>
      </c>
      <c r="U28" s="11">
        <v>70</v>
      </c>
      <c r="V28" s="11">
        <v>1</v>
      </c>
      <c r="W28" s="11">
        <v>0</v>
      </c>
      <c r="X28" s="11">
        <v>0</v>
      </c>
      <c r="Y28" s="11">
        <v>0</v>
      </c>
      <c r="Z28" s="11">
        <v>0</v>
      </c>
      <c r="AA28" s="11">
        <v>0</v>
      </c>
      <c r="AB28" s="11">
        <v>1</v>
      </c>
      <c r="AC28" s="11">
        <v>1</v>
      </c>
      <c r="AD28" s="11">
        <v>2</v>
      </c>
      <c r="AE28" s="11">
        <v>3</v>
      </c>
      <c r="AF28" s="11">
        <v>0</v>
      </c>
      <c r="AG28" s="11" t="s">
        <v>5044</v>
      </c>
      <c r="AH28" s="11" t="s">
        <v>5044</v>
      </c>
      <c r="AI28" s="11" t="s">
        <v>5044</v>
      </c>
      <c r="AJ28" s="11" t="s">
        <v>5044</v>
      </c>
      <c r="AK28" s="11" t="s">
        <v>5318</v>
      </c>
      <c r="AL28" s="11" t="s">
        <v>5090</v>
      </c>
      <c r="AM28" s="11">
        <v>0</v>
      </c>
      <c r="AN28" s="11" t="s">
        <v>5318</v>
      </c>
      <c r="AO28" s="11">
        <v>3</v>
      </c>
      <c r="AP28" s="11" t="s">
        <v>5318</v>
      </c>
      <c r="AQ28" s="11" t="s">
        <v>5318</v>
      </c>
    </row>
    <row r="29" spans="1:43" ht="63" customHeight="1" x14ac:dyDescent="0.2">
      <c r="A29" s="10">
        <v>380</v>
      </c>
      <c r="B29" s="11" t="s">
        <v>6611</v>
      </c>
      <c r="C29" s="11" t="s">
        <v>139</v>
      </c>
      <c r="D29" s="11">
        <v>2022</v>
      </c>
      <c r="E29" s="11" t="s">
        <v>5318</v>
      </c>
      <c r="F29" s="11" t="s">
        <v>5318</v>
      </c>
      <c r="G29" s="11" t="s">
        <v>5318</v>
      </c>
      <c r="H29" s="11" t="s">
        <v>6612</v>
      </c>
      <c r="I29" s="11" t="s">
        <v>6516</v>
      </c>
      <c r="J29" s="11" t="s">
        <v>6613</v>
      </c>
      <c r="K29" s="11" t="s">
        <v>141</v>
      </c>
      <c r="L29" s="11" t="s">
        <v>5084</v>
      </c>
      <c r="M29" s="11">
        <v>0</v>
      </c>
      <c r="N29" s="9" t="s">
        <v>5044</v>
      </c>
      <c r="O29" s="9" t="s">
        <v>5044</v>
      </c>
      <c r="P29" s="11">
        <v>0</v>
      </c>
      <c r="Q29" s="11">
        <v>0</v>
      </c>
      <c r="R29" s="11">
        <v>0</v>
      </c>
      <c r="S29" s="11">
        <v>1</v>
      </c>
      <c r="T29" s="11">
        <v>4</v>
      </c>
      <c r="U29" s="11">
        <v>583</v>
      </c>
      <c r="V29" s="11">
        <v>0</v>
      </c>
      <c r="W29" s="11">
        <v>1</v>
      </c>
      <c r="X29" s="11">
        <v>0</v>
      </c>
      <c r="Y29" s="11">
        <v>0</v>
      </c>
      <c r="Z29" s="11">
        <v>0</v>
      </c>
      <c r="AA29" s="11">
        <v>0</v>
      </c>
      <c r="AB29" s="11">
        <v>1</v>
      </c>
      <c r="AC29" s="11">
        <v>0</v>
      </c>
      <c r="AD29" s="11" t="s">
        <v>5044</v>
      </c>
      <c r="AE29" s="11" t="s">
        <v>5044</v>
      </c>
      <c r="AF29" s="11" t="s">
        <v>5044</v>
      </c>
      <c r="AG29" s="11">
        <v>0</v>
      </c>
      <c r="AH29" s="11" t="s">
        <v>5044</v>
      </c>
      <c r="AI29" s="11" t="s">
        <v>5044</v>
      </c>
      <c r="AJ29" s="11" t="s">
        <v>5044</v>
      </c>
      <c r="AK29" s="11" t="s">
        <v>5318</v>
      </c>
      <c r="AL29" s="11">
        <v>0</v>
      </c>
      <c r="AM29" s="11">
        <v>0</v>
      </c>
      <c r="AN29" s="11" t="s">
        <v>5318</v>
      </c>
      <c r="AO29" s="11">
        <v>9</v>
      </c>
      <c r="AP29" s="11" t="s">
        <v>5318</v>
      </c>
      <c r="AQ29" s="11" t="s">
        <v>5318</v>
      </c>
    </row>
    <row r="30" spans="1:43" ht="63" customHeight="1" x14ac:dyDescent="0.2">
      <c r="A30" s="10">
        <v>391</v>
      </c>
      <c r="B30" s="11" t="s">
        <v>6614</v>
      </c>
      <c r="C30" s="11" t="s">
        <v>142</v>
      </c>
      <c r="D30" s="11">
        <v>2016</v>
      </c>
      <c r="E30" s="11" t="s">
        <v>5318</v>
      </c>
      <c r="F30" s="11">
        <v>26</v>
      </c>
      <c r="G30" s="11">
        <v>3</v>
      </c>
      <c r="H30" s="11" t="s">
        <v>6482</v>
      </c>
      <c r="I30" s="11" t="s">
        <v>6516</v>
      </c>
      <c r="J30" s="11" t="s">
        <v>6615</v>
      </c>
      <c r="K30" s="11" t="s">
        <v>146</v>
      </c>
      <c r="L30" s="12" t="s">
        <v>5085</v>
      </c>
      <c r="M30" s="11">
        <v>0</v>
      </c>
      <c r="N30" s="9" t="s">
        <v>5044</v>
      </c>
      <c r="O30" s="9" t="s">
        <v>5044</v>
      </c>
      <c r="P30" s="11">
        <v>0</v>
      </c>
      <c r="Q30" s="11">
        <v>0</v>
      </c>
      <c r="R30" s="11">
        <v>0</v>
      </c>
      <c r="S30" s="11">
        <v>1</v>
      </c>
      <c r="T30" s="11">
        <v>6</v>
      </c>
      <c r="U30" s="11">
        <v>115</v>
      </c>
      <c r="V30" s="11">
        <v>0</v>
      </c>
      <c r="W30" s="11">
        <v>1</v>
      </c>
      <c r="X30" s="11">
        <v>0</v>
      </c>
      <c r="Y30" s="11">
        <v>0</v>
      </c>
      <c r="Z30" s="11">
        <v>0</v>
      </c>
      <c r="AA30" s="11">
        <v>0</v>
      </c>
      <c r="AB30" s="11">
        <v>1</v>
      </c>
      <c r="AC30" s="11">
        <v>1</v>
      </c>
      <c r="AD30" s="11" t="s">
        <v>5044</v>
      </c>
      <c r="AE30" s="11" t="s">
        <v>5044</v>
      </c>
      <c r="AF30" s="11" t="s">
        <v>5044</v>
      </c>
      <c r="AG30" s="11">
        <v>1</v>
      </c>
      <c r="AH30" s="11">
        <v>0</v>
      </c>
      <c r="AI30" s="11">
        <v>0</v>
      </c>
      <c r="AJ30" s="11" t="s">
        <v>5044</v>
      </c>
      <c r="AK30" s="11" t="s">
        <v>5318</v>
      </c>
      <c r="AL30" s="11">
        <v>1</v>
      </c>
      <c r="AM30" s="11">
        <v>0</v>
      </c>
      <c r="AN30" s="11" t="s">
        <v>5318</v>
      </c>
      <c r="AO30" s="9">
        <v>0</v>
      </c>
      <c r="AP30" s="11" t="s">
        <v>5318</v>
      </c>
      <c r="AQ30" s="11" t="s">
        <v>5318</v>
      </c>
    </row>
    <row r="31" spans="1:43" ht="63" customHeight="1" x14ac:dyDescent="0.2">
      <c r="A31" s="10">
        <v>401</v>
      </c>
      <c r="B31" s="11" t="s">
        <v>6616</v>
      </c>
      <c r="C31" s="11" t="s">
        <v>148</v>
      </c>
      <c r="D31" s="11">
        <v>2015</v>
      </c>
      <c r="E31" s="11" t="s">
        <v>5318</v>
      </c>
      <c r="F31" s="11">
        <v>94</v>
      </c>
      <c r="G31" s="11">
        <v>45</v>
      </c>
      <c r="H31" s="11" t="s">
        <v>6541</v>
      </c>
      <c r="I31" s="11" t="s">
        <v>6516</v>
      </c>
      <c r="J31" s="11" t="s">
        <v>6617</v>
      </c>
      <c r="K31" s="11" t="s">
        <v>152</v>
      </c>
      <c r="L31" s="11" t="s">
        <v>5087</v>
      </c>
      <c r="M31" s="11">
        <v>0</v>
      </c>
      <c r="N31" s="9" t="s">
        <v>5044</v>
      </c>
      <c r="O31" s="9" t="s">
        <v>5044</v>
      </c>
      <c r="P31" s="11">
        <v>0</v>
      </c>
      <c r="Q31" s="11">
        <v>0</v>
      </c>
      <c r="R31" s="11">
        <v>0</v>
      </c>
      <c r="S31" s="11">
        <v>1</v>
      </c>
      <c r="T31" s="11">
        <v>4</v>
      </c>
      <c r="U31" s="11">
        <v>181</v>
      </c>
      <c r="V31" s="11">
        <v>0</v>
      </c>
      <c r="W31" s="11">
        <v>1</v>
      </c>
      <c r="X31" s="11">
        <v>0</v>
      </c>
      <c r="Y31" s="11">
        <v>0</v>
      </c>
      <c r="Z31" s="11">
        <v>0</v>
      </c>
      <c r="AA31" s="11">
        <v>0</v>
      </c>
      <c r="AB31" s="11">
        <v>1</v>
      </c>
      <c r="AC31" s="11">
        <v>1</v>
      </c>
      <c r="AD31" s="11" t="s">
        <v>5044</v>
      </c>
      <c r="AE31" s="11" t="s">
        <v>5044</v>
      </c>
      <c r="AF31" s="11" t="s">
        <v>5044</v>
      </c>
      <c r="AG31" s="11">
        <v>1</v>
      </c>
      <c r="AH31" s="11">
        <v>0</v>
      </c>
      <c r="AI31" s="11">
        <v>0</v>
      </c>
      <c r="AJ31" s="11" t="s">
        <v>5044</v>
      </c>
      <c r="AK31" s="11" t="s">
        <v>5318</v>
      </c>
      <c r="AL31" s="11">
        <v>1</v>
      </c>
      <c r="AM31" s="11">
        <v>0</v>
      </c>
      <c r="AN31" s="11" t="s">
        <v>5318</v>
      </c>
      <c r="AO31" s="9">
        <v>0</v>
      </c>
      <c r="AP31" s="11" t="s">
        <v>5318</v>
      </c>
      <c r="AQ31" s="11" t="s">
        <v>5318</v>
      </c>
    </row>
    <row r="32" spans="1:43" ht="63" customHeight="1" x14ac:dyDescent="0.2">
      <c r="A32" s="10">
        <v>402</v>
      </c>
      <c r="B32" s="11" t="s">
        <v>6618</v>
      </c>
      <c r="C32" s="11" t="s">
        <v>153</v>
      </c>
      <c r="D32" s="11">
        <v>2018</v>
      </c>
      <c r="E32" s="11" t="s">
        <v>5318</v>
      </c>
      <c r="F32" s="11">
        <v>105</v>
      </c>
      <c r="G32" s="11">
        <v>8</v>
      </c>
      <c r="H32" s="11" t="s">
        <v>6530</v>
      </c>
      <c r="I32" s="11" t="s">
        <v>6516</v>
      </c>
      <c r="J32" s="11" t="s">
        <v>6619</v>
      </c>
      <c r="K32" s="11" t="s">
        <v>155</v>
      </c>
      <c r="L32" s="11" t="s">
        <v>5088</v>
      </c>
      <c r="M32" s="11">
        <v>0</v>
      </c>
      <c r="N32" s="9" t="s">
        <v>5044</v>
      </c>
      <c r="O32" s="9" t="s">
        <v>5044</v>
      </c>
      <c r="P32" s="11">
        <v>0</v>
      </c>
      <c r="Q32" s="11">
        <v>0</v>
      </c>
      <c r="R32" s="11">
        <v>0</v>
      </c>
      <c r="S32" s="11">
        <v>1</v>
      </c>
      <c r="T32" s="11">
        <v>2</v>
      </c>
      <c r="U32" s="11">
        <v>107</v>
      </c>
      <c r="V32" s="11">
        <v>0</v>
      </c>
      <c r="W32" s="11">
        <v>1</v>
      </c>
      <c r="X32" s="11">
        <v>0</v>
      </c>
      <c r="Y32" s="11">
        <v>0</v>
      </c>
      <c r="Z32" s="11">
        <v>0</v>
      </c>
      <c r="AA32" s="11">
        <v>0</v>
      </c>
      <c r="AB32" s="11">
        <v>1</v>
      </c>
      <c r="AC32" s="11">
        <v>0</v>
      </c>
      <c r="AD32" s="11" t="s">
        <v>5044</v>
      </c>
      <c r="AE32" s="11" t="s">
        <v>5044</v>
      </c>
      <c r="AF32" s="11" t="s">
        <v>5044</v>
      </c>
      <c r="AG32" s="11">
        <v>0</v>
      </c>
      <c r="AH32" s="11" t="s">
        <v>5044</v>
      </c>
      <c r="AI32" s="11" t="s">
        <v>5044</v>
      </c>
      <c r="AJ32" s="11" t="s">
        <v>5044</v>
      </c>
      <c r="AK32" s="11" t="s">
        <v>5318</v>
      </c>
      <c r="AL32" s="11">
        <v>1</v>
      </c>
      <c r="AM32" s="11">
        <v>0</v>
      </c>
      <c r="AN32" s="11" t="s">
        <v>5318</v>
      </c>
      <c r="AO32" s="11">
        <v>9</v>
      </c>
      <c r="AP32" s="11" t="s">
        <v>5318</v>
      </c>
      <c r="AQ32" s="11" t="s">
        <v>5318</v>
      </c>
    </row>
    <row r="33" spans="1:43" ht="63" customHeight="1" x14ac:dyDescent="0.2">
      <c r="A33" s="10">
        <v>411</v>
      </c>
      <c r="B33" s="11" t="s">
        <v>6620</v>
      </c>
      <c r="C33" s="11" t="s">
        <v>156</v>
      </c>
      <c r="D33" s="11">
        <v>2014</v>
      </c>
      <c r="E33" s="11" t="s">
        <v>5318</v>
      </c>
      <c r="F33" s="11">
        <v>21</v>
      </c>
      <c r="G33" s="11">
        <v>1</v>
      </c>
      <c r="H33" s="11" t="s">
        <v>6621</v>
      </c>
      <c r="I33" s="11" t="s">
        <v>6516</v>
      </c>
      <c r="J33" s="11" t="s">
        <v>6622</v>
      </c>
      <c r="K33" s="11" t="s">
        <v>158</v>
      </c>
      <c r="L33" s="11" t="s">
        <v>5044</v>
      </c>
      <c r="M33" s="11">
        <v>0</v>
      </c>
      <c r="N33" s="9" t="s">
        <v>5044</v>
      </c>
      <c r="O33" s="9" t="s">
        <v>5044</v>
      </c>
      <c r="P33" s="11">
        <v>1</v>
      </c>
      <c r="Q33" s="11">
        <v>0</v>
      </c>
      <c r="R33" s="11">
        <v>0</v>
      </c>
      <c r="S33" s="11">
        <v>1</v>
      </c>
      <c r="T33" s="11">
        <v>4</v>
      </c>
      <c r="U33" s="11">
        <v>83</v>
      </c>
      <c r="V33" s="11">
        <v>0</v>
      </c>
      <c r="W33" s="11">
        <v>1</v>
      </c>
      <c r="X33" s="11">
        <v>0</v>
      </c>
      <c r="Y33" s="11">
        <v>0</v>
      </c>
      <c r="Z33" s="11">
        <v>0</v>
      </c>
      <c r="AA33" s="11">
        <v>0</v>
      </c>
      <c r="AB33" s="11">
        <v>1</v>
      </c>
      <c r="AC33" s="11">
        <v>1</v>
      </c>
      <c r="AD33" s="11" t="s">
        <v>5044</v>
      </c>
      <c r="AE33" s="11" t="s">
        <v>5044</v>
      </c>
      <c r="AF33" s="11" t="s">
        <v>5044</v>
      </c>
      <c r="AG33" s="11">
        <v>2</v>
      </c>
      <c r="AH33" s="11">
        <v>2</v>
      </c>
      <c r="AI33" s="11">
        <v>2</v>
      </c>
      <c r="AJ33" s="11" t="s">
        <v>5044</v>
      </c>
      <c r="AK33" s="11" t="s">
        <v>5318</v>
      </c>
      <c r="AL33" s="11">
        <v>0</v>
      </c>
      <c r="AM33" s="11">
        <v>0</v>
      </c>
      <c r="AN33" s="11" t="s">
        <v>5318</v>
      </c>
      <c r="AO33" s="11">
        <v>2</v>
      </c>
      <c r="AP33" s="11" t="s">
        <v>5318</v>
      </c>
      <c r="AQ33" s="11" t="s">
        <v>5318</v>
      </c>
    </row>
    <row r="34" spans="1:43" ht="63" customHeight="1" x14ac:dyDescent="0.2">
      <c r="A34" s="10">
        <v>431</v>
      </c>
      <c r="B34" s="11" t="s">
        <v>6623</v>
      </c>
      <c r="C34" s="11" t="s">
        <v>159</v>
      </c>
      <c r="D34" s="11">
        <v>2022</v>
      </c>
      <c r="E34" s="11" t="s">
        <v>5318</v>
      </c>
      <c r="F34" s="11">
        <v>36</v>
      </c>
      <c r="G34" s="11">
        <v>2</v>
      </c>
      <c r="H34" s="11" t="s">
        <v>6624</v>
      </c>
      <c r="I34" s="11" t="s">
        <v>6516</v>
      </c>
      <c r="J34" s="11" t="s">
        <v>6625</v>
      </c>
      <c r="K34" s="11" t="s">
        <v>161</v>
      </c>
      <c r="L34" s="11" t="s">
        <v>5093</v>
      </c>
      <c r="M34" s="11">
        <v>0</v>
      </c>
      <c r="N34" s="9" t="s">
        <v>5044</v>
      </c>
      <c r="O34" s="9" t="s">
        <v>5044</v>
      </c>
      <c r="P34" s="11">
        <v>0</v>
      </c>
      <c r="Q34" s="11">
        <v>0</v>
      </c>
      <c r="R34" s="11">
        <v>0</v>
      </c>
      <c r="S34" s="11">
        <v>1</v>
      </c>
      <c r="T34" s="11">
        <v>4</v>
      </c>
      <c r="U34" s="11">
        <v>112</v>
      </c>
      <c r="V34" s="11">
        <v>0</v>
      </c>
      <c r="W34" s="11">
        <v>1</v>
      </c>
      <c r="X34" s="11">
        <v>0</v>
      </c>
      <c r="Y34" s="11">
        <v>0</v>
      </c>
      <c r="Z34" s="11">
        <v>0</v>
      </c>
      <c r="AA34" s="11">
        <v>0</v>
      </c>
      <c r="AB34" s="11">
        <v>1</v>
      </c>
      <c r="AC34" s="11">
        <v>1</v>
      </c>
      <c r="AD34" s="11" t="s">
        <v>5044</v>
      </c>
      <c r="AE34" s="11" t="s">
        <v>5044</v>
      </c>
      <c r="AF34" s="11" t="s">
        <v>5044</v>
      </c>
      <c r="AG34" s="11">
        <v>1</v>
      </c>
      <c r="AH34" s="11">
        <v>0</v>
      </c>
      <c r="AI34" s="11">
        <v>0</v>
      </c>
      <c r="AJ34" s="11" t="s">
        <v>5044</v>
      </c>
      <c r="AK34" s="11" t="s">
        <v>5318</v>
      </c>
      <c r="AL34" s="11">
        <v>1</v>
      </c>
      <c r="AM34" s="11">
        <v>0</v>
      </c>
      <c r="AN34" s="11" t="s">
        <v>5318</v>
      </c>
      <c r="AO34" s="9">
        <v>0</v>
      </c>
      <c r="AP34" s="11" t="s">
        <v>5318</v>
      </c>
      <c r="AQ34" s="11" t="s">
        <v>5318</v>
      </c>
    </row>
    <row r="35" spans="1:43" ht="63" customHeight="1" x14ac:dyDescent="0.2">
      <c r="A35" s="10">
        <v>432</v>
      </c>
      <c r="B35" s="11" t="s">
        <v>6626</v>
      </c>
      <c r="C35" s="11" t="s">
        <v>162</v>
      </c>
      <c r="D35" s="11">
        <v>2022</v>
      </c>
      <c r="E35" s="11" t="s">
        <v>5318</v>
      </c>
      <c r="F35" s="11">
        <v>25</v>
      </c>
      <c r="G35" s="11">
        <v>6</v>
      </c>
      <c r="H35" s="11" t="s">
        <v>6627</v>
      </c>
      <c r="I35" s="11" t="s">
        <v>6516</v>
      </c>
      <c r="J35" s="11" t="s">
        <v>6628</v>
      </c>
      <c r="K35" s="11" t="s">
        <v>5318</v>
      </c>
      <c r="L35" s="11" t="s">
        <v>5094</v>
      </c>
      <c r="M35" s="11">
        <v>0</v>
      </c>
      <c r="N35" s="9" t="s">
        <v>5044</v>
      </c>
      <c r="O35" s="9" t="s">
        <v>5044</v>
      </c>
      <c r="P35" s="11">
        <v>0</v>
      </c>
      <c r="Q35" s="11">
        <v>0</v>
      </c>
      <c r="R35" s="11">
        <v>0</v>
      </c>
      <c r="S35" s="11">
        <v>9</v>
      </c>
      <c r="T35" s="11">
        <v>4</v>
      </c>
      <c r="U35" s="11">
        <v>90</v>
      </c>
      <c r="V35" s="11">
        <v>0</v>
      </c>
      <c r="W35" s="11">
        <v>1</v>
      </c>
      <c r="X35" s="11">
        <v>0</v>
      </c>
      <c r="Y35" s="11">
        <v>0</v>
      </c>
      <c r="Z35" s="11">
        <v>0</v>
      </c>
      <c r="AA35" s="11">
        <v>0</v>
      </c>
      <c r="AB35" s="11">
        <v>1</v>
      </c>
      <c r="AC35" s="11">
        <v>1</v>
      </c>
      <c r="AD35" s="11" t="s">
        <v>5044</v>
      </c>
      <c r="AE35" s="11" t="s">
        <v>5044</v>
      </c>
      <c r="AF35" s="11" t="s">
        <v>5044</v>
      </c>
      <c r="AG35" s="11">
        <v>2</v>
      </c>
      <c r="AH35" s="11">
        <v>1</v>
      </c>
      <c r="AI35" s="11">
        <v>2</v>
      </c>
      <c r="AJ35" s="11" t="s">
        <v>5044</v>
      </c>
      <c r="AK35" s="11" t="s">
        <v>5318</v>
      </c>
      <c r="AL35" s="11">
        <v>1</v>
      </c>
      <c r="AM35" s="11">
        <v>0</v>
      </c>
      <c r="AN35" s="11" t="s">
        <v>5318</v>
      </c>
      <c r="AO35" s="11">
        <v>1</v>
      </c>
      <c r="AP35" s="11" t="s">
        <v>5318</v>
      </c>
      <c r="AQ35" s="11" t="s">
        <v>5318</v>
      </c>
    </row>
    <row r="36" spans="1:43" ht="63" customHeight="1" x14ac:dyDescent="0.2">
      <c r="A36" s="10">
        <v>440</v>
      </c>
      <c r="B36" s="11" t="s">
        <v>6631</v>
      </c>
      <c r="C36" s="11" t="s">
        <v>167</v>
      </c>
      <c r="D36" s="11">
        <v>2016</v>
      </c>
      <c r="E36" s="11" t="s">
        <v>5318</v>
      </c>
      <c r="F36" s="11">
        <v>33</v>
      </c>
      <c r="G36" s="11">
        <v>3</v>
      </c>
      <c r="H36" s="11" t="s">
        <v>6632</v>
      </c>
      <c r="I36" s="11" t="s">
        <v>6516</v>
      </c>
      <c r="J36" s="11" t="s">
        <v>6633</v>
      </c>
      <c r="K36" s="11" t="s">
        <v>170</v>
      </c>
      <c r="L36" s="11" t="s">
        <v>5044</v>
      </c>
      <c r="M36" s="11">
        <v>0</v>
      </c>
      <c r="N36" s="9" t="s">
        <v>5044</v>
      </c>
      <c r="O36" s="9" t="s">
        <v>5044</v>
      </c>
      <c r="P36" s="11">
        <v>0</v>
      </c>
      <c r="Q36" s="11">
        <v>0</v>
      </c>
      <c r="R36" s="11">
        <v>0</v>
      </c>
      <c r="S36" s="11">
        <v>1</v>
      </c>
      <c r="T36" s="11">
        <v>4</v>
      </c>
      <c r="U36" s="11">
        <v>45</v>
      </c>
      <c r="V36" s="11">
        <v>0</v>
      </c>
      <c r="W36" s="11">
        <v>1</v>
      </c>
      <c r="X36" s="11">
        <v>0</v>
      </c>
      <c r="Y36" s="11">
        <v>0</v>
      </c>
      <c r="Z36" s="11">
        <v>0</v>
      </c>
      <c r="AA36" s="11">
        <v>0</v>
      </c>
      <c r="AB36" s="11">
        <v>1</v>
      </c>
      <c r="AC36" s="11">
        <v>1</v>
      </c>
      <c r="AD36" s="11" t="s">
        <v>5044</v>
      </c>
      <c r="AE36" s="11" t="s">
        <v>5044</v>
      </c>
      <c r="AF36" s="11" t="s">
        <v>5044</v>
      </c>
      <c r="AG36" s="11">
        <v>2</v>
      </c>
      <c r="AH36" s="11">
        <v>1</v>
      </c>
      <c r="AI36" s="11">
        <v>2</v>
      </c>
      <c r="AJ36" s="11" t="s">
        <v>5044</v>
      </c>
      <c r="AK36" s="11" t="s">
        <v>5318</v>
      </c>
      <c r="AL36" s="11">
        <v>0</v>
      </c>
      <c r="AM36" s="11">
        <v>0</v>
      </c>
      <c r="AN36" s="11" t="s">
        <v>5318</v>
      </c>
      <c r="AO36" s="11">
        <v>1</v>
      </c>
      <c r="AP36" s="11" t="s">
        <v>5318</v>
      </c>
      <c r="AQ36" s="11" t="s">
        <v>5318</v>
      </c>
    </row>
    <row r="37" spans="1:43" ht="63" customHeight="1" x14ac:dyDescent="0.2">
      <c r="A37" s="10">
        <v>469</v>
      </c>
      <c r="B37" s="11" t="s">
        <v>6634</v>
      </c>
      <c r="C37" s="11" t="s">
        <v>171</v>
      </c>
      <c r="D37" s="11">
        <v>2020</v>
      </c>
      <c r="E37" s="11" t="s">
        <v>5318</v>
      </c>
      <c r="F37" s="11">
        <v>12</v>
      </c>
      <c r="G37" s="11">
        <v>1</v>
      </c>
      <c r="H37" s="11" t="s">
        <v>6308</v>
      </c>
      <c r="I37" s="11" t="s">
        <v>6516</v>
      </c>
      <c r="J37" s="11" t="s">
        <v>6635</v>
      </c>
      <c r="K37" s="11" t="s">
        <v>173</v>
      </c>
      <c r="L37" s="12" t="s">
        <v>5097</v>
      </c>
      <c r="M37" s="11">
        <v>0</v>
      </c>
      <c r="N37" s="9" t="s">
        <v>5044</v>
      </c>
      <c r="O37" s="9" t="s">
        <v>5044</v>
      </c>
      <c r="P37" s="11">
        <v>0</v>
      </c>
      <c r="Q37" s="11">
        <v>0</v>
      </c>
      <c r="R37" s="11">
        <v>0</v>
      </c>
      <c r="S37" s="11" t="s">
        <v>5096</v>
      </c>
      <c r="T37" s="11">
        <v>4</v>
      </c>
      <c r="U37" s="11">
        <v>118</v>
      </c>
      <c r="V37" s="11">
        <v>0</v>
      </c>
      <c r="W37" s="11">
        <v>1</v>
      </c>
      <c r="X37" s="11">
        <v>0</v>
      </c>
      <c r="Y37" s="11">
        <v>0</v>
      </c>
      <c r="Z37" s="11">
        <v>0</v>
      </c>
      <c r="AA37" s="11">
        <v>0</v>
      </c>
      <c r="AB37" s="11">
        <v>1</v>
      </c>
      <c r="AC37" s="11">
        <v>0</v>
      </c>
      <c r="AD37" s="11" t="s">
        <v>5044</v>
      </c>
      <c r="AE37" s="11" t="s">
        <v>5044</v>
      </c>
      <c r="AF37" s="11" t="s">
        <v>5044</v>
      </c>
      <c r="AG37" s="11">
        <v>0</v>
      </c>
      <c r="AH37" s="11" t="s">
        <v>5044</v>
      </c>
      <c r="AI37" s="11" t="s">
        <v>5044</v>
      </c>
      <c r="AJ37" s="11" t="s">
        <v>5044</v>
      </c>
      <c r="AK37" s="11" t="s">
        <v>5318</v>
      </c>
      <c r="AL37" s="11">
        <v>1</v>
      </c>
      <c r="AM37" s="11">
        <v>0</v>
      </c>
      <c r="AN37" s="11" t="s">
        <v>5318</v>
      </c>
      <c r="AO37" s="11">
        <v>9</v>
      </c>
      <c r="AP37" s="11" t="s">
        <v>5318</v>
      </c>
      <c r="AQ37" s="11" t="s">
        <v>5318</v>
      </c>
    </row>
    <row r="38" spans="1:43" ht="63" customHeight="1" x14ac:dyDescent="0.2">
      <c r="A38" s="10">
        <v>485</v>
      </c>
      <c r="B38" s="11" t="s">
        <v>6639</v>
      </c>
      <c r="C38" s="11" t="s">
        <v>177</v>
      </c>
      <c r="D38" s="11">
        <v>2014</v>
      </c>
      <c r="E38" s="11" t="s">
        <v>5318</v>
      </c>
      <c r="F38" s="11">
        <v>38</v>
      </c>
      <c r="G38" s="11">
        <v>4</v>
      </c>
      <c r="H38" s="11" t="s">
        <v>6640</v>
      </c>
      <c r="I38" s="11" t="s">
        <v>6516</v>
      </c>
      <c r="J38" s="11" t="s">
        <v>6641</v>
      </c>
      <c r="K38" s="11" t="s">
        <v>178</v>
      </c>
      <c r="L38" s="11" t="s">
        <v>5044</v>
      </c>
      <c r="M38" s="11">
        <v>0</v>
      </c>
      <c r="N38" s="9" t="s">
        <v>5044</v>
      </c>
      <c r="O38" s="9" t="s">
        <v>5044</v>
      </c>
      <c r="P38" s="11">
        <v>0</v>
      </c>
      <c r="Q38" s="11">
        <v>0</v>
      </c>
      <c r="R38" s="11">
        <v>0</v>
      </c>
      <c r="S38" s="11">
        <v>1</v>
      </c>
      <c r="T38" s="11">
        <v>4</v>
      </c>
      <c r="U38" s="11">
        <v>100</v>
      </c>
      <c r="V38" s="11">
        <v>0</v>
      </c>
      <c r="W38" s="11">
        <v>1</v>
      </c>
      <c r="X38" s="11">
        <v>0</v>
      </c>
      <c r="Y38" s="11">
        <v>0</v>
      </c>
      <c r="Z38" s="11">
        <v>0</v>
      </c>
      <c r="AA38" s="11">
        <v>0</v>
      </c>
      <c r="AB38" s="11">
        <v>0</v>
      </c>
      <c r="AC38" s="11">
        <v>1</v>
      </c>
      <c r="AD38" s="11" t="s">
        <v>5044</v>
      </c>
      <c r="AE38" s="11" t="s">
        <v>5044</v>
      </c>
      <c r="AF38" s="11" t="s">
        <v>5044</v>
      </c>
      <c r="AG38" s="11">
        <v>1</v>
      </c>
      <c r="AH38" s="11">
        <v>0</v>
      </c>
      <c r="AI38" s="11">
        <v>0</v>
      </c>
      <c r="AJ38" s="11" t="s">
        <v>5044</v>
      </c>
      <c r="AK38" s="11" t="s">
        <v>5318</v>
      </c>
      <c r="AL38" s="11">
        <v>0</v>
      </c>
      <c r="AM38" s="11">
        <v>0</v>
      </c>
      <c r="AN38" s="11" t="s">
        <v>5318</v>
      </c>
      <c r="AO38" s="9">
        <v>0</v>
      </c>
      <c r="AP38" s="11" t="s">
        <v>5318</v>
      </c>
      <c r="AQ38" s="11" t="s">
        <v>5318</v>
      </c>
    </row>
    <row r="39" spans="1:43" ht="63" customHeight="1" x14ac:dyDescent="0.2">
      <c r="A39" s="10">
        <v>489</v>
      </c>
      <c r="B39" s="11" t="s">
        <v>6642</v>
      </c>
      <c r="C39" s="11" t="s">
        <v>179</v>
      </c>
      <c r="D39" s="11">
        <v>2016</v>
      </c>
      <c r="E39" s="11" t="s">
        <v>5318</v>
      </c>
      <c r="F39" s="11">
        <v>388</v>
      </c>
      <c r="G39" s="11">
        <v>10049</v>
      </c>
      <c r="H39" s="11" t="s">
        <v>6349</v>
      </c>
      <c r="I39" s="11" t="s">
        <v>6516</v>
      </c>
      <c r="J39" s="11" t="s">
        <v>6643</v>
      </c>
      <c r="K39" s="11" t="s">
        <v>181</v>
      </c>
      <c r="L39" s="11" t="s">
        <v>5099</v>
      </c>
      <c r="M39" s="11">
        <v>0</v>
      </c>
      <c r="N39" s="9" t="s">
        <v>5044</v>
      </c>
      <c r="O39" s="9" t="s">
        <v>5044</v>
      </c>
      <c r="P39" s="11">
        <v>0</v>
      </c>
      <c r="Q39" s="11">
        <v>0</v>
      </c>
      <c r="R39" s="11">
        <v>0</v>
      </c>
      <c r="S39" s="11">
        <v>3</v>
      </c>
      <c r="T39" s="11">
        <v>5</v>
      </c>
      <c r="U39" s="11">
        <v>326</v>
      </c>
      <c r="V39" s="11">
        <v>0</v>
      </c>
      <c r="W39" s="11">
        <v>1</v>
      </c>
      <c r="X39" s="11">
        <v>0</v>
      </c>
      <c r="Y39" s="11">
        <v>0</v>
      </c>
      <c r="Z39" s="11">
        <v>0</v>
      </c>
      <c r="AA39" s="11">
        <v>0</v>
      </c>
      <c r="AB39" s="11">
        <v>0</v>
      </c>
      <c r="AC39" s="11">
        <v>1</v>
      </c>
      <c r="AD39" s="11" t="s">
        <v>5044</v>
      </c>
      <c r="AE39" s="11" t="s">
        <v>5044</v>
      </c>
      <c r="AF39" s="11" t="s">
        <v>5044</v>
      </c>
      <c r="AG39" s="11">
        <v>1</v>
      </c>
      <c r="AH39" s="11">
        <v>0</v>
      </c>
      <c r="AI39" s="11">
        <v>0</v>
      </c>
      <c r="AJ39" s="11" t="s">
        <v>5044</v>
      </c>
      <c r="AK39" s="11" t="s">
        <v>5318</v>
      </c>
      <c r="AL39" s="11">
        <v>0</v>
      </c>
      <c r="AM39" s="11">
        <v>0</v>
      </c>
      <c r="AN39" s="11" t="s">
        <v>5318</v>
      </c>
      <c r="AO39" s="9">
        <v>0</v>
      </c>
      <c r="AP39" s="11" t="s">
        <v>5318</v>
      </c>
      <c r="AQ39" s="11" t="s">
        <v>5318</v>
      </c>
    </row>
    <row r="40" spans="1:43" ht="63" customHeight="1" x14ac:dyDescent="0.2">
      <c r="A40" s="10">
        <v>515</v>
      </c>
      <c r="B40" s="11" t="s">
        <v>6644</v>
      </c>
      <c r="C40" s="11" t="s">
        <v>182</v>
      </c>
      <c r="D40" s="11">
        <v>2017</v>
      </c>
      <c r="E40" s="11" t="s">
        <v>5318</v>
      </c>
      <c r="F40" s="11">
        <v>7</v>
      </c>
      <c r="G40" s="11" t="s">
        <v>5318</v>
      </c>
      <c r="H40" s="11" t="s">
        <v>6645</v>
      </c>
      <c r="I40" s="11" t="s">
        <v>6516</v>
      </c>
      <c r="J40" s="11" t="s">
        <v>6646</v>
      </c>
      <c r="K40" s="11" t="s">
        <v>184</v>
      </c>
      <c r="L40" s="11" t="s">
        <v>5100</v>
      </c>
      <c r="M40" s="11">
        <v>0</v>
      </c>
      <c r="N40" s="9" t="s">
        <v>5044</v>
      </c>
      <c r="O40" s="9" t="s">
        <v>5044</v>
      </c>
      <c r="P40" s="11">
        <v>0</v>
      </c>
      <c r="Q40" s="11">
        <v>0</v>
      </c>
      <c r="R40" s="11">
        <v>0</v>
      </c>
      <c r="S40" s="11">
        <v>1</v>
      </c>
      <c r="T40" s="11">
        <v>4</v>
      </c>
      <c r="U40" s="11">
        <v>590</v>
      </c>
      <c r="V40" s="11">
        <v>0</v>
      </c>
      <c r="W40" s="11">
        <v>1</v>
      </c>
      <c r="X40" s="11">
        <v>0</v>
      </c>
      <c r="Y40" s="11">
        <v>0</v>
      </c>
      <c r="Z40" s="11">
        <v>0</v>
      </c>
      <c r="AA40" s="11">
        <v>0</v>
      </c>
      <c r="AB40" s="11">
        <v>1</v>
      </c>
      <c r="AC40" s="11">
        <v>1</v>
      </c>
      <c r="AD40" s="11" t="s">
        <v>5044</v>
      </c>
      <c r="AE40" s="11" t="s">
        <v>5044</v>
      </c>
      <c r="AF40" s="11" t="s">
        <v>5044</v>
      </c>
      <c r="AG40" s="11">
        <v>1</v>
      </c>
      <c r="AH40" s="11">
        <v>0</v>
      </c>
      <c r="AI40" s="11">
        <v>0</v>
      </c>
      <c r="AJ40" s="11" t="s">
        <v>5044</v>
      </c>
      <c r="AK40" s="11" t="s">
        <v>5318</v>
      </c>
      <c r="AL40" s="11">
        <v>1</v>
      </c>
      <c r="AM40" s="11">
        <v>0</v>
      </c>
      <c r="AN40" s="11" t="s">
        <v>5318</v>
      </c>
      <c r="AO40" s="9">
        <v>0</v>
      </c>
      <c r="AP40" s="11" t="s">
        <v>5318</v>
      </c>
      <c r="AQ40" s="11" t="s">
        <v>5318</v>
      </c>
    </row>
    <row r="41" spans="1:43" ht="63" customHeight="1" x14ac:dyDescent="0.2">
      <c r="A41" s="10">
        <v>519</v>
      </c>
      <c r="B41" s="11" t="s">
        <v>6647</v>
      </c>
      <c r="C41" s="11" t="s">
        <v>185</v>
      </c>
      <c r="D41" s="11">
        <v>2022</v>
      </c>
      <c r="E41" s="11" t="s">
        <v>5318</v>
      </c>
      <c r="F41" s="11">
        <v>275</v>
      </c>
      <c r="G41" s="11">
        <v>4</v>
      </c>
      <c r="H41" s="11" t="s">
        <v>6533</v>
      </c>
      <c r="I41" s="11" t="s">
        <v>6516</v>
      </c>
      <c r="J41" s="11" t="s">
        <v>6648</v>
      </c>
      <c r="K41" s="11" t="s">
        <v>187</v>
      </c>
      <c r="L41" s="11" t="s">
        <v>5101</v>
      </c>
      <c r="M41" s="11">
        <v>0</v>
      </c>
      <c r="N41" s="9" t="s">
        <v>5044</v>
      </c>
      <c r="O41" s="9" t="s">
        <v>5044</v>
      </c>
      <c r="P41" s="11">
        <v>0</v>
      </c>
      <c r="Q41" s="11">
        <v>0</v>
      </c>
      <c r="R41" s="11">
        <v>0</v>
      </c>
      <c r="S41" s="11">
        <v>7</v>
      </c>
      <c r="T41" s="11">
        <v>4</v>
      </c>
      <c r="U41" s="11">
        <v>362</v>
      </c>
      <c r="V41" s="11">
        <v>0</v>
      </c>
      <c r="W41" s="11">
        <v>1</v>
      </c>
      <c r="X41" s="11">
        <v>0</v>
      </c>
      <c r="Y41" s="11">
        <v>0</v>
      </c>
      <c r="Z41" s="11">
        <v>0</v>
      </c>
      <c r="AA41" s="11">
        <v>0</v>
      </c>
      <c r="AB41" s="11">
        <v>1</v>
      </c>
      <c r="AC41" s="11">
        <v>1</v>
      </c>
      <c r="AD41" s="11" t="s">
        <v>5044</v>
      </c>
      <c r="AE41" s="11" t="s">
        <v>5044</v>
      </c>
      <c r="AF41" s="11" t="s">
        <v>5044</v>
      </c>
      <c r="AG41" s="11">
        <v>2</v>
      </c>
      <c r="AH41" s="11">
        <v>1</v>
      </c>
      <c r="AI41" s="11">
        <v>2</v>
      </c>
      <c r="AJ41" s="11" t="s">
        <v>5044</v>
      </c>
      <c r="AK41" s="11" t="s">
        <v>5318</v>
      </c>
      <c r="AL41" s="11">
        <v>1</v>
      </c>
      <c r="AM41" s="11">
        <v>0</v>
      </c>
      <c r="AN41" s="11" t="s">
        <v>5318</v>
      </c>
      <c r="AO41" s="11">
        <v>1</v>
      </c>
      <c r="AP41" s="11" t="s">
        <v>5318</v>
      </c>
      <c r="AQ41" s="11" t="s">
        <v>5318</v>
      </c>
    </row>
    <row r="42" spans="1:43" ht="63" customHeight="1" x14ac:dyDescent="0.2">
      <c r="A42" s="10">
        <v>539</v>
      </c>
      <c r="B42" s="11" t="s">
        <v>6649</v>
      </c>
      <c r="C42" s="11" t="s">
        <v>188</v>
      </c>
      <c r="D42" s="11">
        <v>2017</v>
      </c>
      <c r="E42" s="11" t="s">
        <v>5318</v>
      </c>
      <c r="F42" s="11">
        <v>7</v>
      </c>
      <c r="G42" s="11">
        <v>1</v>
      </c>
      <c r="H42" s="11" t="s">
        <v>6645</v>
      </c>
      <c r="I42" s="11" t="s">
        <v>6516</v>
      </c>
      <c r="J42" s="11" t="s">
        <v>6650</v>
      </c>
      <c r="K42" s="11" t="s">
        <v>189</v>
      </c>
      <c r="L42" s="12" t="s">
        <v>5104</v>
      </c>
      <c r="M42" s="11">
        <v>0</v>
      </c>
      <c r="N42" s="9" t="s">
        <v>5044</v>
      </c>
      <c r="O42" s="9" t="s">
        <v>5044</v>
      </c>
      <c r="P42" s="11">
        <v>0</v>
      </c>
      <c r="Q42" s="11">
        <v>0</v>
      </c>
      <c r="R42" s="11">
        <v>0</v>
      </c>
      <c r="S42" s="11">
        <v>1</v>
      </c>
      <c r="T42" s="11">
        <v>4</v>
      </c>
      <c r="U42" s="11">
        <v>140</v>
      </c>
      <c r="V42" s="11">
        <v>0</v>
      </c>
      <c r="W42" s="11">
        <v>1</v>
      </c>
      <c r="X42" s="11">
        <v>0</v>
      </c>
      <c r="Y42" s="11">
        <v>0</v>
      </c>
      <c r="Z42" s="11">
        <v>0</v>
      </c>
      <c r="AA42" s="11">
        <v>0</v>
      </c>
      <c r="AB42" s="11">
        <v>1</v>
      </c>
      <c r="AC42" s="11">
        <v>1</v>
      </c>
      <c r="AD42" s="11" t="s">
        <v>5044</v>
      </c>
      <c r="AE42" s="11" t="s">
        <v>5044</v>
      </c>
      <c r="AF42" s="11" t="s">
        <v>5044</v>
      </c>
      <c r="AG42" s="11">
        <v>1</v>
      </c>
      <c r="AH42" s="11">
        <v>0</v>
      </c>
      <c r="AI42" s="11">
        <v>0</v>
      </c>
      <c r="AJ42" s="11" t="s">
        <v>5044</v>
      </c>
      <c r="AK42" s="11" t="s">
        <v>5318</v>
      </c>
      <c r="AL42" s="11" t="s">
        <v>5041</v>
      </c>
      <c r="AM42" s="11">
        <v>0</v>
      </c>
      <c r="AN42" s="11" t="s">
        <v>5105</v>
      </c>
      <c r="AO42" s="9">
        <v>0</v>
      </c>
      <c r="AP42" s="11" t="s">
        <v>5318</v>
      </c>
      <c r="AQ42" s="11" t="s">
        <v>5318</v>
      </c>
    </row>
    <row r="43" spans="1:43" ht="63" customHeight="1" x14ac:dyDescent="0.2">
      <c r="A43" s="10">
        <v>545</v>
      </c>
      <c r="B43" s="11" t="s">
        <v>6651</v>
      </c>
      <c r="C43" s="11" t="s">
        <v>190</v>
      </c>
      <c r="D43" s="11">
        <v>2022</v>
      </c>
      <c r="E43" s="11" t="s">
        <v>5318</v>
      </c>
      <c r="F43" s="11">
        <v>49</v>
      </c>
      <c r="G43" s="11" t="s">
        <v>5318</v>
      </c>
      <c r="H43" s="11" t="s">
        <v>6652</v>
      </c>
      <c r="I43" s="11" t="s">
        <v>6516</v>
      </c>
      <c r="J43" s="11" t="s">
        <v>6653</v>
      </c>
      <c r="K43" s="11" t="s">
        <v>192</v>
      </c>
      <c r="L43" s="11" t="s">
        <v>5106</v>
      </c>
      <c r="M43" s="11">
        <v>0</v>
      </c>
      <c r="N43" s="9" t="s">
        <v>5044</v>
      </c>
      <c r="O43" s="9" t="s">
        <v>5044</v>
      </c>
      <c r="P43" s="11">
        <v>0</v>
      </c>
      <c r="Q43" s="11">
        <v>0</v>
      </c>
      <c r="R43" s="11">
        <v>0</v>
      </c>
      <c r="S43" s="11">
        <v>1</v>
      </c>
      <c r="T43" s="11">
        <v>4</v>
      </c>
      <c r="U43" s="11">
        <v>105</v>
      </c>
      <c r="V43" s="11">
        <v>0</v>
      </c>
      <c r="W43" s="11">
        <v>1</v>
      </c>
      <c r="X43" s="11">
        <v>0</v>
      </c>
      <c r="Y43" s="11">
        <v>0</v>
      </c>
      <c r="Z43" s="11">
        <v>0</v>
      </c>
      <c r="AA43" s="11">
        <v>0</v>
      </c>
      <c r="AB43" s="11">
        <v>1</v>
      </c>
      <c r="AC43" s="11">
        <v>1</v>
      </c>
      <c r="AD43" s="11" t="s">
        <v>5044</v>
      </c>
      <c r="AE43" s="11" t="s">
        <v>5044</v>
      </c>
      <c r="AF43" s="11" t="s">
        <v>5044</v>
      </c>
      <c r="AG43" s="11">
        <v>1</v>
      </c>
      <c r="AH43" s="11">
        <v>0</v>
      </c>
      <c r="AI43" s="11">
        <v>0</v>
      </c>
      <c r="AJ43" s="11" t="s">
        <v>5044</v>
      </c>
      <c r="AK43" s="11" t="s">
        <v>5318</v>
      </c>
      <c r="AL43" s="11">
        <v>1</v>
      </c>
      <c r="AM43" s="11">
        <v>0</v>
      </c>
      <c r="AN43" s="11" t="s">
        <v>5318</v>
      </c>
      <c r="AO43" s="9">
        <v>0</v>
      </c>
      <c r="AP43" s="11" t="s">
        <v>5318</v>
      </c>
      <c r="AQ43" s="11" t="s">
        <v>5318</v>
      </c>
    </row>
    <row r="44" spans="1:43" ht="63" customHeight="1" x14ac:dyDescent="0.2">
      <c r="A44" s="10">
        <v>547</v>
      </c>
      <c r="B44" s="11" t="s">
        <v>6654</v>
      </c>
      <c r="C44" s="11" t="s">
        <v>193</v>
      </c>
      <c r="D44" s="11">
        <v>2022</v>
      </c>
      <c r="E44" s="11" t="s">
        <v>5318</v>
      </c>
      <c r="F44" s="11">
        <v>41</v>
      </c>
      <c r="G44" s="11">
        <v>6</v>
      </c>
      <c r="H44" s="11" t="s">
        <v>6592</v>
      </c>
      <c r="I44" s="11" t="s">
        <v>6516</v>
      </c>
      <c r="J44" s="11" t="s">
        <v>6655</v>
      </c>
      <c r="K44" s="11" t="s">
        <v>195</v>
      </c>
      <c r="L44" s="11" t="s">
        <v>5107</v>
      </c>
      <c r="M44" s="11">
        <v>0</v>
      </c>
      <c r="N44" s="9" t="s">
        <v>5044</v>
      </c>
      <c r="O44" s="9" t="s">
        <v>5044</v>
      </c>
      <c r="P44" s="11">
        <v>0</v>
      </c>
      <c r="Q44" s="11">
        <v>0</v>
      </c>
      <c r="R44" s="11">
        <v>0</v>
      </c>
      <c r="S44" s="11">
        <v>1</v>
      </c>
      <c r="T44" s="11">
        <v>4</v>
      </c>
      <c r="U44" s="11">
        <v>123</v>
      </c>
      <c r="V44" s="11">
        <v>1</v>
      </c>
      <c r="W44" s="11">
        <v>0</v>
      </c>
      <c r="X44" s="11">
        <v>0</v>
      </c>
      <c r="Y44" s="11">
        <v>0</v>
      </c>
      <c r="Z44" s="11">
        <v>0</v>
      </c>
      <c r="AA44" s="11">
        <v>0</v>
      </c>
      <c r="AB44" s="11">
        <v>1</v>
      </c>
      <c r="AC44" s="11">
        <v>1</v>
      </c>
      <c r="AD44" s="11">
        <v>2</v>
      </c>
      <c r="AE44" s="11">
        <v>2</v>
      </c>
      <c r="AF44" s="11">
        <v>2</v>
      </c>
      <c r="AG44" s="11" t="s">
        <v>5044</v>
      </c>
      <c r="AH44" s="11" t="s">
        <v>5044</v>
      </c>
      <c r="AI44" s="11" t="s">
        <v>5044</v>
      </c>
      <c r="AJ44" s="11" t="s">
        <v>5044</v>
      </c>
      <c r="AK44" s="11" t="s">
        <v>5318</v>
      </c>
      <c r="AL44" s="11" t="s">
        <v>5041</v>
      </c>
      <c r="AM44" s="11">
        <v>0</v>
      </c>
      <c r="AN44" s="11" t="s">
        <v>5105</v>
      </c>
      <c r="AO44" s="11">
        <v>2</v>
      </c>
      <c r="AP44" s="11" t="s">
        <v>5318</v>
      </c>
      <c r="AQ44" s="11" t="s">
        <v>5318</v>
      </c>
    </row>
    <row r="45" spans="1:43" ht="63" customHeight="1" x14ac:dyDescent="0.2">
      <c r="A45" s="10">
        <v>563</v>
      </c>
      <c r="B45" s="11" t="s">
        <v>6656</v>
      </c>
      <c r="C45" s="11" t="s">
        <v>196</v>
      </c>
      <c r="D45" s="11">
        <v>2017</v>
      </c>
      <c r="E45" s="11" t="s">
        <v>5318</v>
      </c>
      <c r="F45" s="11">
        <v>23</v>
      </c>
      <c r="G45" s="11">
        <v>34</v>
      </c>
      <c r="H45" s="11" t="s">
        <v>6657</v>
      </c>
      <c r="I45" s="11" t="s">
        <v>6516</v>
      </c>
      <c r="J45" s="11" t="s">
        <v>6658</v>
      </c>
      <c r="K45" s="11" t="s">
        <v>199</v>
      </c>
      <c r="L45" s="12" t="s">
        <v>5108</v>
      </c>
      <c r="M45" s="11">
        <v>0</v>
      </c>
      <c r="N45" s="9" t="s">
        <v>5044</v>
      </c>
      <c r="O45" s="9" t="s">
        <v>5044</v>
      </c>
      <c r="P45" s="11">
        <v>0</v>
      </c>
      <c r="Q45" s="11">
        <v>0</v>
      </c>
      <c r="R45" s="11">
        <v>0</v>
      </c>
      <c r="S45" s="11">
        <v>1</v>
      </c>
      <c r="T45" s="11">
        <v>4</v>
      </c>
      <c r="U45" s="11">
        <v>158</v>
      </c>
      <c r="V45" s="11">
        <v>0</v>
      </c>
      <c r="W45" s="11">
        <v>1</v>
      </c>
      <c r="X45" s="11">
        <v>0</v>
      </c>
      <c r="Y45" s="11">
        <v>0</v>
      </c>
      <c r="Z45" s="11">
        <v>0</v>
      </c>
      <c r="AA45" s="11">
        <v>0</v>
      </c>
      <c r="AB45" s="11">
        <v>0</v>
      </c>
      <c r="AC45" s="11">
        <v>1</v>
      </c>
      <c r="AD45" s="11" t="s">
        <v>5044</v>
      </c>
      <c r="AE45" s="11" t="s">
        <v>5044</v>
      </c>
      <c r="AF45" s="11" t="s">
        <v>5044</v>
      </c>
      <c r="AG45" s="11">
        <v>2</v>
      </c>
      <c r="AH45" s="11">
        <v>3</v>
      </c>
      <c r="AI45" s="11">
        <v>0</v>
      </c>
      <c r="AJ45" s="11" t="s">
        <v>5044</v>
      </c>
      <c r="AK45" s="11" t="s">
        <v>5318</v>
      </c>
      <c r="AL45" s="11" t="s">
        <v>5041</v>
      </c>
      <c r="AM45" s="11">
        <v>0</v>
      </c>
      <c r="AN45" s="11" t="s">
        <v>5105</v>
      </c>
      <c r="AO45" s="11">
        <v>3</v>
      </c>
      <c r="AP45" s="11" t="s">
        <v>5318</v>
      </c>
      <c r="AQ45" s="11" t="s">
        <v>5318</v>
      </c>
    </row>
    <row r="46" spans="1:43" ht="63" customHeight="1" x14ac:dyDescent="0.2">
      <c r="A46" s="10">
        <v>569</v>
      </c>
      <c r="B46" s="11" t="s">
        <v>6659</v>
      </c>
      <c r="C46" s="11" t="s">
        <v>200</v>
      </c>
      <c r="D46" s="11">
        <v>2021</v>
      </c>
      <c r="E46" s="11" t="s">
        <v>5318</v>
      </c>
      <c r="F46" s="11">
        <v>133</v>
      </c>
      <c r="G46" s="11">
        <v>4</v>
      </c>
      <c r="H46" s="11" t="s">
        <v>6660</v>
      </c>
      <c r="I46" s="11" t="s">
        <v>6516</v>
      </c>
      <c r="J46" s="11" t="s">
        <v>6661</v>
      </c>
      <c r="K46" s="11" t="s">
        <v>203</v>
      </c>
      <c r="L46" s="12" t="s">
        <v>5109</v>
      </c>
      <c r="M46" s="11">
        <v>0</v>
      </c>
      <c r="N46" s="9" t="s">
        <v>5044</v>
      </c>
      <c r="O46" s="9" t="s">
        <v>5044</v>
      </c>
      <c r="P46" s="11">
        <v>1</v>
      </c>
      <c r="Q46" s="11">
        <v>0</v>
      </c>
      <c r="R46" s="11">
        <v>0</v>
      </c>
      <c r="S46" s="11">
        <v>9</v>
      </c>
      <c r="T46" s="11">
        <v>5</v>
      </c>
      <c r="U46" s="11">
        <v>72</v>
      </c>
      <c r="V46" s="11">
        <v>0</v>
      </c>
      <c r="W46" s="11">
        <v>1</v>
      </c>
      <c r="X46" s="11">
        <v>0</v>
      </c>
      <c r="Y46" s="11">
        <v>0</v>
      </c>
      <c r="Z46" s="11">
        <v>0</v>
      </c>
      <c r="AA46" s="11">
        <v>0</v>
      </c>
      <c r="AB46" s="11">
        <v>1</v>
      </c>
      <c r="AC46" s="11">
        <v>1</v>
      </c>
      <c r="AD46" s="11" t="s">
        <v>5044</v>
      </c>
      <c r="AE46" s="11" t="s">
        <v>5044</v>
      </c>
      <c r="AF46" s="11" t="s">
        <v>5044</v>
      </c>
      <c r="AG46" s="11">
        <v>1</v>
      </c>
      <c r="AH46" s="11">
        <v>0</v>
      </c>
      <c r="AI46" s="11">
        <v>0</v>
      </c>
      <c r="AJ46" s="11" t="s">
        <v>5044</v>
      </c>
      <c r="AK46" s="11" t="s">
        <v>5318</v>
      </c>
      <c r="AL46" s="11">
        <v>0</v>
      </c>
      <c r="AM46" s="11">
        <v>0</v>
      </c>
      <c r="AN46" s="11" t="s">
        <v>5318</v>
      </c>
      <c r="AO46" s="9">
        <v>0</v>
      </c>
      <c r="AP46" s="11" t="s">
        <v>5318</v>
      </c>
      <c r="AQ46" s="11" t="s">
        <v>5318</v>
      </c>
    </row>
    <row r="47" spans="1:43" ht="63" customHeight="1" x14ac:dyDescent="0.2">
      <c r="A47" s="10">
        <v>585</v>
      </c>
      <c r="B47" s="11" t="s">
        <v>6665</v>
      </c>
      <c r="C47" s="11" t="s">
        <v>206</v>
      </c>
      <c r="D47" s="11">
        <v>2023</v>
      </c>
      <c r="E47" s="11" t="s">
        <v>5318</v>
      </c>
      <c r="F47" s="11">
        <v>37</v>
      </c>
      <c r="G47" s="11">
        <v>8</v>
      </c>
      <c r="H47" s="11" t="s">
        <v>6624</v>
      </c>
      <c r="I47" s="11" t="s">
        <v>6516</v>
      </c>
      <c r="J47" s="11" t="s">
        <v>6666</v>
      </c>
      <c r="K47" s="11" t="s">
        <v>207</v>
      </c>
      <c r="L47" s="11" t="s">
        <v>5110</v>
      </c>
      <c r="M47" s="11">
        <v>0</v>
      </c>
      <c r="N47" s="9" t="s">
        <v>5044</v>
      </c>
      <c r="O47" s="9" t="s">
        <v>5044</v>
      </c>
      <c r="P47" s="11">
        <v>0</v>
      </c>
      <c r="Q47" s="11">
        <v>0</v>
      </c>
      <c r="R47" s="11">
        <v>0</v>
      </c>
      <c r="S47" s="11">
        <v>1</v>
      </c>
      <c r="T47" s="11">
        <v>4</v>
      </c>
      <c r="U47" s="11">
        <v>30</v>
      </c>
      <c r="V47" s="11">
        <v>1</v>
      </c>
      <c r="W47" s="11">
        <v>0</v>
      </c>
      <c r="X47" s="11">
        <v>0</v>
      </c>
      <c r="Y47" s="11">
        <v>0</v>
      </c>
      <c r="Z47" s="11">
        <v>0</v>
      </c>
      <c r="AA47" s="11">
        <v>0</v>
      </c>
      <c r="AB47" s="11">
        <v>1</v>
      </c>
      <c r="AC47" s="11">
        <v>1</v>
      </c>
      <c r="AD47" s="11">
        <v>2</v>
      </c>
      <c r="AE47" s="11">
        <v>3</v>
      </c>
      <c r="AF47" s="11">
        <v>0</v>
      </c>
      <c r="AG47" s="22" t="s">
        <v>5044</v>
      </c>
      <c r="AH47" s="11" t="s">
        <v>5044</v>
      </c>
      <c r="AI47" s="11" t="s">
        <v>5044</v>
      </c>
      <c r="AJ47" s="11" t="s">
        <v>5044</v>
      </c>
      <c r="AK47" s="11" t="s">
        <v>5318</v>
      </c>
      <c r="AL47" s="11">
        <v>0</v>
      </c>
      <c r="AM47" s="11">
        <v>0</v>
      </c>
      <c r="AN47" s="11" t="s">
        <v>5318</v>
      </c>
      <c r="AO47" s="11">
        <v>3</v>
      </c>
      <c r="AP47" s="11" t="s">
        <v>5318</v>
      </c>
      <c r="AQ47" s="11" t="s">
        <v>5318</v>
      </c>
    </row>
    <row r="48" spans="1:43" ht="63" customHeight="1" x14ac:dyDescent="0.2">
      <c r="A48" s="10">
        <v>607</v>
      </c>
      <c r="B48" s="11" t="s">
        <v>6667</v>
      </c>
      <c r="C48" s="11" t="s">
        <v>208</v>
      </c>
      <c r="D48" s="11">
        <v>2015</v>
      </c>
      <c r="E48" s="11" t="s">
        <v>5318</v>
      </c>
      <c r="F48" s="11">
        <v>32</v>
      </c>
      <c r="G48" s="11">
        <v>5</v>
      </c>
      <c r="H48" s="11" t="s">
        <v>6632</v>
      </c>
      <c r="I48" s="11" t="s">
        <v>6516</v>
      </c>
      <c r="J48" s="11" t="s">
        <v>6668</v>
      </c>
      <c r="K48" s="11" t="s">
        <v>209</v>
      </c>
      <c r="L48" s="11" t="s">
        <v>5111</v>
      </c>
      <c r="M48" s="11">
        <v>0</v>
      </c>
      <c r="N48" s="9" t="s">
        <v>5044</v>
      </c>
      <c r="O48" s="9" t="s">
        <v>5044</v>
      </c>
      <c r="P48" s="11">
        <v>0</v>
      </c>
      <c r="Q48" s="11">
        <v>0</v>
      </c>
      <c r="R48" s="11">
        <v>0</v>
      </c>
      <c r="S48" s="11">
        <v>1</v>
      </c>
      <c r="T48" s="11">
        <v>4</v>
      </c>
      <c r="U48" s="11">
        <v>63</v>
      </c>
      <c r="V48" s="11">
        <v>1</v>
      </c>
      <c r="W48" s="11">
        <v>0</v>
      </c>
      <c r="X48" s="11">
        <v>0</v>
      </c>
      <c r="Y48" s="11">
        <v>0</v>
      </c>
      <c r="Z48" s="11">
        <v>0</v>
      </c>
      <c r="AA48" s="11">
        <v>0</v>
      </c>
      <c r="AB48" s="11">
        <v>1</v>
      </c>
      <c r="AC48" s="11">
        <v>1</v>
      </c>
      <c r="AD48" s="11">
        <v>1</v>
      </c>
      <c r="AE48" s="11">
        <v>0</v>
      </c>
      <c r="AF48" s="11">
        <v>0</v>
      </c>
      <c r="AG48" s="11" t="s">
        <v>5044</v>
      </c>
      <c r="AH48" s="11" t="s">
        <v>5044</v>
      </c>
      <c r="AI48" s="11" t="s">
        <v>5044</v>
      </c>
      <c r="AJ48" s="11" t="s">
        <v>5044</v>
      </c>
      <c r="AK48" s="11" t="s">
        <v>5318</v>
      </c>
      <c r="AL48" s="11">
        <v>1</v>
      </c>
      <c r="AM48" s="11">
        <v>0</v>
      </c>
      <c r="AN48" s="11" t="s">
        <v>5318</v>
      </c>
      <c r="AO48" s="9">
        <v>0</v>
      </c>
      <c r="AP48" s="11" t="s">
        <v>5318</v>
      </c>
      <c r="AQ48" s="11" t="s">
        <v>5318</v>
      </c>
    </row>
    <row r="49" spans="1:43" ht="63" customHeight="1" x14ac:dyDescent="0.2">
      <c r="A49" s="10">
        <v>612</v>
      </c>
      <c r="B49" s="11" t="s">
        <v>6669</v>
      </c>
      <c r="C49" s="11" t="s">
        <v>210</v>
      </c>
      <c r="D49" s="11">
        <v>2018</v>
      </c>
      <c r="E49" s="11" t="s">
        <v>5318</v>
      </c>
      <c r="F49" s="11">
        <v>2</v>
      </c>
      <c r="G49" s="11">
        <v>6</v>
      </c>
      <c r="H49" s="11" t="s">
        <v>6670</v>
      </c>
      <c r="I49" s="11" t="s">
        <v>6516</v>
      </c>
      <c r="J49" s="11" t="s">
        <v>6671</v>
      </c>
      <c r="K49" s="11" t="s">
        <v>212</v>
      </c>
      <c r="L49" s="11" t="s">
        <v>5112</v>
      </c>
      <c r="M49" s="11">
        <v>0</v>
      </c>
      <c r="N49" s="9" t="s">
        <v>5044</v>
      </c>
      <c r="O49" s="9" t="s">
        <v>5044</v>
      </c>
      <c r="P49" s="11">
        <v>0</v>
      </c>
      <c r="Q49" s="11">
        <v>0</v>
      </c>
      <c r="R49" s="11">
        <v>0</v>
      </c>
      <c r="S49" s="11">
        <v>1</v>
      </c>
      <c r="T49" s="11">
        <v>4</v>
      </c>
      <c r="U49" s="11">
        <v>89</v>
      </c>
      <c r="V49" s="11">
        <v>0</v>
      </c>
      <c r="W49" s="11">
        <v>1</v>
      </c>
      <c r="X49" s="11">
        <v>0</v>
      </c>
      <c r="Y49" s="11">
        <v>0</v>
      </c>
      <c r="Z49" s="11">
        <v>0</v>
      </c>
      <c r="AA49" s="11">
        <v>0</v>
      </c>
      <c r="AB49" s="11">
        <v>1</v>
      </c>
      <c r="AC49" s="11">
        <v>1</v>
      </c>
      <c r="AD49" s="11" t="s">
        <v>5044</v>
      </c>
      <c r="AE49" s="11" t="s">
        <v>5044</v>
      </c>
      <c r="AF49" s="11" t="s">
        <v>5044</v>
      </c>
      <c r="AG49" s="11">
        <v>2</v>
      </c>
      <c r="AH49" s="11">
        <v>1</v>
      </c>
      <c r="AI49" s="11">
        <v>2</v>
      </c>
      <c r="AJ49" s="11" t="s">
        <v>5044</v>
      </c>
      <c r="AK49" s="11" t="s">
        <v>5318</v>
      </c>
      <c r="AL49" s="11">
        <v>1</v>
      </c>
      <c r="AM49" s="11">
        <v>0</v>
      </c>
      <c r="AN49" s="11" t="s">
        <v>5318</v>
      </c>
      <c r="AO49" s="11">
        <v>1</v>
      </c>
      <c r="AP49" s="11" t="s">
        <v>5318</v>
      </c>
      <c r="AQ49" s="11" t="s">
        <v>5318</v>
      </c>
    </row>
    <row r="50" spans="1:43" ht="63" customHeight="1" x14ac:dyDescent="0.2">
      <c r="A50" s="10">
        <v>636</v>
      </c>
      <c r="B50" s="11" t="s">
        <v>6672</v>
      </c>
      <c r="C50" s="11" t="s">
        <v>213</v>
      </c>
      <c r="D50" s="11">
        <v>2020</v>
      </c>
      <c r="E50" s="11" t="s">
        <v>5318</v>
      </c>
      <c r="F50" s="11">
        <v>13</v>
      </c>
      <c r="G50" s="11" t="s">
        <v>5318</v>
      </c>
      <c r="H50" s="11" t="s">
        <v>6673</v>
      </c>
      <c r="I50" s="11" t="s">
        <v>6516</v>
      </c>
      <c r="J50" s="11" t="s">
        <v>6674</v>
      </c>
      <c r="K50" s="11" t="s">
        <v>214</v>
      </c>
      <c r="L50" s="11" t="s">
        <v>5113</v>
      </c>
      <c r="M50" s="11">
        <v>0</v>
      </c>
      <c r="N50" s="9" t="s">
        <v>5044</v>
      </c>
      <c r="O50" s="9" t="s">
        <v>5044</v>
      </c>
      <c r="P50" s="11">
        <v>0</v>
      </c>
      <c r="Q50" s="11">
        <v>0</v>
      </c>
      <c r="R50" s="11">
        <v>0</v>
      </c>
      <c r="S50" s="11">
        <v>1</v>
      </c>
      <c r="T50" s="11">
        <v>4</v>
      </c>
      <c r="U50" s="11">
        <v>60</v>
      </c>
      <c r="V50" s="11">
        <v>0</v>
      </c>
      <c r="W50" s="11">
        <v>1</v>
      </c>
      <c r="X50" s="11">
        <v>0</v>
      </c>
      <c r="Y50" s="11">
        <v>0</v>
      </c>
      <c r="Z50" s="11">
        <v>0</v>
      </c>
      <c r="AA50" s="11">
        <v>0</v>
      </c>
      <c r="AB50" s="11">
        <v>1</v>
      </c>
      <c r="AC50" s="11">
        <v>1</v>
      </c>
      <c r="AD50" s="11" t="s">
        <v>5044</v>
      </c>
      <c r="AE50" s="11" t="s">
        <v>5044</v>
      </c>
      <c r="AF50" s="11" t="s">
        <v>5044</v>
      </c>
      <c r="AG50" s="11">
        <v>2</v>
      </c>
      <c r="AH50" s="11">
        <v>1</v>
      </c>
      <c r="AI50" s="11">
        <v>2</v>
      </c>
      <c r="AJ50" s="11" t="s">
        <v>5044</v>
      </c>
      <c r="AK50" s="11" t="s">
        <v>5318</v>
      </c>
      <c r="AL50" s="11">
        <v>0</v>
      </c>
      <c r="AM50" s="11">
        <v>0</v>
      </c>
      <c r="AN50" s="11" t="s">
        <v>5318</v>
      </c>
      <c r="AO50" s="11">
        <v>1</v>
      </c>
      <c r="AP50" s="11" t="s">
        <v>5318</v>
      </c>
      <c r="AQ50" s="11" t="s">
        <v>5318</v>
      </c>
    </row>
    <row r="51" spans="1:43" ht="63" customHeight="1" x14ac:dyDescent="0.2">
      <c r="A51" s="10">
        <v>646</v>
      </c>
      <c r="B51" s="11" t="s">
        <v>6675</v>
      </c>
      <c r="C51" s="11" t="s">
        <v>215</v>
      </c>
      <c r="D51" s="11">
        <v>2021</v>
      </c>
      <c r="E51" s="11" t="s">
        <v>5318</v>
      </c>
      <c r="F51" s="11">
        <v>156</v>
      </c>
      <c r="G51" s="11">
        <v>5</v>
      </c>
      <c r="H51" s="11" t="s">
        <v>6676</v>
      </c>
      <c r="I51" s="11" t="s">
        <v>6516</v>
      </c>
      <c r="J51" s="11" t="s">
        <v>6677</v>
      </c>
      <c r="K51" s="11" t="s">
        <v>218</v>
      </c>
      <c r="L51" s="11" t="s">
        <v>5114</v>
      </c>
      <c r="M51" s="11">
        <v>0</v>
      </c>
      <c r="N51" s="9" t="s">
        <v>5044</v>
      </c>
      <c r="O51" s="9" t="s">
        <v>5044</v>
      </c>
      <c r="P51" s="11">
        <v>0</v>
      </c>
      <c r="Q51" s="11">
        <v>0</v>
      </c>
      <c r="R51" s="11">
        <v>0</v>
      </c>
      <c r="S51" s="11">
        <v>1</v>
      </c>
      <c r="T51" s="11">
        <v>4</v>
      </c>
      <c r="U51" s="11">
        <v>318</v>
      </c>
      <c r="V51" s="11">
        <v>0</v>
      </c>
      <c r="W51" s="11">
        <v>1</v>
      </c>
      <c r="X51" s="11">
        <v>0</v>
      </c>
      <c r="Y51" s="11">
        <v>0</v>
      </c>
      <c r="Z51" s="11">
        <v>0</v>
      </c>
      <c r="AA51" s="11">
        <v>0</v>
      </c>
      <c r="AB51" s="11">
        <v>1</v>
      </c>
      <c r="AC51" s="11">
        <v>0</v>
      </c>
      <c r="AD51" s="11" t="s">
        <v>5044</v>
      </c>
      <c r="AE51" s="11" t="s">
        <v>5044</v>
      </c>
      <c r="AF51" s="11" t="s">
        <v>5044</v>
      </c>
      <c r="AG51" s="11">
        <v>0</v>
      </c>
      <c r="AH51" s="11" t="s">
        <v>5044</v>
      </c>
      <c r="AI51" s="11" t="s">
        <v>5044</v>
      </c>
      <c r="AJ51" s="11" t="s">
        <v>5044</v>
      </c>
      <c r="AK51" s="11" t="s">
        <v>5318</v>
      </c>
      <c r="AL51" s="11">
        <v>1</v>
      </c>
      <c r="AM51" s="11">
        <v>0</v>
      </c>
      <c r="AN51" s="11" t="s">
        <v>5318</v>
      </c>
      <c r="AO51" s="11">
        <v>9</v>
      </c>
      <c r="AP51" s="11" t="s">
        <v>5318</v>
      </c>
      <c r="AQ51" s="11" t="s">
        <v>5318</v>
      </c>
    </row>
    <row r="52" spans="1:43" ht="63" customHeight="1" x14ac:dyDescent="0.2">
      <c r="A52" s="10">
        <v>666</v>
      </c>
      <c r="B52" s="11" t="s">
        <v>6680</v>
      </c>
      <c r="C52" s="11" t="s">
        <v>222</v>
      </c>
      <c r="D52" s="11">
        <v>2021</v>
      </c>
      <c r="E52" s="11" t="s">
        <v>5318</v>
      </c>
      <c r="F52" s="11">
        <v>135</v>
      </c>
      <c r="G52" s="11">
        <v>3</v>
      </c>
      <c r="H52" s="11" t="s">
        <v>6302</v>
      </c>
      <c r="I52" s="11" t="s">
        <v>6516</v>
      </c>
      <c r="J52" s="11" t="s">
        <v>6681</v>
      </c>
      <c r="K52" s="11" t="s">
        <v>225</v>
      </c>
      <c r="L52" s="11" t="s">
        <v>5115</v>
      </c>
      <c r="M52" s="11">
        <v>0</v>
      </c>
      <c r="N52" s="9" t="s">
        <v>5044</v>
      </c>
      <c r="O52" s="9" t="s">
        <v>5044</v>
      </c>
      <c r="P52" s="11">
        <v>0</v>
      </c>
      <c r="Q52" s="11">
        <v>0</v>
      </c>
      <c r="R52" s="11">
        <v>0</v>
      </c>
      <c r="S52" s="11" t="s">
        <v>5192</v>
      </c>
      <c r="T52" s="11">
        <v>2</v>
      </c>
      <c r="U52" s="11">
        <v>400</v>
      </c>
      <c r="V52" s="11">
        <v>0</v>
      </c>
      <c r="W52" s="11">
        <v>1</v>
      </c>
      <c r="X52" s="11">
        <v>0</v>
      </c>
      <c r="Y52" s="11">
        <v>0</v>
      </c>
      <c r="Z52" s="11">
        <v>0</v>
      </c>
      <c r="AA52" s="11">
        <v>0</v>
      </c>
      <c r="AB52" s="11">
        <v>1</v>
      </c>
      <c r="AC52" s="11">
        <v>0</v>
      </c>
      <c r="AD52" s="11" t="s">
        <v>5044</v>
      </c>
      <c r="AE52" s="11" t="s">
        <v>5044</v>
      </c>
      <c r="AF52" s="11" t="s">
        <v>5044</v>
      </c>
      <c r="AG52" s="11">
        <v>0</v>
      </c>
      <c r="AH52" s="11" t="s">
        <v>5044</v>
      </c>
      <c r="AI52" s="11" t="s">
        <v>5044</v>
      </c>
      <c r="AJ52" s="11" t="s">
        <v>5044</v>
      </c>
      <c r="AK52" s="11" t="s">
        <v>5318</v>
      </c>
      <c r="AL52" s="11">
        <v>0</v>
      </c>
      <c r="AM52" s="11">
        <v>0</v>
      </c>
      <c r="AN52" s="11" t="s">
        <v>5318</v>
      </c>
      <c r="AO52" s="11">
        <v>9</v>
      </c>
      <c r="AP52" s="11" t="s">
        <v>5318</v>
      </c>
      <c r="AQ52" s="11" t="s">
        <v>5318</v>
      </c>
    </row>
    <row r="53" spans="1:43" ht="63" customHeight="1" x14ac:dyDescent="0.2">
      <c r="A53" s="10">
        <v>680</v>
      </c>
      <c r="B53" s="11" t="s">
        <v>6684</v>
      </c>
      <c r="C53" s="11" t="s">
        <v>228</v>
      </c>
      <c r="D53" s="11">
        <v>2023</v>
      </c>
      <c r="E53" s="11" t="s">
        <v>5318</v>
      </c>
      <c r="F53" s="11">
        <v>37</v>
      </c>
      <c r="G53" s="11">
        <v>1</v>
      </c>
      <c r="H53" s="11" t="s">
        <v>6624</v>
      </c>
      <c r="I53" s="11" t="s">
        <v>6516</v>
      </c>
      <c r="J53" s="11" t="s">
        <v>6685</v>
      </c>
      <c r="K53" s="11" t="s">
        <v>229</v>
      </c>
      <c r="L53" s="12" t="s">
        <v>5117</v>
      </c>
      <c r="M53" s="11">
        <v>0</v>
      </c>
      <c r="N53" s="9" t="s">
        <v>5044</v>
      </c>
      <c r="O53" s="9" t="s">
        <v>5044</v>
      </c>
      <c r="P53" s="11">
        <v>0</v>
      </c>
      <c r="Q53" s="11">
        <v>0</v>
      </c>
      <c r="R53" s="11">
        <v>0</v>
      </c>
      <c r="S53" s="11">
        <v>1</v>
      </c>
      <c r="T53" s="11">
        <v>4</v>
      </c>
      <c r="U53" s="11">
        <v>60</v>
      </c>
      <c r="V53" s="11">
        <v>0</v>
      </c>
      <c r="W53" s="11">
        <v>1</v>
      </c>
      <c r="X53" s="11">
        <v>0</v>
      </c>
      <c r="Y53" s="11">
        <v>0</v>
      </c>
      <c r="Z53" s="11">
        <v>0</v>
      </c>
      <c r="AA53" s="11">
        <v>0</v>
      </c>
      <c r="AB53" s="11">
        <v>1</v>
      </c>
      <c r="AC53" s="11">
        <v>1</v>
      </c>
      <c r="AD53" s="11" t="s">
        <v>5044</v>
      </c>
      <c r="AE53" s="11" t="s">
        <v>5044</v>
      </c>
      <c r="AF53" s="11" t="s">
        <v>5044</v>
      </c>
      <c r="AG53" s="11">
        <v>2</v>
      </c>
      <c r="AH53" s="11">
        <v>3</v>
      </c>
      <c r="AI53" s="11">
        <v>0</v>
      </c>
      <c r="AJ53" s="11" t="s">
        <v>5044</v>
      </c>
      <c r="AK53" s="11" t="s">
        <v>5318</v>
      </c>
      <c r="AL53" s="11">
        <v>1</v>
      </c>
      <c r="AM53" s="11">
        <v>0</v>
      </c>
      <c r="AN53" s="11" t="s">
        <v>5318</v>
      </c>
      <c r="AO53" s="11">
        <v>3</v>
      </c>
      <c r="AP53" s="11" t="s">
        <v>5318</v>
      </c>
      <c r="AQ53" s="11" t="s">
        <v>5318</v>
      </c>
    </row>
    <row r="54" spans="1:43" ht="63" customHeight="1" x14ac:dyDescent="0.2">
      <c r="A54" s="10">
        <v>689</v>
      </c>
      <c r="B54" s="11" t="s">
        <v>6686</v>
      </c>
      <c r="C54" s="11" t="s">
        <v>230</v>
      </c>
      <c r="D54" s="11">
        <v>2021</v>
      </c>
      <c r="E54" s="11" t="s">
        <v>5318</v>
      </c>
      <c r="F54" s="11">
        <v>22</v>
      </c>
      <c r="G54" s="11">
        <v>3</v>
      </c>
      <c r="H54" s="11" t="s">
        <v>6687</v>
      </c>
      <c r="I54" s="11" t="s">
        <v>6516</v>
      </c>
      <c r="J54" s="11" t="s">
        <v>6688</v>
      </c>
      <c r="K54" s="11" t="s">
        <v>232</v>
      </c>
      <c r="L54" s="11" t="s">
        <v>5118</v>
      </c>
      <c r="M54" s="11">
        <v>0</v>
      </c>
      <c r="N54" s="9" t="s">
        <v>5044</v>
      </c>
      <c r="O54" s="9" t="s">
        <v>5044</v>
      </c>
      <c r="P54" s="11">
        <v>0</v>
      </c>
      <c r="Q54" s="11">
        <v>0</v>
      </c>
      <c r="R54" s="11">
        <v>0</v>
      </c>
      <c r="S54" s="11">
        <v>1</v>
      </c>
      <c r="T54" s="11">
        <v>4</v>
      </c>
      <c r="U54" s="11">
        <v>1072</v>
      </c>
      <c r="V54" s="11">
        <v>0</v>
      </c>
      <c r="W54" s="11">
        <v>1</v>
      </c>
      <c r="X54" s="11">
        <v>0</v>
      </c>
      <c r="Y54" s="11">
        <v>0</v>
      </c>
      <c r="Z54" s="11">
        <v>0</v>
      </c>
      <c r="AA54" s="11">
        <v>0</v>
      </c>
      <c r="AB54" s="11">
        <v>1</v>
      </c>
      <c r="AC54" s="11">
        <v>1</v>
      </c>
      <c r="AD54" s="11" t="s">
        <v>5044</v>
      </c>
      <c r="AE54" s="11" t="s">
        <v>5044</v>
      </c>
      <c r="AF54" s="11" t="s">
        <v>5044</v>
      </c>
      <c r="AG54" s="11">
        <v>2</v>
      </c>
      <c r="AH54" s="11">
        <v>2</v>
      </c>
      <c r="AI54" s="11">
        <v>2</v>
      </c>
      <c r="AJ54" s="11" t="s">
        <v>5044</v>
      </c>
      <c r="AK54" s="11" t="s">
        <v>5318</v>
      </c>
      <c r="AL54" s="11" t="s">
        <v>5041</v>
      </c>
      <c r="AM54" s="11">
        <v>0</v>
      </c>
      <c r="AN54" s="11" t="s">
        <v>5318</v>
      </c>
      <c r="AO54" s="11">
        <v>2</v>
      </c>
      <c r="AP54" s="11" t="s">
        <v>5318</v>
      </c>
      <c r="AQ54" s="11" t="s">
        <v>5318</v>
      </c>
    </row>
    <row r="55" spans="1:43" ht="63" customHeight="1" x14ac:dyDescent="0.2">
      <c r="A55" s="10">
        <v>714</v>
      </c>
      <c r="B55" s="11" t="s">
        <v>6689</v>
      </c>
      <c r="C55" s="11" t="s">
        <v>233</v>
      </c>
      <c r="D55" s="11">
        <v>2023</v>
      </c>
      <c r="E55" s="11" t="s">
        <v>5318</v>
      </c>
      <c r="F55" s="11">
        <v>86</v>
      </c>
      <c r="G55" s="11" t="s">
        <v>5318</v>
      </c>
      <c r="H55" s="11" t="s">
        <v>6579</v>
      </c>
      <c r="I55" s="11" t="s">
        <v>6516</v>
      </c>
      <c r="J55" s="11" t="s">
        <v>6690</v>
      </c>
      <c r="K55" s="11" t="s">
        <v>235</v>
      </c>
      <c r="L55" s="11" t="s">
        <v>5119</v>
      </c>
      <c r="M55" s="11">
        <v>0</v>
      </c>
      <c r="N55" s="9" t="s">
        <v>5044</v>
      </c>
      <c r="O55" s="9" t="s">
        <v>5044</v>
      </c>
      <c r="P55" s="11">
        <v>0</v>
      </c>
      <c r="Q55" s="11">
        <v>0</v>
      </c>
      <c r="R55" s="11">
        <v>0</v>
      </c>
      <c r="S55" s="11">
        <v>1</v>
      </c>
      <c r="T55" s="11">
        <v>4</v>
      </c>
      <c r="U55" s="11">
        <v>620</v>
      </c>
      <c r="V55" s="11">
        <v>0</v>
      </c>
      <c r="W55" s="11">
        <v>1</v>
      </c>
      <c r="X55" s="11">
        <v>0</v>
      </c>
      <c r="Y55" s="11">
        <v>0</v>
      </c>
      <c r="Z55" s="11">
        <v>0</v>
      </c>
      <c r="AA55" s="11">
        <v>0</v>
      </c>
      <c r="AB55" s="11">
        <v>1</v>
      </c>
      <c r="AC55" s="11">
        <v>0</v>
      </c>
      <c r="AD55" s="11" t="s">
        <v>5044</v>
      </c>
      <c r="AE55" s="11" t="s">
        <v>5044</v>
      </c>
      <c r="AF55" s="11" t="s">
        <v>5044</v>
      </c>
      <c r="AG55" s="11">
        <v>0</v>
      </c>
      <c r="AH55" s="11" t="s">
        <v>5044</v>
      </c>
      <c r="AI55" s="11" t="s">
        <v>5044</v>
      </c>
      <c r="AJ55" s="11" t="s">
        <v>5044</v>
      </c>
      <c r="AK55" s="11" t="s">
        <v>5318</v>
      </c>
      <c r="AL55" s="11">
        <v>0</v>
      </c>
      <c r="AM55" s="11">
        <v>0</v>
      </c>
      <c r="AN55" s="11" t="s">
        <v>5318</v>
      </c>
      <c r="AO55" s="11">
        <v>9</v>
      </c>
      <c r="AP55" s="11" t="s">
        <v>5318</v>
      </c>
      <c r="AQ55" s="11" t="s">
        <v>5318</v>
      </c>
    </row>
    <row r="56" spans="1:43" ht="63" customHeight="1" x14ac:dyDescent="0.2">
      <c r="A56" s="10">
        <v>725</v>
      </c>
      <c r="B56" s="11" t="s">
        <v>6691</v>
      </c>
      <c r="C56" s="11" t="s">
        <v>236</v>
      </c>
      <c r="D56" s="11">
        <v>2014</v>
      </c>
      <c r="E56" s="11" t="s">
        <v>5318</v>
      </c>
      <c r="F56" s="11">
        <v>28</v>
      </c>
      <c r="G56" s="11">
        <v>3</v>
      </c>
      <c r="H56" s="11" t="s">
        <v>6692</v>
      </c>
      <c r="I56" s="11" t="s">
        <v>6516</v>
      </c>
      <c r="J56" s="11" t="s">
        <v>6693</v>
      </c>
      <c r="K56" s="11" t="s">
        <v>239</v>
      </c>
      <c r="L56" s="11" t="s">
        <v>5044</v>
      </c>
      <c r="M56" s="11">
        <v>0</v>
      </c>
      <c r="N56" s="9" t="s">
        <v>5044</v>
      </c>
      <c r="O56" s="9" t="s">
        <v>5044</v>
      </c>
      <c r="P56" s="11">
        <v>0</v>
      </c>
      <c r="Q56" s="11">
        <v>0</v>
      </c>
      <c r="R56" s="11">
        <v>0</v>
      </c>
      <c r="S56" s="11">
        <v>3</v>
      </c>
      <c r="T56" s="11">
        <v>4</v>
      </c>
      <c r="U56" s="11">
        <v>90</v>
      </c>
      <c r="V56" s="11">
        <v>0</v>
      </c>
      <c r="W56" s="11">
        <v>1</v>
      </c>
      <c r="X56" s="11">
        <v>0</v>
      </c>
      <c r="Y56" s="11">
        <v>0</v>
      </c>
      <c r="Z56" s="11">
        <v>0</v>
      </c>
      <c r="AA56" s="11">
        <v>0</v>
      </c>
      <c r="AB56" s="11">
        <v>1</v>
      </c>
      <c r="AC56" s="11">
        <v>1</v>
      </c>
      <c r="AD56" s="11" t="s">
        <v>5044</v>
      </c>
      <c r="AE56" s="11" t="s">
        <v>5044</v>
      </c>
      <c r="AF56" s="11" t="s">
        <v>5044</v>
      </c>
      <c r="AG56" s="11">
        <v>2</v>
      </c>
      <c r="AH56" s="11">
        <v>3</v>
      </c>
      <c r="AI56" s="11">
        <v>0</v>
      </c>
      <c r="AJ56" s="11" t="s">
        <v>5044</v>
      </c>
      <c r="AK56" s="11" t="s">
        <v>5318</v>
      </c>
      <c r="AL56" s="11" t="s">
        <v>5041</v>
      </c>
      <c r="AM56" s="11">
        <v>0</v>
      </c>
      <c r="AN56" s="11" t="s">
        <v>5105</v>
      </c>
      <c r="AO56" s="11">
        <v>3</v>
      </c>
      <c r="AP56" s="11" t="s">
        <v>5318</v>
      </c>
      <c r="AQ56" s="11" t="s">
        <v>5318</v>
      </c>
    </row>
    <row r="57" spans="1:43" ht="63" customHeight="1" x14ac:dyDescent="0.2">
      <c r="A57" s="10">
        <v>746</v>
      </c>
      <c r="B57" s="11" t="s">
        <v>6694</v>
      </c>
      <c r="C57" s="11" t="s">
        <v>240</v>
      </c>
      <c r="D57" s="11">
        <v>2020</v>
      </c>
      <c r="E57" s="11" t="s">
        <v>5318</v>
      </c>
      <c r="F57" s="11">
        <v>6</v>
      </c>
      <c r="G57" s="11">
        <v>2</v>
      </c>
      <c r="H57" s="11" t="s">
        <v>6695</v>
      </c>
      <c r="I57" s="11" t="s">
        <v>6516</v>
      </c>
      <c r="J57" s="11" t="s">
        <v>6696</v>
      </c>
      <c r="K57" s="11" t="s">
        <v>242</v>
      </c>
      <c r="L57" s="11" t="s">
        <v>5120</v>
      </c>
      <c r="M57" s="11">
        <v>0</v>
      </c>
      <c r="N57" s="9" t="s">
        <v>5044</v>
      </c>
      <c r="O57" s="9" t="s">
        <v>5044</v>
      </c>
      <c r="P57" s="11">
        <v>0</v>
      </c>
      <c r="Q57" s="11">
        <v>0</v>
      </c>
      <c r="R57" s="11">
        <v>0</v>
      </c>
      <c r="S57" s="11">
        <v>1</v>
      </c>
      <c r="T57" s="11">
        <v>4</v>
      </c>
      <c r="U57" s="11">
        <v>240</v>
      </c>
      <c r="V57" s="11">
        <v>0</v>
      </c>
      <c r="W57" s="11">
        <v>1</v>
      </c>
      <c r="X57" s="11">
        <v>0</v>
      </c>
      <c r="Y57" s="11">
        <v>0</v>
      </c>
      <c r="Z57" s="11">
        <v>0</v>
      </c>
      <c r="AA57" s="11">
        <v>0</v>
      </c>
      <c r="AB57" s="11">
        <v>1</v>
      </c>
      <c r="AC57" s="11">
        <v>1</v>
      </c>
      <c r="AD57" s="11" t="s">
        <v>5044</v>
      </c>
      <c r="AE57" s="11" t="s">
        <v>5044</v>
      </c>
      <c r="AF57" s="11" t="s">
        <v>5044</v>
      </c>
      <c r="AG57" s="11">
        <v>2</v>
      </c>
      <c r="AH57" s="11">
        <v>3</v>
      </c>
      <c r="AI57" s="11">
        <v>0</v>
      </c>
      <c r="AJ57" s="11" t="s">
        <v>5044</v>
      </c>
      <c r="AK57" s="11" t="s">
        <v>5318</v>
      </c>
      <c r="AL57" s="11">
        <v>0</v>
      </c>
      <c r="AM57" s="11">
        <v>0</v>
      </c>
      <c r="AN57" s="11" t="s">
        <v>5318</v>
      </c>
      <c r="AO57" s="11">
        <v>3</v>
      </c>
      <c r="AP57" s="11" t="s">
        <v>5318</v>
      </c>
      <c r="AQ57" s="11" t="s">
        <v>5318</v>
      </c>
    </row>
    <row r="58" spans="1:43" ht="63" customHeight="1" x14ac:dyDescent="0.2">
      <c r="A58" s="10">
        <v>762</v>
      </c>
      <c r="B58" s="11" t="s">
        <v>6697</v>
      </c>
      <c r="C58" s="11" t="s">
        <v>243</v>
      </c>
      <c r="D58" s="11">
        <v>2014</v>
      </c>
      <c r="E58" s="11" t="s">
        <v>5318</v>
      </c>
      <c r="F58" s="11">
        <v>120</v>
      </c>
      <c r="G58" s="11">
        <v>2</v>
      </c>
      <c r="H58" s="11" t="s">
        <v>6302</v>
      </c>
      <c r="I58" s="11" t="s">
        <v>6516</v>
      </c>
      <c r="J58" s="11" t="s">
        <v>6698</v>
      </c>
      <c r="K58" s="11" t="s">
        <v>244</v>
      </c>
      <c r="L58" s="11" t="s">
        <v>5121</v>
      </c>
      <c r="M58" s="11">
        <v>0</v>
      </c>
      <c r="N58" s="9" t="s">
        <v>5044</v>
      </c>
      <c r="O58" s="9" t="s">
        <v>5044</v>
      </c>
      <c r="P58" s="11">
        <v>0</v>
      </c>
      <c r="Q58" s="11">
        <v>0</v>
      </c>
      <c r="R58" s="11">
        <v>0</v>
      </c>
      <c r="S58" s="11">
        <v>3</v>
      </c>
      <c r="T58" s="11">
        <v>1</v>
      </c>
      <c r="U58" s="11">
        <v>167</v>
      </c>
      <c r="V58" s="11">
        <v>1</v>
      </c>
      <c r="W58" s="11">
        <v>1</v>
      </c>
      <c r="X58" s="11">
        <v>0</v>
      </c>
      <c r="Y58" s="11">
        <v>0</v>
      </c>
      <c r="Z58" s="11">
        <v>0</v>
      </c>
      <c r="AA58" s="11">
        <v>0</v>
      </c>
      <c r="AB58" s="11">
        <v>1</v>
      </c>
      <c r="AC58" s="11">
        <v>1</v>
      </c>
      <c r="AD58" s="11">
        <v>2</v>
      </c>
      <c r="AE58" s="11">
        <v>2</v>
      </c>
      <c r="AF58" s="11">
        <v>2</v>
      </c>
      <c r="AG58" s="11">
        <v>1</v>
      </c>
      <c r="AH58" s="11">
        <v>0</v>
      </c>
      <c r="AI58" s="11">
        <v>0</v>
      </c>
      <c r="AJ58" s="11" t="s">
        <v>5044</v>
      </c>
      <c r="AK58" s="11" t="s">
        <v>5318</v>
      </c>
      <c r="AL58" s="11">
        <v>1</v>
      </c>
      <c r="AM58" s="11">
        <v>0</v>
      </c>
      <c r="AN58" s="11" t="s">
        <v>5318</v>
      </c>
      <c r="AO58" s="9">
        <v>0</v>
      </c>
      <c r="AP58" s="11" t="s">
        <v>5318</v>
      </c>
      <c r="AQ58" s="11" t="s">
        <v>5318</v>
      </c>
    </row>
    <row r="59" spans="1:43" ht="63" customHeight="1" x14ac:dyDescent="0.2">
      <c r="A59" s="10">
        <v>779</v>
      </c>
      <c r="B59" s="11" t="s">
        <v>6699</v>
      </c>
      <c r="C59" s="11" t="s">
        <v>245</v>
      </c>
      <c r="D59" s="11">
        <v>2015</v>
      </c>
      <c r="E59" s="11" t="s">
        <v>5318</v>
      </c>
      <c r="F59" s="11">
        <v>49</v>
      </c>
      <c r="G59" s="11">
        <v>6</v>
      </c>
      <c r="H59" s="11" t="s">
        <v>6700</v>
      </c>
      <c r="I59" s="11" t="s">
        <v>6516</v>
      </c>
      <c r="J59" s="11" t="s">
        <v>6701</v>
      </c>
      <c r="K59" s="11" t="s">
        <v>246</v>
      </c>
      <c r="L59" s="12" t="s">
        <v>5122</v>
      </c>
      <c r="M59" s="11">
        <v>0</v>
      </c>
      <c r="N59" s="9" t="s">
        <v>5044</v>
      </c>
      <c r="O59" s="9" t="s">
        <v>5044</v>
      </c>
      <c r="P59" s="11">
        <v>0</v>
      </c>
      <c r="Q59" s="11">
        <v>0</v>
      </c>
      <c r="R59" s="11">
        <v>0</v>
      </c>
      <c r="S59" s="11">
        <v>1</v>
      </c>
      <c r="T59" s="11">
        <v>4</v>
      </c>
      <c r="U59" s="11">
        <v>85</v>
      </c>
      <c r="V59" s="11">
        <v>0</v>
      </c>
      <c r="W59" s="11">
        <v>1</v>
      </c>
      <c r="X59" s="11">
        <v>0</v>
      </c>
      <c r="Y59" s="11">
        <v>0</v>
      </c>
      <c r="Z59" s="11">
        <v>0</v>
      </c>
      <c r="AA59" s="11">
        <v>0</v>
      </c>
      <c r="AB59" s="11">
        <v>0</v>
      </c>
      <c r="AC59" s="11">
        <v>1</v>
      </c>
      <c r="AD59" s="11" t="s">
        <v>5044</v>
      </c>
      <c r="AE59" s="11" t="s">
        <v>5044</v>
      </c>
      <c r="AF59" s="11" t="s">
        <v>5044</v>
      </c>
      <c r="AG59" s="11">
        <v>2</v>
      </c>
      <c r="AH59" s="11">
        <v>3</v>
      </c>
      <c r="AI59" s="11">
        <v>0</v>
      </c>
      <c r="AJ59" s="11" t="s">
        <v>5044</v>
      </c>
      <c r="AK59" s="11" t="s">
        <v>5318</v>
      </c>
      <c r="AL59" s="11">
        <v>0</v>
      </c>
      <c r="AM59" s="11">
        <v>0</v>
      </c>
      <c r="AN59" s="11" t="s">
        <v>5318</v>
      </c>
      <c r="AO59" s="11">
        <v>3</v>
      </c>
      <c r="AP59" s="11" t="s">
        <v>5318</v>
      </c>
      <c r="AQ59" s="11" t="s">
        <v>5318</v>
      </c>
    </row>
    <row r="60" spans="1:43" ht="63" customHeight="1" x14ac:dyDescent="0.2">
      <c r="A60" s="10">
        <v>811</v>
      </c>
      <c r="B60" s="11" t="s">
        <v>6704</v>
      </c>
      <c r="C60" s="11" t="s">
        <v>249</v>
      </c>
      <c r="D60" s="11">
        <v>2020</v>
      </c>
      <c r="E60" s="11" t="s">
        <v>5318</v>
      </c>
      <c r="F60" s="11">
        <v>122</v>
      </c>
      <c r="G60" s="11">
        <v>6</v>
      </c>
      <c r="H60" s="11" t="s">
        <v>6705</v>
      </c>
      <c r="I60" s="11" t="s">
        <v>6516</v>
      </c>
      <c r="J60" s="11" t="s">
        <v>6706</v>
      </c>
      <c r="K60" s="11" t="s">
        <v>252</v>
      </c>
      <c r="L60" s="11" t="s">
        <v>5044</v>
      </c>
      <c r="M60" s="11">
        <v>0</v>
      </c>
      <c r="N60" s="9" t="s">
        <v>5044</v>
      </c>
      <c r="O60" s="9" t="s">
        <v>5044</v>
      </c>
      <c r="P60" s="11">
        <v>0</v>
      </c>
      <c r="Q60" s="11">
        <v>0</v>
      </c>
      <c r="R60" s="11">
        <v>0</v>
      </c>
      <c r="S60" s="11">
        <v>1</v>
      </c>
      <c r="T60" s="11">
        <v>2</v>
      </c>
      <c r="U60" s="11">
        <v>76</v>
      </c>
      <c r="V60" s="11">
        <v>0</v>
      </c>
      <c r="W60" s="11">
        <v>1</v>
      </c>
      <c r="X60" s="11">
        <v>0</v>
      </c>
      <c r="Y60" s="11">
        <v>0</v>
      </c>
      <c r="Z60" s="11">
        <v>0</v>
      </c>
      <c r="AA60" s="11">
        <v>0</v>
      </c>
      <c r="AB60" s="11">
        <v>1</v>
      </c>
      <c r="AC60" s="11">
        <v>1</v>
      </c>
      <c r="AD60" s="11" t="s">
        <v>5044</v>
      </c>
      <c r="AE60" s="11" t="s">
        <v>5044</v>
      </c>
      <c r="AF60" s="11" t="s">
        <v>5044</v>
      </c>
      <c r="AG60" s="11">
        <v>2</v>
      </c>
      <c r="AH60" s="11">
        <v>1</v>
      </c>
      <c r="AI60" s="11">
        <v>2</v>
      </c>
      <c r="AJ60" s="11" t="s">
        <v>5044</v>
      </c>
      <c r="AK60" s="11" t="s">
        <v>5318</v>
      </c>
      <c r="AL60" s="11">
        <v>0</v>
      </c>
      <c r="AM60" s="11">
        <v>0</v>
      </c>
      <c r="AN60" s="11" t="s">
        <v>5318</v>
      </c>
      <c r="AO60" s="11">
        <v>1</v>
      </c>
      <c r="AP60" s="11" t="s">
        <v>5318</v>
      </c>
      <c r="AQ60" s="11" t="s">
        <v>5318</v>
      </c>
    </row>
    <row r="61" spans="1:43" ht="63" customHeight="1" x14ac:dyDescent="0.2">
      <c r="A61" s="10">
        <v>818</v>
      </c>
      <c r="B61" s="11" t="s">
        <v>6707</v>
      </c>
      <c r="C61" s="11" t="s">
        <v>253</v>
      </c>
      <c r="D61" s="11">
        <v>2020</v>
      </c>
      <c r="E61" s="11" t="s">
        <v>5318</v>
      </c>
      <c r="F61" s="11">
        <v>24</v>
      </c>
      <c r="G61" s="11">
        <v>41</v>
      </c>
      <c r="H61" s="11" t="s">
        <v>6708</v>
      </c>
      <c r="I61" s="11" t="s">
        <v>6516</v>
      </c>
      <c r="J61" s="11" t="s">
        <v>6709</v>
      </c>
      <c r="K61" s="11" t="s">
        <v>256</v>
      </c>
      <c r="L61" s="11" t="s">
        <v>5124</v>
      </c>
      <c r="M61" s="11">
        <v>0</v>
      </c>
      <c r="N61" s="9" t="s">
        <v>5044</v>
      </c>
      <c r="O61" s="9" t="s">
        <v>5044</v>
      </c>
      <c r="P61" s="11">
        <v>0</v>
      </c>
      <c r="Q61" s="11">
        <v>0</v>
      </c>
      <c r="R61" s="11">
        <v>0</v>
      </c>
      <c r="S61" s="11">
        <v>3</v>
      </c>
      <c r="T61" s="11">
        <v>1</v>
      </c>
      <c r="U61" s="11">
        <v>410</v>
      </c>
      <c r="V61" s="11">
        <v>0</v>
      </c>
      <c r="W61" s="11">
        <v>1</v>
      </c>
      <c r="X61" s="11">
        <v>0</v>
      </c>
      <c r="Y61" s="11">
        <v>0</v>
      </c>
      <c r="Z61" s="11">
        <v>0</v>
      </c>
      <c r="AA61" s="11">
        <v>0</v>
      </c>
      <c r="AB61" s="11">
        <v>1</v>
      </c>
      <c r="AC61" s="11">
        <v>1</v>
      </c>
      <c r="AD61" s="11" t="s">
        <v>5044</v>
      </c>
      <c r="AE61" s="11" t="s">
        <v>5044</v>
      </c>
      <c r="AF61" s="11" t="s">
        <v>5044</v>
      </c>
      <c r="AG61" s="11">
        <v>1</v>
      </c>
      <c r="AH61" s="11">
        <v>0</v>
      </c>
      <c r="AI61" s="11">
        <v>0</v>
      </c>
      <c r="AJ61" s="11" t="s">
        <v>5044</v>
      </c>
      <c r="AK61" s="11" t="s">
        <v>5318</v>
      </c>
      <c r="AL61" s="11">
        <v>0</v>
      </c>
      <c r="AM61" s="11">
        <v>0</v>
      </c>
      <c r="AN61" s="11" t="s">
        <v>5318</v>
      </c>
      <c r="AO61" s="9">
        <v>0</v>
      </c>
      <c r="AP61" s="11" t="s">
        <v>5318</v>
      </c>
      <c r="AQ61" s="11" t="s">
        <v>5318</v>
      </c>
    </row>
    <row r="62" spans="1:43" ht="63" customHeight="1" x14ac:dyDescent="0.2">
      <c r="A62" s="10">
        <v>828</v>
      </c>
      <c r="B62" s="11" t="s">
        <v>6710</v>
      </c>
      <c r="C62" s="11" t="s">
        <v>257</v>
      </c>
      <c r="D62" s="11">
        <v>2015</v>
      </c>
      <c r="E62" s="11" t="s">
        <v>5318</v>
      </c>
      <c r="F62" s="11">
        <v>22</v>
      </c>
      <c r="G62" s="11">
        <v>6</v>
      </c>
      <c r="H62" s="11" t="s">
        <v>6621</v>
      </c>
      <c r="I62" s="11" t="s">
        <v>6516</v>
      </c>
      <c r="J62" s="11" t="s">
        <v>6711</v>
      </c>
      <c r="K62" s="11" t="s">
        <v>258</v>
      </c>
      <c r="L62" s="11" t="s">
        <v>5044</v>
      </c>
      <c r="M62" s="11">
        <v>0</v>
      </c>
      <c r="N62" s="9" t="s">
        <v>5044</v>
      </c>
      <c r="O62" s="9" t="s">
        <v>5044</v>
      </c>
      <c r="P62" s="11">
        <v>0</v>
      </c>
      <c r="Q62" s="11">
        <v>0</v>
      </c>
      <c r="R62" s="11">
        <v>0</v>
      </c>
      <c r="S62" s="11">
        <v>1</v>
      </c>
      <c r="T62" s="11">
        <v>4</v>
      </c>
      <c r="U62" s="11">
        <v>110</v>
      </c>
      <c r="V62" s="11">
        <v>0</v>
      </c>
      <c r="W62" s="11">
        <v>1</v>
      </c>
      <c r="X62" s="11">
        <v>0</v>
      </c>
      <c r="Y62" s="11">
        <v>0</v>
      </c>
      <c r="Z62" s="11">
        <v>0</v>
      </c>
      <c r="AA62" s="11">
        <v>0</v>
      </c>
      <c r="AB62" s="11">
        <v>1</v>
      </c>
      <c r="AC62" s="11">
        <v>1</v>
      </c>
      <c r="AD62" s="11" t="s">
        <v>5044</v>
      </c>
      <c r="AE62" s="11" t="s">
        <v>5044</v>
      </c>
      <c r="AF62" s="11" t="s">
        <v>5044</v>
      </c>
      <c r="AG62" s="11">
        <v>1</v>
      </c>
      <c r="AH62" s="11">
        <v>0</v>
      </c>
      <c r="AI62" s="11">
        <v>0</v>
      </c>
      <c r="AJ62" s="11" t="s">
        <v>5044</v>
      </c>
      <c r="AK62" s="11" t="s">
        <v>5318</v>
      </c>
      <c r="AL62" s="11" t="s">
        <v>5041</v>
      </c>
      <c r="AM62" s="11">
        <v>0</v>
      </c>
      <c r="AN62" s="11" t="s">
        <v>5105</v>
      </c>
      <c r="AO62" s="9">
        <v>0</v>
      </c>
      <c r="AP62" s="11" t="s">
        <v>5318</v>
      </c>
      <c r="AQ62" s="11" t="s">
        <v>5318</v>
      </c>
    </row>
    <row r="63" spans="1:43" ht="63" customHeight="1" x14ac:dyDescent="0.2">
      <c r="A63" s="10">
        <v>833</v>
      </c>
      <c r="B63" s="11" t="s">
        <v>6712</v>
      </c>
      <c r="C63" s="11" t="s">
        <v>259</v>
      </c>
      <c r="D63" s="11">
        <v>2017</v>
      </c>
      <c r="E63" s="11" t="s">
        <v>5318</v>
      </c>
      <c r="F63" s="11">
        <v>104</v>
      </c>
      <c r="G63" s="11">
        <v>5</v>
      </c>
      <c r="H63" s="11" t="s">
        <v>6530</v>
      </c>
      <c r="I63" s="11" t="s">
        <v>6516</v>
      </c>
      <c r="J63" s="11" t="s">
        <v>6713</v>
      </c>
      <c r="K63" s="11" t="s">
        <v>261</v>
      </c>
      <c r="L63" s="11" t="s">
        <v>5125</v>
      </c>
      <c r="M63" s="11">
        <v>0</v>
      </c>
      <c r="N63" s="9" t="s">
        <v>5044</v>
      </c>
      <c r="O63" s="9" t="s">
        <v>5044</v>
      </c>
      <c r="P63" s="11">
        <v>0</v>
      </c>
      <c r="Q63" s="11">
        <v>0</v>
      </c>
      <c r="R63" s="11">
        <v>0</v>
      </c>
      <c r="S63" s="11">
        <v>1</v>
      </c>
      <c r="T63" s="11">
        <v>1</v>
      </c>
      <c r="U63" s="11">
        <v>24</v>
      </c>
      <c r="V63" s="11">
        <v>0</v>
      </c>
      <c r="W63" s="11">
        <v>1</v>
      </c>
      <c r="X63" s="11">
        <v>0</v>
      </c>
      <c r="Y63" s="11">
        <v>0</v>
      </c>
      <c r="Z63" s="11">
        <v>0</v>
      </c>
      <c r="AA63" s="11">
        <v>0</v>
      </c>
      <c r="AB63" s="11">
        <v>1</v>
      </c>
      <c r="AC63" s="11">
        <v>1</v>
      </c>
      <c r="AD63" s="11" t="s">
        <v>5044</v>
      </c>
      <c r="AE63" s="11" t="s">
        <v>5044</v>
      </c>
      <c r="AF63" s="11" t="s">
        <v>5044</v>
      </c>
      <c r="AG63" s="11">
        <v>2</v>
      </c>
      <c r="AH63" s="11">
        <v>3</v>
      </c>
      <c r="AI63" s="11">
        <v>0</v>
      </c>
      <c r="AJ63" s="11" t="s">
        <v>5044</v>
      </c>
      <c r="AK63" s="11" t="s">
        <v>5318</v>
      </c>
      <c r="AL63" s="11">
        <v>0</v>
      </c>
      <c r="AM63" s="11">
        <v>0</v>
      </c>
      <c r="AN63" s="11" t="s">
        <v>5318</v>
      </c>
      <c r="AO63" s="11">
        <v>3</v>
      </c>
      <c r="AP63" s="11" t="s">
        <v>5318</v>
      </c>
      <c r="AQ63" s="11" t="s">
        <v>5318</v>
      </c>
    </row>
    <row r="64" spans="1:43" ht="63" customHeight="1" x14ac:dyDescent="0.2">
      <c r="A64" s="10">
        <v>850</v>
      </c>
      <c r="B64" s="11" t="s">
        <v>6720</v>
      </c>
      <c r="C64" s="11" t="s">
        <v>265</v>
      </c>
      <c r="D64" s="11">
        <v>2020</v>
      </c>
      <c r="E64" s="11" t="s">
        <v>5318</v>
      </c>
      <c r="F64" s="11">
        <v>34</v>
      </c>
      <c r="G64" s="11">
        <v>7</v>
      </c>
      <c r="H64" s="11" t="s">
        <v>6624</v>
      </c>
      <c r="I64" s="11" t="s">
        <v>6516</v>
      </c>
      <c r="J64" s="11" t="s">
        <v>6721</v>
      </c>
      <c r="K64" s="11" t="s">
        <v>266</v>
      </c>
      <c r="L64" s="12" t="s">
        <v>5128</v>
      </c>
      <c r="M64" s="11">
        <v>0</v>
      </c>
      <c r="N64" s="9" t="s">
        <v>5044</v>
      </c>
      <c r="O64" s="9" t="s">
        <v>5044</v>
      </c>
      <c r="P64" s="11">
        <v>0</v>
      </c>
      <c r="Q64" s="11">
        <v>0</v>
      </c>
      <c r="R64" s="11">
        <v>0</v>
      </c>
      <c r="S64" s="11">
        <v>1</v>
      </c>
      <c r="T64" s="11">
        <v>2</v>
      </c>
      <c r="U64" s="11">
        <v>64</v>
      </c>
      <c r="V64" s="11">
        <v>0</v>
      </c>
      <c r="W64" s="11">
        <v>1</v>
      </c>
      <c r="X64" s="11">
        <v>0</v>
      </c>
      <c r="Y64" s="11">
        <v>0</v>
      </c>
      <c r="Z64" s="11">
        <v>0</v>
      </c>
      <c r="AA64" s="11">
        <v>0</v>
      </c>
      <c r="AB64" s="11">
        <v>1</v>
      </c>
      <c r="AC64" s="11">
        <v>1</v>
      </c>
      <c r="AD64" s="11" t="s">
        <v>5044</v>
      </c>
      <c r="AE64" s="11" t="s">
        <v>5044</v>
      </c>
      <c r="AF64" s="11" t="s">
        <v>5044</v>
      </c>
      <c r="AG64" s="11">
        <v>2</v>
      </c>
      <c r="AH64" s="11">
        <v>2</v>
      </c>
      <c r="AI64" s="11">
        <v>2</v>
      </c>
      <c r="AJ64" s="11" t="s">
        <v>5044</v>
      </c>
      <c r="AK64" s="11" t="s">
        <v>5318</v>
      </c>
      <c r="AL64" s="11">
        <v>1</v>
      </c>
      <c r="AM64" s="11">
        <v>0</v>
      </c>
      <c r="AN64" s="11" t="s">
        <v>5318</v>
      </c>
      <c r="AO64" s="11">
        <v>2</v>
      </c>
      <c r="AP64" s="11" t="s">
        <v>5318</v>
      </c>
      <c r="AQ64" s="11" t="s">
        <v>5318</v>
      </c>
    </row>
    <row r="65" spans="1:43" ht="63" customHeight="1" x14ac:dyDescent="0.2">
      <c r="A65" s="10">
        <v>853</v>
      </c>
      <c r="B65" s="11" t="s">
        <v>6722</v>
      </c>
      <c r="C65" s="11" t="s">
        <v>267</v>
      </c>
      <c r="D65" s="11">
        <v>2015</v>
      </c>
      <c r="E65" s="11" t="s">
        <v>5318</v>
      </c>
      <c r="F65" s="11">
        <v>102</v>
      </c>
      <c r="G65" s="11">
        <v>6</v>
      </c>
      <c r="H65" s="11" t="s">
        <v>6530</v>
      </c>
      <c r="I65" s="11" t="s">
        <v>6516</v>
      </c>
      <c r="J65" s="11" t="s">
        <v>6723</v>
      </c>
      <c r="K65" s="11" t="s">
        <v>268</v>
      </c>
      <c r="L65" s="11" t="s">
        <v>5129</v>
      </c>
      <c r="M65" s="11">
        <v>0</v>
      </c>
      <c r="N65" s="9" t="s">
        <v>5044</v>
      </c>
      <c r="O65" s="9" t="s">
        <v>5044</v>
      </c>
      <c r="P65" s="11">
        <v>0</v>
      </c>
      <c r="Q65" s="11">
        <v>0</v>
      </c>
      <c r="R65" s="11">
        <v>0</v>
      </c>
      <c r="S65" s="11">
        <v>1</v>
      </c>
      <c r="T65" s="11">
        <v>1</v>
      </c>
      <c r="U65" s="11">
        <v>40</v>
      </c>
      <c r="V65" s="11">
        <v>0</v>
      </c>
      <c r="W65" s="11">
        <v>1</v>
      </c>
      <c r="X65" s="11">
        <v>0</v>
      </c>
      <c r="Y65" s="11">
        <v>0</v>
      </c>
      <c r="Z65" s="11">
        <v>0</v>
      </c>
      <c r="AA65" s="11">
        <v>0</v>
      </c>
      <c r="AB65" s="11">
        <v>1</v>
      </c>
      <c r="AC65" s="11">
        <v>1</v>
      </c>
      <c r="AD65" s="11" t="s">
        <v>5044</v>
      </c>
      <c r="AE65" s="11" t="s">
        <v>5044</v>
      </c>
      <c r="AF65" s="11" t="s">
        <v>5044</v>
      </c>
      <c r="AG65" s="11">
        <v>1</v>
      </c>
      <c r="AH65" s="11">
        <v>0</v>
      </c>
      <c r="AI65" s="11">
        <v>0</v>
      </c>
      <c r="AJ65" s="11" t="s">
        <v>5044</v>
      </c>
      <c r="AK65" s="11" t="s">
        <v>5318</v>
      </c>
      <c r="AL65" s="11">
        <v>1</v>
      </c>
      <c r="AM65" s="11">
        <v>0</v>
      </c>
      <c r="AN65" s="11" t="s">
        <v>5318</v>
      </c>
      <c r="AO65" s="9">
        <v>0</v>
      </c>
      <c r="AP65" s="11" t="s">
        <v>5318</v>
      </c>
      <c r="AQ65" s="11" t="s">
        <v>5318</v>
      </c>
    </row>
    <row r="66" spans="1:43" ht="63" customHeight="1" x14ac:dyDescent="0.2">
      <c r="A66" s="10">
        <v>858</v>
      </c>
      <c r="B66" s="11" t="s">
        <v>6724</v>
      </c>
      <c r="C66" s="11" t="s">
        <v>269</v>
      </c>
      <c r="D66" s="11">
        <v>2019</v>
      </c>
      <c r="E66" s="11" t="s">
        <v>5318</v>
      </c>
      <c r="F66" s="11">
        <v>23</v>
      </c>
      <c r="G66" s="11">
        <v>6</v>
      </c>
      <c r="H66" s="11" t="s">
        <v>6725</v>
      </c>
      <c r="I66" s="11" t="s">
        <v>6516</v>
      </c>
      <c r="J66" s="11" t="s">
        <v>6726</v>
      </c>
      <c r="K66" s="11" t="s">
        <v>271</v>
      </c>
      <c r="L66" s="16" t="s">
        <v>5130</v>
      </c>
      <c r="M66" s="11">
        <v>0</v>
      </c>
      <c r="N66" s="9" t="s">
        <v>5044</v>
      </c>
      <c r="O66" s="9" t="s">
        <v>5044</v>
      </c>
      <c r="P66" s="11">
        <v>0</v>
      </c>
      <c r="Q66" s="11">
        <v>0</v>
      </c>
      <c r="R66" s="11">
        <v>0</v>
      </c>
      <c r="S66" s="11">
        <v>1</v>
      </c>
      <c r="T66" s="11">
        <v>1</v>
      </c>
      <c r="U66" s="11">
        <v>132</v>
      </c>
      <c r="V66" s="11">
        <v>0</v>
      </c>
      <c r="W66" s="11">
        <v>1</v>
      </c>
      <c r="X66" s="11">
        <v>0</v>
      </c>
      <c r="Y66" s="11">
        <v>0</v>
      </c>
      <c r="Z66" s="11">
        <v>0</v>
      </c>
      <c r="AA66" s="11">
        <v>0</v>
      </c>
      <c r="AB66" s="11">
        <v>1</v>
      </c>
      <c r="AC66" s="11">
        <v>1</v>
      </c>
      <c r="AD66" s="11" t="s">
        <v>5044</v>
      </c>
      <c r="AE66" s="11" t="s">
        <v>5044</v>
      </c>
      <c r="AF66" s="11" t="s">
        <v>5044</v>
      </c>
      <c r="AG66" s="11">
        <v>2</v>
      </c>
      <c r="AH66" s="11">
        <v>3</v>
      </c>
      <c r="AI66" s="11">
        <v>0</v>
      </c>
      <c r="AJ66" s="11" t="s">
        <v>5044</v>
      </c>
      <c r="AK66" s="11" t="s">
        <v>5318</v>
      </c>
      <c r="AL66" s="11">
        <v>1</v>
      </c>
      <c r="AM66" s="11">
        <v>0</v>
      </c>
      <c r="AN66" s="11" t="s">
        <v>5318</v>
      </c>
      <c r="AO66" s="11">
        <v>3</v>
      </c>
      <c r="AP66" s="11" t="s">
        <v>5318</v>
      </c>
      <c r="AQ66" s="11" t="s">
        <v>5318</v>
      </c>
    </row>
    <row r="67" spans="1:43" ht="63" customHeight="1" x14ac:dyDescent="0.2">
      <c r="A67" s="10">
        <v>874</v>
      </c>
      <c r="B67" s="11" t="s">
        <v>6733</v>
      </c>
      <c r="C67" s="11" t="s">
        <v>277</v>
      </c>
      <c r="D67" s="11">
        <v>2022</v>
      </c>
      <c r="E67" s="11" t="s">
        <v>5318</v>
      </c>
      <c r="F67" s="11">
        <v>49</v>
      </c>
      <c r="G67" s="11">
        <v>5</v>
      </c>
      <c r="H67" s="11" t="s">
        <v>6734</v>
      </c>
      <c r="I67" s="11" t="s">
        <v>6516</v>
      </c>
      <c r="J67" s="11" t="s">
        <v>6735</v>
      </c>
      <c r="K67" s="11" t="s">
        <v>278</v>
      </c>
      <c r="L67" s="12" t="s">
        <v>5133</v>
      </c>
      <c r="M67" s="11">
        <v>0</v>
      </c>
      <c r="N67" s="9" t="s">
        <v>5044</v>
      </c>
      <c r="O67" s="9" t="s">
        <v>5044</v>
      </c>
      <c r="P67" s="11">
        <v>0</v>
      </c>
      <c r="Q67" s="11">
        <v>0</v>
      </c>
      <c r="R67" s="11">
        <v>0</v>
      </c>
      <c r="S67" s="11">
        <v>3</v>
      </c>
      <c r="T67" s="11">
        <v>1</v>
      </c>
      <c r="U67" s="11">
        <v>113</v>
      </c>
      <c r="V67" s="11">
        <v>0</v>
      </c>
      <c r="W67" s="11">
        <v>1</v>
      </c>
      <c r="X67" s="11">
        <v>0</v>
      </c>
      <c r="Y67" s="11">
        <v>0</v>
      </c>
      <c r="Z67" s="11">
        <v>0</v>
      </c>
      <c r="AA67" s="11">
        <v>0</v>
      </c>
      <c r="AB67" s="11">
        <v>1</v>
      </c>
      <c r="AC67" s="11">
        <v>1</v>
      </c>
      <c r="AD67" s="11" t="s">
        <v>5044</v>
      </c>
      <c r="AE67" s="11" t="s">
        <v>5044</v>
      </c>
      <c r="AF67" s="11" t="s">
        <v>5044</v>
      </c>
      <c r="AG67" s="11">
        <v>2</v>
      </c>
      <c r="AH67" s="11">
        <v>3</v>
      </c>
      <c r="AI67" s="11">
        <v>0</v>
      </c>
      <c r="AJ67" s="11" t="s">
        <v>5044</v>
      </c>
      <c r="AK67" s="11" t="s">
        <v>5318</v>
      </c>
      <c r="AL67" s="11">
        <v>0</v>
      </c>
      <c r="AM67" s="11">
        <v>0</v>
      </c>
      <c r="AN67" s="11" t="s">
        <v>5318</v>
      </c>
      <c r="AO67" s="11">
        <v>3</v>
      </c>
      <c r="AP67" s="11" t="s">
        <v>5318</v>
      </c>
      <c r="AQ67" s="11" t="s">
        <v>5318</v>
      </c>
    </row>
    <row r="68" spans="1:43" ht="63" customHeight="1" x14ac:dyDescent="0.2">
      <c r="A68" s="10">
        <v>875</v>
      </c>
      <c r="B68" s="11" t="s">
        <v>6736</v>
      </c>
      <c r="C68" s="11" t="s">
        <v>279</v>
      </c>
      <c r="D68" s="11">
        <v>2023</v>
      </c>
      <c r="E68" s="11" t="s">
        <v>5318</v>
      </c>
      <c r="F68" s="11">
        <v>50</v>
      </c>
      <c r="G68" s="11">
        <v>9</v>
      </c>
      <c r="H68" s="11" t="s">
        <v>6734</v>
      </c>
      <c r="I68" s="11" t="s">
        <v>6516</v>
      </c>
      <c r="J68" s="11" t="s">
        <v>6737</v>
      </c>
      <c r="K68" s="11" t="s">
        <v>281</v>
      </c>
      <c r="L68" s="12" t="s">
        <v>5134</v>
      </c>
      <c r="M68" s="11">
        <v>0</v>
      </c>
      <c r="N68" s="9" t="s">
        <v>5044</v>
      </c>
      <c r="O68" s="9" t="s">
        <v>5044</v>
      </c>
      <c r="P68" s="11">
        <v>0</v>
      </c>
      <c r="Q68" s="11">
        <v>0</v>
      </c>
      <c r="R68" s="11">
        <v>0</v>
      </c>
      <c r="S68" s="11">
        <v>3</v>
      </c>
      <c r="T68" s="11">
        <v>1</v>
      </c>
      <c r="U68" s="11">
        <v>138</v>
      </c>
      <c r="V68" s="11">
        <v>0</v>
      </c>
      <c r="W68" s="11">
        <v>1</v>
      </c>
      <c r="X68" s="11">
        <v>0</v>
      </c>
      <c r="Y68" s="11">
        <v>0</v>
      </c>
      <c r="Z68" s="11">
        <v>0</v>
      </c>
      <c r="AA68" s="11">
        <v>0</v>
      </c>
      <c r="AB68" s="11">
        <v>1</v>
      </c>
      <c r="AC68" s="11">
        <v>1</v>
      </c>
      <c r="AD68" s="11" t="s">
        <v>5044</v>
      </c>
      <c r="AE68" s="11" t="s">
        <v>5044</v>
      </c>
      <c r="AF68" s="11" t="s">
        <v>5044</v>
      </c>
      <c r="AG68" s="11">
        <v>2</v>
      </c>
      <c r="AH68" s="11">
        <v>3</v>
      </c>
      <c r="AI68" s="11">
        <v>0</v>
      </c>
      <c r="AJ68" s="11" t="s">
        <v>5044</v>
      </c>
      <c r="AK68" s="11" t="s">
        <v>5318</v>
      </c>
      <c r="AL68" s="11">
        <v>0</v>
      </c>
      <c r="AM68" s="11">
        <v>0</v>
      </c>
      <c r="AN68" s="11" t="s">
        <v>5318</v>
      </c>
      <c r="AO68" s="11">
        <v>3</v>
      </c>
      <c r="AP68" s="11" t="s">
        <v>5318</v>
      </c>
      <c r="AQ68" s="11" t="s">
        <v>6488</v>
      </c>
    </row>
    <row r="69" spans="1:43" ht="63" customHeight="1" x14ac:dyDescent="0.2">
      <c r="A69" s="10">
        <v>885</v>
      </c>
      <c r="B69" s="11" t="s">
        <v>6738</v>
      </c>
      <c r="C69" s="11" t="s">
        <v>282</v>
      </c>
      <c r="D69" s="11">
        <v>2019</v>
      </c>
      <c r="E69" s="11" t="s">
        <v>5318</v>
      </c>
      <c r="F69" s="11">
        <v>11</v>
      </c>
      <c r="G69" s="11">
        <v>8</v>
      </c>
      <c r="H69" s="11" t="s">
        <v>6739</v>
      </c>
      <c r="I69" s="11" t="s">
        <v>6516</v>
      </c>
      <c r="J69" s="11" t="s">
        <v>6740</v>
      </c>
      <c r="K69" s="11" t="s">
        <v>284</v>
      </c>
      <c r="L69" s="12" t="s">
        <v>5135</v>
      </c>
      <c r="M69" s="11">
        <v>0</v>
      </c>
      <c r="N69" s="9" t="s">
        <v>5044</v>
      </c>
      <c r="O69" s="9" t="s">
        <v>5044</v>
      </c>
      <c r="P69" s="11">
        <v>0</v>
      </c>
      <c r="Q69" s="11">
        <v>0</v>
      </c>
      <c r="R69" s="11">
        <v>0</v>
      </c>
      <c r="S69" s="11">
        <v>1</v>
      </c>
      <c r="T69" s="11">
        <v>1</v>
      </c>
      <c r="U69" s="11">
        <v>364</v>
      </c>
      <c r="V69" s="11">
        <v>0</v>
      </c>
      <c r="W69" s="11">
        <v>1</v>
      </c>
      <c r="X69" s="11">
        <v>0</v>
      </c>
      <c r="Y69" s="11">
        <v>0</v>
      </c>
      <c r="Z69" s="11">
        <v>0</v>
      </c>
      <c r="AA69" s="11">
        <v>0</v>
      </c>
      <c r="AB69" s="11">
        <v>1</v>
      </c>
      <c r="AC69" s="11">
        <v>1</v>
      </c>
      <c r="AD69" s="11" t="s">
        <v>5044</v>
      </c>
      <c r="AE69" s="11" t="s">
        <v>5044</v>
      </c>
      <c r="AF69" s="11" t="s">
        <v>5044</v>
      </c>
      <c r="AG69" s="11">
        <v>2</v>
      </c>
      <c r="AH69" s="11">
        <v>3</v>
      </c>
      <c r="AI69" s="11">
        <v>0</v>
      </c>
      <c r="AJ69" s="11" t="s">
        <v>5044</v>
      </c>
      <c r="AK69" s="11" t="s">
        <v>5318</v>
      </c>
      <c r="AL69" s="11" t="s">
        <v>5041</v>
      </c>
      <c r="AM69" s="11">
        <v>0</v>
      </c>
      <c r="AN69" s="11" t="s">
        <v>5105</v>
      </c>
      <c r="AO69" s="11">
        <v>3</v>
      </c>
      <c r="AP69" s="11" t="s">
        <v>5318</v>
      </c>
      <c r="AQ69" s="11" t="s">
        <v>5318</v>
      </c>
    </row>
    <row r="70" spans="1:43" ht="63" customHeight="1" x14ac:dyDescent="0.2">
      <c r="A70" s="10">
        <v>892</v>
      </c>
      <c r="B70" s="11" t="s">
        <v>6741</v>
      </c>
      <c r="C70" s="11" t="s">
        <v>285</v>
      </c>
      <c r="D70" s="11">
        <v>2012</v>
      </c>
      <c r="E70" s="11" t="s">
        <v>5318</v>
      </c>
      <c r="F70" s="11">
        <v>19</v>
      </c>
      <c r="G70" s="11">
        <v>2</v>
      </c>
      <c r="H70" s="11" t="s">
        <v>6742</v>
      </c>
      <c r="I70" s="11" t="s">
        <v>6516</v>
      </c>
      <c r="J70" s="11" t="s">
        <v>6743</v>
      </c>
      <c r="K70" s="11" t="s">
        <v>287</v>
      </c>
      <c r="L70" s="12" t="s">
        <v>5136</v>
      </c>
      <c r="M70" s="11">
        <v>0</v>
      </c>
      <c r="N70" s="9" t="s">
        <v>5044</v>
      </c>
      <c r="O70" s="9" t="s">
        <v>5044</v>
      </c>
      <c r="P70" s="11">
        <v>0</v>
      </c>
      <c r="Q70" s="11">
        <v>0</v>
      </c>
      <c r="R70" s="11">
        <v>0</v>
      </c>
      <c r="S70" s="11">
        <v>1</v>
      </c>
      <c r="T70" s="11">
        <v>1</v>
      </c>
      <c r="U70" s="11">
        <v>32</v>
      </c>
      <c r="V70" s="11">
        <v>0</v>
      </c>
      <c r="W70" s="11">
        <v>1</v>
      </c>
      <c r="X70" s="11">
        <v>0</v>
      </c>
      <c r="Y70" s="11">
        <v>0</v>
      </c>
      <c r="Z70" s="11">
        <v>0</v>
      </c>
      <c r="AA70" s="11">
        <v>0</v>
      </c>
      <c r="AB70" s="11">
        <v>1</v>
      </c>
      <c r="AC70" s="11">
        <v>1</v>
      </c>
      <c r="AD70" s="11" t="s">
        <v>5044</v>
      </c>
      <c r="AE70" s="11" t="s">
        <v>5044</v>
      </c>
      <c r="AF70" s="11" t="s">
        <v>5044</v>
      </c>
      <c r="AG70" s="11">
        <v>1</v>
      </c>
      <c r="AH70" s="11">
        <v>0</v>
      </c>
      <c r="AI70" s="11">
        <v>0</v>
      </c>
      <c r="AJ70" s="11" t="s">
        <v>5044</v>
      </c>
      <c r="AK70" s="11" t="s">
        <v>5318</v>
      </c>
      <c r="AL70" s="11">
        <v>0</v>
      </c>
      <c r="AM70" s="11">
        <v>0</v>
      </c>
      <c r="AN70" s="11" t="s">
        <v>5318</v>
      </c>
      <c r="AO70" s="9">
        <v>0</v>
      </c>
      <c r="AP70" s="11" t="s">
        <v>5318</v>
      </c>
      <c r="AQ70" s="11" t="s">
        <v>5318</v>
      </c>
    </row>
    <row r="71" spans="1:43" ht="63" customHeight="1" x14ac:dyDescent="0.2">
      <c r="A71" s="10">
        <v>912</v>
      </c>
      <c r="B71" s="11" t="s">
        <v>6744</v>
      </c>
      <c r="C71" s="11" t="s">
        <v>288</v>
      </c>
      <c r="D71" s="11">
        <v>2023</v>
      </c>
      <c r="E71" s="11" t="s">
        <v>5318</v>
      </c>
      <c r="F71" s="11">
        <v>47</v>
      </c>
      <c r="G71" s="11">
        <v>2</v>
      </c>
      <c r="H71" s="11" t="s">
        <v>6745</v>
      </c>
      <c r="I71" s="11" t="s">
        <v>6516</v>
      </c>
      <c r="J71" s="11" t="s">
        <v>6746</v>
      </c>
      <c r="K71" s="11" t="s">
        <v>291</v>
      </c>
      <c r="L71" s="16" t="s">
        <v>5137</v>
      </c>
      <c r="M71" s="11">
        <v>0</v>
      </c>
      <c r="N71" s="9" t="s">
        <v>5044</v>
      </c>
      <c r="O71" s="9" t="s">
        <v>5044</v>
      </c>
      <c r="P71" s="11">
        <v>0</v>
      </c>
      <c r="Q71" s="11">
        <v>0</v>
      </c>
      <c r="R71" s="11">
        <v>0</v>
      </c>
      <c r="S71" s="11">
        <v>1</v>
      </c>
      <c r="T71" s="11">
        <v>1</v>
      </c>
      <c r="U71" s="11">
        <v>144</v>
      </c>
      <c r="V71" s="11">
        <v>0</v>
      </c>
      <c r="W71" s="11">
        <v>1</v>
      </c>
      <c r="X71" s="11">
        <v>0</v>
      </c>
      <c r="Y71" s="11">
        <v>0</v>
      </c>
      <c r="Z71" s="11">
        <v>1</v>
      </c>
      <c r="AA71" s="11">
        <v>0</v>
      </c>
      <c r="AB71" s="11">
        <v>1</v>
      </c>
      <c r="AC71" s="11">
        <v>1</v>
      </c>
      <c r="AD71" s="11" t="s">
        <v>5044</v>
      </c>
      <c r="AE71" s="11" t="s">
        <v>5044</v>
      </c>
      <c r="AF71" s="11" t="s">
        <v>5044</v>
      </c>
      <c r="AG71" s="11">
        <v>1</v>
      </c>
      <c r="AH71" s="11">
        <v>0</v>
      </c>
      <c r="AI71" s="11">
        <v>0</v>
      </c>
      <c r="AJ71" s="11">
        <v>1</v>
      </c>
      <c r="AK71" s="11" t="s">
        <v>5138</v>
      </c>
      <c r="AL71" s="11">
        <v>0</v>
      </c>
      <c r="AM71" s="11">
        <v>0</v>
      </c>
      <c r="AN71" s="11" t="s">
        <v>5318</v>
      </c>
      <c r="AO71" s="9">
        <v>0</v>
      </c>
      <c r="AP71" s="11" t="s">
        <v>5318</v>
      </c>
      <c r="AQ71" s="11" t="s">
        <v>5318</v>
      </c>
    </row>
    <row r="72" spans="1:43" ht="63" customHeight="1" x14ac:dyDescent="0.2">
      <c r="A72" s="10">
        <v>942</v>
      </c>
      <c r="B72" s="11" t="s">
        <v>6758</v>
      </c>
      <c r="C72" s="11" t="s">
        <v>306</v>
      </c>
      <c r="D72" s="11">
        <v>2015</v>
      </c>
      <c r="E72" s="11" t="s">
        <v>5318</v>
      </c>
      <c r="F72" s="11">
        <v>95</v>
      </c>
      <c r="G72" s="11">
        <v>4</v>
      </c>
      <c r="H72" s="11" t="s">
        <v>6759</v>
      </c>
      <c r="I72" s="11" t="s">
        <v>6516</v>
      </c>
      <c r="J72" s="11" t="s">
        <v>6760</v>
      </c>
      <c r="K72" s="11" t="s">
        <v>308</v>
      </c>
      <c r="L72" s="11" t="s">
        <v>5044</v>
      </c>
      <c r="M72" s="11">
        <v>0</v>
      </c>
      <c r="N72" s="9" t="s">
        <v>5044</v>
      </c>
      <c r="O72" s="9" t="s">
        <v>5044</v>
      </c>
      <c r="P72" s="11">
        <v>0</v>
      </c>
      <c r="Q72" s="11">
        <v>0</v>
      </c>
      <c r="R72" s="11">
        <v>0</v>
      </c>
      <c r="S72" s="11">
        <v>3</v>
      </c>
      <c r="T72" s="11">
        <v>1</v>
      </c>
      <c r="U72" s="11">
        <v>162</v>
      </c>
      <c r="V72" s="11">
        <v>0</v>
      </c>
      <c r="W72" s="11">
        <v>1</v>
      </c>
      <c r="X72" s="11">
        <v>0</v>
      </c>
      <c r="Y72" s="11">
        <v>0</v>
      </c>
      <c r="Z72" s="11">
        <v>0</v>
      </c>
      <c r="AA72" s="11">
        <v>0</v>
      </c>
      <c r="AB72" s="11">
        <v>1</v>
      </c>
      <c r="AC72" s="11">
        <v>1</v>
      </c>
      <c r="AD72" s="11" t="s">
        <v>5044</v>
      </c>
      <c r="AE72" s="11" t="s">
        <v>5044</v>
      </c>
      <c r="AF72" s="11" t="s">
        <v>5044</v>
      </c>
      <c r="AG72" s="11">
        <v>2</v>
      </c>
      <c r="AH72" s="11">
        <v>2</v>
      </c>
      <c r="AI72" s="11">
        <v>2</v>
      </c>
      <c r="AJ72" s="11" t="s">
        <v>5044</v>
      </c>
      <c r="AK72" s="11" t="s">
        <v>5318</v>
      </c>
      <c r="AL72" s="11" t="s">
        <v>5041</v>
      </c>
      <c r="AM72" s="11">
        <v>0</v>
      </c>
      <c r="AN72" s="11" t="s">
        <v>5105</v>
      </c>
      <c r="AO72" s="11">
        <v>2</v>
      </c>
      <c r="AP72" s="11" t="s">
        <v>5318</v>
      </c>
      <c r="AQ72" s="11" t="s">
        <v>5318</v>
      </c>
    </row>
    <row r="73" spans="1:43" ht="63" customHeight="1" x14ac:dyDescent="0.2">
      <c r="A73" s="10">
        <v>966</v>
      </c>
      <c r="B73" s="11" t="s">
        <v>6764</v>
      </c>
      <c r="C73" s="11" t="s">
        <v>311</v>
      </c>
      <c r="D73" s="11">
        <v>2021</v>
      </c>
      <c r="E73" s="11" t="s">
        <v>5318</v>
      </c>
      <c r="F73" s="11">
        <v>108</v>
      </c>
      <c r="G73" s="11">
        <v>3</v>
      </c>
      <c r="H73" s="11" t="s">
        <v>6530</v>
      </c>
      <c r="I73" s="11" t="s">
        <v>6516</v>
      </c>
      <c r="J73" s="11" t="s">
        <v>6765</v>
      </c>
      <c r="K73" s="11" t="s">
        <v>313</v>
      </c>
      <c r="L73" s="11" t="s">
        <v>5144</v>
      </c>
      <c r="M73" s="11">
        <v>0</v>
      </c>
      <c r="N73" s="9" t="s">
        <v>5044</v>
      </c>
      <c r="O73" s="9" t="s">
        <v>5044</v>
      </c>
      <c r="P73" s="11">
        <v>0</v>
      </c>
      <c r="Q73" s="11">
        <v>0</v>
      </c>
      <c r="R73" s="11">
        <v>0</v>
      </c>
      <c r="S73" s="11">
        <v>1</v>
      </c>
      <c r="T73" s="11">
        <v>1</v>
      </c>
      <c r="U73" s="11">
        <v>107</v>
      </c>
      <c r="V73" s="11">
        <v>0</v>
      </c>
      <c r="W73" s="11">
        <v>1</v>
      </c>
      <c r="X73" s="11">
        <v>0</v>
      </c>
      <c r="Y73" s="11">
        <v>0</v>
      </c>
      <c r="Z73" s="11">
        <v>0</v>
      </c>
      <c r="AA73" s="11">
        <v>0</v>
      </c>
      <c r="AB73" s="11">
        <v>1</v>
      </c>
      <c r="AC73" s="11">
        <v>1</v>
      </c>
      <c r="AD73" s="11" t="s">
        <v>5044</v>
      </c>
      <c r="AE73" s="11" t="s">
        <v>5044</v>
      </c>
      <c r="AF73" s="11" t="s">
        <v>5044</v>
      </c>
      <c r="AG73" s="11">
        <v>1</v>
      </c>
      <c r="AH73" s="11">
        <v>0</v>
      </c>
      <c r="AI73" s="11">
        <v>0</v>
      </c>
      <c r="AJ73" s="11" t="s">
        <v>5044</v>
      </c>
      <c r="AK73" s="11" t="s">
        <v>5318</v>
      </c>
      <c r="AL73" s="11">
        <v>0</v>
      </c>
      <c r="AM73" s="11">
        <v>0</v>
      </c>
      <c r="AN73" s="11" t="s">
        <v>5318</v>
      </c>
      <c r="AO73" s="9">
        <v>0</v>
      </c>
      <c r="AP73" s="11" t="s">
        <v>5318</v>
      </c>
      <c r="AQ73" s="11" t="s">
        <v>5318</v>
      </c>
    </row>
    <row r="74" spans="1:43" ht="63" customHeight="1" x14ac:dyDescent="0.2">
      <c r="A74" s="10">
        <v>991</v>
      </c>
      <c r="B74" s="11" t="s">
        <v>6768</v>
      </c>
      <c r="C74" s="11" t="s">
        <v>316</v>
      </c>
      <c r="D74" s="11">
        <v>2019</v>
      </c>
      <c r="E74" s="11" t="s">
        <v>5318</v>
      </c>
      <c r="F74" s="11">
        <v>45</v>
      </c>
      <c r="G74" s="11" t="s">
        <v>5318</v>
      </c>
      <c r="H74" s="11" t="s">
        <v>6769</v>
      </c>
      <c r="I74" s="11" t="s">
        <v>6516</v>
      </c>
      <c r="J74" s="11" t="s">
        <v>6770</v>
      </c>
      <c r="K74" s="11" t="s">
        <v>317</v>
      </c>
      <c r="L74" s="11" t="s">
        <v>5044</v>
      </c>
      <c r="M74" s="11">
        <v>0</v>
      </c>
      <c r="N74" s="9" t="s">
        <v>5044</v>
      </c>
      <c r="O74" s="9" t="s">
        <v>5044</v>
      </c>
      <c r="P74" s="11">
        <v>0</v>
      </c>
      <c r="Q74" s="11">
        <v>0</v>
      </c>
      <c r="R74" s="11">
        <v>0</v>
      </c>
      <c r="S74" s="11">
        <v>1</v>
      </c>
      <c r="T74" s="11">
        <v>5</v>
      </c>
      <c r="U74" s="11">
        <v>50</v>
      </c>
      <c r="V74" s="11">
        <v>0</v>
      </c>
      <c r="W74" s="11">
        <v>1</v>
      </c>
      <c r="X74" s="11">
        <v>0</v>
      </c>
      <c r="Y74" s="11">
        <v>0</v>
      </c>
      <c r="Z74" s="11">
        <v>0</v>
      </c>
      <c r="AA74" s="11">
        <v>0</v>
      </c>
      <c r="AB74" s="11">
        <v>1</v>
      </c>
      <c r="AC74" s="11">
        <v>1</v>
      </c>
      <c r="AD74" s="11" t="s">
        <v>5044</v>
      </c>
      <c r="AE74" s="11" t="s">
        <v>5044</v>
      </c>
      <c r="AF74" s="11" t="s">
        <v>5044</v>
      </c>
      <c r="AG74" s="11">
        <v>2</v>
      </c>
      <c r="AH74" s="11">
        <v>3</v>
      </c>
      <c r="AI74" s="11">
        <v>0</v>
      </c>
      <c r="AJ74" s="11" t="s">
        <v>5044</v>
      </c>
      <c r="AK74" s="11">
        <v>1</v>
      </c>
      <c r="AL74" s="11">
        <v>0</v>
      </c>
      <c r="AM74" s="11">
        <v>0</v>
      </c>
      <c r="AN74" s="11" t="s">
        <v>5318</v>
      </c>
      <c r="AO74" s="11">
        <v>3</v>
      </c>
      <c r="AP74" s="11" t="s">
        <v>5318</v>
      </c>
      <c r="AQ74" s="11" t="s">
        <v>5318</v>
      </c>
    </row>
    <row r="75" spans="1:43" ht="63" customHeight="1" x14ac:dyDescent="0.2">
      <c r="A75" s="10">
        <v>992</v>
      </c>
      <c r="B75" s="11" t="s">
        <v>6771</v>
      </c>
      <c r="C75" s="11" t="s">
        <v>318</v>
      </c>
      <c r="D75" s="11">
        <v>2017</v>
      </c>
      <c r="E75" s="11" t="s">
        <v>5318</v>
      </c>
      <c r="F75" s="11">
        <v>12</v>
      </c>
      <c r="G75" s="11">
        <v>9</v>
      </c>
      <c r="H75" s="11" t="s">
        <v>6772</v>
      </c>
      <c r="I75" s="11" t="s">
        <v>6516</v>
      </c>
      <c r="J75" s="11" t="s">
        <v>6773</v>
      </c>
      <c r="K75" s="11" t="s">
        <v>320</v>
      </c>
      <c r="L75" s="11" t="s">
        <v>5044</v>
      </c>
      <c r="M75" s="11">
        <v>0</v>
      </c>
      <c r="N75" s="9" t="s">
        <v>5044</v>
      </c>
      <c r="O75" s="9" t="s">
        <v>5044</v>
      </c>
      <c r="P75" s="11">
        <v>0</v>
      </c>
      <c r="Q75" s="11">
        <v>0</v>
      </c>
      <c r="R75" s="11">
        <v>0</v>
      </c>
      <c r="S75" s="11">
        <v>1</v>
      </c>
      <c r="T75" s="11">
        <v>5</v>
      </c>
      <c r="U75" s="11">
        <v>52</v>
      </c>
      <c r="V75" s="11">
        <v>0</v>
      </c>
      <c r="W75" s="11">
        <v>1</v>
      </c>
      <c r="X75" s="11">
        <v>0</v>
      </c>
      <c r="Y75" s="11">
        <v>0</v>
      </c>
      <c r="Z75" s="11">
        <v>0</v>
      </c>
      <c r="AA75" s="11">
        <v>0</v>
      </c>
      <c r="AB75" s="11">
        <v>1</v>
      </c>
      <c r="AC75" s="11">
        <v>1</v>
      </c>
      <c r="AD75" s="11" t="s">
        <v>5044</v>
      </c>
      <c r="AE75" s="11" t="s">
        <v>5044</v>
      </c>
      <c r="AF75" s="11" t="s">
        <v>5044</v>
      </c>
      <c r="AG75" s="11">
        <v>2</v>
      </c>
      <c r="AH75" s="11">
        <v>3</v>
      </c>
      <c r="AI75" s="11">
        <v>0</v>
      </c>
      <c r="AJ75" s="11" t="s">
        <v>5044</v>
      </c>
      <c r="AK75" s="11">
        <v>1</v>
      </c>
      <c r="AL75" s="11">
        <v>1</v>
      </c>
      <c r="AM75" s="11">
        <v>0</v>
      </c>
      <c r="AN75" s="11" t="s">
        <v>5318</v>
      </c>
      <c r="AO75" s="11">
        <v>3</v>
      </c>
      <c r="AP75" s="11" t="s">
        <v>5318</v>
      </c>
      <c r="AQ75" s="11" t="s">
        <v>5318</v>
      </c>
    </row>
    <row r="76" spans="1:43" ht="63" customHeight="1" x14ac:dyDescent="0.2">
      <c r="A76" s="10">
        <v>994</v>
      </c>
      <c r="B76" s="11" t="s">
        <v>6774</v>
      </c>
      <c r="C76" s="11" t="s">
        <v>321</v>
      </c>
      <c r="D76" s="11">
        <v>2017</v>
      </c>
      <c r="E76" s="11" t="s">
        <v>5318</v>
      </c>
      <c r="F76" s="11">
        <v>119</v>
      </c>
      <c r="G76" s="11">
        <v>4</v>
      </c>
      <c r="H76" s="11" t="s">
        <v>6454</v>
      </c>
      <c r="I76" s="11" t="s">
        <v>6516</v>
      </c>
      <c r="J76" s="11" t="s">
        <v>6775</v>
      </c>
      <c r="K76" s="11" t="s">
        <v>323</v>
      </c>
      <c r="L76" s="11" t="s">
        <v>5146</v>
      </c>
      <c r="M76" s="11">
        <v>0</v>
      </c>
      <c r="N76" s="9" t="s">
        <v>5044</v>
      </c>
      <c r="O76" s="9" t="s">
        <v>5044</v>
      </c>
      <c r="P76" s="11">
        <v>0</v>
      </c>
      <c r="Q76" s="11">
        <v>0</v>
      </c>
      <c r="R76" s="11">
        <v>0</v>
      </c>
      <c r="S76" s="11">
        <v>2</v>
      </c>
      <c r="T76" s="11">
        <v>5</v>
      </c>
      <c r="U76" s="11">
        <v>50</v>
      </c>
      <c r="V76" s="11">
        <v>0</v>
      </c>
      <c r="W76" s="11">
        <v>1</v>
      </c>
      <c r="X76" s="11">
        <v>0</v>
      </c>
      <c r="Y76" s="11">
        <v>0</v>
      </c>
      <c r="Z76" s="11">
        <v>0</v>
      </c>
      <c r="AA76" s="11">
        <v>0</v>
      </c>
      <c r="AB76" s="11">
        <v>1</v>
      </c>
      <c r="AC76" s="11">
        <v>1</v>
      </c>
      <c r="AD76" s="11" t="s">
        <v>5044</v>
      </c>
      <c r="AE76" s="11" t="s">
        <v>5044</v>
      </c>
      <c r="AF76" s="11" t="s">
        <v>5044</v>
      </c>
      <c r="AG76" s="11">
        <v>1</v>
      </c>
      <c r="AH76" s="11">
        <v>0</v>
      </c>
      <c r="AI76" s="11">
        <v>0</v>
      </c>
      <c r="AJ76" s="11" t="s">
        <v>5044</v>
      </c>
      <c r="AK76" s="11"/>
      <c r="AL76" s="11">
        <v>1</v>
      </c>
      <c r="AM76" s="11">
        <v>0</v>
      </c>
      <c r="AN76" s="11" t="s">
        <v>5318</v>
      </c>
      <c r="AO76" s="9">
        <v>0</v>
      </c>
      <c r="AP76" s="11" t="s">
        <v>5318</v>
      </c>
      <c r="AQ76" s="11" t="s">
        <v>5318</v>
      </c>
    </row>
    <row r="77" spans="1:43" ht="63" customHeight="1" x14ac:dyDescent="0.2">
      <c r="A77" s="10">
        <v>996</v>
      </c>
      <c r="B77" s="11" t="s">
        <v>6776</v>
      </c>
      <c r="C77" s="11" t="s">
        <v>324</v>
      </c>
      <c r="D77" s="11">
        <v>2016</v>
      </c>
      <c r="E77" s="11" t="s">
        <v>5318</v>
      </c>
      <c r="F77" s="11">
        <v>30</v>
      </c>
      <c r="G77" s="11">
        <v>5</v>
      </c>
      <c r="H77" s="11" t="s">
        <v>6777</v>
      </c>
      <c r="I77" s="11" t="s">
        <v>6516</v>
      </c>
      <c r="J77" s="11" t="s">
        <v>6778</v>
      </c>
      <c r="K77" s="11" t="s">
        <v>327</v>
      </c>
      <c r="L77" s="12" t="s">
        <v>5147</v>
      </c>
      <c r="M77" s="11">
        <v>0</v>
      </c>
      <c r="N77" s="9" t="s">
        <v>5044</v>
      </c>
      <c r="O77" s="9" t="s">
        <v>5044</v>
      </c>
      <c r="P77" s="11">
        <v>1</v>
      </c>
      <c r="Q77" s="11">
        <v>0</v>
      </c>
      <c r="R77" s="11">
        <v>0</v>
      </c>
      <c r="S77" s="11">
        <v>2</v>
      </c>
      <c r="T77" s="11">
        <v>5</v>
      </c>
      <c r="U77" s="11">
        <v>60</v>
      </c>
      <c r="V77" s="11">
        <v>0</v>
      </c>
      <c r="W77" s="11">
        <v>1</v>
      </c>
      <c r="X77" s="11">
        <v>0</v>
      </c>
      <c r="Y77" s="11">
        <v>0</v>
      </c>
      <c r="Z77" s="11">
        <v>0</v>
      </c>
      <c r="AA77" s="11">
        <v>0</v>
      </c>
      <c r="AB77" s="11">
        <v>1</v>
      </c>
      <c r="AC77" s="11">
        <v>1</v>
      </c>
      <c r="AD77" s="11" t="s">
        <v>5044</v>
      </c>
      <c r="AE77" s="11" t="s">
        <v>5044</v>
      </c>
      <c r="AF77" s="11" t="s">
        <v>5044</v>
      </c>
      <c r="AG77" s="11">
        <v>2</v>
      </c>
      <c r="AH77" s="11">
        <v>3</v>
      </c>
      <c r="AI77" s="11">
        <v>0</v>
      </c>
      <c r="AJ77" s="11" t="s">
        <v>5044</v>
      </c>
      <c r="AK77" s="11">
        <v>1</v>
      </c>
      <c r="AL77" s="11">
        <v>0</v>
      </c>
      <c r="AM77" s="11">
        <v>0</v>
      </c>
      <c r="AN77" s="11" t="s">
        <v>5318</v>
      </c>
      <c r="AO77" s="11">
        <v>3</v>
      </c>
      <c r="AP77" s="11" t="s">
        <v>5318</v>
      </c>
      <c r="AQ77" s="11" t="s">
        <v>5318</v>
      </c>
    </row>
    <row r="78" spans="1:43" ht="63" customHeight="1" x14ac:dyDescent="0.2">
      <c r="A78" s="10">
        <v>1005</v>
      </c>
      <c r="B78" s="11" t="s">
        <v>6779</v>
      </c>
      <c r="C78" s="11" t="s">
        <v>328</v>
      </c>
      <c r="D78" s="11">
        <v>2019</v>
      </c>
      <c r="E78" s="11" t="s">
        <v>5318</v>
      </c>
      <c r="F78" s="11">
        <v>37</v>
      </c>
      <c r="G78" s="11">
        <v>24</v>
      </c>
      <c r="H78" s="11" t="s">
        <v>6449</v>
      </c>
      <c r="I78" s="11" t="s">
        <v>6516</v>
      </c>
      <c r="J78" s="11" t="s">
        <v>6780</v>
      </c>
      <c r="K78" s="11" t="s">
        <v>330</v>
      </c>
      <c r="L78" s="11" t="s">
        <v>5044</v>
      </c>
      <c r="M78" s="11">
        <v>0</v>
      </c>
      <c r="N78" s="9" t="s">
        <v>5044</v>
      </c>
      <c r="O78" s="9" t="s">
        <v>5044</v>
      </c>
      <c r="P78" s="11">
        <v>0</v>
      </c>
      <c r="Q78" s="11">
        <v>0</v>
      </c>
      <c r="R78" s="11">
        <v>0</v>
      </c>
      <c r="S78" s="11">
        <v>1</v>
      </c>
      <c r="T78" s="11">
        <v>4</v>
      </c>
      <c r="U78" s="11">
        <v>164</v>
      </c>
      <c r="V78" s="11">
        <v>0</v>
      </c>
      <c r="W78" s="11">
        <v>1</v>
      </c>
      <c r="X78" s="11">
        <v>0</v>
      </c>
      <c r="Y78" s="11">
        <v>0</v>
      </c>
      <c r="Z78" s="11">
        <v>0</v>
      </c>
      <c r="AA78" s="11">
        <v>0</v>
      </c>
      <c r="AB78" s="11">
        <v>1</v>
      </c>
      <c r="AC78" s="11">
        <v>1</v>
      </c>
      <c r="AD78" s="11" t="s">
        <v>5044</v>
      </c>
      <c r="AE78" s="11" t="s">
        <v>5044</v>
      </c>
      <c r="AF78" s="11" t="s">
        <v>5044</v>
      </c>
      <c r="AG78" s="11">
        <v>2</v>
      </c>
      <c r="AH78" s="11">
        <v>3</v>
      </c>
      <c r="AI78" s="11">
        <v>2</v>
      </c>
      <c r="AJ78" s="11" t="s">
        <v>5044</v>
      </c>
      <c r="AK78" s="11">
        <v>1</v>
      </c>
      <c r="AL78" s="11">
        <v>1</v>
      </c>
      <c r="AM78" s="11">
        <v>0</v>
      </c>
      <c r="AN78" s="11" t="s">
        <v>5318</v>
      </c>
      <c r="AO78" s="11">
        <v>3</v>
      </c>
      <c r="AP78" s="11" t="s">
        <v>5318</v>
      </c>
      <c r="AQ78" s="11" t="s">
        <v>5318</v>
      </c>
    </row>
    <row r="79" spans="1:43" ht="63" customHeight="1" x14ac:dyDescent="0.2">
      <c r="A79" s="10">
        <v>1008</v>
      </c>
      <c r="B79" s="11" t="s">
        <v>6781</v>
      </c>
      <c r="C79" s="11" t="s">
        <v>331</v>
      </c>
      <c r="D79" s="11">
        <v>2019</v>
      </c>
      <c r="E79" s="11" t="s">
        <v>5318</v>
      </c>
      <c r="F79" s="11">
        <v>154</v>
      </c>
      <c r="G79" s="11">
        <v>7</v>
      </c>
      <c r="H79" s="11" t="s">
        <v>6676</v>
      </c>
      <c r="I79" s="11" t="s">
        <v>6516</v>
      </c>
      <c r="J79" s="11" t="s">
        <v>6782</v>
      </c>
      <c r="K79" s="11" t="s">
        <v>333</v>
      </c>
      <c r="L79" s="16" t="s">
        <v>5388</v>
      </c>
      <c r="M79" s="11">
        <v>0</v>
      </c>
      <c r="N79" s="9" t="s">
        <v>5044</v>
      </c>
      <c r="O79" s="9" t="s">
        <v>5044</v>
      </c>
      <c r="P79" s="11">
        <v>0</v>
      </c>
      <c r="Q79" s="11">
        <v>0</v>
      </c>
      <c r="R79" s="11">
        <v>0</v>
      </c>
      <c r="S79" s="11">
        <v>7</v>
      </c>
      <c r="T79" s="11">
        <v>4</v>
      </c>
      <c r="U79" s="11">
        <v>86</v>
      </c>
      <c r="V79" s="11">
        <v>0</v>
      </c>
      <c r="W79" s="11">
        <v>1</v>
      </c>
      <c r="X79" s="11">
        <v>0</v>
      </c>
      <c r="Y79" s="11">
        <v>0</v>
      </c>
      <c r="Z79" s="11">
        <v>0</v>
      </c>
      <c r="AA79" s="11">
        <v>0</v>
      </c>
      <c r="AB79" s="11">
        <v>1</v>
      </c>
      <c r="AC79" s="11">
        <v>0</v>
      </c>
      <c r="AD79" s="11" t="s">
        <v>5044</v>
      </c>
      <c r="AE79" s="11" t="s">
        <v>5044</v>
      </c>
      <c r="AF79" s="11" t="s">
        <v>5044</v>
      </c>
      <c r="AG79" s="11">
        <v>0</v>
      </c>
      <c r="AH79" s="11" t="s">
        <v>5044</v>
      </c>
      <c r="AI79" s="11" t="s">
        <v>5044</v>
      </c>
      <c r="AJ79" s="11" t="s">
        <v>5044</v>
      </c>
      <c r="AK79" s="11" t="s">
        <v>5318</v>
      </c>
      <c r="AL79" s="11">
        <v>1</v>
      </c>
      <c r="AM79" s="11">
        <v>0</v>
      </c>
      <c r="AN79" s="11" t="s">
        <v>5318</v>
      </c>
      <c r="AO79" s="11">
        <v>9</v>
      </c>
      <c r="AP79" s="11" t="s">
        <v>5318</v>
      </c>
      <c r="AQ79" s="11" t="s">
        <v>5318</v>
      </c>
    </row>
    <row r="80" spans="1:43" ht="63" customHeight="1" x14ac:dyDescent="0.2">
      <c r="A80" s="10">
        <v>1018</v>
      </c>
      <c r="B80" s="11" t="s">
        <v>6783</v>
      </c>
      <c r="C80" s="11" t="s">
        <v>334</v>
      </c>
      <c r="D80" s="11">
        <v>2021</v>
      </c>
      <c r="E80" s="11" t="s">
        <v>5318</v>
      </c>
      <c r="F80" s="11">
        <v>274</v>
      </c>
      <c r="G80" s="11">
        <v>6</v>
      </c>
      <c r="H80" s="11" t="s">
        <v>6533</v>
      </c>
      <c r="I80" s="11" t="s">
        <v>6516</v>
      </c>
      <c r="J80" s="11" t="s">
        <v>6784</v>
      </c>
      <c r="K80" s="11" t="s">
        <v>336</v>
      </c>
      <c r="L80" s="16" t="s">
        <v>5389</v>
      </c>
      <c r="M80" s="11">
        <v>0</v>
      </c>
      <c r="N80" s="9" t="s">
        <v>5044</v>
      </c>
      <c r="O80" s="9" t="s">
        <v>5044</v>
      </c>
      <c r="P80" s="11">
        <v>0</v>
      </c>
      <c r="Q80" s="11">
        <v>0</v>
      </c>
      <c r="R80" s="11">
        <v>0</v>
      </c>
      <c r="S80" s="11">
        <v>1</v>
      </c>
      <c r="T80" s="11">
        <v>4</v>
      </c>
      <c r="U80" s="11">
        <v>253</v>
      </c>
      <c r="V80" s="11">
        <v>0</v>
      </c>
      <c r="W80" s="11">
        <v>1</v>
      </c>
      <c r="X80" s="11">
        <v>0</v>
      </c>
      <c r="Y80" s="11">
        <v>0</v>
      </c>
      <c r="Z80" s="11">
        <v>0</v>
      </c>
      <c r="AA80" s="11">
        <v>0</v>
      </c>
      <c r="AB80" s="11">
        <v>0</v>
      </c>
      <c r="AC80" s="11">
        <v>1</v>
      </c>
      <c r="AD80" s="11" t="s">
        <v>5044</v>
      </c>
      <c r="AE80" s="11" t="s">
        <v>5044</v>
      </c>
      <c r="AF80" s="11" t="s">
        <v>5044</v>
      </c>
      <c r="AG80" s="11">
        <v>2</v>
      </c>
      <c r="AH80" s="11">
        <v>3</v>
      </c>
      <c r="AI80" s="11">
        <v>0</v>
      </c>
      <c r="AJ80" s="11" t="s">
        <v>5044</v>
      </c>
      <c r="AK80" s="11">
        <v>1</v>
      </c>
      <c r="AL80" s="11">
        <v>1</v>
      </c>
      <c r="AM80" s="11">
        <v>0</v>
      </c>
      <c r="AN80" s="11" t="s">
        <v>5318</v>
      </c>
      <c r="AO80" s="11">
        <v>3</v>
      </c>
      <c r="AP80" s="11" t="s">
        <v>5318</v>
      </c>
      <c r="AQ80" s="11" t="s">
        <v>5318</v>
      </c>
    </row>
    <row r="81" spans="1:43" ht="63" customHeight="1" x14ac:dyDescent="0.2">
      <c r="A81" s="10">
        <v>1020</v>
      </c>
      <c r="B81" s="11" t="s">
        <v>6785</v>
      </c>
      <c r="C81" s="11" t="s">
        <v>337</v>
      </c>
      <c r="D81" s="11">
        <v>2019</v>
      </c>
      <c r="E81" s="11" t="s">
        <v>5318</v>
      </c>
      <c r="F81" s="11">
        <v>75</v>
      </c>
      <c r="G81" s="11">
        <v>4</v>
      </c>
      <c r="H81" s="11" t="s">
        <v>6515</v>
      </c>
      <c r="I81" s="11" t="s">
        <v>6516</v>
      </c>
      <c r="J81" s="11" t="s">
        <v>6786</v>
      </c>
      <c r="K81" s="11" t="s">
        <v>339</v>
      </c>
      <c r="L81" s="11" t="s">
        <v>5044</v>
      </c>
      <c r="M81" s="11">
        <v>0</v>
      </c>
      <c r="N81" s="9" t="s">
        <v>5044</v>
      </c>
      <c r="O81" s="9" t="s">
        <v>5044</v>
      </c>
      <c r="P81" s="11">
        <v>0</v>
      </c>
      <c r="Q81" s="11">
        <v>0</v>
      </c>
      <c r="R81" s="11">
        <v>0</v>
      </c>
      <c r="S81" s="11">
        <v>3</v>
      </c>
      <c r="T81" s="11">
        <v>1</v>
      </c>
      <c r="U81" s="11">
        <v>234</v>
      </c>
      <c r="V81" s="11">
        <v>0</v>
      </c>
      <c r="W81" s="11">
        <v>1</v>
      </c>
      <c r="X81" s="11">
        <v>0</v>
      </c>
      <c r="Y81" s="11">
        <v>0</v>
      </c>
      <c r="Z81" s="11">
        <v>0</v>
      </c>
      <c r="AA81" s="11">
        <v>0</v>
      </c>
      <c r="AB81" s="11">
        <v>1</v>
      </c>
      <c r="AC81" s="11">
        <v>1</v>
      </c>
      <c r="AD81" s="11" t="s">
        <v>5044</v>
      </c>
      <c r="AE81" s="11" t="s">
        <v>5044</v>
      </c>
      <c r="AF81" s="11" t="s">
        <v>5044</v>
      </c>
      <c r="AG81" s="11">
        <v>1</v>
      </c>
      <c r="AH81" s="11">
        <v>0</v>
      </c>
      <c r="AI81" s="11">
        <v>0</v>
      </c>
      <c r="AJ81" s="11" t="s">
        <v>5044</v>
      </c>
      <c r="AK81" s="11" t="s">
        <v>5318</v>
      </c>
      <c r="AL81" s="11">
        <v>2</v>
      </c>
      <c r="AM81" s="11">
        <v>0</v>
      </c>
      <c r="AN81" s="11" t="s">
        <v>5318</v>
      </c>
      <c r="AO81" s="9">
        <v>0</v>
      </c>
      <c r="AP81" s="11" t="s">
        <v>5318</v>
      </c>
      <c r="AQ81" s="11" t="s">
        <v>5318</v>
      </c>
    </row>
    <row r="82" spans="1:43" ht="63" customHeight="1" x14ac:dyDescent="0.2">
      <c r="A82" s="10">
        <v>1044</v>
      </c>
      <c r="B82" s="11" t="s">
        <v>6787</v>
      </c>
      <c r="C82" s="11" t="s">
        <v>340</v>
      </c>
      <c r="D82" s="11">
        <v>2010</v>
      </c>
      <c r="E82" s="11" t="s">
        <v>5318</v>
      </c>
      <c r="F82" s="11">
        <v>24</v>
      </c>
      <c r="G82" s="11">
        <v>6</v>
      </c>
      <c r="H82" s="11" t="s">
        <v>6624</v>
      </c>
      <c r="I82" s="11" t="s">
        <v>6516</v>
      </c>
      <c r="J82" s="11" t="s">
        <v>6788</v>
      </c>
      <c r="K82" s="11" t="s">
        <v>342</v>
      </c>
      <c r="L82" s="16" t="s">
        <v>5390</v>
      </c>
      <c r="M82" s="11">
        <v>0</v>
      </c>
      <c r="N82" s="9" t="s">
        <v>5044</v>
      </c>
      <c r="O82" s="9" t="s">
        <v>5044</v>
      </c>
      <c r="P82" s="11">
        <v>0</v>
      </c>
      <c r="Q82" s="11">
        <v>0</v>
      </c>
      <c r="R82" s="11">
        <v>0</v>
      </c>
      <c r="S82" s="11">
        <v>1</v>
      </c>
      <c r="T82" s="11">
        <v>2</v>
      </c>
      <c r="U82" s="11">
        <v>199</v>
      </c>
      <c r="V82" s="11">
        <v>0</v>
      </c>
      <c r="W82" s="11">
        <v>1</v>
      </c>
      <c r="X82" s="11">
        <v>0</v>
      </c>
      <c r="Y82" s="11">
        <v>0</v>
      </c>
      <c r="Z82" s="11">
        <v>0</v>
      </c>
      <c r="AA82" s="11">
        <v>0</v>
      </c>
      <c r="AB82" s="11">
        <v>1</v>
      </c>
      <c r="AC82" s="11">
        <v>1</v>
      </c>
      <c r="AD82" s="11" t="s">
        <v>5044</v>
      </c>
      <c r="AE82" s="11" t="s">
        <v>5044</v>
      </c>
      <c r="AF82" s="11" t="s">
        <v>5044</v>
      </c>
      <c r="AG82" s="11">
        <v>1</v>
      </c>
      <c r="AH82" s="11">
        <v>0</v>
      </c>
      <c r="AI82" s="11">
        <v>0</v>
      </c>
      <c r="AJ82" s="11" t="s">
        <v>5044</v>
      </c>
      <c r="AK82" s="11" t="s">
        <v>5318</v>
      </c>
      <c r="AL82" s="11">
        <v>0</v>
      </c>
      <c r="AM82" s="11">
        <v>0</v>
      </c>
      <c r="AN82" s="11" t="s">
        <v>5318</v>
      </c>
      <c r="AO82" s="9">
        <v>0</v>
      </c>
      <c r="AP82" s="11" t="s">
        <v>5318</v>
      </c>
      <c r="AQ82" s="11" t="s">
        <v>5318</v>
      </c>
    </row>
    <row r="83" spans="1:43" ht="63" customHeight="1" x14ac:dyDescent="0.2">
      <c r="A83" s="10">
        <v>1056</v>
      </c>
      <c r="B83" s="11" t="s">
        <v>6789</v>
      </c>
      <c r="C83" s="11" t="s">
        <v>343</v>
      </c>
      <c r="D83" s="11">
        <v>2019</v>
      </c>
      <c r="E83" s="11" t="s">
        <v>5318</v>
      </c>
      <c r="F83" s="11">
        <v>33</v>
      </c>
      <c r="G83" s="11">
        <v>1</v>
      </c>
      <c r="H83" s="11" t="s">
        <v>6624</v>
      </c>
      <c r="I83" s="11" t="s">
        <v>6516</v>
      </c>
      <c r="J83" s="11" t="s">
        <v>6790</v>
      </c>
      <c r="K83" s="11" t="s">
        <v>344</v>
      </c>
      <c r="L83" s="16" t="s">
        <v>5391</v>
      </c>
      <c r="M83" s="11">
        <v>0</v>
      </c>
      <c r="N83" s="9" t="s">
        <v>5044</v>
      </c>
      <c r="O83" s="9" t="s">
        <v>5044</v>
      </c>
      <c r="P83" s="11">
        <v>0</v>
      </c>
      <c r="Q83" s="11">
        <v>0</v>
      </c>
      <c r="R83" s="11">
        <v>0</v>
      </c>
      <c r="S83" s="11">
        <v>1</v>
      </c>
      <c r="T83" s="11">
        <v>4</v>
      </c>
      <c r="U83" s="11">
        <v>446</v>
      </c>
      <c r="V83" s="11">
        <v>1</v>
      </c>
      <c r="W83" s="11">
        <v>0</v>
      </c>
      <c r="X83" s="11">
        <v>0</v>
      </c>
      <c r="Y83" s="11">
        <v>0</v>
      </c>
      <c r="Z83" s="11">
        <v>0</v>
      </c>
      <c r="AA83" s="11">
        <v>0</v>
      </c>
      <c r="AB83" s="11">
        <v>1</v>
      </c>
      <c r="AC83" s="11">
        <v>1</v>
      </c>
      <c r="AD83" s="11">
        <v>1</v>
      </c>
      <c r="AE83" s="11">
        <v>0</v>
      </c>
      <c r="AF83" s="11">
        <v>0</v>
      </c>
      <c r="AG83" s="11" t="s">
        <v>5044</v>
      </c>
      <c r="AH83" s="11" t="s">
        <v>5044</v>
      </c>
      <c r="AI83" s="11" t="s">
        <v>5044</v>
      </c>
      <c r="AJ83" s="11" t="s">
        <v>5044</v>
      </c>
      <c r="AK83" s="11" t="s">
        <v>5318</v>
      </c>
      <c r="AL83" s="11">
        <v>1</v>
      </c>
      <c r="AM83" s="11">
        <v>0</v>
      </c>
      <c r="AN83" s="11" t="s">
        <v>5318</v>
      </c>
      <c r="AO83" s="9">
        <v>0</v>
      </c>
      <c r="AP83" s="11" t="s">
        <v>5318</v>
      </c>
      <c r="AQ83" s="11" t="s">
        <v>5318</v>
      </c>
    </row>
    <row r="84" spans="1:43" ht="63" customHeight="1" x14ac:dyDescent="0.2">
      <c r="A84" s="10">
        <v>1058</v>
      </c>
      <c r="B84" s="11" t="s">
        <v>6791</v>
      </c>
      <c r="C84" s="11" t="s">
        <v>345</v>
      </c>
      <c r="D84" s="11">
        <v>2018</v>
      </c>
      <c r="E84" s="11" t="s">
        <v>5318</v>
      </c>
      <c r="F84" s="11">
        <v>24</v>
      </c>
      <c r="G84" s="11">
        <v>9</v>
      </c>
      <c r="H84" s="11" t="s">
        <v>6550</v>
      </c>
      <c r="I84" s="11" t="s">
        <v>6516</v>
      </c>
      <c r="J84" s="11" t="s">
        <v>6792</v>
      </c>
      <c r="K84" s="11" t="s">
        <v>346</v>
      </c>
      <c r="L84" s="12" t="s">
        <v>5392</v>
      </c>
      <c r="M84" s="11">
        <v>0</v>
      </c>
      <c r="N84" s="9" t="s">
        <v>5044</v>
      </c>
      <c r="O84" s="9" t="s">
        <v>5044</v>
      </c>
      <c r="P84" s="11">
        <v>0</v>
      </c>
      <c r="Q84" s="11">
        <v>0</v>
      </c>
      <c r="R84" s="11">
        <v>0</v>
      </c>
      <c r="S84" s="11">
        <v>1</v>
      </c>
      <c r="T84" s="11">
        <v>4</v>
      </c>
      <c r="U84" s="11">
        <v>280</v>
      </c>
      <c r="V84" s="11">
        <v>0</v>
      </c>
      <c r="W84" s="11">
        <v>1</v>
      </c>
      <c r="X84" s="11">
        <v>0</v>
      </c>
      <c r="Y84" s="11">
        <v>0</v>
      </c>
      <c r="Z84" s="11">
        <v>0</v>
      </c>
      <c r="AA84" s="11">
        <v>0</v>
      </c>
      <c r="AB84" s="11">
        <v>1</v>
      </c>
      <c r="AC84" s="11">
        <v>1</v>
      </c>
      <c r="AD84" s="11" t="s">
        <v>5044</v>
      </c>
      <c r="AE84" s="11" t="s">
        <v>5044</v>
      </c>
      <c r="AF84" s="11" t="s">
        <v>5044</v>
      </c>
      <c r="AG84" s="11">
        <v>1</v>
      </c>
      <c r="AH84" s="11">
        <v>0</v>
      </c>
      <c r="AI84" s="11">
        <v>0</v>
      </c>
      <c r="AJ84" s="11" t="s">
        <v>5044</v>
      </c>
      <c r="AK84" s="11" t="s">
        <v>5318</v>
      </c>
      <c r="AL84" s="11">
        <v>1</v>
      </c>
      <c r="AM84" s="11">
        <v>0</v>
      </c>
      <c r="AN84" s="11" t="s">
        <v>5318</v>
      </c>
      <c r="AO84" s="9">
        <v>0</v>
      </c>
      <c r="AP84" s="11" t="s">
        <v>5318</v>
      </c>
      <c r="AQ84" s="11" t="s">
        <v>5318</v>
      </c>
    </row>
    <row r="85" spans="1:43" ht="63" customHeight="1" x14ac:dyDescent="0.2">
      <c r="A85" s="10">
        <v>1065</v>
      </c>
      <c r="B85" s="11" t="s">
        <v>6793</v>
      </c>
      <c r="C85" s="11" t="s">
        <v>347</v>
      </c>
      <c r="D85" s="11">
        <v>2017</v>
      </c>
      <c r="E85" s="11" t="s">
        <v>5318</v>
      </c>
      <c r="F85" s="11">
        <v>17</v>
      </c>
      <c r="G85" s="11">
        <v>1</v>
      </c>
      <c r="H85" s="11" t="s">
        <v>6794</v>
      </c>
      <c r="I85" s="11" t="s">
        <v>6516</v>
      </c>
      <c r="J85" s="11" t="s">
        <v>6795</v>
      </c>
      <c r="K85" s="11" t="s">
        <v>349</v>
      </c>
      <c r="L85" s="12" t="s">
        <v>5393</v>
      </c>
      <c r="M85" s="11">
        <v>0</v>
      </c>
      <c r="N85" s="9" t="s">
        <v>5044</v>
      </c>
      <c r="O85" s="9" t="s">
        <v>5044</v>
      </c>
      <c r="P85" s="11">
        <v>0</v>
      </c>
      <c r="Q85" s="11">
        <v>0</v>
      </c>
      <c r="R85" s="11">
        <v>0</v>
      </c>
      <c r="S85" s="11">
        <v>3</v>
      </c>
      <c r="T85" s="11">
        <v>4</v>
      </c>
      <c r="U85" s="11">
        <v>150</v>
      </c>
      <c r="V85" s="11">
        <v>0</v>
      </c>
      <c r="W85" s="11">
        <v>1</v>
      </c>
      <c r="X85" s="11">
        <v>0</v>
      </c>
      <c r="Y85" s="11">
        <v>0</v>
      </c>
      <c r="Z85" s="11">
        <v>0</v>
      </c>
      <c r="AA85" s="11">
        <v>0</v>
      </c>
      <c r="AB85" s="11">
        <v>1</v>
      </c>
      <c r="AC85" s="11">
        <v>1</v>
      </c>
      <c r="AD85" s="11" t="s">
        <v>5044</v>
      </c>
      <c r="AE85" s="11" t="s">
        <v>5044</v>
      </c>
      <c r="AF85" s="11" t="s">
        <v>5044</v>
      </c>
      <c r="AG85" s="11">
        <v>2</v>
      </c>
      <c r="AH85" s="11">
        <v>3</v>
      </c>
      <c r="AI85" s="11">
        <v>0</v>
      </c>
      <c r="AJ85" s="11" t="s">
        <v>5044</v>
      </c>
      <c r="AK85" s="11">
        <v>1</v>
      </c>
      <c r="AL85" s="11">
        <v>1</v>
      </c>
      <c r="AM85" s="11">
        <v>0</v>
      </c>
      <c r="AN85" s="11" t="s">
        <v>5318</v>
      </c>
      <c r="AO85" s="11">
        <v>3</v>
      </c>
      <c r="AP85" s="11" t="s">
        <v>5318</v>
      </c>
      <c r="AQ85" s="11" t="s">
        <v>5318</v>
      </c>
    </row>
    <row r="86" spans="1:43" ht="63" customHeight="1" x14ac:dyDescent="0.2">
      <c r="A86" s="10">
        <v>1067</v>
      </c>
      <c r="B86" s="11" t="s">
        <v>6796</v>
      </c>
      <c r="C86" s="11" t="s">
        <v>350</v>
      </c>
      <c r="D86" s="11">
        <v>2023</v>
      </c>
      <c r="E86" s="11" t="s">
        <v>5318</v>
      </c>
      <c r="F86" s="11">
        <v>158</v>
      </c>
      <c r="G86" s="11">
        <v>1</v>
      </c>
      <c r="H86" s="11" t="s">
        <v>6676</v>
      </c>
      <c r="I86" s="11" t="s">
        <v>6516</v>
      </c>
      <c r="J86" s="11" t="s">
        <v>6797</v>
      </c>
      <c r="K86" s="11" t="s">
        <v>352</v>
      </c>
      <c r="L86" s="12" t="s">
        <v>5042</v>
      </c>
      <c r="M86" s="11">
        <v>0</v>
      </c>
      <c r="N86" s="9" t="s">
        <v>5044</v>
      </c>
      <c r="O86" s="9" t="s">
        <v>5044</v>
      </c>
      <c r="P86" s="11">
        <v>0</v>
      </c>
      <c r="Q86" s="11">
        <v>0</v>
      </c>
      <c r="R86" s="11">
        <v>0</v>
      </c>
      <c r="S86" s="11" t="s">
        <v>7666</v>
      </c>
      <c r="T86" s="11">
        <v>4</v>
      </c>
      <c r="U86" s="11">
        <v>249</v>
      </c>
      <c r="V86" s="11">
        <v>0</v>
      </c>
      <c r="W86" s="11">
        <v>1</v>
      </c>
      <c r="X86" s="11">
        <v>0</v>
      </c>
      <c r="Y86" s="11">
        <v>0</v>
      </c>
      <c r="Z86" s="11">
        <v>0</v>
      </c>
      <c r="AA86" s="11">
        <v>0</v>
      </c>
      <c r="AB86" s="11">
        <v>1</v>
      </c>
      <c r="AC86" s="11">
        <v>0</v>
      </c>
      <c r="AD86" s="11" t="s">
        <v>5044</v>
      </c>
      <c r="AE86" s="11" t="s">
        <v>5044</v>
      </c>
      <c r="AF86" s="11" t="s">
        <v>5044</v>
      </c>
      <c r="AG86" s="11">
        <v>0</v>
      </c>
      <c r="AH86" s="11" t="s">
        <v>5044</v>
      </c>
      <c r="AI86" s="11" t="s">
        <v>5044</v>
      </c>
      <c r="AJ86" s="11" t="s">
        <v>5044</v>
      </c>
      <c r="AK86" s="11" t="s">
        <v>5318</v>
      </c>
      <c r="AL86" s="11">
        <v>1</v>
      </c>
      <c r="AM86" s="11">
        <v>0</v>
      </c>
      <c r="AN86" s="11" t="s">
        <v>5318</v>
      </c>
      <c r="AO86" s="11">
        <v>9</v>
      </c>
      <c r="AP86" s="11" t="s">
        <v>5318</v>
      </c>
      <c r="AQ86" s="11" t="s">
        <v>5318</v>
      </c>
    </row>
    <row r="87" spans="1:43" ht="63" customHeight="1" x14ac:dyDescent="0.2">
      <c r="A87" s="10">
        <v>1080</v>
      </c>
      <c r="B87" s="11" t="s">
        <v>6798</v>
      </c>
      <c r="C87" s="11" t="s">
        <v>353</v>
      </c>
      <c r="D87" s="11">
        <v>2019</v>
      </c>
      <c r="E87" s="11" t="s">
        <v>5318</v>
      </c>
      <c r="F87" s="11">
        <v>33</v>
      </c>
      <c r="G87" s="11">
        <v>3</v>
      </c>
      <c r="H87" s="11" t="s">
        <v>6624</v>
      </c>
      <c r="I87" s="11" t="s">
        <v>6516</v>
      </c>
      <c r="J87" s="11" t="s">
        <v>6799</v>
      </c>
      <c r="K87" s="11" t="s">
        <v>354</v>
      </c>
      <c r="L87" s="12" t="s">
        <v>5394</v>
      </c>
      <c r="M87" s="11">
        <v>0</v>
      </c>
      <c r="N87" s="9" t="s">
        <v>5044</v>
      </c>
      <c r="O87" s="9" t="s">
        <v>5044</v>
      </c>
      <c r="P87" s="11">
        <v>0</v>
      </c>
      <c r="Q87" s="11">
        <v>0</v>
      </c>
      <c r="R87" s="11">
        <v>0</v>
      </c>
      <c r="S87" s="11">
        <v>1</v>
      </c>
      <c r="T87" s="11">
        <v>4</v>
      </c>
      <c r="U87" s="11">
        <v>198</v>
      </c>
      <c r="V87" s="11">
        <v>1</v>
      </c>
      <c r="W87" s="11">
        <v>0</v>
      </c>
      <c r="X87" s="11">
        <v>0</v>
      </c>
      <c r="Y87" s="11">
        <v>0</v>
      </c>
      <c r="Z87" s="11">
        <v>0</v>
      </c>
      <c r="AA87" s="11">
        <v>0</v>
      </c>
      <c r="AB87" s="11">
        <v>1</v>
      </c>
      <c r="AC87" s="11">
        <v>1</v>
      </c>
      <c r="AD87" s="11">
        <v>1</v>
      </c>
      <c r="AE87" s="11">
        <v>0</v>
      </c>
      <c r="AF87" s="11">
        <v>0</v>
      </c>
      <c r="AG87" s="11" t="s">
        <v>5044</v>
      </c>
      <c r="AH87" s="11" t="s">
        <v>5044</v>
      </c>
      <c r="AI87" s="11" t="s">
        <v>5044</v>
      </c>
      <c r="AJ87" s="11" t="s">
        <v>5044</v>
      </c>
      <c r="AK87" s="11" t="s">
        <v>5318</v>
      </c>
      <c r="AL87" s="11">
        <v>0</v>
      </c>
      <c r="AM87" s="11">
        <v>0</v>
      </c>
      <c r="AN87" s="11" t="s">
        <v>5318</v>
      </c>
      <c r="AO87" s="9">
        <v>0</v>
      </c>
      <c r="AP87" s="11" t="s">
        <v>5318</v>
      </c>
      <c r="AQ87" s="11" t="s">
        <v>5318</v>
      </c>
    </row>
    <row r="88" spans="1:43" ht="63" customHeight="1" x14ac:dyDescent="0.2">
      <c r="A88" s="10">
        <v>1089</v>
      </c>
      <c r="B88" s="11" t="s">
        <v>6800</v>
      </c>
      <c r="C88" s="11" t="s">
        <v>355</v>
      </c>
      <c r="D88" s="11">
        <v>2021</v>
      </c>
      <c r="E88" s="11" t="s">
        <v>5318</v>
      </c>
      <c r="F88" s="11">
        <v>31</v>
      </c>
      <c r="G88" s="11">
        <v>10</v>
      </c>
      <c r="H88" s="11" t="s">
        <v>6801</v>
      </c>
      <c r="I88" s="11" t="s">
        <v>6516</v>
      </c>
      <c r="J88" s="11" t="s">
        <v>6802</v>
      </c>
      <c r="K88" s="11" t="s">
        <v>358</v>
      </c>
      <c r="L88" s="12" t="s">
        <v>5395</v>
      </c>
      <c r="M88" s="11">
        <v>0</v>
      </c>
      <c r="N88" s="9" t="s">
        <v>5044</v>
      </c>
      <c r="O88" s="9" t="s">
        <v>5044</v>
      </c>
      <c r="P88" s="11">
        <v>0</v>
      </c>
      <c r="Q88" s="11">
        <v>0</v>
      </c>
      <c r="R88" s="11">
        <v>0</v>
      </c>
      <c r="S88" s="11">
        <v>9</v>
      </c>
      <c r="T88" s="11">
        <v>4</v>
      </c>
      <c r="U88" s="11">
        <v>80</v>
      </c>
      <c r="V88" s="11">
        <v>0</v>
      </c>
      <c r="W88" s="11">
        <v>1</v>
      </c>
      <c r="X88" s="11">
        <v>0</v>
      </c>
      <c r="Y88" s="11">
        <v>0</v>
      </c>
      <c r="Z88" s="11">
        <v>0</v>
      </c>
      <c r="AA88" s="11">
        <v>0</v>
      </c>
      <c r="AB88" s="11">
        <v>1</v>
      </c>
      <c r="AC88" s="11">
        <v>1</v>
      </c>
      <c r="AD88" s="11" t="s">
        <v>5044</v>
      </c>
      <c r="AE88" s="11" t="s">
        <v>5044</v>
      </c>
      <c r="AF88" s="11" t="s">
        <v>5044</v>
      </c>
      <c r="AG88" s="11">
        <v>2</v>
      </c>
      <c r="AH88" s="11">
        <v>3</v>
      </c>
      <c r="AI88" s="11">
        <v>0</v>
      </c>
      <c r="AJ88" s="11" t="s">
        <v>5044</v>
      </c>
      <c r="AK88" s="11">
        <v>1</v>
      </c>
      <c r="AL88" s="11">
        <v>0</v>
      </c>
      <c r="AM88" s="11">
        <v>0</v>
      </c>
      <c r="AN88" s="11" t="s">
        <v>5318</v>
      </c>
      <c r="AO88" s="11">
        <v>3</v>
      </c>
      <c r="AP88" s="11" t="s">
        <v>5318</v>
      </c>
      <c r="AQ88" s="11" t="s">
        <v>5318</v>
      </c>
    </row>
    <row r="89" spans="1:43" ht="63" customHeight="1" x14ac:dyDescent="0.2">
      <c r="A89" s="10">
        <v>1120</v>
      </c>
      <c r="B89" s="11" t="s">
        <v>6803</v>
      </c>
      <c r="C89" s="11" t="s">
        <v>359</v>
      </c>
      <c r="D89" s="11">
        <v>2018</v>
      </c>
      <c r="E89" s="11" t="s">
        <v>5318</v>
      </c>
      <c r="F89" s="11">
        <v>27</v>
      </c>
      <c r="G89" s="11">
        <v>5</v>
      </c>
      <c r="H89" s="11" t="s">
        <v>6804</v>
      </c>
      <c r="I89" s="11" t="s">
        <v>6516</v>
      </c>
      <c r="J89" s="11" t="s">
        <v>6805</v>
      </c>
      <c r="K89" s="11" t="s">
        <v>360</v>
      </c>
      <c r="L89" s="12" t="s">
        <v>5396</v>
      </c>
      <c r="M89" s="11">
        <v>0</v>
      </c>
      <c r="N89" s="9" t="s">
        <v>5044</v>
      </c>
      <c r="O89" s="9" t="s">
        <v>5044</v>
      </c>
      <c r="P89" s="11">
        <v>0</v>
      </c>
      <c r="Q89" s="11">
        <v>0</v>
      </c>
      <c r="R89" s="11">
        <v>0</v>
      </c>
      <c r="S89" s="11">
        <v>3</v>
      </c>
      <c r="T89" s="11">
        <v>4</v>
      </c>
      <c r="U89" s="11">
        <v>60</v>
      </c>
      <c r="V89" s="11">
        <v>0</v>
      </c>
      <c r="W89" s="11">
        <v>1</v>
      </c>
      <c r="X89" s="11">
        <v>0</v>
      </c>
      <c r="Y89" s="11">
        <v>0</v>
      </c>
      <c r="Z89" s="11">
        <v>0</v>
      </c>
      <c r="AA89" s="11">
        <v>0</v>
      </c>
      <c r="AB89" s="11">
        <v>1</v>
      </c>
      <c r="AC89" s="11">
        <v>1</v>
      </c>
      <c r="AD89" s="11" t="s">
        <v>5044</v>
      </c>
      <c r="AE89" s="11" t="s">
        <v>5044</v>
      </c>
      <c r="AF89" s="11" t="s">
        <v>5044</v>
      </c>
      <c r="AG89" s="11">
        <v>1</v>
      </c>
      <c r="AH89" s="11">
        <v>0</v>
      </c>
      <c r="AI89" s="11">
        <v>0</v>
      </c>
      <c r="AJ89" s="11" t="s">
        <v>5044</v>
      </c>
      <c r="AK89" s="11" t="s">
        <v>5318</v>
      </c>
      <c r="AL89" s="11">
        <v>1</v>
      </c>
      <c r="AM89" s="11">
        <v>0</v>
      </c>
      <c r="AN89" s="11" t="s">
        <v>5318</v>
      </c>
      <c r="AO89" s="9">
        <v>0</v>
      </c>
      <c r="AP89" s="11" t="s">
        <v>5318</v>
      </c>
      <c r="AQ89" s="11" t="s">
        <v>5318</v>
      </c>
    </row>
    <row r="90" spans="1:43" ht="63" customHeight="1" x14ac:dyDescent="0.2">
      <c r="A90" s="10">
        <v>1121</v>
      </c>
      <c r="B90" s="11" t="s">
        <v>6806</v>
      </c>
      <c r="C90" s="11" t="s">
        <v>361</v>
      </c>
      <c r="D90" s="11">
        <v>2021</v>
      </c>
      <c r="E90" s="11" t="s">
        <v>5318</v>
      </c>
      <c r="F90" s="11">
        <v>6</v>
      </c>
      <c r="G90" s="11">
        <v>6</v>
      </c>
      <c r="H90" s="11" t="s">
        <v>6807</v>
      </c>
      <c r="I90" s="11" t="s">
        <v>6516</v>
      </c>
      <c r="J90" s="11" t="s">
        <v>6808</v>
      </c>
      <c r="K90" s="11" t="s">
        <v>363</v>
      </c>
      <c r="L90" s="16" t="s">
        <v>5075</v>
      </c>
      <c r="M90" s="11">
        <v>0</v>
      </c>
      <c r="N90" s="9" t="s">
        <v>5044</v>
      </c>
      <c r="O90" s="9" t="s">
        <v>5044</v>
      </c>
      <c r="P90" s="11">
        <v>0</v>
      </c>
      <c r="Q90" s="11">
        <v>0</v>
      </c>
      <c r="R90" s="11">
        <v>0</v>
      </c>
      <c r="S90" s="11">
        <v>1</v>
      </c>
      <c r="T90" s="11">
        <v>4</v>
      </c>
      <c r="U90" s="11">
        <v>656</v>
      </c>
      <c r="V90" s="11">
        <v>0</v>
      </c>
      <c r="W90" s="11">
        <v>1</v>
      </c>
      <c r="X90" s="11">
        <v>0</v>
      </c>
      <c r="Y90" s="11">
        <v>0</v>
      </c>
      <c r="Z90" s="11">
        <v>1</v>
      </c>
      <c r="AA90" s="11">
        <v>0</v>
      </c>
      <c r="AB90" s="11">
        <v>1</v>
      </c>
      <c r="AC90" s="11">
        <v>1</v>
      </c>
      <c r="AD90" s="11" t="s">
        <v>5044</v>
      </c>
      <c r="AE90" s="11" t="s">
        <v>5044</v>
      </c>
      <c r="AF90" s="11" t="s">
        <v>5044</v>
      </c>
      <c r="AG90" s="11">
        <v>2</v>
      </c>
      <c r="AH90" s="11">
        <v>1</v>
      </c>
      <c r="AI90" s="11">
        <v>2</v>
      </c>
      <c r="AJ90" s="11">
        <v>0</v>
      </c>
      <c r="AK90" s="11" t="s">
        <v>5318</v>
      </c>
      <c r="AL90" s="11">
        <v>1</v>
      </c>
      <c r="AM90" s="11">
        <v>0</v>
      </c>
      <c r="AN90" s="11" t="s">
        <v>5318</v>
      </c>
      <c r="AO90" s="11">
        <v>1</v>
      </c>
      <c r="AP90" s="11" t="s">
        <v>5318</v>
      </c>
      <c r="AQ90" s="11" t="s">
        <v>5318</v>
      </c>
    </row>
    <row r="91" spans="1:43" ht="63" customHeight="1" x14ac:dyDescent="0.2">
      <c r="A91" s="10">
        <v>1123</v>
      </c>
      <c r="B91" s="11" t="s">
        <v>6809</v>
      </c>
      <c r="C91" s="11" t="s">
        <v>364</v>
      </c>
      <c r="D91" s="11">
        <v>2022</v>
      </c>
      <c r="E91" s="11" t="s">
        <v>5318</v>
      </c>
      <c r="F91" s="11">
        <v>36</v>
      </c>
      <c r="G91" s="11">
        <v>1</v>
      </c>
      <c r="H91" s="11" t="s">
        <v>6810</v>
      </c>
      <c r="I91" s="11" t="s">
        <v>6516</v>
      </c>
      <c r="J91" s="11" t="s">
        <v>6811</v>
      </c>
      <c r="K91" s="11" t="s">
        <v>366</v>
      </c>
      <c r="L91" s="16" t="s">
        <v>5397</v>
      </c>
      <c r="M91" s="11">
        <v>0</v>
      </c>
      <c r="N91" s="9" t="s">
        <v>5044</v>
      </c>
      <c r="O91" s="9" t="s">
        <v>5044</v>
      </c>
      <c r="P91" s="11">
        <v>0</v>
      </c>
      <c r="Q91" s="11">
        <v>0</v>
      </c>
      <c r="R91" s="11">
        <v>0</v>
      </c>
      <c r="S91" s="11">
        <v>9</v>
      </c>
      <c r="T91" s="11">
        <v>4</v>
      </c>
      <c r="U91" s="11">
        <v>354</v>
      </c>
      <c r="V91" s="11">
        <v>0</v>
      </c>
      <c r="W91" s="11">
        <v>1</v>
      </c>
      <c r="X91" s="11">
        <v>0</v>
      </c>
      <c r="Y91" s="11">
        <v>0</v>
      </c>
      <c r="Z91" s="11">
        <v>0</v>
      </c>
      <c r="AA91" s="11">
        <v>0</v>
      </c>
      <c r="AB91" s="11">
        <v>1</v>
      </c>
      <c r="AC91" s="11">
        <v>1</v>
      </c>
      <c r="AD91" s="11" t="s">
        <v>5044</v>
      </c>
      <c r="AE91" s="11" t="s">
        <v>5044</v>
      </c>
      <c r="AF91" s="11" t="s">
        <v>5044</v>
      </c>
      <c r="AG91" s="11">
        <v>0</v>
      </c>
      <c r="AH91" s="11" t="s">
        <v>5044</v>
      </c>
      <c r="AI91" s="11" t="s">
        <v>5044</v>
      </c>
      <c r="AJ91" s="11" t="s">
        <v>5044</v>
      </c>
      <c r="AK91" s="11" t="s">
        <v>5318</v>
      </c>
      <c r="AL91" s="11">
        <v>1</v>
      </c>
      <c r="AM91" s="11">
        <v>0</v>
      </c>
      <c r="AN91" s="11" t="s">
        <v>5318</v>
      </c>
      <c r="AO91" s="11">
        <v>9</v>
      </c>
      <c r="AP91" s="11" t="s">
        <v>5318</v>
      </c>
      <c r="AQ91" s="11" t="s">
        <v>5318</v>
      </c>
    </row>
    <row r="92" spans="1:43" ht="63" customHeight="1" x14ac:dyDescent="0.2">
      <c r="A92" s="10">
        <v>1155</v>
      </c>
      <c r="B92" s="11" t="s">
        <v>6817</v>
      </c>
      <c r="C92" s="11" t="s">
        <v>371</v>
      </c>
      <c r="D92" s="11">
        <v>2022</v>
      </c>
      <c r="E92" s="11" t="s">
        <v>5318</v>
      </c>
      <c r="F92" s="11">
        <v>46</v>
      </c>
      <c r="G92" s="11">
        <v>11</v>
      </c>
      <c r="H92" s="11" t="s">
        <v>6745</v>
      </c>
      <c r="I92" s="11" t="s">
        <v>6516</v>
      </c>
      <c r="J92" s="11" t="s">
        <v>6818</v>
      </c>
      <c r="K92" s="11" t="s">
        <v>373</v>
      </c>
      <c r="L92" s="16" t="s">
        <v>5400</v>
      </c>
      <c r="M92" s="11">
        <v>0</v>
      </c>
      <c r="N92" s="9" t="s">
        <v>5044</v>
      </c>
      <c r="O92" s="9" t="s">
        <v>5044</v>
      </c>
      <c r="P92" s="11">
        <v>0</v>
      </c>
      <c r="Q92" s="11">
        <v>0</v>
      </c>
      <c r="R92" s="11">
        <v>0</v>
      </c>
      <c r="S92" s="11">
        <v>1</v>
      </c>
      <c r="T92" s="11">
        <v>4</v>
      </c>
      <c r="U92" s="11">
        <v>168</v>
      </c>
      <c r="V92" s="11">
        <v>0</v>
      </c>
      <c r="W92" s="11">
        <v>1</v>
      </c>
      <c r="X92" s="11">
        <v>0</v>
      </c>
      <c r="Y92" s="11">
        <v>0</v>
      </c>
      <c r="Z92" s="11">
        <v>1</v>
      </c>
      <c r="AA92" s="11">
        <v>0</v>
      </c>
      <c r="AB92" s="11">
        <v>1</v>
      </c>
      <c r="AC92" s="11">
        <v>1</v>
      </c>
      <c r="AD92" s="11" t="s">
        <v>5044</v>
      </c>
      <c r="AE92" s="11" t="s">
        <v>5044</v>
      </c>
      <c r="AF92" s="11" t="s">
        <v>5044</v>
      </c>
      <c r="AG92" s="11">
        <v>1</v>
      </c>
      <c r="AH92" s="11">
        <v>0</v>
      </c>
      <c r="AI92" s="11">
        <v>0</v>
      </c>
      <c r="AJ92" s="11">
        <v>0</v>
      </c>
      <c r="AK92" s="11" t="s">
        <v>5318</v>
      </c>
      <c r="AL92" s="11">
        <v>1</v>
      </c>
      <c r="AM92" s="11">
        <v>0</v>
      </c>
      <c r="AN92" s="11" t="s">
        <v>5318</v>
      </c>
      <c r="AO92" s="9">
        <v>0</v>
      </c>
      <c r="AP92" s="11" t="s">
        <v>5318</v>
      </c>
      <c r="AQ92" s="11" t="s">
        <v>5318</v>
      </c>
    </row>
    <row r="93" spans="1:43" ht="63" customHeight="1" x14ac:dyDescent="0.2">
      <c r="A93" s="10">
        <v>1157</v>
      </c>
      <c r="B93" s="11" t="s">
        <v>6819</v>
      </c>
      <c r="C93" s="11" t="s">
        <v>374</v>
      </c>
      <c r="D93" s="11">
        <v>2011</v>
      </c>
      <c r="E93" s="11" t="s">
        <v>377</v>
      </c>
      <c r="F93" s="11">
        <v>17</v>
      </c>
      <c r="G93" s="11">
        <v>5</v>
      </c>
      <c r="H93" s="11" t="s">
        <v>6657</v>
      </c>
      <c r="I93" s="11" t="s">
        <v>6516</v>
      </c>
      <c r="J93" s="11" t="s">
        <v>6820</v>
      </c>
      <c r="K93" s="11" t="s">
        <v>376</v>
      </c>
      <c r="L93" s="11" t="s">
        <v>5044</v>
      </c>
      <c r="M93" s="11">
        <v>0</v>
      </c>
      <c r="N93" s="9" t="s">
        <v>5044</v>
      </c>
      <c r="O93" s="9" t="s">
        <v>5044</v>
      </c>
      <c r="P93" s="11">
        <v>0</v>
      </c>
      <c r="Q93" s="11">
        <v>0</v>
      </c>
      <c r="R93" s="11">
        <v>0</v>
      </c>
      <c r="S93" s="11">
        <v>1</v>
      </c>
      <c r="T93" s="11">
        <v>4</v>
      </c>
      <c r="U93" s="11">
        <v>230</v>
      </c>
      <c r="V93" s="11">
        <v>0</v>
      </c>
      <c r="W93" s="11">
        <v>1</v>
      </c>
      <c r="X93" s="11">
        <v>0</v>
      </c>
      <c r="Y93" s="11">
        <v>0</v>
      </c>
      <c r="Z93" s="11">
        <v>0</v>
      </c>
      <c r="AA93" s="11">
        <v>0</v>
      </c>
      <c r="AB93" s="11">
        <v>1</v>
      </c>
      <c r="AC93" s="11">
        <v>0</v>
      </c>
      <c r="AD93" s="11" t="s">
        <v>5044</v>
      </c>
      <c r="AE93" s="11" t="s">
        <v>5044</v>
      </c>
      <c r="AF93" s="11" t="s">
        <v>5044</v>
      </c>
      <c r="AG93" s="11">
        <v>0</v>
      </c>
      <c r="AH93" s="11" t="s">
        <v>5044</v>
      </c>
      <c r="AI93" s="11" t="s">
        <v>5044</v>
      </c>
      <c r="AJ93" s="11" t="s">
        <v>5044</v>
      </c>
      <c r="AK93" s="11" t="s">
        <v>5318</v>
      </c>
      <c r="AL93" s="11">
        <v>1</v>
      </c>
      <c r="AM93" s="11">
        <v>0</v>
      </c>
      <c r="AN93" s="11" t="s">
        <v>5318</v>
      </c>
      <c r="AO93" s="11">
        <v>9</v>
      </c>
      <c r="AP93" s="11" t="s">
        <v>5318</v>
      </c>
      <c r="AQ93" s="11" t="s">
        <v>5318</v>
      </c>
    </row>
    <row r="94" spans="1:43" ht="63" customHeight="1" x14ac:dyDescent="0.2">
      <c r="A94" s="10">
        <v>1158</v>
      </c>
      <c r="B94" s="11" t="s">
        <v>6821</v>
      </c>
      <c r="C94" s="11" t="s">
        <v>378</v>
      </c>
      <c r="D94" s="11">
        <v>2016</v>
      </c>
      <c r="E94" s="11" t="s">
        <v>5318</v>
      </c>
      <c r="F94" s="11">
        <v>113</v>
      </c>
      <c r="G94" s="11">
        <v>4</v>
      </c>
      <c r="H94" s="11" t="s">
        <v>6705</v>
      </c>
      <c r="I94" s="11" t="s">
        <v>6516</v>
      </c>
      <c r="J94" s="11" t="s">
        <v>6822</v>
      </c>
      <c r="K94" s="11" t="s">
        <v>380</v>
      </c>
      <c r="L94" s="11" t="s">
        <v>5044</v>
      </c>
      <c r="M94" s="11">
        <v>0</v>
      </c>
      <c r="N94" s="9" t="s">
        <v>5044</v>
      </c>
      <c r="O94" s="9" t="s">
        <v>5044</v>
      </c>
      <c r="P94" s="11">
        <v>0</v>
      </c>
      <c r="Q94" s="11">
        <v>0</v>
      </c>
      <c r="R94" s="11">
        <v>0</v>
      </c>
      <c r="S94" s="11">
        <v>1</v>
      </c>
      <c r="T94" s="11">
        <v>4</v>
      </c>
      <c r="U94" s="11">
        <v>311</v>
      </c>
      <c r="V94" s="11">
        <v>0</v>
      </c>
      <c r="W94" s="11">
        <v>1</v>
      </c>
      <c r="X94" s="11">
        <v>0</v>
      </c>
      <c r="Y94" s="11">
        <v>0</v>
      </c>
      <c r="Z94" s="11">
        <v>0</v>
      </c>
      <c r="AA94" s="11">
        <v>0</v>
      </c>
      <c r="AB94" s="11">
        <v>1</v>
      </c>
      <c r="AC94" s="11">
        <v>1</v>
      </c>
      <c r="AD94" s="11" t="s">
        <v>5044</v>
      </c>
      <c r="AE94" s="11" t="s">
        <v>5044</v>
      </c>
      <c r="AF94" s="11" t="s">
        <v>5044</v>
      </c>
      <c r="AG94" s="11">
        <v>2</v>
      </c>
      <c r="AH94" s="11">
        <v>3</v>
      </c>
      <c r="AI94" s="11">
        <v>0</v>
      </c>
      <c r="AJ94" s="11" t="s">
        <v>5044</v>
      </c>
      <c r="AK94" s="11">
        <v>1</v>
      </c>
      <c r="AL94" s="11" t="s">
        <v>5044</v>
      </c>
      <c r="AM94" s="11">
        <v>0</v>
      </c>
      <c r="AN94" s="11" t="s">
        <v>5105</v>
      </c>
      <c r="AO94" s="11">
        <v>3</v>
      </c>
      <c r="AP94" s="11" t="s">
        <v>5318</v>
      </c>
      <c r="AQ94" s="11" t="s">
        <v>5318</v>
      </c>
    </row>
    <row r="95" spans="1:43" ht="63" customHeight="1" x14ac:dyDescent="0.2">
      <c r="A95" s="10">
        <v>1162</v>
      </c>
      <c r="B95" s="11" t="s">
        <v>6823</v>
      </c>
      <c r="C95" s="11" t="s">
        <v>381</v>
      </c>
      <c r="D95" s="11">
        <v>2022</v>
      </c>
      <c r="E95" s="11" t="s">
        <v>5318</v>
      </c>
      <c r="F95" s="11">
        <v>34</v>
      </c>
      <c r="G95" s="11">
        <v>2</v>
      </c>
      <c r="H95" s="11" t="s">
        <v>6824</v>
      </c>
      <c r="I95" s="11" t="s">
        <v>6516</v>
      </c>
      <c r="J95" s="11" t="s">
        <v>6825</v>
      </c>
      <c r="K95" s="11" t="s">
        <v>382</v>
      </c>
      <c r="L95" s="12" t="s">
        <v>5401</v>
      </c>
      <c r="M95" s="11">
        <v>0</v>
      </c>
      <c r="N95" s="9" t="s">
        <v>5044</v>
      </c>
      <c r="O95" s="9" t="s">
        <v>5044</v>
      </c>
      <c r="P95" s="11">
        <v>0</v>
      </c>
      <c r="Q95" s="11">
        <v>0</v>
      </c>
      <c r="R95" s="11">
        <v>0</v>
      </c>
      <c r="S95" s="11">
        <v>9</v>
      </c>
      <c r="T95" s="11">
        <v>4</v>
      </c>
      <c r="U95" s="11">
        <v>1560</v>
      </c>
      <c r="V95" s="11">
        <v>0</v>
      </c>
      <c r="W95" s="11">
        <v>1</v>
      </c>
      <c r="X95" s="11">
        <v>0</v>
      </c>
      <c r="Y95" s="11">
        <v>0</v>
      </c>
      <c r="Z95" s="11">
        <v>0</v>
      </c>
      <c r="AA95" s="11">
        <v>0</v>
      </c>
      <c r="AB95" s="11">
        <v>1</v>
      </c>
      <c r="AC95" s="11">
        <v>1</v>
      </c>
      <c r="AD95" s="11" t="s">
        <v>5044</v>
      </c>
      <c r="AE95" s="11" t="s">
        <v>5044</v>
      </c>
      <c r="AF95" s="11" t="s">
        <v>5044</v>
      </c>
      <c r="AG95" s="11">
        <v>2</v>
      </c>
      <c r="AH95" s="11">
        <v>1</v>
      </c>
      <c r="AI95" s="11">
        <v>1</v>
      </c>
      <c r="AJ95" s="11" t="s">
        <v>5044</v>
      </c>
      <c r="AK95" s="11" t="s">
        <v>5318</v>
      </c>
      <c r="AL95" s="11">
        <v>0</v>
      </c>
      <c r="AM95" s="11">
        <v>0</v>
      </c>
      <c r="AN95" s="11" t="s">
        <v>5318</v>
      </c>
      <c r="AO95" s="11">
        <v>1</v>
      </c>
      <c r="AP95" s="11" t="s">
        <v>5318</v>
      </c>
      <c r="AQ95" s="11" t="s">
        <v>5318</v>
      </c>
    </row>
    <row r="96" spans="1:43" ht="63" customHeight="1" x14ac:dyDescent="0.2">
      <c r="A96" s="10">
        <v>1167</v>
      </c>
      <c r="B96" s="11" t="s">
        <v>6826</v>
      </c>
      <c r="C96" s="11" t="s">
        <v>383</v>
      </c>
      <c r="D96" s="11">
        <v>2011</v>
      </c>
      <c r="E96" s="11" t="s">
        <v>5318</v>
      </c>
      <c r="F96" s="11">
        <v>39</v>
      </c>
      <c r="G96" s="11">
        <v>4</v>
      </c>
      <c r="H96" s="11" t="s">
        <v>6827</v>
      </c>
      <c r="I96" s="11" t="s">
        <v>6828</v>
      </c>
      <c r="J96" s="11" t="s">
        <v>6829</v>
      </c>
      <c r="K96" s="11" t="s">
        <v>387</v>
      </c>
      <c r="L96" s="11" t="s">
        <v>5044</v>
      </c>
      <c r="M96" s="11">
        <v>0</v>
      </c>
      <c r="N96" s="9" t="s">
        <v>5044</v>
      </c>
      <c r="O96" s="9" t="s">
        <v>5044</v>
      </c>
      <c r="P96" s="11">
        <v>0</v>
      </c>
      <c r="Q96" s="11">
        <v>0</v>
      </c>
      <c r="R96" s="11">
        <v>0</v>
      </c>
      <c r="S96" s="11">
        <v>3</v>
      </c>
      <c r="T96" s="11">
        <v>4</v>
      </c>
      <c r="U96" s="11">
        <v>99</v>
      </c>
      <c r="V96" s="11">
        <v>0</v>
      </c>
      <c r="W96" s="11">
        <v>1</v>
      </c>
      <c r="X96" s="11">
        <v>0</v>
      </c>
      <c r="Y96" s="11">
        <v>0</v>
      </c>
      <c r="Z96" s="11">
        <v>0</v>
      </c>
      <c r="AA96" s="11">
        <v>0</v>
      </c>
      <c r="AB96" s="11">
        <v>1</v>
      </c>
      <c r="AC96" s="11">
        <v>1</v>
      </c>
      <c r="AD96" s="11" t="s">
        <v>5044</v>
      </c>
      <c r="AE96" s="11" t="s">
        <v>5044</v>
      </c>
      <c r="AF96" s="11" t="s">
        <v>5044</v>
      </c>
      <c r="AG96" s="11">
        <v>1</v>
      </c>
      <c r="AH96" s="11">
        <v>0</v>
      </c>
      <c r="AI96" s="11">
        <v>0</v>
      </c>
      <c r="AJ96" s="11" t="s">
        <v>5044</v>
      </c>
      <c r="AK96" s="11" t="s">
        <v>5318</v>
      </c>
      <c r="AL96" s="11">
        <v>0</v>
      </c>
      <c r="AM96" s="11">
        <v>0</v>
      </c>
      <c r="AN96" s="11" t="s">
        <v>5318</v>
      </c>
      <c r="AO96" s="9">
        <v>0</v>
      </c>
      <c r="AP96" s="11" t="s">
        <v>5318</v>
      </c>
      <c r="AQ96" s="11" t="s">
        <v>5318</v>
      </c>
    </row>
    <row r="97" spans="1:43" ht="63" customHeight="1" x14ac:dyDescent="0.2">
      <c r="A97" s="10">
        <v>1202</v>
      </c>
      <c r="B97" s="11" t="s">
        <v>6830</v>
      </c>
      <c r="C97" s="11" t="s">
        <v>388</v>
      </c>
      <c r="D97" s="11">
        <v>2013</v>
      </c>
      <c r="E97" s="11" t="s">
        <v>5318</v>
      </c>
      <c r="F97" s="11">
        <v>121</v>
      </c>
      <c r="G97" s="11">
        <v>5</v>
      </c>
      <c r="H97" s="11" t="s">
        <v>6831</v>
      </c>
      <c r="I97" s="11" t="s">
        <v>6516</v>
      </c>
      <c r="J97" s="11" t="s">
        <v>6832</v>
      </c>
      <c r="K97" s="11" t="s">
        <v>391</v>
      </c>
      <c r="L97" s="16" t="s">
        <v>5402</v>
      </c>
      <c r="M97" s="11">
        <v>0</v>
      </c>
      <c r="N97" s="9" t="s">
        <v>5044</v>
      </c>
      <c r="O97" s="9" t="s">
        <v>5044</v>
      </c>
      <c r="P97" s="11">
        <v>0</v>
      </c>
      <c r="Q97" s="11">
        <v>0</v>
      </c>
      <c r="R97" s="11">
        <v>0</v>
      </c>
      <c r="S97" s="11">
        <v>3</v>
      </c>
      <c r="T97" s="11">
        <v>2</v>
      </c>
      <c r="U97" s="11">
        <v>597</v>
      </c>
      <c r="V97" s="11">
        <v>0</v>
      </c>
      <c r="W97" s="11">
        <v>1</v>
      </c>
      <c r="X97" s="11">
        <v>0</v>
      </c>
      <c r="Y97" s="11">
        <v>0</v>
      </c>
      <c r="Z97" s="11">
        <v>0</v>
      </c>
      <c r="AA97" s="11">
        <v>0</v>
      </c>
      <c r="AB97" s="11">
        <v>1</v>
      </c>
      <c r="AC97" s="11">
        <v>0</v>
      </c>
      <c r="AD97" s="11" t="s">
        <v>5044</v>
      </c>
      <c r="AE97" s="11" t="s">
        <v>5044</v>
      </c>
      <c r="AF97" s="11" t="s">
        <v>5044</v>
      </c>
      <c r="AG97" s="11">
        <v>0</v>
      </c>
      <c r="AH97" s="11" t="s">
        <v>5044</v>
      </c>
      <c r="AI97" s="11" t="s">
        <v>5044</v>
      </c>
      <c r="AJ97" s="11" t="s">
        <v>5044</v>
      </c>
      <c r="AK97" s="11" t="s">
        <v>5318</v>
      </c>
      <c r="AL97" s="11">
        <v>0</v>
      </c>
      <c r="AM97" s="11">
        <v>0</v>
      </c>
      <c r="AN97" s="11" t="s">
        <v>5318</v>
      </c>
      <c r="AO97" s="11">
        <v>9</v>
      </c>
      <c r="AP97" s="11" t="s">
        <v>5318</v>
      </c>
      <c r="AQ97" s="11" t="s">
        <v>5318</v>
      </c>
    </row>
    <row r="98" spans="1:43" ht="63" customHeight="1" x14ac:dyDescent="0.2">
      <c r="A98" s="10">
        <v>1219</v>
      </c>
      <c r="B98" s="11" t="s">
        <v>6835</v>
      </c>
      <c r="C98" s="11" t="s">
        <v>394</v>
      </c>
      <c r="D98" s="11">
        <v>2018</v>
      </c>
      <c r="E98" s="11" t="s">
        <v>5318</v>
      </c>
      <c r="F98" s="11">
        <v>30</v>
      </c>
      <c r="G98" s="11">
        <v>9</v>
      </c>
      <c r="H98" s="11" t="s">
        <v>6836</v>
      </c>
      <c r="I98" s="11" t="s">
        <v>6516</v>
      </c>
      <c r="J98" s="11" t="s">
        <v>6837</v>
      </c>
      <c r="K98" s="11" t="s">
        <v>5318</v>
      </c>
      <c r="L98" s="12" t="s">
        <v>5404</v>
      </c>
      <c r="M98" s="11">
        <v>0</v>
      </c>
      <c r="N98" s="9" t="s">
        <v>5044</v>
      </c>
      <c r="O98" s="9" t="s">
        <v>5044</v>
      </c>
      <c r="P98" s="11">
        <v>0</v>
      </c>
      <c r="Q98" s="11">
        <v>0</v>
      </c>
      <c r="R98" s="11">
        <v>0</v>
      </c>
      <c r="S98" s="11">
        <v>1</v>
      </c>
      <c r="T98" s="11">
        <v>4</v>
      </c>
      <c r="U98" s="11">
        <v>61</v>
      </c>
      <c r="V98" s="11">
        <v>0</v>
      </c>
      <c r="W98" s="11">
        <v>1</v>
      </c>
      <c r="X98" s="11">
        <v>0</v>
      </c>
      <c r="Y98" s="11">
        <v>0</v>
      </c>
      <c r="Z98" s="11">
        <v>0</v>
      </c>
      <c r="AA98" s="11">
        <v>0</v>
      </c>
      <c r="AB98" s="11">
        <v>1</v>
      </c>
      <c r="AC98" s="11">
        <v>1</v>
      </c>
      <c r="AD98" s="11" t="s">
        <v>5044</v>
      </c>
      <c r="AE98" s="11" t="s">
        <v>5044</v>
      </c>
      <c r="AF98" s="11" t="s">
        <v>5044</v>
      </c>
      <c r="AG98" s="11">
        <v>2</v>
      </c>
      <c r="AH98" s="11">
        <v>1</v>
      </c>
      <c r="AI98" s="11">
        <v>2</v>
      </c>
      <c r="AJ98" s="11" t="s">
        <v>5044</v>
      </c>
      <c r="AK98" s="11" t="s">
        <v>5318</v>
      </c>
      <c r="AL98" s="11">
        <v>0</v>
      </c>
      <c r="AM98" s="11">
        <v>0</v>
      </c>
      <c r="AN98" s="11" t="s">
        <v>5318</v>
      </c>
      <c r="AO98" s="11">
        <v>1</v>
      </c>
      <c r="AP98" s="11" t="s">
        <v>5318</v>
      </c>
      <c r="AQ98" s="11" t="s">
        <v>5318</v>
      </c>
    </row>
    <row r="99" spans="1:43" ht="63" customHeight="1" x14ac:dyDescent="0.2">
      <c r="A99" s="10">
        <v>1273</v>
      </c>
      <c r="B99" s="11" t="s">
        <v>6841</v>
      </c>
      <c r="C99" s="11" t="s">
        <v>398</v>
      </c>
      <c r="D99" s="11">
        <v>2023</v>
      </c>
      <c r="E99" s="11" t="s">
        <v>5318</v>
      </c>
      <c r="F99" s="11">
        <v>66</v>
      </c>
      <c r="G99" s="11">
        <v>2</v>
      </c>
      <c r="H99" s="11" t="s">
        <v>6598</v>
      </c>
      <c r="I99" s="11" t="s">
        <v>6516</v>
      </c>
      <c r="J99" s="11" t="s">
        <v>6842</v>
      </c>
      <c r="K99" s="11" t="s">
        <v>400</v>
      </c>
      <c r="L99" s="12" t="s">
        <v>5406</v>
      </c>
      <c r="M99" s="11">
        <v>0</v>
      </c>
      <c r="N99" s="9" t="s">
        <v>5044</v>
      </c>
      <c r="O99" s="9" t="s">
        <v>5044</v>
      </c>
      <c r="P99" s="11">
        <v>0</v>
      </c>
      <c r="Q99" s="11">
        <v>0</v>
      </c>
      <c r="R99" s="11">
        <v>0</v>
      </c>
      <c r="S99" s="11">
        <v>1</v>
      </c>
      <c r="T99" s="11">
        <v>2</v>
      </c>
      <c r="U99" s="11">
        <v>22</v>
      </c>
      <c r="V99" s="11">
        <v>0</v>
      </c>
      <c r="W99" s="11">
        <v>1</v>
      </c>
      <c r="X99" s="11">
        <v>0</v>
      </c>
      <c r="Y99" s="11">
        <v>1</v>
      </c>
      <c r="Z99" s="11">
        <v>0</v>
      </c>
      <c r="AA99" s="11">
        <v>0</v>
      </c>
      <c r="AB99" s="11">
        <v>1</v>
      </c>
      <c r="AC99" s="11">
        <v>1</v>
      </c>
      <c r="AD99" s="11" t="s">
        <v>5044</v>
      </c>
      <c r="AE99" s="11" t="s">
        <v>5044</v>
      </c>
      <c r="AF99" s="11" t="s">
        <v>5044</v>
      </c>
      <c r="AG99" s="11">
        <v>2</v>
      </c>
      <c r="AH99" s="11">
        <v>1</v>
      </c>
      <c r="AI99" s="11">
        <v>2</v>
      </c>
      <c r="AJ99" s="11">
        <v>0</v>
      </c>
      <c r="AK99" s="11" t="s">
        <v>5318</v>
      </c>
      <c r="AL99" s="11">
        <v>1</v>
      </c>
      <c r="AM99" s="11">
        <v>0</v>
      </c>
      <c r="AN99" s="11" t="s">
        <v>5318</v>
      </c>
      <c r="AO99" s="11">
        <v>1</v>
      </c>
      <c r="AP99" s="11" t="s">
        <v>5318</v>
      </c>
      <c r="AQ99" s="11" t="s">
        <v>5318</v>
      </c>
    </row>
    <row r="100" spans="1:43" ht="63" customHeight="1" x14ac:dyDescent="0.2">
      <c r="A100" s="10">
        <v>1298</v>
      </c>
      <c r="B100" s="11" t="s">
        <v>6847</v>
      </c>
      <c r="C100" s="11" t="s">
        <v>405</v>
      </c>
      <c r="D100" s="11">
        <v>2015</v>
      </c>
      <c r="E100" s="11" t="s">
        <v>407</v>
      </c>
      <c r="F100" s="11">
        <v>39</v>
      </c>
      <c r="G100" s="11">
        <v>4</v>
      </c>
      <c r="H100" s="11" t="s">
        <v>6848</v>
      </c>
      <c r="I100" s="11" t="s">
        <v>6516</v>
      </c>
      <c r="J100" s="11" t="s">
        <v>6849</v>
      </c>
      <c r="K100" s="11" t="s">
        <v>406</v>
      </c>
      <c r="L100" s="11" t="s">
        <v>5044</v>
      </c>
      <c r="M100" s="11">
        <v>0</v>
      </c>
      <c r="N100" s="9" t="s">
        <v>5044</v>
      </c>
      <c r="O100" s="9" t="s">
        <v>5044</v>
      </c>
      <c r="P100" s="11">
        <v>0</v>
      </c>
      <c r="Q100" s="11">
        <v>0</v>
      </c>
      <c r="R100" s="11">
        <v>0</v>
      </c>
      <c r="S100" s="11">
        <v>3</v>
      </c>
      <c r="T100" s="11">
        <v>3</v>
      </c>
      <c r="U100" s="11">
        <v>55</v>
      </c>
      <c r="V100" s="11">
        <v>0</v>
      </c>
      <c r="W100" s="11">
        <v>1</v>
      </c>
      <c r="X100" s="11">
        <v>0</v>
      </c>
      <c r="Y100" s="11">
        <v>0</v>
      </c>
      <c r="Z100" s="11">
        <v>0</v>
      </c>
      <c r="AA100" s="11">
        <v>0</v>
      </c>
      <c r="AB100" s="11">
        <v>1</v>
      </c>
      <c r="AC100" s="11">
        <v>1</v>
      </c>
      <c r="AD100" s="11" t="s">
        <v>5044</v>
      </c>
      <c r="AE100" s="11" t="s">
        <v>5044</v>
      </c>
      <c r="AF100" s="11" t="s">
        <v>5044</v>
      </c>
      <c r="AG100" s="11">
        <v>1</v>
      </c>
      <c r="AH100" s="11">
        <v>0</v>
      </c>
      <c r="AI100" s="11">
        <v>0</v>
      </c>
      <c r="AJ100" s="11" t="s">
        <v>5044</v>
      </c>
      <c r="AK100" s="11" t="s">
        <v>5318</v>
      </c>
      <c r="AL100" s="11" t="s">
        <v>5044</v>
      </c>
      <c r="AM100" s="11">
        <v>0</v>
      </c>
      <c r="AN100" s="11" t="s">
        <v>5105</v>
      </c>
      <c r="AO100" s="9">
        <v>0</v>
      </c>
      <c r="AP100" s="11" t="s">
        <v>5318</v>
      </c>
      <c r="AQ100" s="11" t="s">
        <v>5318</v>
      </c>
    </row>
    <row r="101" spans="1:43" ht="63" customHeight="1" x14ac:dyDescent="0.2">
      <c r="A101" s="10">
        <v>1349</v>
      </c>
      <c r="B101" s="11" t="s">
        <v>6852</v>
      </c>
      <c r="C101" s="11" t="s">
        <v>410</v>
      </c>
      <c r="D101" s="11">
        <v>2022</v>
      </c>
      <c r="E101" s="11" t="s">
        <v>5318</v>
      </c>
      <c r="F101" s="11">
        <v>5</v>
      </c>
      <c r="G101" s="11">
        <v>2</v>
      </c>
      <c r="H101" s="11" t="s">
        <v>6612</v>
      </c>
      <c r="I101" s="11" t="s">
        <v>6516</v>
      </c>
      <c r="J101" s="11" t="s">
        <v>6853</v>
      </c>
      <c r="K101" s="11" t="s">
        <v>411</v>
      </c>
      <c r="L101" s="16" t="s">
        <v>5411</v>
      </c>
      <c r="M101" s="11">
        <v>0</v>
      </c>
      <c r="N101" s="9" t="s">
        <v>5044</v>
      </c>
      <c r="O101" s="9" t="s">
        <v>5044</v>
      </c>
      <c r="P101" s="11">
        <v>0</v>
      </c>
      <c r="Q101" s="11">
        <v>0</v>
      </c>
      <c r="R101" s="11">
        <v>0</v>
      </c>
      <c r="S101" s="11">
        <v>3</v>
      </c>
      <c r="T101" s="11">
        <v>2</v>
      </c>
      <c r="U101" s="11">
        <v>302</v>
      </c>
      <c r="V101" s="11">
        <v>0</v>
      </c>
      <c r="W101" s="11">
        <v>1</v>
      </c>
      <c r="X101" s="11">
        <v>0</v>
      </c>
      <c r="Y101" s="11">
        <v>0</v>
      </c>
      <c r="Z101" s="11">
        <v>0</v>
      </c>
      <c r="AA101" s="11">
        <v>0</v>
      </c>
      <c r="AB101" s="11">
        <v>1</v>
      </c>
      <c r="AC101" s="11">
        <v>1</v>
      </c>
      <c r="AD101" s="11" t="s">
        <v>5044</v>
      </c>
      <c r="AE101" s="11" t="s">
        <v>5044</v>
      </c>
      <c r="AF101" s="11" t="s">
        <v>5044</v>
      </c>
      <c r="AG101" s="11">
        <v>2</v>
      </c>
      <c r="AH101" s="11">
        <v>2</v>
      </c>
      <c r="AI101" s="11">
        <v>2</v>
      </c>
      <c r="AJ101" s="11" t="s">
        <v>5044</v>
      </c>
      <c r="AK101" s="11" t="s">
        <v>5318</v>
      </c>
      <c r="AL101" s="11" t="s">
        <v>5044</v>
      </c>
      <c r="AM101" s="11">
        <v>0</v>
      </c>
      <c r="AN101" s="11" t="s">
        <v>5105</v>
      </c>
      <c r="AO101" s="11">
        <v>2</v>
      </c>
      <c r="AP101" s="11" t="s">
        <v>5318</v>
      </c>
      <c r="AQ101" s="11" t="s">
        <v>5318</v>
      </c>
    </row>
    <row r="102" spans="1:43" ht="63" customHeight="1" x14ac:dyDescent="0.2">
      <c r="A102" s="10">
        <v>1352</v>
      </c>
      <c r="B102" s="11" t="s">
        <v>6854</v>
      </c>
      <c r="C102" s="11" t="s">
        <v>412</v>
      </c>
      <c r="D102" s="11">
        <v>2018</v>
      </c>
      <c r="E102" s="11" t="s">
        <v>5318</v>
      </c>
      <c r="F102" s="11">
        <v>33</v>
      </c>
      <c r="G102" s="11">
        <v>10</v>
      </c>
      <c r="H102" s="11" t="s">
        <v>6855</v>
      </c>
      <c r="I102" s="11" t="s">
        <v>6516</v>
      </c>
      <c r="J102" s="11" t="s">
        <v>6856</v>
      </c>
      <c r="K102" s="11" t="s">
        <v>414</v>
      </c>
      <c r="L102" s="16" t="s">
        <v>5412</v>
      </c>
      <c r="M102" s="11">
        <v>0</v>
      </c>
      <c r="N102" s="9" t="s">
        <v>5044</v>
      </c>
      <c r="O102" s="9" t="s">
        <v>5044</v>
      </c>
      <c r="P102" s="11">
        <v>0</v>
      </c>
      <c r="Q102" s="11">
        <v>0</v>
      </c>
      <c r="R102" s="11">
        <v>0</v>
      </c>
      <c r="S102" s="11">
        <v>1</v>
      </c>
      <c r="T102" s="11">
        <v>1</v>
      </c>
      <c r="U102" s="11">
        <v>377</v>
      </c>
      <c r="V102" s="11">
        <v>1</v>
      </c>
      <c r="W102" s="11">
        <v>0</v>
      </c>
      <c r="X102" s="11">
        <v>0</v>
      </c>
      <c r="Y102" s="11">
        <v>0</v>
      </c>
      <c r="Z102" s="11">
        <v>0</v>
      </c>
      <c r="AA102" s="11">
        <v>0</v>
      </c>
      <c r="AB102" s="11">
        <v>1</v>
      </c>
      <c r="AC102" s="11">
        <v>1</v>
      </c>
      <c r="AD102" s="11">
        <v>2</v>
      </c>
      <c r="AE102" s="11">
        <v>3</v>
      </c>
      <c r="AF102" s="11">
        <v>0</v>
      </c>
      <c r="AG102" s="11" t="s">
        <v>5044</v>
      </c>
      <c r="AH102" s="11" t="s">
        <v>5044</v>
      </c>
      <c r="AI102" s="11" t="s">
        <v>5044</v>
      </c>
      <c r="AJ102" s="11" t="s">
        <v>5044</v>
      </c>
      <c r="AK102" s="11">
        <v>1</v>
      </c>
      <c r="AL102" s="11">
        <v>0</v>
      </c>
      <c r="AM102" s="11">
        <v>0</v>
      </c>
      <c r="AN102" s="11" t="s">
        <v>5318</v>
      </c>
      <c r="AO102" s="11">
        <v>3</v>
      </c>
      <c r="AP102" s="11" t="s">
        <v>5318</v>
      </c>
      <c r="AQ102" s="11" t="s">
        <v>5318</v>
      </c>
    </row>
    <row r="103" spans="1:43" ht="63" customHeight="1" x14ac:dyDescent="0.2">
      <c r="A103" s="10">
        <v>1354</v>
      </c>
      <c r="B103" s="11" t="s">
        <v>6857</v>
      </c>
      <c r="C103" s="11" t="s">
        <v>415</v>
      </c>
      <c r="D103" s="11">
        <v>2018</v>
      </c>
      <c r="E103" s="11" t="s">
        <v>5318</v>
      </c>
      <c r="F103" s="11">
        <v>61</v>
      </c>
      <c r="G103" s="11">
        <v>9</v>
      </c>
      <c r="H103" s="11" t="s">
        <v>6598</v>
      </c>
      <c r="I103" s="11" t="s">
        <v>6516</v>
      </c>
      <c r="J103" s="11" t="s">
        <v>6858</v>
      </c>
      <c r="K103" s="11" t="s">
        <v>417</v>
      </c>
      <c r="L103" s="12" t="s">
        <v>5413</v>
      </c>
      <c r="M103" s="11">
        <v>0</v>
      </c>
      <c r="N103" s="9" t="s">
        <v>5044</v>
      </c>
      <c r="O103" s="9" t="s">
        <v>5044</v>
      </c>
      <c r="P103" s="11">
        <v>0</v>
      </c>
      <c r="Q103" s="11">
        <v>0</v>
      </c>
      <c r="R103" s="11">
        <v>0</v>
      </c>
      <c r="S103" s="11">
        <v>1</v>
      </c>
      <c r="T103" s="11">
        <v>1</v>
      </c>
      <c r="U103" s="11">
        <v>40</v>
      </c>
      <c r="V103" s="11">
        <v>0</v>
      </c>
      <c r="W103" s="11">
        <v>1</v>
      </c>
      <c r="X103" s="11">
        <v>0</v>
      </c>
      <c r="Y103" s="11">
        <v>0</v>
      </c>
      <c r="Z103" s="11">
        <v>0</v>
      </c>
      <c r="AA103" s="11">
        <v>0</v>
      </c>
      <c r="AB103" s="11">
        <v>1</v>
      </c>
      <c r="AC103" s="11">
        <v>0</v>
      </c>
      <c r="AD103" s="11" t="s">
        <v>5044</v>
      </c>
      <c r="AE103" s="11" t="s">
        <v>5044</v>
      </c>
      <c r="AF103" s="11" t="s">
        <v>5044</v>
      </c>
      <c r="AG103" s="11">
        <v>0</v>
      </c>
      <c r="AH103" s="11" t="s">
        <v>5044</v>
      </c>
      <c r="AI103" s="11" t="s">
        <v>5044</v>
      </c>
      <c r="AJ103" s="11" t="s">
        <v>5044</v>
      </c>
      <c r="AK103" s="11" t="s">
        <v>5318</v>
      </c>
      <c r="AL103" s="11">
        <v>0</v>
      </c>
      <c r="AM103" s="11">
        <v>0</v>
      </c>
      <c r="AN103" s="11" t="s">
        <v>5318</v>
      </c>
      <c r="AO103" s="11">
        <v>9</v>
      </c>
      <c r="AP103" s="11" t="s">
        <v>5318</v>
      </c>
      <c r="AQ103" s="11" t="s">
        <v>5318</v>
      </c>
    </row>
    <row r="104" spans="1:43" ht="63" customHeight="1" x14ac:dyDescent="0.2">
      <c r="A104" s="10">
        <v>1372</v>
      </c>
      <c r="B104" s="11" t="s">
        <v>6859</v>
      </c>
      <c r="C104" s="11" t="s">
        <v>418</v>
      </c>
      <c r="D104" s="11">
        <v>2015</v>
      </c>
      <c r="E104" s="11" t="s">
        <v>5318</v>
      </c>
      <c r="F104" s="11">
        <v>262</v>
      </c>
      <c r="G104" s="11">
        <v>1</v>
      </c>
      <c r="H104" s="11" t="s">
        <v>6533</v>
      </c>
      <c r="I104" s="11" t="s">
        <v>6516</v>
      </c>
      <c r="J104" s="11" t="s">
        <v>6860</v>
      </c>
      <c r="K104" s="11" t="s">
        <v>420</v>
      </c>
      <c r="L104" s="12" t="s">
        <v>5414</v>
      </c>
      <c r="M104" s="11">
        <v>0</v>
      </c>
      <c r="N104" s="9" t="s">
        <v>5044</v>
      </c>
      <c r="O104" s="9" t="s">
        <v>5044</v>
      </c>
      <c r="P104" s="11">
        <v>0</v>
      </c>
      <c r="Q104" s="11">
        <v>0</v>
      </c>
      <c r="R104" s="11">
        <v>0</v>
      </c>
      <c r="S104" s="11">
        <v>1</v>
      </c>
      <c r="T104" s="11">
        <v>5</v>
      </c>
      <c r="U104" s="11">
        <v>80</v>
      </c>
      <c r="V104" s="11">
        <v>0</v>
      </c>
      <c r="W104" s="11">
        <v>1</v>
      </c>
      <c r="X104" s="11">
        <v>0</v>
      </c>
      <c r="Y104" s="11">
        <v>0</v>
      </c>
      <c r="Z104" s="11">
        <v>0</v>
      </c>
      <c r="AA104" s="11">
        <v>0</v>
      </c>
      <c r="AB104" s="11">
        <v>1</v>
      </c>
      <c r="AC104" s="11">
        <v>1</v>
      </c>
      <c r="AD104" s="11" t="s">
        <v>5044</v>
      </c>
      <c r="AE104" s="11" t="s">
        <v>5044</v>
      </c>
      <c r="AF104" s="11" t="s">
        <v>5044</v>
      </c>
      <c r="AG104" s="11">
        <v>2</v>
      </c>
      <c r="AH104" s="11">
        <v>3</v>
      </c>
      <c r="AI104" s="11">
        <v>0</v>
      </c>
      <c r="AJ104" s="11" t="s">
        <v>5044</v>
      </c>
      <c r="AK104" s="11">
        <v>1</v>
      </c>
      <c r="AL104" s="11">
        <v>0</v>
      </c>
      <c r="AM104" s="11">
        <v>0</v>
      </c>
      <c r="AN104" s="11" t="s">
        <v>5318</v>
      </c>
      <c r="AO104" s="11">
        <v>3</v>
      </c>
      <c r="AP104" s="11" t="s">
        <v>5318</v>
      </c>
      <c r="AQ104" s="11" t="s">
        <v>5318</v>
      </c>
    </row>
    <row r="105" spans="1:43" ht="63" customHeight="1" x14ac:dyDescent="0.2">
      <c r="A105" s="10">
        <v>1384</v>
      </c>
      <c r="B105" s="11" t="s">
        <v>6861</v>
      </c>
      <c r="C105" s="11" t="s">
        <v>421</v>
      </c>
      <c r="D105" s="11">
        <v>2018</v>
      </c>
      <c r="E105" s="11" t="s">
        <v>5318</v>
      </c>
      <c r="F105" s="11">
        <v>24</v>
      </c>
      <c r="G105" s="11">
        <v>7</v>
      </c>
      <c r="H105" s="11" t="s">
        <v>6862</v>
      </c>
      <c r="I105" s="11" t="s">
        <v>6516</v>
      </c>
      <c r="J105" s="11" t="s">
        <v>6863</v>
      </c>
      <c r="K105" s="11" t="s">
        <v>423</v>
      </c>
      <c r="L105" s="12" t="s">
        <v>5415</v>
      </c>
      <c r="M105" s="11">
        <v>0</v>
      </c>
      <c r="N105" s="9" t="s">
        <v>5044</v>
      </c>
      <c r="O105" s="9" t="s">
        <v>5044</v>
      </c>
      <c r="P105" s="11">
        <v>0</v>
      </c>
      <c r="Q105" s="11">
        <v>0</v>
      </c>
      <c r="R105" s="11">
        <v>0</v>
      </c>
      <c r="S105" s="11">
        <v>2</v>
      </c>
      <c r="T105" s="11">
        <v>4</v>
      </c>
      <c r="U105" s="11">
        <v>86</v>
      </c>
      <c r="V105" s="11">
        <v>0</v>
      </c>
      <c r="W105" s="11">
        <v>1</v>
      </c>
      <c r="X105" s="11">
        <v>0</v>
      </c>
      <c r="Y105" s="11">
        <v>0</v>
      </c>
      <c r="Z105" s="11">
        <v>0</v>
      </c>
      <c r="AA105" s="11">
        <v>0</v>
      </c>
      <c r="AB105" s="11">
        <v>1</v>
      </c>
      <c r="AC105" s="11">
        <v>1</v>
      </c>
      <c r="AD105" s="11" t="s">
        <v>5044</v>
      </c>
      <c r="AE105" s="11" t="s">
        <v>5044</v>
      </c>
      <c r="AF105" s="11" t="s">
        <v>5044</v>
      </c>
      <c r="AG105" s="11">
        <v>1</v>
      </c>
      <c r="AH105" s="11">
        <v>0</v>
      </c>
      <c r="AI105" s="11">
        <v>0</v>
      </c>
      <c r="AJ105" s="11" t="s">
        <v>5044</v>
      </c>
      <c r="AK105" s="11" t="s">
        <v>5318</v>
      </c>
      <c r="AL105" s="11">
        <v>1</v>
      </c>
      <c r="AM105" s="11">
        <v>0</v>
      </c>
      <c r="AN105" s="11" t="s">
        <v>5318</v>
      </c>
      <c r="AO105" s="9">
        <v>0</v>
      </c>
      <c r="AP105" s="11" t="s">
        <v>5318</v>
      </c>
      <c r="AQ105" s="11" t="s">
        <v>5318</v>
      </c>
    </row>
    <row r="106" spans="1:43" ht="63" customHeight="1" x14ac:dyDescent="0.2">
      <c r="A106" s="10">
        <v>1399</v>
      </c>
      <c r="B106" s="11" t="s">
        <v>6864</v>
      </c>
      <c r="C106" s="11" t="s">
        <v>424</v>
      </c>
      <c r="D106" s="11">
        <v>2021</v>
      </c>
      <c r="E106" s="11" t="s">
        <v>5318</v>
      </c>
      <c r="F106" s="11">
        <v>5</v>
      </c>
      <c r="G106" s="11">
        <v>2</v>
      </c>
      <c r="H106" s="11" t="s">
        <v>6839</v>
      </c>
      <c r="I106" s="11" t="s">
        <v>6516</v>
      </c>
      <c r="J106" s="11" t="s">
        <v>6865</v>
      </c>
      <c r="K106" s="11" t="s">
        <v>425</v>
      </c>
      <c r="L106" s="16" t="s">
        <v>5416</v>
      </c>
      <c r="M106" s="11">
        <v>0</v>
      </c>
      <c r="N106" s="9" t="s">
        <v>5044</v>
      </c>
      <c r="O106" s="9" t="s">
        <v>5044</v>
      </c>
      <c r="P106" s="11">
        <v>0</v>
      </c>
      <c r="Q106" s="11">
        <v>0</v>
      </c>
      <c r="R106" s="11">
        <v>0</v>
      </c>
      <c r="S106" s="11">
        <v>9</v>
      </c>
      <c r="T106" s="11">
        <v>1</v>
      </c>
      <c r="U106" s="11">
        <v>92</v>
      </c>
      <c r="V106" s="11">
        <v>0</v>
      </c>
      <c r="W106" s="11">
        <v>1</v>
      </c>
      <c r="X106" s="11">
        <v>0</v>
      </c>
      <c r="Y106" s="11">
        <v>0</v>
      </c>
      <c r="Z106" s="11">
        <v>1</v>
      </c>
      <c r="AA106" s="11">
        <v>0</v>
      </c>
      <c r="AB106" s="11">
        <v>1</v>
      </c>
      <c r="AC106" s="11">
        <v>1</v>
      </c>
      <c r="AD106" s="11" t="s">
        <v>5044</v>
      </c>
      <c r="AE106" s="11" t="s">
        <v>5044</v>
      </c>
      <c r="AF106" s="11" t="s">
        <v>5044</v>
      </c>
      <c r="AG106" s="11">
        <v>2</v>
      </c>
      <c r="AH106" s="11">
        <v>1</v>
      </c>
      <c r="AI106" s="11">
        <v>2</v>
      </c>
      <c r="AJ106" s="11">
        <v>0</v>
      </c>
      <c r="AK106" s="11" t="s">
        <v>5318</v>
      </c>
      <c r="AL106" s="11">
        <v>0</v>
      </c>
      <c r="AM106" s="11">
        <v>0</v>
      </c>
      <c r="AN106" s="11" t="s">
        <v>5318</v>
      </c>
      <c r="AO106" s="11">
        <v>1</v>
      </c>
      <c r="AP106" s="11" t="s">
        <v>5318</v>
      </c>
      <c r="AQ106" s="11" t="s">
        <v>5318</v>
      </c>
    </row>
    <row r="107" spans="1:43" ht="63" customHeight="1" x14ac:dyDescent="0.2">
      <c r="A107" s="10">
        <v>1407</v>
      </c>
      <c r="B107" s="11" t="s">
        <v>6866</v>
      </c>
      <c r="C107" s="11" t="s">
        <v>426</v>
      </c>
      <c r="D107" s="11">
        <v>2022</v>
      </c>
      <c r="E107" s="11" t="s">
        <v>5318</v>
      </c>
      <c r="F107" s="11">
        <v>24</v>
      </c>
      <c r="G107" s="11">
        <v>9</v>
      </c>
      <c r="H107" s="11" t="s">
        <v>6867</v>
      </c>
      <c r="I107" s="11" t="s">
        <v>6516</v>
      </c>
      <c r="J107" s="11" t="s">
        <v>6868</v>
      </c>
      <c r="K107" s="11" t="s">
        <v>428</v>
      </c>
      <c r="L107" s="12" t="s">
        <v>5418</v>
      </c>
      <c r="M107" s="11">
        <v>0</v>
      </c>
      <c r="N107" s="9" t="s">
        <v>5044</v>
      </c>
      <c r="O107" s="9" t="s">
        <v>5044</v>
      </c>
      <c r="P107" s="11">
        <v>0</v>
      </c>
      <c r="Q107" s="11">
        <v>0</v>
      </c>
      <c r="R107" s="11">
        <v>0</v>
      </c>
      <c r="S107" s="11">
        <v>1</v>
      </c>
      <c r="T107" s="11">
        <v>1</v>
      </c>
      <c r="U107" s="11">
        <v>88</v>
      </c>
      <c r="V107" s="11">
        <v>0</v>
      </c>
      <c r="W107" s="11">
        <v>1</v>
      </c>
      <c r="X107" s="11">
        <v>0</v>
      </c>
      <c r="Y107" s="11">
        <v>0</v>
      </c>
      <c r="Z107" s="11">
        <v>0</v>
      </c>
      <c r="AA107" s="11">
        <v>0</v>
      </c>
      <c r="AB107" s="11">
        <v>1</v>
      </c>
      <c r="AC107" s="11">
        <v>1</v>
      </c>
      <c r="AD107" s="11" t="s">
        <v>5044</v>
      </c>
      <c r="AE107" s="11" t="s">
        <v>5044</v>
      </c>
      <c r="AF107" s="11" t="s">
        <v>5044</v>
      </c>
      <c r="AG107" s="11">
        <v>2</v>
      </c>
      <c r="AH107" s="11">
        <v>3</v>
      </c>
      <c r="AI107" s="11">
        <v>0</v>
      </c>
      <c r="AJ107" s="11" t="s">
        <v>5044</v>
      </c>
      <c r="AK107" s="11">
        <v>1</v>
      </c>
      <c r="AL107" s="11">
        <v>0</v>
      </c>
      <c r="AM107" s="11">
        <v>0</v>
      </c>
      <c r="AN107" s="11" t="s">
        <v>5318</v>
      </c>
      <c r="AO107" s="11">
        <v>3</v>
      </c>
      <c r="AP107" s="11" t="s">
        <v>5318</v>
      </c>
      <c r="AQ107" s="11" t="s">
        <v>5318</v>
      </c>
    </row>
    <row r="108" spans="1:43" ht="63" customHeight="1" x14ac:dyDescent="0.2">
      <c r="A108" s="10">
        <v>1410</v>
      </c>
      <c r="B108" s="11" t="s">
        <v>6870</v>
      </c>
      <c r="C108" s="11" t="s">
        <v>429</v>
      </c>
      <c r="D108" s="11">
        <v>2021</v>
      </c>
      <c r="E108" s="11" t="s">
        <v>5318</v>
      </c>
      <c r="F108" s="11">
        <v>108</v>
      </c>
      <c r="G108" s="11">
        <v>7</v>
      </c>
      <c r="H108" s="11" t="s">
        <v>6530</v>
      </c>
      <c r="I108" s="11" t="s">
        <v>6516</v>
      </c>
      <c r="J108" s="11" t="s">
        <v>6871</v>
      </c>
      <c r="K108" s="11" t="s">
        <v>430</v>
      </c>
      <c r="L108" s="12" t="s">
        <v>5419</v>
      </c>
      <c r="M108" s="11">
        <v>0</v>
      </c>
      <c r="N108" s="9" t="s">
        <v>5044</v>
      </c>
      <c r="O108" s="9" t="s">
        <v>5044</v>
      </c>
      <c r="P108" s="11">
        <v>0</v>
      </c>
      <c r="Q108" s="11">
        <v>0</v>
      </c>
      <c r="R108" s="11">
        <v>0</v>
      </c>
      <c r="S108" s="11" t="s">
        <v>7670</v>
      </c>
      <c r="T108" s="11">
        <v>1</v>
      </c>
      <c r="U108" s="11">
        <v>120</v>
      </c>
      <c r="V108" s="11">
        <v>0</v>
      </c>
      <c r="W108" s="11">
        <v>1</v>
      </c>
      <c r="X108" s="11">
        <v>0</v>
      </c>
      <c r="Y108" s="11">
        <v>0</v>
      </c>
      <c r="Z108" s="11">
        <v>0</v>
      </c>
      <c r="AA108" s="11">
        <v>0</v>
      </c>
      <c r="AB108" s="11">
        <v>1</v>
      </c>
      <c r="AC108" s="11">
        <v>1</v>
      </c>
      <c r="AD108" s="11" t="s">
        <v>5044</v>
      </c>
      <c r="AE108" s="11" t="s">
        <v>5044</v>
      </c>
      <c r="AF108" s="11" t="s">
        <v>5044</v>
      </c>
      <c r="AG108" s="11">
        <v>2</v>
      </c>
      <c r="AH108" s="11">
        <v>1</v>
      </c>
      <c r="AI108" s="11">
        <v>1</v>
      </c>
      <c r="AJ108" s="11" t="s">
        <v>5044</v>
      </c>
      <c r="AK108" s="11" t="s">
        <v>5318</v>
      </c>
      <c r="AL108" s="11">
        <v>0</v>
      </c>
      <c r="AM108" s="11">
        <v>0</v>
      </c>
      <c r="AN108" s="11" t="s">
        <v>5318</v>
      </c>
      <c r="AO108" s="11">
        <v>1</v>
      </c>
      <c r="AP108" s="11" t="s">
        <v>5318</v>
      </c>
      <c r="AQ108" s="11" t="s">
        <v>5318</v>
      </c>
    </row>
    <row r="109" spans="1:43" ht="63" customHeight="1" x14ac:dyDescent="0.2">
      <c r="A109" s="10">
        <v>1436</v>
      </c>
      <c r="B109" s="11" t="s">
        <v>6876</v>
      </c>
      <c r="C109" s="11" t="s">
        <v>435</v>
      </c>
      <c r="D109" s="11">
        <v>2023</v>
      </c>
      <c r="E109" s="11" t="s">
        <v>5318</v>
      </c>
      <c r="F109" s="11">
        <v>151</v>
      </c>
      <c r="G109" s="11">
        <v>3</v>
      </c>
      <c r="H109" s="11" t="s">
        <v>6877</v>
      </c>
      <c r="I109" s="11" t="s">
        <v>6878</v>
      </c>
      <c r="J109" s="11" t="s">
        <v>6879</v>
      </c>
      <c r="K109" s="11" t="s">
        <v>438</v>
      </c>
      <c r="L109" s="11" t="s">
        <v>5044</v>
      </c>
      <c r="M109" s="11">
        <v>0</v>
      </c>
      <c r="N109" s="9" t="s">
        <v>5044</v>
      </c>
      <c r="O109" s="9" t="s">
        <v>5044</v>
      </c>
      <c r="P109" s="11">
        <v>0</v>
      </c>
      <c r="Q109" s="11">
        <v>0</v>
      </c>
      <c r="R109" s="11">
        <v>0</v>
      </c>
      <c r="S109" s="11" t="s">
        <v>7671</v>
      </c>
      <c r="T109" s="11">
        <v>1</v>
      </c>
      <c r="U109" s="11">
        <v>88</v>
      </c>
      <c r="V109" s="11">
        <v>0</v>
      </c>
      <c r="W109" s="11">
        <v>1</v>
      </c>
      <c r="X109" s="11">
        <v>0</v>
      </c>
      <c r="Y109" s="11">
        <v>0</v>
      </c>
      <c r="Z109" s="11">
        <v>0</v>
      </c>
      <c r="AA109" s="11">
        <v>0</v>
      </c>
      <c r="AB109" s="11">
        <v>1</v>
      </c>
      <c r="AC109" s="11">
        <v>1</v>
      </c>
      <c r="AD109" s="11" t="s">
        <v>5044</v>
      </c>
      <c r="AE109" s="11" t="s">
        <v>5044</v>
      </c>
      <c r="AF109" s="11" t="s">
        <v>5044</v>
      </c>
      <c r="AG109" s="11">
        <v>2</v>
      </c>
      <c r="AH109" s="11">
        <v>3</v>
      </c>
      <c r="AI109" s="11">
        <v>0</v>
      </c>
      <c r="AJ109" s="11" t="s">
        <v>5044</v>
      </c>
      <c r="AK109" s="11">
        <v>1</v>
      </c>
      <c r="AL109" s="11">
        <v>0</v>
      </c>
      <c r="AM109" s="11">
        <v>0</v>
      </c>
      <c r="AN109" s="11" t="s">
        <v>5318</v>
      </c>
      <c r="AO109" s="11">
        <v>3</v>
      </c>
      <c r="AP109" s="11" t="s">
        <v>5318</v>
      </c>
      <c r="AQ109" s="11" t="s">
        <v>5318</v>
      </c>
    </row>
    <row r="110" spans="1:43" ht="63" customHeight="1" x14ac:dyDescent="0.2">
      <c r="A110" s="10">
        <v>1469</v>
      </c>
      <c r="B110" s="11" t="s">
        <v>6882</v>
      </c>
      <c r="C110" s="11" t="s">
        <v>441</v>
      </c>
      <c r="D110" s="11">
        <v>2021</v>
      </c>
      <c r="E110" s="11" t="s">
        <v>5318</v>
      </c>
      <c r="F110" s="11">
        <v>24</v>
      </c>
      <c r="G110" s="11">
        <v>1</v>
      </c>
      <c r="H110" s="11" t="s">
        <v>6883</v>
      </c>
      <c r="I110" s="11" t="s">
        <v>6516</v>
      </c>
      <c r="J110" s="11" t="s">
        <v>6884</v>
      </c>
      <c r="K110" s="11" t="s">
        <v>443</v>
      </c>
      <c r="L110" s="11" t="s">
        <v>5044</v>
      </c>
      <c r="M110" s="11">
        <v>0</v>
      </c>
      <c r="N110" s="9" t="s">
        <v>5044</v>
      </c>
      <c r="O110" s="9" t="s">
        <v>5044</v>
      </c>
      <c r="P110" s="11">
        <v>0</v>
      </c>
      <c r="Q110" s="11">
        <v>0</v>
      </c>
      <c r="R110" s="11">
        <v>0</v>
      </c>
      <c r="S110" s="11">
        <v>1</v>
      </c>
      <c r="T110" s="11">
        <v>1</v>
      </c>
      <c r="U110" s="11">
        <v>110</v>
      </c>
      <c r="V110" s="11">
        <v>0</v>
      </c>
      <c r="W110" s="11">
        <v>1</v>
      </c>
      <c r="X110" s="11">
        <v>0</v>
      </c>
      <c r="Y110" s="11">
        <v>0</v>
      </c>
      <c r="Z110" s="11">
        <v>1</v>
      </c>
      <c r="AA110" s="11">
        <v>0</v>
      </c>
      <c r="AB110" s="11">
        <v>1</v>
      </c>
      <c r="AC110" s="11">
        <v>1</v>
      </c>
      <c r="AD110" s="11" t="s">
        <v>5044</v>
      </c>
      <c r="AE110" s="11" t="s">
        <v>5044</v>
      </c>
      <c r="AF110" s="11" t="s">
        <v>5044</v>
      </c>
      <c r="AG110" s="11">
        <v>2</v>
      </c>
      <c r="AH110" s="11">
        <v>3</v>
      </c>
      <c r="AI110" s="11">
        <v>0</v>
      </c>
      <c r="AJ110" s="11">
        <v>0</v>
      </c>
      <c r="AK110" s="11">
        <v>1</v>
      </c>
      <c r="AL110" s="11">
        <v>1</v>
      </c>
      <c r="AM110" s="11">
        <v>0</v>
      </c>
      <c r="AN110" s="11" t="s">
        <v>5318</v>
      </c>
      <c r="AO110" s="11">
        <v>3</v>
      </c>
      <c r="AP110" s="11" t="s">
        <v>5318</v>
      </c>
      <c r="AQ110" s="11" t="s">
        <v>5318</v>
      </c>
    </row>
    <row r="111" spans="1:43" ht="63" customHeight="1" x14ac:dyDescent="0.2">
      <c r="A111" s="10">
        <v>1474</v>
      </c>
      <c r="B111" s="11" t="s">
        <v>6885</v>
      </c>
      <c r="C111" s="11" t="s">
        <v>444</v>
      </c>
      <c r="D111" s="11">
        <v>2021</v>
      </c>
      <c r="E111" s="11" t="s">
        <v>5318</v>
      </c>
      <c r="F111" s="11">
        <v>39</v>
      </c>
      <c r="G111" s="11">
        <v>9</v>
      </c>
      <c r="H111" s="11" t="s">
        <v>6449</v>
      </c>
      <c r="I111" s="11" t="s">
        <v>6516</v>
      </c>
      <c r="J111" s="11" t="s">
        <v>6886</v>
      </c>
      <c r="K111" s="11" t="s">
        <v>445</v>
      </c>
      <c r="L111" s="16" t="s">
        <v>5423</v>
      </c>
      <c r="M111" s="11">
        <v>0</v>
      </c>
      <c r="N111" s="9" t="s">
        <v>5044</v>
      </c>
      <c r="O111" s="9" t="s">
        <v>5044</v>
      </c>
      <c r="P111" s="11">
        <v>0</v>
      </c>
      <c r="Q111" s="11">
        <v>0</v>
      </c>
      <c r="R111" s="11">
        <v>0</v>
      </c>
      <c r="S111" s="11">
        <v>1</v>
      </c>
      <c r="T111" s="11">
        <v>1</v>
      </c>
      <c r="U111" s="11">
        <v>227</v>
      </c>
      <c r="V111" s="11">
        <v>0</v>
      </c>
      <c r="W111" s="11">
        <v>1</v>
      </c>
      <c r="X111" s="11">
        <v>0</v>
      </c>
      <c r="Y111" s="11">
        <v>0</v>
      </c>
      <c r="Z111" s="11">
        <v>0</v>
      </c>
      <c r="AA111" s="11">
        <v>0</v>
      </c>
      <c r="AB111" s="11">
        <v>1</v>
      </c>
      <c r="AC111" s="11">
        <v>1</v>
      </c>
      <c r="AD111" s="11" t="s">
        <v>5044</v>
      </c>
      <c r="AE111" s="11" t="s">
        <v>5044</v>
      </c>
      <c r="AF111" s="11" t="s">
        <v>5044</v>
      </c>
      <c r="AG111" s="11">
        <v>1</v>
      </c>
      <c r="AH111" s="11">
        <v>0</v>
      </c>
      <c r="AI111" s="11">
        <v>0</v>
      </c>
      <c r="AJ111" s="11" t="s">
        <v>5044</v>
      </c>
      <c r="AK111" s="11" t="s">
        <v>5318</v>
      </c>
      <c r="AL111" s="11">
        <v>0</v>
      </c>
      <c r="AM111" s="11">
        <v>0</v>
      </c>
      <c r="AN111" s="11" t="s">
        <v>5318</v>
      </c>
      <c r="AO111" s="9">
        <v>0</v>
      </c>
      <c r="AP111" s="11" t="s">
        <v>5318</v>
      </c>
      <c r="AQ111" s="11" t="s">
        <v>5318</v>
      </c>
    </row>
    <row r="112" spans="1:43" ht="63" customHeight="1" x14ac:dyDescent="0.2">
      <c r="A112" s="10">
        <v>1475</v>
      </c>
      <c r="B112" s="11" t="s">
        <v>6887</v>
      </c>
      <c r="C112" s="11" t="s">
        <v>446</v>
      </c>
      <c r="D112" s="11">
        <v>2020</v>
      </c>
      <c r="E112" s="11" t="s">
        <v>5318</v>
      </c>
      <c r="F112" s="11">
        <v>147</v>
      </c>
      <c r="G112" s="11" t="s">
        <v>5318</v>
      </c>
      <c r="H112" s="11" t="s">
        <v>6888</v>
      </c>
      <c r="I112" s="11" t="s">
        <v>6516</v>
      </c>
      <c r="J112" s="11" t="s">
        <v>6889</v>
      </c>
      <c r="K112" s="11" t="s">
        <v>447</v>
      </c>
      <c r="L112" s="12" t="s">
        <v>5424</v>
      </c>
      <c r="M112" s="11">
        <v>0</v>
      </c>
      <c r="N112" s="9" t="s">
        <v>5044</v>
      </c>
      <c r="O112" s="9" t="s">
        <v>5044</v>
      </c>
      <c r="P112" s="11">
        <v>0</v>
      </c>
      <c r="Q112" s="11">
        <v>0</v>
      </c>
      <c r="R112" s="11">
        <v>0</v>
      </c>
      <c r="S112" s="11">
        <v>1</v>
      </c>
      <c r="T112" s="11">
        <v>1</v>
      </c>
      <c r="U112" s="11">
        <v>920</v>
      </c>
      <c r="V112" s="11">
        <v>0</v>
      </c>
      <c r="W112" s="11">
        <v>1</v>
      </c>
      <c r="X112" s="11">
        <v>0</v>
      </c>
      <c r="Y112" s="11">
        <v>0</v>
      </c>
      <c r="Z112" s="11">
        <v>0</v>
      </c>
      <c r="AA112" s="11">
        <v>0</v>
      </c>
      <c r="AB112" s="11">
        <v>1</v>
      </c>
      <c r="AC112" s="11">
        <v>1</v>
      </c>
      <c r="AD112" s="11" t="s">
        <v>5044</v>
      </c>
      <c r="AE112" s="11" t="s">
        <v>5044</v>
      </c>
      <c r="AF112" s="11" t="s">
        <v>5044</v>
      </c>
      <c r="AG112" s="11">
        <v>2</v>
      </c>
      <c r="AH112" s="11">
        <v>3</v>
      </c>
      <c r="AI112" s="11">
        <v>0</v>
      </c>
      <c r="AJ112" s="11" t="s">
        <v>5044</v>
      </c>
      <c r="AK112" s="11">
        <v>1</v>
      </c>
      <c r="AL112" s="11" t="s">
        <v>5044</v>
      </c>
      <c r="AM112" s="11">
        <v>0</v>
      </c>
      <c r="AN112" s="11" t="s">
        <v>5105</v>
      </c>
      <c r="AO112" s="11">
        <v>3</v>
      </c>
      <c r="AP112" s="11" t="s">
        <v>5318</v>
      </c>
      <c r="AQ112" s="11" t="s">
        <v>5318</v>
      </c>
    </row>
    <row r="113" spans="1:43" ht="63" customHeight="1" x14ac:dyDescent="0.2">
      <c r="A113" s="10">
        <v>1493</v>
      </c>
      <c r="B113" s="11" t="s">
        <v>6890</v>
      </c>
      <c r="C113" s="11" t="s">
        <v>448</v>
      </c>
      <c r="D113" s="11">
        <v>2022</v>
      </c>
      <c r="E113" s="11" t="s">
        <v>451</v>
      </c>
      <c r="F113" s="11">
        <v>171</v>
      </c>
      <c r="G113" s="11">
        <v>6</v>
      </c>
      <c r="H113" s="11" t="s">
        <v>6553</v>
      </c>
      <c r="I113" s="11" t="s">
        <v>6516</v>
      </c>
      <c r="J113" s="11" t="s">
        <v>6891</v>
      </c>
      <c r="K113" s="11" t="s">
        <v>450</v>
      </c>
      <c r="L113" s="12" t="s">
        <v>5425</v>
      </c>
      <c r="M113" s="11">
        <v>0</v>
      </c>
      <c r="N113" s="9" t="s">
        <v>5044</v>
      </c>
      <c r="O113" s="9" t="s">
        <v>5044</v>
      </c>
      <c r="P113" s="11">
        <v>0</v>
      </c>
      <c r="Q113" s="11">
        <v>0</v>
      </c>
      <c r="R113" s="11">
        <v>1</v>
      </c>
      <c r="S113" s="11">
        <v>1</v>
      </c>
      <c r="T113" s="11">
        <v>1</v>
      </c>
      <c r="U113" s="11">
        <v>252</v>
      </c>
      <c r="V113" s="11">
        <v>0</v>
      </c>
      <c r="W113" s="11">
        <v>1</v>
      </c>
      <c r="X113" s="11">
        <v>0</v>
      </c>
      <c r="Y113" s="11">
        <v>0</v>
      </c>
      <c r="Z113" s="11">
        <v>0</v>
      </c>
      <c r="AA113" s="11">
        <v>0</v>
      </c>
      <c r="AB113" s="11">
        <v>1</v>
      </c>
      <c r="AC113" s="11">
        <v>1</v>
      </c>
      <c r="AD113" s="11" t="s">
        <v>5044</v>
      </c>
      <c r="AE113" s="11" t="s">
        <v>5044</v>
      </c>
      <c r="AF113" s="11" t="s">
        <v>5044</v>
      </c>
      <c r="AG113" s="11">
        <v>2</v>
      </c>
      <c r="AH113" s="11">
        <v>1</v>
      </c>
      <c r="AI113" s="11">
        <v>2</v>
      </c>
      <c r="AJ113" s="11" t="s">
        <v>5044</v>
      </c>
      <c r="AK113" s="11" t="s">
        <v>5318</v>
      </c>
      <c r="AL113" s="11">
        <v>1</v>
      </c>
      <c r="AM113" s="11">
        <v>0</v>
      </c>
      <c r="AN113" s="11" t="s">
        <v>6297</v>
      </c>
      <c r="AO113" s="11">
        <v>1</v>
      </c>
      <c r="AP113" s="11" t="s">
        <v>5318</v>
      </c>
      <c r="AQ113" s="11" t="s">
        <v>5318</v>
      </c>
    </row>
    <row r="114" spans="1:43" ht="63" customHeight="1" x14ac:dyDescent="0.2">
      <c r="A114" s="10">
        <v>1494</v>
      </c>
      <c r="B114" s="11" t="s">
        <v>6892</v>
      </c>
      <c r="C114" s="11" t="s">
        <v>452</v>
      </c>
      <c r="D114" s="11">
        <v>2020</v>
      </c>
      <c r="E114" s="11" t="s">
        <v>5318</v>
      </c>
      <c r="F114" s="11">
        <v>13</v>
      </c>
      <c r="G114" s="11" t="s">
        <v>5318</v>
      </c>
      <c r="H114" s="11" t="s">
        <v>6893</v>
      </c>
      <c r="I114" s="11" t="s">
        <v>6516</v>
      </c>
      <c r="J114" s="11" t="s">
        <v>6894</v>
      </c>
      <c r="K114" s="11" t="s">
        <v>454</v>
      </c>
      <c r="L114" s="12" t="s">
        <v>5426</v>
      </c>
      <c r="M114" s="11">
        <v>0</v>
      </c>
      <c r="N114" s="9" t="s">
        <v>5044</v>
      </c>
      <c r="O114" s="9" t="s">
        <v>5044</v>
      </c>
      <c r="P114" s="11">
        <v>0</v>
      </c>
      <c r="Q114" s="11">
        <v>0</v>
      </c>
      <c r="R114" s="11">
        <v>0</v>
      </c>
      <c r="S114" s="11">
        <v>9</v>
      </c>
      <c r="T114" s="11">
        <v>1</v>
      </c>
      <c r="U114" s="11">
        <v>55</v>
      </c>
      <c r="V114" s="11">
        <v>0</v>
      </c>
      <c r="W114" s="11">
        <v>1</v>
      </c>
      <c r="X114" s="11">
        <v>0</v>
      </c>
      <c r="Y114" s="11">
        <v>0</v>
      </c>
      <c r="Z114" s="11">
        <v>0</v>
      </c>
      <c r="AA114" s="11">
        <v>0</v>
      </c>
      <c r="AB114" s="11">
        <v>1</v>
      </c>
      <c r="AC114" s="11">
        <v>1</v>
      </c>
      <c r="AD114" s="11" t="s">
        <v>5044</v>
      </c>
      <c r="AE114" s="11" t="s">
        <v>5044</v>
      </c>
      <c r="AF114" s="11" t="s">
        <v>5044</v>
      </c>
      <c r="AG114" s="11">
        <v>2</v>
      </c>
      <c r="AH114" s="11">
        <v>3</v>
      </c>
      <c r="AI114" s="11">
        <v>0</v>
      </c>
      <c r="AJ114" s="11" t="s">
        <v>5044</v>
      </c>
      <c r="AK114" s="11" t="s">
        <v>5318</v>
      </c>
      <c r="AL114" s="11">
        <v>0</v>
      </c>
      <c r="AM114" s="11">
        <v>0</v>
      </c>
      <c r="AN114" s="11" t="s">
        <v>5318</v>
      </c>
      <c r="AO114" s="11">
        <v>3</v>
      </c>
      <c r="AP114" s="11" t="s">
        <v>5318</v>
      </c>
      <c r="AQ114" s="11" t="s">
        <v>5318</v>
      </c>
    </row>
    <row r="115" spans="1:43" ht="63" customHeight="1" x14ac:dyDescent="0.2">
      <c r="A115" s="10">
        <v>1495</v>
      </c>
      <c r="B115" s="11" t="s">
        <v>6895</v>
      </c>
      <c r="C115" s="11" t="s">
        <v>455</v>
      </c>
      <c r="D115" s="11">
        <v>2015</v>
      </c>
      <c r="E115" s="11" t="s">
        <v>5318</v>
      </c>
      <c r="F115" s="11">
        <v>102</v>
      </c>
      <c r="G115" s="11">
        <v>3</v>
      </c>
      <c r="H115" s="11" t="s">
        <v>6530</v>
      </c>
      <c r="I115" s="11" t="s">
        <v>6516</v>
      </c>
      <c r="J115" s="11" t="s">
        <v>6896</v>
      </c>
      <c r="K115" s="11" t="s">
        <v>456</v>
      </c>
      <c r="L115" s="12" t="s">
        <v>5427</v>
      </c>
      <c r="M115" s="11">
        <v>0</v>
      </c>
      <c r="N115" s="9" t="s">
        <v>5044</v>
      </c>
      <c r="O115" s="9" t="s">
        <v>5044</v>
      </c>
      <c r="P115" s="11">
        <v>0</v>
      </c>
      <c r="Q115" s="11">
        <v>0</v>
      </c>
      <c r="R115" s="11">
        <v>0</v>
      </c>
      <c r="S115" s="11">
        <v>1</v>
      </c>
      <c r="T115" s="11">
        <v>1</v>
      </c>
      <c r="U115" s="11">
        <v>120</v>
      </c>
      <c r="V115" s="11">
        <v>0</v>
      </c>
      <c r="W115" s="11">
        <v>1</v>
      </c>
      <c r="X115" s="11">
        <v>0</v>
      </c>
      <c r="Y115" s="11">
        <v>0</v>
      </c>
      <c r="Z115" s="11">
        <v>0</v>
      </c>
      <c r="AA115" s="11">
        <v>0</v>
      </c>
      <c r="AB115" s="11">
        <v>1</v>
      </c>
      <c r="AC115" s="11">
        <v>1</v>
      </c>
      <c r="AD115" s="11" t="s">
        <v>5044</v>
      </c>
      <c r="AE115" s="11" t="s">
        <v>5044</v>
      </c>
      <c r="AF115" s="11" t="s">
        <v>5044</v>
      </c>
      <c r="AG115" s="11">
        <v>1</v>
      </c>
      <c r="AH115" s="11">
        <v>0</v>
      </c>
      <c r="AI115" s="11">
        <v>0</v>
      </c>
      <c r="AJ115" s="11" t="s">
        <v>5044</v>
      </c>
      <c r="AK115" s="11" t="s">
        <v>5318</v>
      </c>
      <c r="AL115" s="11">
        <v>1</v>
      </c>
      <c r="AM115" s="11">
        <v>0</v>
      </c>
      <c r="AN115" s="11" t="s">
        <v>5318</v>
      </c>
      <c r="AO115" s="9">
        <v>0</v>
      </c>
      <c r="AP115" s="11" t="s">
        <v>5318</v>
      </c>
      <c r="AQ115" s="11" t="s">
        <v>5318</v>
      </c>
    </row>
    <row r="116" spans="1:43" ht="63" customHeight="1" x14ac:dyDescent="0.2">
      <c r="A116" s="10">
        <v>1502</v>
      </c>
      <c r="B116" s="11" t="s">
        <v>6897</v>
      </c>
      <c r="C116" s="11" t="s">
        <v>457</v>
      </c>
      <c r="D116" s="11">
        <v>2011</v>
      </c>
      <c r="E116" s="11" t="s">
        <v>5318</v>
      </c>
      <c r="F116" s="11">
        <v>55</v>
      </c>
      <c r="G116" s="11">
        <v>2</v>
      </c>
      <c r="H116" s="11" t="s">
        <v>6898</v>
      </c>
      <c r="I116" s="11" t="s">
        <v>6516</v>
      </c>
      <c r="J116" s="11" t="s">
        <v>6899</v>
      </c>
      <c r="K116" s="11" t="s">
        <v>460</v>
      </c>
      <c r="L116" s="12" t="s">
        <v>5428</v>
      </c>
      <c r="M116" s="11">
        <v>0</v>
      </c>
      <c r="N116" s="9" t="s">
        <v>5044</v>
      </c>
      <c r="O116" s="9" t="s">
        <v>5044</v>
      </c>
      <c r="P116" s="11">
        <v>0</v>
      </c>
      <c r="Q116" s="11">
        <v>0</v>
      </c>
      <c r="R116" s="11">
        <v>0</v>
      </c>
      <c r="S116" s="11">
        <v>1</v>
      </c>
      <c r="T116" s="11">
        <v>1</v>
      </c>
      <c r="U116" s="11">
        <v>20</v>
      </c>
      <c r="V116" s="11">
        <v>0</v>
      </c>
      <c r="W116" s="11">
        <v>1</v>
      </c>
      <c r="X116" s="11">
        <v>0</v>
      </c>
      <c r="Y116" s="11">
        <v>0</v>
      </c>
      <c r="Z116" s="11">
        <v>0</v>
      </c>
      <c r="AA116" s="11">
        <v>0</v>
      </c>
      <c r="AB116" s="11">
        <v>1</v>
      </c>
      <c r="AC116" s="11">
        <v>1</v>
      </c>
      <c r="AD116" s="11" t="s">
        <v>5044</v>
      </c>
      <c r="AE116" s="11" t="s">
        <v>5044</v>
      </c>
      <c r="AF116" s="11" t="s">
        <v>5044</v>
      </c>
      <c r="AG116" s="11">
        <v>2</v>
      </c>
      <c r="AH116" s="11">
        <v>2</v>
      </c>
      <c r="AI116" s="11">
        <v>2</v>
      </c>
      <c r="AJ116" s="11" t="s">
        <v>5044</v>
      </c>
      <c r="AK116" s="11" t="s">
        <v>5318</v>
      </c>
      <c r="AL116" s="11">
        <v>0</v>
      </c>
      <c r="AM116" s="11">
        <v>0</v>
      </c>
      <c r="AN116" s="11" t="s">
        <v>5318</v>
      </c>
      <c r="AO116" s="11">
        <v>2</v>
      </c>
      <c r="AP116" s="11" t="s">
        <v>5318</v>
      </c>
      <c r="AQ116" s="11" t="s">
        <v>5318</v>
      </c>
    </row>
    <row r="117" spans="1:43" ht="63" customHeight="1" x14ac:dyDescent="0.2">
      <c r="A117" s="10">
        <v>1505</v>
      </c>
      <c r="B117" s="11" t="s">
        <v>6900</v>
      </c>
      <c r="C117" s="11" t="s">
        <v>461</v>
      </c>
      <c r="D117" s="11">
        <v>2023</v>
      </c>
      <c r="E117" s="11" t="s">
        <v>5318</v>
      </c>
      <c r="F117" s="11">
        <v>37</v>
      </c>
      <c r="G117" s="11">
        <v>6</v>
      </c>
      <c r="H117" s="11" t="s">
        <v>6624</v>
      </c>
      <c r="I117" s="11" t="s">
        <v>6516</v>
      </c>
      <c r="J117" s="11" t="s">
        <v>6901</v>
      </c>
      <c r="K117" s="11" t="s">
        <v>462</v>
      </c>
      <c r="L117" s="12" t="s">
        <v>5429</v>
      </c>
      <c r="M117" s="11">
        <v>0</v>
      </c>
      <c r="N117" s="9" t="s">
        <v>5044</v>
      </c>
      <c r="O117" s="9" t="s">
        <v>5044</v>
      </c>
      <c r="P117" s="11">
        <v>0</v>
      </c>
      <c r="Q117" s="11">
        <v>0</v>
      </c>
      <c r="R117" s="11">
        <v>0</v>
      </c>
      <c r="S117" s="11">
        <v>1</v>
      </c>
      <c r="T117" s="11">
        <v>1</v>
      </c>
      <c r="U117" s="11">
        <v>294</v>
      </c>
      <c r="V117" s="11">
        <v>0</v>
      </c>
      <c r="W117" s="11">
        <v>1</v>
      </c>
      <c r="X117" s="11">
        <v>0</v>
      </c>
      <c r="Y117" s="11">
        <v>0</v>
      </c>
      <c r="Z117" s="11">
        <v>0</v>
      </c>
      <c r="AA117" s="11">
        <v>0</v>
      </c>
      <c r="AB117" s="11">
        <v>0</v>
      </c>
      <c r="AC117" s="11">
        <v>1</v>
      </c>
      <c r="AD117" s="11" t="s">
        <v>5044</v>
      </c>
      <c r="AE117" s="11" t="s">
        <v>5044</v>
      </c>
      <c r="AF117" s="11" t="s">
        <v>5044</v>
      </c>
      <c r="AG117" s="11">
        <v>1</v>
      </c>
      <c r="AH117" s="11">
        <v>0</v>
      </c>
      <c r="AI117" s="11">
        <v>0</v>
      </c>
      <c r="AJ117" s="11" t="s">
        <v>5044</v>
      </c>
      <c r="AK117" s="11" t="s">
        <v>5318</v>
      </c>
      <c r="AL117" s="11">
        <v>1</v>
      </c>
      <c r="AM117" s="11">
        <v>0</v>
      </c>
      <c r="AN117" s="11" t="s">
        <v>5318</v>
      </c>
      <c r="AO117" s="9">
        <v>0</v>
      </c>
      <c r="AP117" s="11" t="s">
        <v>5318</v>
      </c>
      <c r="AQ117" s="11" t="s">
        <v>5318</v>
      </c>
    </row>
    <row r="118" spans="1:43" ht="63" customHeight="1" x14ac:dyDescent="0.2">
      <c r="A118" s="10">
        <v>1511</v>
      </c>
      <c r="B118" s="11" t="s">
        <v>6902</v>
      </c>
      <c r="C118" s="11" t="s">
        <v>463</v>
      </c>
      <c r="D118" s="11">
        <v>2017</v>
      </c>
      <c r="E118" s="11" t="s">
        <v>5318</v>
      </c>
      <c r="F118" s="11">
        <v>2</v>
      </c>
      <c r="G118" s="11">
        <v>1</v>
      </c>
      <c r="H118" s="11" t="s">
        <v>6807</v>
      </c>
      <c r="I118" s="11" t="s">
        <v>6516</v>
      </c>
      <c r="J118" s="11" t="s">
        <v>6903</v>
      </c>
      <c r="K118" s="11" t="s">
        <v>464</v>
      </c>
      <c r="L118" s="12" t="s">
        <v>5430</v>
      </c>
      <c r="M118" s="11">
        <v>0</v>
      </c>
      <c r="N118" s="9" t="s">
        <v>5044</v>
      </c>
      <c r="O118" s="9" t="s">
        <v>5044</v>
      </c>
      <c r="P118" s="11">
        <v>0</v>
      </c>
      <c r="Q118" s="11">
        <v>0</v>
      </c>
      <c r="R118" s="11">
        <v>0</v>
      </c>
      <c r="S118" s="11">
        <v>1</v>
      </c>
      <c r="T118" s="11">
        <v>1</v>
      </c>
      <c r="U118" s="11">
        <v>109</v>
      </c>
      <c r="V118" s="11">
        <v>0</v>
      </c>
      <c r="W118" s="11">
        <v>1</v>
      </c>
      <c r="X118" s="11">
        <v>0</v>
      </c>
      <c r="Y118" s="11">
        <v>0</v>
      </c>
      <c r="Z118" s="11">
        <v>0</v>
      </c>
      <c r="AA118" s="11">
        <v>0</v>
      </c>
      <c r="AB118" s="11">
        <v>1</v>
      </c>
      <c r="AC118" s="11">
        <v>1</v>
      </c>
      <c r="AD118" s="11" t="s">
        <v>5044</v>
      </c>
      <c r="AE118" s="11" t="s">
        <v>5044</v>
      </c>
      <c r="AF118" s="11" t="s">
        <v>5044</v>
      </c>
      <c r="AG118" s="11">
        <v>2</v>
      </c>
      <c r="AH118" s="11">
        <v>3</v>
      </c>
      <c r="AI118" s="11">
        <v>0</v>
      </c>
      <c r="AJ118" s="11" t="s">
        <v>5044</v>
      </c>
      <c r="AK118" s="11">
        <v>1</v>
      </c>
      <c r="AL118" s="11">
        <v>1</v>
      </c>
      <c r="AM118" s="11">
        <v>0</v>
      </c>
      <c r="AN118" s="11" t="s">
        <v>5463</v>
      </c>
      <c r="AO118" s="11">
        <v>3</v>
      </c>
      <c r="AP118" s="11" t="s">
        <v>5318</v>
      </c>
      <c r="AQ118" s="11" t="s">
        <v>5318</v>
      </c>
    </row>
    <row r="119" spans="1:43" ht="63" customHeight="1" x14ac:dyDescent="0.2">
      <c r="A119" s="10">
        <v>1521</v>
      </c>
      <c r="B119" s="11" t="s">
        <v>6904</v>
      </c>
      <c r="C119" s="11" t="s">
        <v>465</v>
      </c>
      <c r="D119" s="11">
        <v>2011</v>
      </c>
      <c r="E119" s="11" t="s">
        <v>468</v>
      </c>
      <c r="F119" s="11">
        <v>141</v>
      </c>
      <c r="G119" s="11">
        <v>3</v>
      </c>
      <c r="H119" s="11" t="s">
        <v>6905</v>
      </c>
      <c r="I119" s="11" t="s">
        <v>6516</v>
      </c>
      <c r="J119" s="11" t="s">
        <v>6906</v>
      </c>
      <c r="K119" s="11" t="s">
        <v>467</v>
      </c>
      <c r="L119" s="11" t="s">
        <v>5044</v>
      </c>
      <c r="M119" s="11">
        <v>0</v>
      </c>
      <c r="N119" s="9" t="s">
        <v>5044</v>
      </c>
      <c r="O119" s="9" t="s">
        <v>5044</v>
      </c>
      <c r="P119" s="11">
        <v>0</v>
      </c>
      <c r="Q119" s="11">
        <v>0</v>
      </c>
      <c r="R119" s="11">
        <v>0</v>
      </c>
      <c r="S119" s="11">
        <v>11</v>
      </c>
      <c r="T119" s="11">
        <v>1</v>
      </c>
      <c r="U119" s="11">
        <v>93</v>
      </c>
      <c r="V119" s="11">
        <v>0</v>
      </c>
      <c r="W119" s="11">
        <v>1</v>
      </c>
      <c r="X119" s="11">
        <v>0</v>
      </c>
      <c r="Y119" s="11">
        <v>0</v>
      </c>
      <c r="Z119" s="11">
        <v>0</v>
      </c>
      <c r="AA119" s="11">
        <v>0</v>
      </c>
      <c r="AB119" s="11">
        <v>0</v>
      </c>
      <c r="AC119" s="11">
        <v>1</v>
      </c>
      <c r="AD119" s="11" t="s">
        <v>5044</v>
      </c>
      <c r="AE119" s="11" t="s">
        <v>5044</v>
      </c>
      <c r="AF119" s="11" t="s">
        <v>5044</v>
      </c>
      <c r="AG119" s="11">
        <v>2</v>
      </c>
      <c r="AH119" s="11">
        <v>3</v>
      </c>
      <c r="AI119" s="11">
        <v>0</v>
      </c>
      <c r="AJ119" s="11" t="s">
        <v>5044</v>
      </c>
      <c r="AK119" s="11">
        <v>1</v>
      </c>
      <c r="AL119" s="11">
        <v>1</v>
      </c>
      <c r="AM119" s="11">
        <v>0</v>
      </c>
      <c r="AN119" s="11" t="s">
        <v>5318</v>
      </c>
      <c r="AO119" s="11">
        <v>3</v>
      </c>
      <c r="AP119" s="11" t="s">
        <v>5318</v>
      </c>
      <c r="AQ119" s="11" t="s">
        <v>5318</v>
      </c>
    </row>
    <row r="120" spans="1:43" ht="63" customHeight="1" x14ac:dyDescent="0.2">
      <c r="A120" s="10">
        <v>1522</v>
      </c>
      <c r="B120" s="11" t="s">
        <v>6907</v>
      </c>
      <c r="C120" s="11" t="s">
        <v>469</v>
      </c>
      <c r="D120" s="11">
        <v>2022</v>
      </c>
      <c r="E120" s="11" t="s">
        <v>5318</v>
      </c>
      <c r="F120" s="11">
        <v>109</v>
      </c>
      <c r="G120" s="11">
        <v>3</v>
      </c>
      <c r="H120" s="11" t="s">
        <v>6530</v>
      </c>
      <c r="I120" s="11" t="s">
        <v>6516</v>
      </c>
      <c r="J120" s="11" t="s">
        <v>6908</v>
      </c>
      <c r="K120" s="11" t="s">
        <v>471</v>
      </c>
      <c r="L120" s="12" t="s">
        <v>5431</v>
      </c>
      <c r="M120" s="11">
        <v>0</v>
      </c>
      <c r="N120" s="9" t="s">
        <v>5044</v>
      </c>
      <c r="O120" s="9" t="s">
        <v>5044</v>
      </c>
      <c r="P120" s="11">
        <v>0</v>
      </c>
      <c r="Q120" s="11">
        <v>0</v>
      </c>
      <c r="R120" s="11">
        <v>0</v>
      </c>
      <c r="S120" s="11">
        <v>1</v>
      </c>
      <c r="T120" s="11">
        <v>1</v>
      </c>
      <c r="U120" s="11">
        <v>504</v>
      </c>
      <c r="V120" s="11">
        <v>0</v>
      </c>
      <c r="W120" s="11">
        <v>1</v>
      </c>
      <c r="X120" s="11">
        <v>0</v>
      </c>
      <c r="Y120" s="11">
        <v>0</v>
      </c>
      <c r="Z120" s="11">
        <v>0</v>
      </c>
      <c r="AA120" s="11">
        <v>0</v>
      </c>
      <c r="AB120" s="11">
        <v>1</v>
      </c>
      <c r="AC120" s="11">
        <v>1</v>
      </c>
      <c r="AD120" s="11" t="s">
        <v>5044</v>
      </c>
      <c r="AE120" s="11" t="s">
        <v>5044</v>
      </c>
      <c r="AF120" s="11" t="s">
        <v>5044</v>
      </c>
      <c r="AG120" s="11">
        <v>2</v>
      </c>
      <c r="AH120" s="11">
        <v>3</v>
      </c>
      <c r="AI120" s="11">
        <v>0</v>
      </c>
      <c r="AJ120" s="11" t="s">
        <v>5044</v>
      </c>
      <c r="AK120" s="11" t="s">
        <v>5318</v>
      </c>
      <c r="AL120" s="11">
        <v>1</v>
      </c>
      <c r="AM120" s="11">
        <v>0</v>
      </c>
      <c r="AN120" s="11" t="s">
        <v>5318</v>
      </c>
      <c r="AO120" s="11">
        <v>3</v>
      </c>
      <c r="AP120" s="11" t="s">
        <v>5318</v>
      </c>
      <c r="AQ120" s="11" t="s">
        <v>5318</v>
      </c>
    </row>
    <row r="121" spans="1:43" ht="63" customHeight="1" x14ac:dyDescent="0.2">
      <c r="A121" s="10">
        <v>1544</v>
      </c>
      <c r="B121" s="11" t="s">
        <v>6909</v>
      </c>
      <c r="C121" s="11" t="s">
        <v>472</v>
      </c>
      <c r="D121" s="11">
        <v>2018</v>
      </c>
      <c r="E121" s="11" t="s">
        <v>5318</v>
      </c>
      <c r="F121" s="11">
        <v>36</v>
      </c>
      <c r="G121" s="11">
        <v>2</v>
      </c>
      <c r="H121" s="11" t="s">
        <v>6582</v>
      </c>
      <c r="I121" s="11" t="s">
        <v>6516</v>
      </c>
      <c r="J121" s="11" t="s">
        <v>6910</v>
      </c>
      <c r="K121" s="11" t="s">
        <v>473</v>
      </c>
      <c r="L121" s="11" t="s">
        <v>5044</v>
      </c>
      <c r="M121" s="11">
        <v>0</v>
      </c>
      <c r="N121" s="9" t="s">
        <v>5044</v>
      </c>
      <c r="O121" s="9" t="s">
        <v>5044</v>
      </c>
      <c r="P121" s="11">
        <v>0</v>
      </c>
      <c r="Q121" s="11">
        <v>0</v>
      </c>
      <c r="R121" s="11">
        <v>0</v>
      </c>
      <c r="S121" s="11">
        <v>3</v>
      </c>
      <c r="T121" s="11">
        <v>2</v>
      </c>
      <c r="U121" s="11">
        <v>120</v>
      </c>
      <c r="V121" s="11">
        <v>0</v>
      </c>
      <c r="W121" s="11">
        <v>1</v>
      </c>
      <c r="X121" s="11">
        <v>0</v>
      </c>
      <c r="Y121" s="11">
        <v>0</v>
      </c>
      <c r="Z121" s="11">
        <v>0</v>
      </c>
      <c r="AA121" s="11">
        <v>0</v>
      </c>
      <c r="AB121" s="11">
        <v>1</v>
      </c>
      <c r="AC121" s="11">
        <v>1</v>
      </c>
      <c r="AD121" s="11" t="s">
        <v>5044</v>
      </c>
      <c r="AE121" s="11" t="s">
        <v>5044</v>
      </c>
      <c r="AF121" s="11" t="s">
        <v>5044</v>
      </c>
      <c r="AG121" s="11">
        <v>2</v>
      </c>
      <c r="AH121" s="11">
        <v>2</v>
      </c>
      <c r="AI121" s="11">
        <v>1</v>
      </c>
      <c r="AJ121" s="11" t="s">
        <v>5044</v>
      </c>
      <c r="AK121" s="11" t="s">
        <v>5318</v>
      </c>
      <c r="AL121" s="11">
        <v>1</v>
      </c>
      <c r="AM121" s="11">
        <v>0</v>
      </c>
      <c r="AN121" s="11" t="s">
        <v>5318</v>
      </c>
      <c r="AO121" s="11">
        <v>2</v>
      </c>
      <c r="AP121" s="11" t="s">
        <v>5318</v>
      </c>
      <c r="AQ121" s="11" t="s">
        <v>5318</v>
      </c>
    </row>
    <row r="122" spans="1:43" ht="63" customHeight="1" x14ac:dyDescent="0.2">
      <c r="A122" s="10">
        <v>1575</v>
      </c>
      <c r="B122" s="11" t="s">
        <v>6911</v>
      </c>
      <c r="C122" s="11" t="s">
        <v>474</v>
      </c>
      <c r="D122" s="11">
        <v>2021</v>
      </c>
      <c r="E122" s="11" t="s">
        <v>5318</v>
      </c>
      <c r="F122" s="11">
        <v>2</v>
      </c>
      <c r="G122" s="11" t="s">
        <v>5318</v>
      </c>
      <c r="H122" s="11" t="s">
        <v>6533</v>
      </c>
      <c r="I122" s="11" t="s">
        <v>6516</v>
      </c>
      <c r="J122" s="11" t="s">
        <v>6912</v>
      </c>
      <c r="K122" s="11" t="s">
        <v>475</v>
      </c>
      <c r="L122" s="11" t="s">
        <v>5044</v>
      </c>
      <c r="M122" s="11">
        <v>0</v>
      </c>
      <c r="N122" s="9" t="s">
        <v>5044</v>
      </c>
      <c r="O122" s="9" t="s">
        <v>5044</v>
      </c>
      <c r="P122" s="11">
        <v>0</v>
      </c>
      <c r="Q122" s="11">
        <v>0</v>
      </c>
      <c r="R122" s="11">
        <v>0</v>
      </c>
      <c r="S122" s="11">
        <v>1</v>
      </c>
      <c r="T122" s="11">
        <v>1</v>
      </c>
      <c r="U122" s="11">
        <v>360</v>
      </c>
      <c r="V122" s="11">
        <v>0</v>
      </c>
      <c r="W122" s="11">
        <v>1</v>
      </c>
      <c r="X122" s="11">
        <v>0</v>
      </c>
      <c r="Y122" s="11">
        <v>0</v>
      </c>
      <c r="Z122" s="11">
        <v>0</v>
      </c>
      <c r="AA122" s="11">
        <v>0</v>
      </c>
      <c r="AB122" s="11">
        <v>1</v>
      </c>
      <c r="AC122" s="11">
        <v>1</v>
      </c>
      <c r="AD122" s="11" t="s">
        <v>5044</v>
      </c>
      <c r="AE122" s="11" t="s">
        <v>5044</v>
      </c>
      <c r="AF122" s="11" t="s">
        <v>5044</v>
      </c>
      <c r="AG122" s="11">
        <v>2</v>
      </c>
      <c r="AH122" s="11">
        <v>2</v>
      </c>
      <c r="AI122" s="11">
        <v>2</v>
      </c>
      <c r="AJ122" s="11" t="s">
        <v>5044</v>
      </c>
      <c r="AK122" s="11" t="s">
        <v>5318</v>
      </c>
      <c r="AL122" s="11">
        <v>0</v>
      </c>
      <c r="AM122" s="11">
        <v>0</v>
      </c>
      <c r="AN122" s="11" t="s">
        <v>5318</v>
      </c>
      <c r="AO122" s="11">
        <v>2</v>
      </c>
      <c r="AP122" s="11" t="s">
        <v>5318</v>
      </c>
      <c r="AQ122" s="11" t="s">
        <v>5318</v>
      </c>
    </row>
    <row r="123" spans="1:43" ht="63" customHeight="1" x14ac:dyDescent="0.2">
      <c r="A123" s="10">
        <v>1580</v>
      </c>
      <c r="B123" s="11" t="s">
        <v>6913</v>
      </c>
      <c r="C123" s="11" t="s">
        <v>476</v>
      </c>
      <c r="D123" s="11">
        <v>2016</v>
      </c>
      <c r="E123" s="11" t="s">
        <v>5318</v>
      </c>
      <c r="F123" s="11">
        <v>160</v>
      </c>
      <c r="G123" s="11">
        <v>1</v>
      </c>
      <c r="H123" s="11" t="s">
        <v>6553</v>
      </c>
      <c r="I123" s="11" t="s">
        <v>6516</v>
      </c>
      <c r="J123" s="11" t="s">
        <v>6914</v>
      </c>
      <c r="K123" s="11" t="s">
        <v>478</v>
      </c>
      <c r="L123" s="16" t="s">
        <v>5432</v>
      </c>
      <c r="M123" s="11">
        <v>0</v>
      </c>
      <c r="N123" s="9" t="s">
        <v>5044</v>
      </c>
      <c r="O123" s="9" t="s">
        <v>5044</v>
      </c>
      <c r="P123" s="11">
        <v>0</v>
      </c>
      <c r="Q123" s="11">
        <v>0</v>
      </c>
      <c r="R123" s="11">
        <v>0</v>
      </c>
      <c r="S123" s="11">
        <v>1</v>
      </c>
      <c r="T123" s="11">
        <v>4</v>
      </c>
      <c r="U123" s="11">
        <v>40</v>
      </c>
      <c r="V123" s="11">
        <v>0</v>
      </c>
      <c r="W123" s="11">
        <v>1</v>
      </c>
      <c r="X123" s="11">
        <v>0</v>
      </c>
      <c r="Y123" s="11">
        <v>0</v>
      </c>
      <c r="Z123" s="11">
        <v>0</v>
      </c>
      <c r="AA123" s="11">
        <v>0</v>
      </c>
      <c r="AB123" s="11">
        <v>1</v>
      </c>
      <c r="AC123" s="11">
        <v>1</v>
      </c>
      <c r="AD123" s="11" t="s">
        <v>5044</v>
      </c>
      <c r="AE123" s="11" t="s">
        <v>5044</v>
      </c>
      <c r="AF123" s="11" t="s">
        <v>5044</v>
      </c>
      <c r="AG123" s="11">
        <v>2</v>
      </c>
      <c r="AH123" s="11">
        <v>3</v>
      </c>
      <c r="AI123" s="11">
        <v>0</v>
      </c>
      <c r="AJ123" s="11" t="s">
        <v>5044</v>
      </c>
      <c r="AK123" s="11">
        <v>1</v>
      </c>
      <c r="AL123" s="11">
        <v>1</v>
      </c>
      <c r="AM123" s="11">
        <v>0</v>
      </c>
      <c r="AN123" s="11" t="s">
        <v>5318</v>
      </c>
      <c r="AO123" s="11">
        <v>3</v>
      </c>
      <c r="AP123" s="11" t="s">
        <v>5318</v>
      </c>
      <c r="AQ123" s="11" t="s">
        <v>5318</v>
      </c>
    </row>
    <row r="124" spans="1:43" ht="63" customHeight="1" x14ac:dyDescent="0.2">
      <c r="A124" s="10">
        <v>1608</v>
      </c>
      <c r="B124" s="11" t="s">
        <v>6915</v>
      </c>
      <c r="C124" s="11" t="s">
        <v>479</v>
      </c>
      <c r="D124" s="11">
        <v>2017</v>
      </c>
      <c r="E124" s="11" t="s">
        <v>5318</v>
      </c>
      <c r="F124" s="11">
        <v>161</v>
      </c>
      <c r="G124" s="11">
        <v>6</v>
      </c>
      <c r="H124" s="11" t="s">
        <v>6553</v>
      </c>
      <c r="I124" s="11" t="s">
        <v>6516</v>
      </c>
      <c r="J124" s="11" t="s">
        <v>6916</v>
      </c>
      <c r="K124" s="11" t="s">
        <v>480</v>
      </c>
      <c r="L124" s="12" t="s">
        <v>5433</v>
      </c>
      <c r="M124" s="11">
        <v>0</v>
      </c>
      <c r="N124" s="9" t="s">
        <v>5044</v>
      </c>
      <c r="O124" s="9" t="s">
        <v>5044</v>
      </c>
      <c r="P124" s="11">
        <v>0</v>
      </c>
      <c r="Q124" s="11">
        <v>0</v>
      </c>
      <c r="R124" s="11">
        <v>0</v>
      </c>
      <c r="S124" s="11">
        <v>1</v>
      </c>
      <c r="T124" s="11">
        <v>4</v>
      </c>
      <c r="U124" s="11">
        <v>90</v>
      </c>
      <c r="V124" s="11">
        <v>0</v>
      </c>
      <c r="W124" s="11">
        <v>1</v>
      </c>
      <c r="X124" s="11">
        <v>0</v>
      </c>
      <c r="Y124" s="11">
        <v>0</v>
      </c>
      <c r="Z124" s="11">
        <v>0</v>
      </c>
      <c r="AA124" s="11">
        <v>0</v>
      </c>
      <c r="AB124" s="11">
        <v>1</v>
      </c>
      <c r="AC124" s="11">
        <v>1</v>
      </c>
      <c r="AD124" s="11" t="s">
        <v>5044</v>
      </c>
      <c r="AE124" s="11" t="s">
        <v>5044</v>
      </c>
      <c r="AF124" s="11" t="s">
        <v>5044</v>
      </c>
      <c r="AG124" s="11">
        <v>2</v>
      </c>
      <c r="AH124" s="11">
        <v>1</v>
      </c>
      <c r="AI124" s="11">
        <v>2</v>
      </c>
      <c r="AJ124" s="11" t="s">
        <v>5044</v>
      </c>
      <c r="AK124" s="11" t="s">
        <v>5318</v>
      </c>
      <c r="AL124" s="11">
        <v>2</v>
      </c>
      <c r="AM124" s="11">
        <v>0</v>
      </c>
      <c r="AN124" s="11" t="s">
        <v>5318</v>
      </c>
      <c r="AO124" s="11">
        <v>1</v>
      </c>
      <c r="AP124" s="11" t="s">
        <v>5318</v>
      </c>
      <c r="AQ124" s="11" t="s">
        <v>5318</v>
      </c>
    </row>
    <row r="125" spans="1:43" ht="63" customHeight="1" x14ac:dyDescent="0.2">
      <c r="A125" s="10">
        <v>1614</v>
      </c>
      <c r="B125" s="11" t="s">
        <v>6917</v>
      </c>
      <c r="C125" s="11" t="s">
        <v>481</v>
      </c>
      <c r="D125" s="11">
        <v>2017</v>
      </c>
      <c r="E125" s="11" t="s">
        <v>5318</v>
      </c>
      <c r="F125" s="11">
        <v>104</v>
      </c>
      <c r="G125" s="11">
        <v>5</v>
      </c>
      <c r="H125" s="11" t="s">
        <v>6530</v>
      </c>
      <c r="I125" s="11" t="s">
        <v>6516</v>
      </c>
      <c r="J125" s="11" t="s">
        <v>6918</v>
      </c>
      <c r="K125" s="11" t="s">
        <v>482</v>
      </c>
      <c r="L125" s="12" t="s">
        <v>5434</v>
      </c>
      <c r="M125" s="11">
        <v>0</v>
      </c>
      <c r="N125" s="9" t="s">
        <v>5044</v>
      </c>
      <c r="O125" s="9" t="s">
        <v>5044</v>
      </c>
      <c r="P125" s="11">
        <v>0</v>
      </c>
      <c r="Q125" s="11">
        <v>0</v>
      </c>
      <c r="R125" s="11">
        <v>0</v>
      </c>
      <c r="S125" s="11">
        <v>1</v>
      </c>
      <c r="T125" s="11">
        <v>4</v>
      </c>
      <c r="U125" s="11">
        <v>80</v>
      </c>
      <c r="V125" s="11">
        <v>0</v>
      </c>
      <c r="W125" s="11">
        <v>1</v>
      </c>
      <c r="X125" s="11">
        <v>0</v>
      </c>
      <c r="Y125" s="11">
        <v>0</v>
      </c>
      <c r="Z125" s="11">
        <v>1</v>
      </c>
      <c r="AA125" s="11">
        <v>0</v>
      </c>
      <c r="AB125" s="11">
        <v>1</v>
      </c>
      <c r="AC125" s="11">
        <v>1</v>
      </c>
      <c r="AD125" s="11" t="s">
        <v>5044</v>
      </c>
      <c r="AE125" s="11" t="s">
        <v>5044</v>
      </c>
      <c r="AF125" s="11" t="s">
        <v>5044</v>
      </c>
      <c r="AG125" s="11">
        <v>2</v>
      </c>
      <c r="AH125" s="11">
        <v>3</v>
      </c>
      <c r="AI125" s="11">
        <v>0</v>
      </c>
      <c r="AJ125" s="11">
        <v>0</v>
      </c>
      <c r="AK125" s="11">
        <v>1</v>
      </c>
      <c r="AL125" s="11">
        <v>0</v>
      </c>
      <c r="AM125" s="11">
        <v>0</v>
      </c>
      <c r="AN125" s="11" t="s">
        <v>5318</v>
      </c>
      <c r="AO125" s="11">
        <v>3</v>
      </c>
      <c r="AP125" s="11" t="s">
        <v>5318</v>
      </c>
      <c r="AQ125" s="11" t="s">
        <v>5318</v>
      </c>
    </row>
    <row r="126" spans="1:43" ht="63" customHeight="1" x14ac:dyDescent="0.2">
      <c r="A126" s="10">
        <v>1620</v>
      </c>
      <c r="B126" s="11" t="s">
        <v>6919</v>
      </c>
      <c r="C126" s="11" t="s">
        <v>483</v>
      </c>
      <c r="D126" s="11">
        <v>2020</v>
      </c>
      <c r="E126" s="11" t="s">
        <v>5318</v>
      </c>
      <c r="F126" s="11">
        <v>68</v>
      </c>
      <c r="G126" s="11">
        <v>3</v>
      </c>
      <c r="H126" s="11" t="s">
        <v>6920</v>
      </c>
      <c r="I126" s="11" t="s">
        <v>6516</v>
      </c>
      <c r="J126" s="11" t="s">
        <v>6921</v>
      </c>
      <c r="K126" s="11" t="s">
        <v>484</v>
      </c>
      <c r="L126" s="12" t="s">
        <v>5435</v>
      </c>
      <c r="M126" s="11">
        <v>0</v>
      </c>
      <c r="N126" s="9" t="s">
        <v>5044</v>
      </c>
      <c r="O126" s="9" t="s">
        <v>5044</v>
      </c>
      <c r="P126" s="11">
        <v>0</v>
      </c>
      <c r="Q126" s="11">
        <v>0</v>
      </c>
      <c r="R126" s="11">
        <v>0</v>
      </c>
      <c r="S126" s="11">
        <v>7</v>
      </c>
      <c r="T126" s="11">
        <v>4</v>
      </c>
      <c r="U126" s="11">
        <v>46</v>
      </c>
      <c r="V126" s="11">
        <v>0</v>
      </c>
      <c r="W126" s="11">
        <v>1</v>
      </c>
      <c r="X126" s="11">
        <v>0</v>
      </c>
      <c r="Y126" s="11">
        <v>0</v>
      </c>
      <c r="Z126" s="11">
        <v>0</v>
      </c>
      <c r="AA126" s="11">
        <v>0</v>
      </c>
      <c r="AB126" s="11">
        <v>1</v>
      </c>
      <c r="AC126" s="11">
        <v>1</v>
      </c>
      <c r="AD126" s="11" t="s">
        <v>5044</v>
      </c>
      <c r="AE126" s="11" t="s">
        <v>5044</v>
      </c>
      <c r="AF126" s="11" t="s">
        <v>5044</v>
      </c>
      <c r="AG126" s="11">
        <v>2</v>
      </c>
      <c r="AH126" s="11">
        <v>1</v>
      </c>
      <c r="AI126" s="11">
        <v>2</v>
      </c>
      <c r="AJ126" s="11" t="s">
        <v>5044</v>
      </c>
      <c r="AK126" s="11" t="s">
        <v>5318</v>
      </c>
      <c r="AL126" s="11">
        <v>0</v>
      </c>
      <c r="AM126" s="11">
        <v>0</v>
      </c>
      <c r="AN126" s="11" t="s">
        <v>5318</v>
      </c>
      <c r="AO126" s="11">
        <v>1</v>
      </c>
      <c r="AP126" s="11" t="s">
        <v>5318</v>
      </c>
      <c r="AQ126" s="11" t="s">
        <v>5318</v>
      </c>
    </row>
    <row r="127" spans="1:43" ht="63" customHeight="1" x14ac:dyDescent="0.2">
      <c r="A127" s="10">
        <v>1633</v>
      </c>
      <c r="B127" s="11" t="s">
        <v>6922</v>
      </c>
      <c r="C127" s="11" t="s">
        <v>485</v>
      </c>
      <c r="D127" s="11">
        <v>2018</v>
      </c>
      <c r="E127" s="11" t="s">
        <v>5318</v>
      </c>
      <c r="F127" s="11">
        <v>218</v>
      </c>
      <c r="G127" s="11">
        <v>5</v>
      </c>
      <c r="H127" s="11" t="s">
        <v>6923</v>
      </c>
      <c r="I127" s="11" t="s">
        <v>6516</v>
      </c>
      <c r="J127" s="11" t="s">
        <v>6924</v>
      </c>
      <c r="K127" s="11" t="s">
        <v>487</v>
      </c>
      <c r="L127" s="16" t="s">
        <v>5436</v>
      </c>
      <c r="M127" s="11">
        <v>0</v>
      </c>
      <c r="N127" s="9" t="s">
        <v>5044</v>
      </c>
      <c r="O127" s="9" t="s">
        <v>5044</v>
      </c>
      <c r="P127" s="11">
        <v>0</v>
      </c>
      <c r="Q127" s="11">
        <v>0</v>
      </c>
      <c r="R127" s="11">
        <v>0</v>
      </c>
      <c r="S127" s="11">
        <v>5</v>
      </c>
      <c r="T127" s="11">
        <v>1</v>
      </c>
      <c r="U127" s="11">
        <v>1408</v>
      </c>
      <c r="V127" s="11">
        <v>0</v>
      </c>
      <c r="W127" s="11">
        <v>1</v>
      </c>
      <c r="X127" s="11">
        <v>0</v>
      </c>
      <c r="Y127" s="11">
        <v>0</v>
      </c>
      <c r="Z127" s="11">
        <v>0</v>
      </c>
      <c r="AA127" s="11">
        <v>0</v>
      </c>
      <c r="AB127" s="11">
        <v>1</v>
      </c>
      <c r="AC127" s="11">
        <v>0</v>
      </c>
      <c r="AD127" s="11" t="s">
        <v>5044</v>
      </c>
      <c r="AE127" s="11" t="s">
        <v>5044</v>
      </c>
      <c r="AF127" s="11" t="s">
        <v>5044</v>
      </c>
      <c r="AG127" s="11">
        <v>0</v>
      </c>
      <c r="AH127" s="11" t="s">
        <v>5044</v>
      </c>
      <c r="AI127" s="11" t="s">
        <v>5044</v>
      </c>
      <c r="AJ127" s="11" t="s">
        <v>5044</v>
      </c>
      <c r="AK127" s="11" t="s">
        <v>5318</v>
      </c>
      <c r="AL127" s="11">
        <v>1</v>
      </c>
      <c r="AM127" s="11">
        <v>0</v>
      </c>
      <c r="AN127" s="11" t="s">
        <v>5318</v>
      </c>
      <c r="AO127" s="11">
        <v>9</v>
      </c>
      <c r="AP127" s="11" t="s">
        <v>5318</v>
      </c>
      <c r="AQ127" s="11" t="s">
        <v>5318</v>
      </c>
    </row>
    <row r="128" spans="1:43" ht="63" customHeight="1" x14ac:dyDescent="0.2">
      <c r="A128" s="10">
        <v>1642</v>
      </c>
      <c r="B128" s="11" t="s">
        <v>6925</v>
      </c>
      <c r="C128" s="11" t="s">
        <v>488</v>
      </c>
      <c r="D128" s="11">
        <v>2011</v>
      </c>
      <c r="E128" s="11" t="s">
        <v>5318</v>
      </c>
      <c r="F128" s="11">
        <v>78</v>
      </c>
      <c r="G128" s="11">
        <v>3</v>
      </c>
      <c r="H128" s="11" t="s">
        <v>6926</v>
      </c>
      <c r="I128" s="11" t="s">
        <v>6516</v>
      </c>
      <c r="J128" s="11" t="s">
        <v>6927</v>
      </c>
      <c r="K128" s="11" t="s">
        <v>491</v>
      </c>
      <c r="L128" s="11" t="s">
        <v>5044</v>
      </c>
      <c r="M128" s="11">
        <v>0</v>
      </c>
      <c r="N128" s="9" t="s">
        <v>5044</v>
      </c>
      <c r="O128" s="9" t="s">
        <v>5044</v>
      </c>
      <c r="P128" s="11">
        <v>0</v>
      </c>
      <c r="Q128" s="11">
        <v>0</v>
      </c>
      <c r="R128" s="11">
        <v>0</v>
      </c>
      <c r="S128" s="11">
        <v>10</v>
      </c>
      <c r="T128" s="11">
        <v>4</v>
      </c>
      <c r="U128" s="11">
        <v>131</v>
      </c>
      <c r="V128" s="11">
        <v>1</v>
      </c>
      <c r="W128" s="11">
        <v>0</v>
      </c>
      <c r="X128" s="11">
        <v>0</v>
      </c>
      <c r="Y128" s="11">
        <v>0</v>
      </c>
      <c r="Z128" s="11">
        <v>0</v>
      </c>
      <c r="AA128" s="11">
        <v>0</v>
      </c>
      <c r="AB128" s="11">
        <v>1</v>
      </c>
      <c r="AC128" s="11">
        <v>1</v>
      </c>
      <c r="AD128" s="11">
        <v>1</v>
      </c>
      <c r="AE128" s="11">
        <v>0</v>
      </c>
      <c r="AF128" s="11">
        <v>0</v>
      </c>
      <c r="AG128" s="11" t="s">
        <v>5044</v>
      </c>
      <c r="AH128" s="11" t="s">
        <v>5044</v>
      </c>
      <c r="AI128" s="11" t="s">
        <v>5044</v>
      </c>
      <c r="AJ128" s="11" t="s">
        <v>5044</v>
      </c>
      <c r="AK128" s="11" t="s">
        <v>5318</v>
      </c>
      <c r="AL128" s="11">
        <v>0</v>
      </c>
      <c r="AM128" s="11">
        <v>0</v>
      </c>
      <c r="AN128" s="11" t="s">
        <v>5318</v>
      </c>
      <c r="AO128" s="9">
        <v>0</v>
      </c>
      <c r="AP128" s="11" t="s">
        <v>5318</v>
      </c>
      <c r="AQ128" s="11" t="s">
        <v>5318</v>
      </c>
    </row>
    <row r="129" spans="1:43" ht="63" customHeight="1" x14ac:dyDescent="0.2">
      <c r="A129" s="10">
        <v>1735</v>
      </c>
      <c r="B129" s="11" t="s">
        <v>6933</v>
      </c>
      <c r="C129" s="11" t="s">
        <v>496</v>
      </c>
      <c r="D129" s="11">
        <v>2018</v>
      </c>
      <c r="E129" s="11" t="s">
        <v>5318</v>
      </c>
      <c r="F129" s="11">
        <v>24</v>
      </c>
      <c r="G129" s="11">
        <v>4</v>
      </c>
      <c r="H129" s="11" t="s">
        <v>6934</v>
      </c>
      <c r="I129" s="11" t="s">
        <v>6516</v>
      </c>
      <c r="J129" s="11" t="s">
        <v>6935</v>
      </c>
      <c r="K129" s="11" t="s">
        <v>498</v>
      </c>
      <c r="L129" s="11" t="s">
        <v>5044</v>
      </c>
      <c r="M129" s="11">
        <v>0</v>
      </c>
      <c r="N129" s="9" t="s">
        <v>5044</v>
      </c>
      <c r="O129" s="9" t="s">
        <v>5044</v>
      </c>
      <c r="P129" s="11">
        <v>0</v>
      </c>
      <c r="Q129" s="11">
        <v>0</v>
      </c>
      <c r="R129" s="11">
        <v>0</v>
      </c>
      <c r="S129" s="11">
        <v>9</v>
      </c>
      <c r="T129" s="11">
        <v>2</v>
      </c>
      <c r="U129" s="11">
        <v>20</v>
      </c>
      <c r="V129" s="11">
        <v>0</v>
      </c>
      <c r="W129" s="11">
        <v>1</v>
      </c>
      <c r="X129" s="11">
        <v>0</v>
      </c>
      <c r="Y129" s="11">
        <v>0</v>
      </c>
      <c r="Z129" s="11">
        <v>0</v>
      </c>
      <c r="AA129" s="11">
        <v>0</v>
      </c>
      <c r="AB129" s="11">
        <v>1</v>
      </c>
      <c r="AC129" s="11">
        <v>1</v>
      </c>
      <c r="AD129" s="11" t="s">
        <v>5044</v>
      </c>
      <c r="AE129" s="11" t="s">
        <v>5044</v>
      </c>
      <c r="AF129" s="11" t="s">
        <v>5044</v>
      </c>
      <c r="AG129" s="11">
        <v>2</v>
      </c>
      <c r="AH129" s="11">
        <v>3</v>
      </c>
      <c r="AI129" s="11">
        <v>0</v>
      </c>
      <c r="AJ129" s="11" t="s">
        <v>5044</v>
      </c>
      <c r="AK129" s="11" t="s">
        <v>5318</v>
      </c>
      <c r="AL129" s="11">
        <v>0</v>
      </c>
      <c r="AM129" s="11">
        <v>0</v>
      </c>
      <c r="AN129" s="11" t="s">
        <v>5318</v>
      </c>
      <c r="AO129" s="11">
        <v>3</v>
      </c>
      <c r="AP129" s="11" t="s">
        <v>5318</v>
      </c>
      <c r="AQ129" s="11" t="s">
        <v>5318</v>
      </c>
    </row>
    <row r="130" spans="1:43" ht="63" customHeight="1" x14ac:dyDescent="0.2">
      <c r="A130" s="10">
        <v>1749</v>
      </c>
      <c r="B130" s="11" t="s">
        <v>6936</v>
      </c>
      <c r="C130" s="11" t="s">
        <v>499</v>
      </c>
      <c r="D130" s="11">
        <v>2019</v>
      </c>
      <c r="E130" s="11" t="s">
        <v>5318</v>
      </c>
      <c r="F130" s="11">
        <v>62</v>
      </c>
      <c r="G130" s="11">
        <v>8</v>
      </c>
      <c r="H130" s="11" t="s">
        <v>6598</v>
      </c>
      <c r="I130" s="11" t="s">
        <v>6516</v>
      </c>
      <c r="J130" s="11" t="s">
        <v>6937</v>
      </c>
      <c r="K130" s="11" t="s">
        <v>500</v>
      </c>
      <c r="L130" s="16" t="s">
        <v>5439</v>
      </c>
      <c r="M130" s="11">
        <v>0</v>
      </c>
      <c r="N130" s="9" t="s">
        <v>5044</v>
      </c>
      <c r="O130" s="9" t="s">
        <v>5044</v>
      </c>
      <c r="P130" s="11">
        <v>0</v>
      </c>
      <c r="Q130" s="11">
        <v>0</v>
      </c>
      <c r="R130" s="11">
        <v>0</v>
      </c>
      <c r="S130" s="11">
        <v>1</v>
      </c>
      <c r="T130" s="11">
        <v>1</v>
      </c>
      <c r="U130" s="11">
        <v>80</v>
      </c>
      <c r="V130" s="11">
        <v>0</v>
      </c>
      <c r="W130" s="11">
        <v>1</v>
      </c>
      <c r="X130" s="11">
        <v>0</v>
      </c>
      <c r="Y130" s="11">
        <v>0</v>
      </c>
      <c r="Z130" s="11">
        <v>0</v>
      </c>
      <c r="AA130" s="11">
        <v>0</v>
      </c>
      <c r="AB130" s="11">
        <v>1</v>
      </c>
      <c r="AC130" s="11">
        <v>1</v>
      </c>
      <c r="AD130" s="11" t="s">
        <v>5044</v>
      </c>
      <c r="AE130" s="11" t="s">
        <v>5044</v>
      </c>
      <c r="AF130" s="11" t="s">
        <v>5044</v>
      </c>
      <c r="AG130" s="11">
        <v>1</v>
      </c>
      <c r="AH130" s="11">
        <v>0</v>
      </c>
      <c r="AI130" s="11">
        <v>0</v>
      </c>
      <c r="AJ130" s="11" t="s">
        <v>5044</v>
      </c>
      <c r="AK130" s="11" t="s">
        <v>5318</v>
      </c>
      <c r="AL130" s="11">
        <v>1</v>
      </c>
      <c r="AM130" s="11">
        <v>0</v>
      </c>
      <c r="AN130" s="11" t="s">
        <v>5318</v>
      </c>
      <c r="AO130" s="9">
        <v>0</v>
      </c>
      <c r="AP130" s="11" t="s">
        <v>5318</v>
      </c>
      <c r="AQ130" s="11" t="s">
        <v>5318</v>
      </c>
    </row>
    <row r="131" spans="1:43" ht="63" customHeight="1" x14ac:dyDescent="0.2">
      <c r="A131" s="10">
        <v>1782</v>
      </c>
      <c r="B131" s="11" t="s">
        <v>6941</v>
      </c>
      <c r="C131" s="11" t="s">
        <v>504</v>
      </c>
      <c r="D131" s="11">
        <v>2016</v>
      </c>
      <c r="E131" s="11" t="s">
        <v>5318</v>
      </c>
      <c r="F131" s="11">
        <v>128</v>
      </c>
      <c r="G131" s="11">
        <v>4</v>
      </c>
      <c r="H131" s="11" t="s">
        <v>6831</v>
      </c>
      <c r="I131" s="11" t="s">
        <v>6878</v>
      </c>
      <c r="J131" s="11" t="s">
        <v>6942</v>
      </c>
      <c r="K131" s="11" t="s">
        <v>506</v>
      </c>
      <c r="L131" s="12" t="s">
        <v>5441</v>
      </c>
      <c r="M131" s="11">
        <v>0</v>
      </c>
      <c r="N131" s="9" t="s">
        <v>5044</v>
      </c>
      <c r="O131" s="9" t="s">
        <v>5044</v>
      </c>
      <c r="P131" s="11">
        <v>0</v>
      </c>
      <c r="Q131" s="11">
        <v>0</v>
      </c>
      <c r="R131" s="11">
        <v>0</v>
      </c>
      <c r="S131" s="11">
        <v>5</v>
      </c>
      <c r="T131" s="11">
        <v>2</v>
      </c>
      <c r="U131" s="11">
        <v>113</v>
      </c>
      <c r="V131" s="11">
        <v>0</v>
      </c>
      <c r="W131" s="11">
        <v>1</v>
      </c>
      <c r="X131" s="11">
        <v>0</v>
      </c>
      <c r="Y131" s="11">
        <v>0</v>
      </c>
      <c r="Z131" s="11">
        <v>0</v>
      </c>
      <c r="AA131" s="11">
        <v>0</v>
      </c>
      <c r="AB131" s="11">
        <v>1</v>
      </c>
      <c r="AC131" s="11">
        <v>1</v>
      </c>
      <c r="AD131" s="11" t="s">
        <v>5044</v>
      </c>
      <c r="AE131" s="11" t="s">
        <v>5044</v>
      </c>
      <c r="AF131" s="11" t="s">
        <v>5044</v>
      </c>
      <c r="AG131" s="11">
        <v>2</v>
      </c>
      <c r="AH131" s="11">
        <v>2</v>
      </c>
      <c r="AI131" s="11">
        <v>2</v>
      </c>
      <c r="AJ131" s="11" t="s">
        <v>5044</v>
      </c>
      <c r="AK131" s="11" t="s">
        <v>5318</v>
      </c>
      <c r="AL131" s="11">
        <v>0</v>
      </c>
      <c r="AM131" s="11">
        <v>0</v>
      </c>
      <c r="AN131" s="11" t="s">
        <v>5318</v>
      </c>
      <c r="AO131" s="11">
        <v>2</v>
      </c>
      <c r="AP131" s="11" t="s">
        <v>5318</v>
      </c>
      <c r="AQ131" s="11" t="s">
        <v>5318</v>
      </c>
    </row>
    <row r="132" spans="1:43" ht="63" customHeight="1" x14ac:dyDescent="0.2">
      <c r="A132" s="10">
        <v>1785</v>
      </c>
      <c r="B132" s="11" t="s">
        <v>6943</v>
      </c>
      <c r="C132" s="11" t="s">
        <v>507</v>
      </c>
      <c r="D132" s="11">
        <v>2021</v>
      </c>
      <c r="E132" s="11" t="s">
        <v>5318</v>
      </c>
      <c r="F132" s="11">
        <v>274</v>
      </c>
      <c r="G132" s="11">
        <v>6</v>
      </c>
      <c r="H132" s="11" t="s">
        <v>6533</v>
      </c>
      <c r="I132" s="11" t="s">
        <v>6516</v>
      </c>
      <c r="J132" s="11" t="s">
        <v>6944</v>
      </c>
      <c r="K132" s="11" t="s">
        <v>508</v>
      </c>
      <c r="L132" s="16" t="s">
        <v>5442</v>
      </c>
      <c r="M132" s="11">
        <v>0</v>
      </c>
      <c r="N132" s="9" t="s">
        <v>5044</v>
      </c>
      <c r="O132" s="9" t="s">
        <v>5044</v>
      </c>
      <c r="P132" s="11">
        <v>0</v>
      </c>
      <c r="Q132" s="11">
        <v>0</v>
      </c>
      <c r="R132" s="11">
        <v>0</v>
      </c>
      <c r="S132" s="11">
        <v>1</v>
      </c>
      <c r="T132" s="11">
        <v>4</v>
      </c>
      <c r="U132" s="11">
        <v>212</v>
      </c>
      <c r="V132" s="11">
        <v>0</v>
      </c>
      <c r="W132" s="11">
        <v>1</v>
      </c>
      <c r="X132" s="11">
        <v>0</v>
      </c>
      <c r="Y132" s="11">
        <v>0</v>
      </c>
      <c r="Z132" s="11">
        <v>0</v>
      </c>
      <c r="AA132" s="11">
        <v>0</v>
      </c>
      <c r="AB132" s="11">
        <v>1</v>
      </c>
      <c r="AC132" s="11">
        <v>0</v>
      </c>
      <c r="AD132" s="11" t="s">
        <v>5044</v>
      </c>
      <c r="AE132" s="11" t="s">
        <v>5044</v>
      </c>
      <c r="AF132" s="11" t="s">
        <v>5044</v>
      </c>
      <c r="AG132" s="11">
        <v>0</v>
      </c>
      <c r="AH132" s="11" t="s">
        <v>5044</v>
      </c>
      <c r="AI132" s="11" t="s">
        <v>5044</v>
      </c>
      <c r="AJ132" s="11" t="s">
        <v>5044</v>
      </c>
      <c r="AK132" s="11" t="s">
        <v>5318</v>
      </c>
      <c r="AL132" s="11">
        <v>0</v>
      </c>
      <c r="AM132" s="11">
        <v>0</v>
      </c>
      <c r="AN132" s="11" t="s">
        <v>5318</v>
      </c>
      <c r="AO132" s="11">
        <v>9</v>
      </c>
      <c r="AP132" s="11" t="s">
        <v>5318</v>
      </c>
      <c r="AQ132" s="11" t="s">
        <v>5318</v>
      </c>
    </row>
    <row r="133" spans="1:43" ht="63" customHeight="1" x14ac:dyDescent="0.2">
      <c r="A133" s="10">
        <v>1801</v>
      </c>
      <c r="B133" s="11" t="s">
        <v>6945</v>
      </c>
      <c r="C133" s="11" t="s">
        <v>509</v>
      </c>
      <c r="D133" s="11">
        <v>2014</v>
      </c>
      <c r="E133" s="11" t="s">
        <v>5318</v>
      </c>
      <c r="F133" s="11">
        <v>38</v>
      </c>
      <c r="G133" s="11">
        <v>9</v>
      </c>
      <c r="H133" s="11" t="s">
        <v>6745</v>
      </c>
      <c r="I133" s="11" t="s">
        <v>6516</v>
      </c>
      <c r="J133" s="11" t="s">
        <v>6946</v>
      </c>
      <c r="K133" s="11" t="s">
        <v>510</v>
      </c>
      <c r="L133" s="12" t="s">
        <v>5443</v>
      </c>
      <c r="M133" s="11">
        <v>0</v>
      </c>
      <c r="N133" s="9" t="s">
        <v>5044</v>
      </c>
      <c r="O133" s="9" t="s">
        <v>5044</v>
      </c>
      <c r="P133" s="11">
        <v>0</v>
      </c>
      <c r="Q133" s="11">
        <v>0</v>
      </c>
      <c r="R133" s="11">
        <v>0</v>
      </c>
      <c r="S133" s="11">
        <v>1</v>
      </c>
      <c r="T133" s="11">
        <v>3</v>
      </c>
      <c r="U133" s="11">
        <v>42</v>
      </c>
      <c r="V133" s="11">
        <v>0</v>
      </c>
      <c r="W133" s="11">
        <v>1</v>
      </c>
      <c r="X133" s="11">
        <v>0</v>
      </c>
      <c r="Y133" s="11">
        <v>0</v>
      </c>
      <c r="Z133" s="11">
        <v>0</v>
      </c>
      <c r="AA133" s="11">
        <v>0</v>
      </c>
      <c r="AB133" s="11">
        <v>1</v>
      </c>
      <c r="AC133" s="11">
        <v>1</v>
      </c>
      <c r="AD133" s="11" t="s">
        <v>5044</v>
      </c>
      <c r="AE133" s="11" t="s">
        <v>5044</v>
      </c>
      <c r="AF133" s="11" t="s">
        <v>5044</v>
      </c>
      <c r="AG133" s="11">
        <v>2</v>
      </c>
      <c r="AH133" s="11">
        <v>2</v>
      </c>
      <c r="AI133" s="11">
        <v>2</v>
      </c>
      <c r="AJ133" s="11" t="s">
        <v>5044</v>
      </c>
      <c r="AK133" s="11" t="s">
        <v>5318</v>
      </c>
      <c r="AL133" s="11" t="s">
        <v>5044</v>
      </c>
      <c r="AM133" s="11">
        <v>0</v>
      </c>
      <c r="AN133" s="11" t="s">
        <v>5105</v>
      </c>
      <c r="AO133" s="11">
        <v>2</v>
      </c>
      <c r="AP133" s="11" t="s">
        <v>5318</v>
      </c>
      <c r="AQ133" s="11" t="s">
        <v>5318</v>
      </c>
    </row>
    <row r="134" spans="1:43" ht="63" customHeight="1" x14ac:dyDescent="0.2">
      <c r="A134" s="10">
        <v>1810</v>
      </c>
      <c r="B134" s="11" t="s">
        <v>6949</v>
      </c>
      <c r="C134" s="11" t="s">
        <v>514</v>
      </c>
      <c r="D134" s="11">
        <v>2023</v>
      </c>
      <c r="E134" s="11" t="s">
        <v>5318</v>
      </c>
      <c r="F134" s="11" t="s">
        <v>5318</v>
      </c>
      <c r="G134" s="11" t="s">
        <v>5318</v>
      </c>
      <c r="H134" s="11" t="s">
        <v>6482</v>
      </c>
      <c r="I134" s="11" t="s">
        <v>6516</v>
      </c>
      <c r="J134" s="11" t="s">
        <v>6950</v>
      </c>
      <c r="K134" s="11" t="s">
        <v>515</v>
      </c>
      <c r="L134" s="12" t="s">
        <v>5444</v>
      </c>
      <c r="M134" s="11">
        <v>0</v>
      </c>
      <c r="N134" s="9" t="s">
        <v>5044</v>
      </c>
      <c r="O134" s="9" t="s">
        <v>5044</v>
      </c>
      <c r="P134" s="11">
        <v>0</v>
      </c>
      <c r="Q134" s="11">
        <v>0</v>
      </c>
      <c r="R134" s="11">
        <v>0</v>
      </c>
      <c r="S134" s="11">
        <v>9</v>
      </c>
      <c r="T134" s="11">
        <v>1</v>
      </c>
      <c r="U134" s="11">
        <v>84</v>
      </c>
      <c r="V134" s="11">
        <v>0</v>
      </c>
      <c r="W134" s="11">
        <v>1</v>
      </c>
      <c r="X134" s="11">
        <v>0</v>
      </c>
      <c r="Y134" s="11">
        <v>0</v>
      </c>
      <c r="Z134" s="11">
        <v>1</v>
      </c>
      <c r="AA134" s="11">
        <v>0</v>
      </c>
      <c r="AB134" s="11">
        <v>1</v>
      </c>
      <c r="AC134" s="11">
        <v>1</v>
      </c>
      <c r="AD134" s="11" t="s">
        <v>5044</v>
      </c>
      <c r="AE134" s="11" t="s">
        <v>5044</v>
      </c>
      <c r="AF134" s="11" t="s">
        <v>5044</v>
      </c>
      <c r="AG134" s="11">
        <v>0</v>
      </c>
      <c r="AH134" s="11" t="s">
        <v>5044</v>
      </c>
      <c r="AI134" s="11" t="s">
        <v>5044</v>
      </c>
      <c r="AJ134" s="11">
        <v>0</v>
      </c>
      <c r="AK134" s="11" t="s">
        <v>5465</v>
      </c>
      <c r="AL134" s="11">
        <v>1</v>
      </c>
      <c r="AM134" s="11">
        <v>0</v>
      </c>
      <c r="AN134" s="11" t="s">
        <v>5466</v>
      </c>
      <c r="AO134" s="11">
        <v>9</v>
      </c>
      <c r="AP134" s="11" t="s">
        <v>5318</v>
      </c>
      <c r="AQ134" s="11" t="s">
        <v>5318</v>
      </c>
    </row>
    <row r="135" spans="1:43" ht="63" customHeight="1" x14ac:dyDescent="0.2">
      <c r="A135" s="10">
        <v>1821</v>
      </c>
      <c r="B135" s="11" t="s">
        <v>6951</v>
      </c>
      <c r="C135" s="11" t="s">
        <v>516</v>
      </c>
      <c r="D135" s="11">
        <v>2013</v>
      </c>
      <c r="E135" s="11" t="s">
        <v>5318</v>
      </c>
      <c r="F135" s="11">
        <v>14</v>
      </c>
      <c r="G135" s="11">
        <v>7</v>
      </c>
      <c r="H135" s="11" t="s">
        <v>6687</v>
      </c>
      <c r="I135" s="11" t="s">
        <v>6516</v>
      </c>
      <c r="J135" s="11" t="s">
        <v>6952</v>
      </c>
      <c r="K135" s="11" t="s">
        <v>517</v>
      </c>
      <c r="L135" s="16" t="s">
        <v>5445</v>
      </c>
      <c r="M135" s="11">
        <v>0</v>
      </c>
      <c r="N135" s="9" t="s">
        <v>5044</v>
      </c>
      <c r="O135" s="9" t="s">
        <v>5044</v>
      </c>
      <c r="P135" s="11">
        <v>0</v>
      </c>
      <c r="Q135" s="11">
        <v>0</v>
      </c>
      <c r="R135" s="11">
        <v>0</v>
      </c>
      <c r="S135" s="11">
        <v>1</v>
      </c>
      <c r="T135" s="11">
        <v>1</v>
      </c>
      <c r="U135" s="11">
        <v>329</v>
      </c>
      <c r="V135" s="11">
        <v>0</v>
      </c>
      <c r="W135" s="11">
        <v>1</v>
      </c>
      <c r="X135" s="11">
        <v>0</v>
      </c>
      <c r="Y135" s="11">
        <v>0</v>
      </c>
      <c r="Z135" s="11">
        <v>0</v>
      </c>
      <c r="AA135" s="11">
        <v>0</v>
      </c>
      <c r="AB135" s="11">
        <v>1</v>
      </c>
      <c r="AC135" s="11">
        <v>1</v>
      </c>
      <c r="AD135" s="11" t="s">
        <v>5044</v>
      </c>
      <c r="AE135" s="11" t="s">
        <v>5044</v>
      </c>
      <c r="AF135" s="11" t="s">
        <v>5044</v>
      </c>
      <c r="AG135" s="11">
        <v>2</v>
      </c>
      <c r="AH135" s="11">
        <v>2</v>
      </c>
      <c r="AI135" s="11">
        <v>2</v>
      </c>
      <c r="AJ135" s="11" t="s">
        <v>5044</v>
      </c>
      <c r="AK135" s="11" t="s">
        <v>5318</v>
      </c>
      <c r="AL135" s="11">
        <v>1</v>
      </c>
      <c r="AM135" s="11">
        <v>0</v>
      </c>
      <c r="AN135" s="11" t="s">
        <v>5318</v>
      </c>
      <c r="AO135" s="11">
        <v>2</v>
      </c>
      <c r="AP135" s="11" t="s">
        <v>5318</v>
      </c>
      <c r="AQ135" s="11" t="s">
        <v>5318</v>
      </c>
    </row>
    <row r="136" spans="1:43" ht="63" customHeight="1" x14ac:dyDescent="0.2">
      <c r="A136" s="10">
        <v>1833</v>
      </c>
      <c r="B136" s="11" t="s">
        <v>6958</v>
      </c>
      <c r="C136" s="11" t="s">
        <v>523</v>
      </c>
      <c r="D136" s="11">
        <v>2016</v>
      </c>
      <c r="E136" s="11" t="s">
        <v>5318</v>
      </c>
      <c r="F136" s="11">
        <v>117</v>
      </c>
      <c r="G136" s="11">
        <v>3</v>
      </c>
      <c r="H136" s="11" t="s">
        <v>6454</v>
      </c>
      <c r="I136" s="11" t="s">
        <v>6516</v>
      </c>
      <c r="J136" s="11" t="s">
        <v>6959</v>
      </c>
      <c r="K136" s="11" t="s">
        <v>525</v>
      </c>
      <c r="L136" s="12" t="s">
        <v>5447</v>
      </c>
      <c r="M136" s="11">
        <v>0</v>
      </c>
      <c r="N136" s="9" t="s">
        <v>5044</v>
      </c>
      <c r="O136" s="9" t="s">
        <v>5044</v>
      </c>
      <c r="P136" s="11">
        <v>0</v>
      </c>
      <c r="Q136" s="11">
        <v>0</v>
      </c>
      <c r="R136" s="11">
        <v>0</v>
      </c>
      <c r="S136" s="11" t="s">
        <v>5728</v>
      </c>
      <c r="T136" s="11">
        <v>1</v>
      </c>
      <c r="U136" s="11">
        <v>122</v>
      </c>
      <c r="V136" s="11">
        <v>1</v>
      </c>
      <c r="W136" s="11">
        <v>1</v>
      </c>
      <c r="X136" s="11">
        <v>0</v>
      </c>
      <c r="Y136" s="11">
        <v>0</v>
      </c>
      <c r="Z136" s="11">
        <v>0</v>
      </c>
      <c r="AA136" s="11">
        <v>0</v>
      </c>
      <c r="AB136" s="11">
        <v>1</v>
      </c>
      <c r="AC136" s="11">
        <v>1</v>
      </c>
      <c r="AD136" s="11">
        <v>2</v>
      </c>
      <c r="AE136" s="11">
        <v>1</v>
      </c>
      <c r="AF136" s="11">
        <v>1</v>
      </c>
      <c r="AG136" s="11">
        <v>0</v>
      </c>
      <c r="AH136" s="11" t="s">
        <v>5044</v>
      </c>
      <c r="AI136" s="11" t="s">
        <v>5044</v>
      </c>
      <c r="AJ136" s="11" t="s">
        <v>5044</v>
      </c>
      <c r="AK136" s="11" t="s">
        <v>5318</v>
      </c>
      <c r="AL136" s="11">
        <v>1</v>
      </c>
      <c r="AM136" s="11">
        <v>0</v>
      </c>
      <c r="AN136" s="11" t="s">
        <v>5318</v>
      </c>
      <c r="AO136" s="11">
        <v>1</v>
      </c>
      <c r="AP136" s="11" t="s">
        <v>5318</v>
      </c>
      <c r="AQ136" s="11" t="s">
        <v>5318</v>
      </c>
    </row>
    <row r="137" spans="1:43" ht="63" customHeight="1" x14ac:dyDescent="0.2">
      <c r="A137" s="10">
        <v>1849</v>
      </c>
      <c r="B137" s="11" t="s">
        <v>6963</v>
      </c>
      <c r="C137" s="11" t="s">
        <v>528</v>
      </c>
      <c r="D137" s="11">
        <v>2021</v>
      </c>
      <c r="E137" s="11" t="s">
        <v>530</v>
      </c>
      <c r="F137" s="11">
        <v>24</v>
      </c>
      <c r="G137" s="11">
        <v>1</v>
      </c>
      <c r="H137" s="11" t="s">
        <v>6883</v>
      </c>
      <c r="I137" s="11" t="s">
        <v>6516</v>
      </c>
      <c r="J137" s="11" t="s">
        <v>6964</v>
      </c>
      <c r="K137" s="11" t="s">
        <v>529</v>
      </c>
      <c r="L137" s="12" t="s">
        <v>5448</v>
      </c>
      <c r="M137" s="11">
        <v>0</v>
      </c>
      <c r="N137" s="9" t="s">
        <v>5044</v>
      </c>
      <c r="O137" s="9" t="s">
        <v>5044</v>
      </c>
      <c r="P137" s="11">
        <v>0</v>
      </c>
      <c r="Q137" s="11">
        <v>0</v>
      </c>
      <c r="R137" s="11">
        <v>1</v>
      </c>
      <c r="S137" s="11">
        <v>1</v>
      </c>
      <c r="T137" s="11">
        <v>4</v>
      </c>
      <c r="U137" s="11">
        <v>1191</v>
      </c>
      <c r="V137" s="11">
        <v>1</v>
      </c>
      <c r="W137" s="11">
        <v>0</v>
      </c>
      <c r="X137" s="11">
        <v>0</v>
      </c>
      <c r="Y137" s="11">
        <v>0</v>
      </c>
      <c r="Z137" s="11">
        <v>0</v>
      </c>
      <c r="AA137" s="11">
        <v>0</v>
      </c>
      <c r="AB137" s="11">
        <v>1</v>
      </c>
      <c r="AC137" s="11">
        <v>1</v>
      </c>
      <c r="AD137" s="11">
        <v>1</v>
      </c>
      <c r="AE137" s="11">
        <v>0</v>
      </c>
      <c r="AF137" s="11">
        <v>0</v>
      </c>
      <c r="AG137" s="11" t="s">
        <v>5044</v>
      </c>
      <c r="AH137" s="11" t="s">
        <v>5044</v>
      </c>
      <c r="AI137" s="11" t="s">
        <v>5044</v>
      </c>
      <c r="AJ137" s="11" t="s">
        <v>5044</v>
      </c>
      <c r="AK137" s="11" t="s">
        <v>5318</v>
      </c>
      <c r="AL137" s="11" t="s">
        <v>5044</v>
      </c>
      <c r="AM137" s="11">
        <v>0</v>
      </c>
      <c r="AN137" s="11" t="s">
        <v>6492</v>
      </c>
      <c r="AO137" s="9">
        <v>0</v>
      </c>
      <c r="AP137" s="11" t="s">
        <v>5318</v>
      </c>
      <c r="AQ137" s="11" t="s">
        <v>5318</v>
      </c>
    </row>
    <row r="138" spans="1:43" ht="63" customHeight="1" x14ac:dyDescent="0.2">
      <c r="A138" s="10">
        <v>1860</v>
      </c>
      <c r="B138" s="11" t="s">
        <v>6965</v>
      </c>
      <c r="C138" s="11" t="s">
        <v>531</v>
      </c>
      <c r="D138" s="11">
        <v>2022</v>
      </c>
      <c r="E138" s="11" t="s">
        <v>5318</v>
      </c>
      <c r="F138" s="11">
        <v>276</v>
      </c>
      <c r="G138" s="11">
        <v>1</v>
      </c>
      <c r="H138" s="11" t="s">
        <v>6533</v>
      </c>
      <c r="I138" s="11" t="s">
        <v>6516</v>
      </c>
      <c r="J138" s="11" t="s">
        <v>6966</v>
      </c>
      <c r="K138" s="11" t="s">
        <v>533</v>
      </c>
      <c r="L138" s="16" t="s">
        <v>5449</v>
      </c>
      <c r="M138" s="11">
        <v>0</v>
      </c>
      <c r="N138" s="9" t="s">
        <v>5044</v>
      </c>
      <c r="O138" s="9" t="s">
        <v>5044</v>
      </c>
      <c r="P138" s="11">
        <v>0</v>
      </c>
      <c r="Q138" s="11">
        <v>0</v>
      </c>
      <c r="R138" s="11">
        <v>0</v>
      </c>
      <c r="S138" s="11">
        <v>5</v>
      </c>
      <c r="T138" s="11">
        <v>1</v>
      </c>
      <c r="U138" s="11">
        <v>80</v>
      </c>
      <c r="V138" s="11">
        <v>1</v>
      </c>
      <c r="W138" s="11">
        <v>0</v>
      </c>
      <c r="X138" s="11">
        <v>0</v>
      </c>
      <c r="Y138" s="11">
        <v>0</v>
      </c>
      <c r="Z138" s="11">
        <v>0</v>
      </c>
      <c r="AA138" s="11">
        <v>0</v>
      </c>
      <c r="AB138" s="11">
        <v>1</v>
      </c>
      <c r="AC138" s="11">
        <v>1</v>
      </c>
      <c r="AD138" s="11">
        <v>2</v>
      </c>
      <c r="AE138" s="11">
        <v>3</v>
      </c>
      <c r="AF138" s="11">
        <v>0</v>
      </c>
      <c r="AG138" s="11" t="s">
        <v>5044</v>
      </c>
      <c r="AH138" s="11" t="s">
        <v>5044</v>
      </c>
      <c r="AI138" s="11" t="s">
        <v>5044</v>
      </c>
      <c r="AJ138" s="11" t="s">
        <v>5044</v>
      </c>
      <c r="AK138" s="11" t="s">
        <v>5318</v>
      </c>
      <c r="AL138" s="11">
        <v>0</v>
      </c>
      <c r="AM138" s="11">
        <v>0</v>
      </c>
      <c r="AN138" s="11" t="s">
        <v>5467</v>
      </c>
      <c r="AO138" s="11">
        <v>3</v>
      </c>
      <c r="AP138" s="11" t="s">
        <v>5318</v>
      </c>
      <c r="AQ138" s="11" t="s">
        <v>5318</v>
      </c>
    </row>
    <row r="139" spans="1:43" ht="63" customHeight="1" x14ac:dyDescent="0.2">
      <c r="A139" s="10">
        <v>1881</v>
      </c>
      <c r="B139" s="11" t="s">
        <v>6967</v>
      </c>
      <c r="C139" s="11" t="s">
        <v>534</v>
      </c>
      <c r="D139" s="11">
        <v>2009</v>
      </c>
      <c r="E139" s="11" t="s">
        <v>5318</v>
      </c>
      <c r="F139" s="11">
        <v>13</v>
      </c>
      <c r="G139" s="11">
        <v>5</v>
      </c>
      <c r="H139" s="11" t="s">
        <v>6725</v>
      </c>
      <c r="I139" s="11" t="s">
        <v>6516</v>
      </c>
      <c r="J139" s="11" t="s">
        <v>6968</v>
      </c>
      <c r="K139" s="11" t="s">
        <v>536</v>
      </c>
      <c r="L139" s="11" t="s">
        <v>5044</v>
      </c>
      <c r="M139" s="11">
        <v>0</v>
      </c>
      <c r="N139" s="9" t="s">
        <v>5044</v>
      </c>
      <c r="O139" s="9" t="s">
        <v>5044</v>
      </c>
      <c r="P139" s="11">
        <v>0</v>
      </c>
      <c r="Q139" s="11">
        <v>0</v>
      </c>
      <c r="R139" s="11">
        <v>0</v>
      </c>
      <c r="S139" s="11">
        <v>1</v>
      </c>
      <c r="T139" s="11">
        <v>4</v>
      </c>
      <c r="U139" s="11">
        <v>247</v>
      </c>
      <c r="V139" s="11">
        <v>0</v>
      </c>
      <c r="W139" s="11">
        <v>1</v>
      </c>
      <c r="X139" s="11">
        <v>0</v>
      </c>
      <c r="Y139" s="11">
        <v>0</v>
      </c>
      <c r="Z139" s="11">
        <v>0</v>
      </c>
      <c r="AA139" s="11">
        <v>0</v>
      </c>
      <c r="AB139" s="11">
        <v>1</v>
      </c>
      <c r="AC139" s="11">
        <v>1</v>
      </c>
      <c r="AD139" s="11" t="s">
        <v>5044</v>
      </c>
      <c r="AE139" s="11" t="s">
        <v>5044</v>
      </c>
      <c r="AF139" s="11" t="s">
        <v>5044</v>
      </c>
      <c r="AG139" s="11">
        <v>1</v>
      </c>
      <c r="AH139" s="11">
        <v>0</v>
      </c>
      <c r="AI139" s="11">
        <v>0</v>
      </c>
      <c r="AJ139" s="11" t="s">
        <v>5044</v>
      </c>
      <c r="AK139" s="11" t="s">
        <v>5318</v>
      </c>
      <c r="AL139" s="11">
        <v>1</v>
      </c>
      <c r="AM139" s="11">
        <v>0</v>
      </c>
      <c r="AN139" s="11" t="s">
        <v>5318</v>
      </c>
      <c r="AO139" s="9">
        <v>0</v>
      </c>
      <c r="AP139" s="11" t="s">
        <v>5318</v>
      </c>
      <c r="AQ139" s="11" t="s">
        <v>5318</v>
      </c>
    </row>
    <row r="140" spans="1:43" ht="63" customHeight="1" x14ac:dyDescent="0.2">
      <c r="A140" s="10">
        <v>1888</v>
      </c>
      <c r="B140" s="11" t="s">
        <v>6969</v>
      </c>
      <c r="C140" s="11" t="s">
        <v>537</v>
      </c>
      <c r="D140" s="11">
        <v>2022</v>
      </c>
      <c r="E140" s="11" t="s">
        <v>5318</v>
      </c>
      <c r="F140" s="11">
        <v>275</v>
      </c>
      <c r="G140" s="11">
        <v>1</v>
      </c>
      <c r="H140" s="11" t="s">
        <v>6533</v>
      </c>
      <c r="I140" s="11" t="s">
        <v>6516</v>
      </c>
      <c r="J140" s="11" t="s">
        <v>6970</v>
      </c>
      <c r="K140" s="11" t="s">
        <v>538</v>
      </c>
      <c r="L140" s="12" t="s">
        <v>5450</v>
      </c>
      <c r="M140" s="11">
        <v>0</v>
      </c>
      <c r="N140" s="9" t="s">
        <v>5044</v>
      </c>
      <c r="O140" s="9" t="s">
        <v>5044</v>
      </c>
      <c r="P140" s="11">
        <v>0</v>
      </c>
      <c r="Q140" s="11">
        <v>0</v>
      </c>
      <c r="R140" s="11">
        <v>0</v>
      </c>
      <c r="S140" s="11">
        <v>1</v>
      </c>
      <c r="T140" s="11">
        <v>4</v>
      </c>
      <c r="U140" s="11">
        <v>400</v>
      </c>
      <c r="V140" s="11">
        <v>0</v>
      </c>
      <c r="W140" s="11">
        <v>1</v>
      </c>
      <c r="X140" s="11">
        <v>0</v>
      </c>
      <c r="Y140" s="11">
        <v>0</v>
      </c>
      <c r="Z140" s="11">
        <v>0</v>
      </c>
      <c r="AA140" s="11">
        <v>0</v>
      </c>
      <c r="AB140" s="11">
        <v>1</v>
      </c>
      <c r="AC140" s="11">
        <v>1</v>
      </c>
      <c r="AD140" s="11" t="s">
        <v>5044</v>
      </c>
      <c r="AE140" s="11" t="s">
        <v>5044</v>
      </c>
      <c r="AF140" s="11" t="s">
        <v>5044</v>
      </c>
      <c r="AG140" s="11">
        <v>2</v>
      </c>
      <c r="AH140" s="11">
        <v>3</v>
      </c>
      <c r="AI140" s="11">
        <v>0</v>
      </c>
      <c r="AJ140" s="11" t="s">
        <v>5044</v>
      </c>
      <c r="AK140" s="11">
        <v>1</v>
      </c>
      <c r="AL140" s="11" t="s">
        <v>5044</v>
      </c>
      <c r="AM140" s="11">
        <v>0</v>
      </c>
      <c r="AN140" s="11" t="s">
        <v>5105</v>
      </c>
      <c r="AO140" s="11">
        <v>3</v>
      </c>
      <c r="AP140" s="11" t="s">
        <v>5318</v>
      </c>
      <c r="AQ140" s="11" t="s">
        <v>5318</v>
      </c>
    </row>
    <row r="141" spans="1:43" ht="63" customHeight="1" x14ac:dyDescent="0.2">
      <c r="A141" s="10">
        <v>1894</v>
      </c>
      <c r="B141" s="11" t="s">
        <v>6971</v>
      </c>
      <c r="C141" s="11" t="s">
        <v>539</v>
      </c>
      <c r="D141" s="11">
        <v>2017</v>
      </c>
      <c r="E141" s="11" t="s">
        <v>5318</v>
      </c>
      <c r="F141" s="11">
        <v>51</v>
      </c>
      <c r="G141" s="11">
        <v>4</v>
      </c>
      <c r="H141" s="11" t="s">
        <v>6972</v>
      </c>
      <c r="I141" s="11" t="s">
        <v>6516</v>
      </c>
      <c r="J141" s="11" t="s">
        <v>6973</v>
      </c>
      <c r="K141" s="11" t="s">
        <v>541</v>
      </c>
      <c r="L141" s="12" t="s">
        <v>5451</v>
      </c>
      <c r="M141" s="11">
        <v>0</v>
      </c>
      <c r="N141" s="9" t="s">
        <v>5044</v>
      </c>
      <c r="O141" s="9" t="s">
        <v>5044</v>
      </c>
      <c r="P141" s="11">
        <v>0</v>
      </c>
      <c r="Q141" s="11">
        <v>0</v>
      </c>
      <c r="R141" s="11">
        <v>0</v>
      </c>
      <c r="S141" s="11">
        <v>3</v>
      </c>
      <c r="T141" s="11">
        <v>1</v>
      </c>
      <c r="U141" s="11">
        <v>135</v>
      </c>
      <c r="V141" s="11">
        <v>0</v>
      </c>
      <c r="W141" s="11">
        <v>1</v>
      </c>
      <c r="X141" s="11">
        <v>0</v>
      </c>
      <c r="Y141" s="11">
        <v>0</v>
      </c>
      <c r="Z141" s="11">
        <v>0</v>
      </c>
      <c r="AA141" s="11">
        <v>0</v>
      </c>
      <c r="AB141" s="11">
        <v>1</v>
      </c>
      <c r="AC141" s="11">
        <v>1</v>
      </c>
      <c r="AD141" s="11" t="s">
        <v>5044</v>
      </c>
      <c r="AE141" s="11" t="s">
        <v>5044</v>
      </c>
      <c r="AF141" s="11" t="s">
        <v>5044</v>
      </c>
      <c r="AG141" s="11">
        <v>2</v>
      </c>
      <c r="AH141" s="11">
        <v>3</v>
      </c>
      <c r="AI141" s="11">
        <v>0</v>
      </c>
      <c r="AJ141" s="11" t="s">
        <v>5044</v>
      </c>
      <c r="AK141" s="11">
        <v>1</v>
      </c>
      <c r="AL141" s="11" t="s">
        <v>5044</v>
      </c>
      <c r="AM141" s="11">
        <v>0</v>
      </c>
      <c r="AN141" s="11" t="s">
        <v>5105</v>
      </c>
      <c r="AO141" s="11">
        <v>3</v>
      </c>
      <c r="AP141" s="11" t="s">
        <v>5318</v>
      </c>
      <c r="AQ141" s="11" t="s">
        <v>5318</v>
      </c>
    </row>
    <row r="142" spans="1:43" ht="63" customHeight="1" x14ac:dyDescent="0.2">
      <c r="A142" s="10">
        <v>1895</v>
      </c>
      <c r="B142" s="11" t="s">
        <v>6974</v>
      </c>
      <c r="C142" s="11" t="s">
        <v>542</v>
      </c>
      <c r="D142" s="11">
        <v>2016</v>
      </c>
      <c r="E142" s="11" t="s">
        <v>5318</v>
      </c>
      <c r="F142" s="11">
        <v>164</v>
      </c>
      <c r="G142" s="11">
        <v>3</v>
      </c>
      <c r="H142" s="11" t="s">
        <v>6975</v>
      </c>
      <c r="I142" s="11" t="s">
        <v>6516</v>
      </c>
      <c r="J142" s="11" t="s">
        <v>6976</v>
      </c>
      <c r="K142" s="11" t="s">
        <v>544</v>
      </c>
      <c r="L142" s="12" t="s">
        <v>5179</v>
      </c>
      <c r="M142" s="11">
        <v>0</v>
      </c>
      <c r="N142" s="9" t="s">
        <v>5044</v>
      </c>
      <c r="O142" s="9" t="s">
        <v>5044</v>
      </c>
      <c r="P142" s="11">
        <v>0</v>
      </c>
      <c r="Q142" s="11">
        <v>0</v>
      </c>
      <c r="R142" s="11">
        <v>0</v>
      </c>
      <c r="S142" s="11">
        <v>1</v>
      </c>
      <c r="T142" s="11">
        <v>1</v>
      </c>
      <c r="U142" s="11">
        <v>83</v>
      </c>
      <c r="V142" s="11">
        <v>0</v>
      </c>
      <c r="W142" s="11">
        <v>1</v>
      </c>
      <c r="X142" s="11">
        <v>0</v>
      </c>
      <c r="Y142" s="11">
        <v>0</v>
      </c>
      <c r="Z142" s="11">
        <v>0</v>
      </c>
      <c r="AA142" s="11">
        <v>0</v>
      </c>
      <c r="AB142" s="11">
        <v>1</v>
      </c>
      <c r="AC142" s="11">
        <v>1</v>
      </c>
      <c r="AD142" s="11" t="s">
        <v>5044</v>
      </c>
      <c r="AE142" s="11" t="s">
        <v>5044</v>
      </c>
      <c r="AF142" s="11" t="s">
        <v>5044</v>
      </c>
      <c r="AG142" s="11">
        <v>2</v>
      </c>
      <c r="AH142" s="11">
        <v>3</v>
      </c>
      <c r="AI142" s="11">
        <v>0</v>
      </c>
      <c r="AJ142" s="11" t="s">
        <v>5044</v>
      </c>
      <c r="AK142" s="11">
        <v>2</v>
      </c>
      <c r="AL142" s="11">
        <v>1</v>
      </c>
      <c r="AM142" s="11">
        <v>0</v>
      </c>
      <c r="AN142" s="11" t="s">
        <v>5318</v>
      </c>
      <c r="AO142" s="11">
        <v>3</v>
      </c>
      <c r="AP142" s="11" t="s">
        <v>5318</v>
      </c>
      <c r="AQ142" s="11" t="s">
        <v>5318</v>
      </c>
    </row>
    <row r="143" spans="1:43" ht="63" customHeight="1" x14ac:dyDescent="0.2">
      <c r="A143" s="10">
        <v>1900</v>
      </c>
      <c r="B143" s="11" t="s">
        <v>6977</v>
      </c>
      <c r="C143" s="11" t="s">
        <v>545</v>
      </c>
      <c r="D143" s="11">
        <v>2019</v>
      </c>
      <c r="E143" s="11" t="s">
        <v>5318</v>
      </c>
      <c r="F143" s="11">
        <v>30</v>
      </c>
      <c r="G143" s="11">
        <v>10</v>
      </c>
      <c r="H143" s="11" t="s">
        <v>6568</v>
      </c>
      <c r="I143" s="11" t="s">
        <v>6516</v>
      </c>
      <c r="J143" s="11" t="s">
        <v>6978</v>
      </c>
      <c r="K143" s="11" t="s">
        <v>546</v>
      </c>
      <c r="L143" s="16" t="s">
        <v>5452</v>
      </c>
      <c r="M143" s="11">
        <v>0</v>
      </c>
      <c r="N143" s="9" t="s">
        <v>5044</v>
      </c>
      <c r="O143" s="9" t="s">
        <v>5044</v>
      </c>
      <c r="P143" s="11">
        <v>0</v>
      </c>
      <c r="Q143" s="11">
        <v>0</v>
      </c>
      <c r="R143" s="11">
        <v>0</v>
      </c>
      <c r="S143" s="11">
        <v>5</v>
      </c>
      <c r="T143" s="11">
        <v>2</v>
      </c>
      <c r="U143" s="11">
        <v>103</v>
      </c>
      <c r="V143" s="11">
        <v>0</v>
      </c>
      <c r="W143" s="11">
        <v>1</v>
      </c>
      <c r="X143" s="11">
        <v>0</v>
      </c>
      <c r="Y143" s="11">
        <v>0</v>
      </c>
      <c r="Z143" s="11">
        <v>0</v>
      </c>
      <c r="AA143" s="11">
        <v>0</v>
      </c>
      <c r="AB143" s="11">
        <v>1</v>
      </c>
      <c r="AC143" s="11">
        <v>1</v>
      </c>
      <c r="AD143" s="11" t="s">
        <v>5044</v>
      </c>
      <c r="AE143" s="11" t="s">
        <v>5044</v>
      </c>
      <c r="AF143" s="11" t="s">
        <v>5044</v>
      </c>
      <c r="AG143" s="11">
        <v>0</v>
      </c>
      <c r="AH143" s="11" t="s">
        <v>5044</v>
      </c>
      <c r="AI143" s="11" t="s">
        <v>5044</v>
      </c>
      <c r="AJ143" s="11" t="s">
        <v>5044</v>
      </c>
      <c r="AK143" s="11" t="s">
        <v>5318</v>
      </c>
      <c r="AL143" s="11">
        <v>1</v>
      </c>
      <c r="AM143" s="11">
        <v>0</v>
      </c>
      <c r="AN143" s="11" t="s">
        <v>5318</v>
      </c>
      <c r="AO143" s="11">
        <v>9</v>
      </c>
      <c r="AP143" s="11" t="s">
        <v>5318</v>
      </c>
      <c r="AQ143" s="11" t="s">
        <v>5318</v>
      </c>
    </row>
    <row r="144" spans="1:43" ht="63" customHeight="1" x14ac:dyDescent="0.2">
      <c r="A144" s="10">
        <v>1924</v>
      </c>
      <c r="B144" s="11" t="s">
        <v>6980</v>
      </c>
      <c r="C144" s="11" t="s">
        <v>549</v>
      </c>
      <c r="D144" s="11">
        <v>2019</v>
      </c>
      <c r="E144" s="11" t="s">
        <v>5318</v>
      </c>
      <c r="F144" s="11">
        <v>38</v>
      </c>
      <c r="G144" s="11">
        <v>1</v>
      </c>
      <c r="H144" s="11" t="s">
        <v>6592</v>
      </c>
      <c r="I144" s="11" t="s">
        <v>6516</v>
      </c>
      <c r="J144" s="11" t="s">
        <v>6981</v>
      </c>
      <c r="K144" s="11" t="s">
        <v>550</v>
      </c>
      <c r="L144" s="12" t="s">
        <v>5454</v>
      </c>
      <c r="M144" s="11">
        <v>0</v>
      </c>
      <c r="N144" s="9" t="s">
        <v>5044</v>
      </c>
      <c r="O144" s="9" t="s">
        <v>5044</v>
      </c>
      <c r="P144" s="11">
        <v>0</v>
      </c>
      <c r="Q144" s="11">
        <v>0</v>
      </c>
      <c r="R144" s="11">
        <v>0</v>
      </c>
      <c r="S144" s="11">
        <v>1</v>
      </c>
      <c r="T144" s="11">
        <v>1</v>
      </c>
      <c r="U144" s="11">
        <v>32</v>
      </c>
      <c r="V144" s="11">
        <v>0</v>
      </c>
      <c r="W144" s="11">
        <v>1</v>
      </c>
      <c r="X144" s="11">
        <v>0</v>
      </c>
      <c r="Y144" s="11">
        <v>0</v>
      </c>
      <c r="Z144" s="11">
        <v>0</v>
      </c>
      <c r="AA144" s="11">
        <v>0</v>
      </c>
      <c r="AB144" s="11">
        <v>1</v>
      </c>
      <c r="AC144" s="11">
        <v>1</v>
      </c>
      <c r="AD144" s="11" t="s">
        <v>5044</v>
      </c>
      <c r="AE144" s="11" t="s">
        <v>5044</v>
      </c>
      <c r="AF144" s="11" t="s">
        <v>5044</v>
      </c>
      <c r="AG144" s="11">
        <v>1</v>
      </c>
      <c r="AH144" s="11">
        <v>0</v>
      </c>
      <c r="AI144" s="11">
        <v>0</v>
      </c>
      <c r="AJ144" s="11" t="s">
        <v>5044</v>
      </c>
      <c r="AK144" s="11" t="s">
        <v>5318</v>
      </c>
      <c r="AL144" s="11">
        <v>1</v>
      </c>
      <c r="AM144" s="11">
        <v>0</v>
      </c>
      <c r="AN144" s="11" t="s">
        <v>5318</v>
      </c>
      <c r="AO144" s="9">
        <v>0</v>
      </c>
      <c r="AP144" s="11" t="s">
        <v>5318</v>
      </c>
      <c r="AQ144" s="11" t="s">
        <v>5318</v>
      </c>
    </row>
    <row r="145" spans="1:43" ht="63" customHeight="1" x14ac:dyDescent="0.2">
      <c r="A145" s="10">
        <v>1926</v>
      </c>
      <c r="B145" s="11" t="s">
        <v>6982</v>
      </c>
      <c r="C145" s="11" t="s">
        <v>551</v>
      </c>
      <c r="D145" s="11">
        <v>2021</v>
      </c>
      <c r="E145" s="11" t="s">
        <v>5318</v>
      </c>
      <c r="F145" s="11">
        <v>5</v>
      </c>
      <c r="G145" s="11">
        <v>3</v>
      </c>
      <c r="H145" s="11" t="s">
        <v>6839</v>
      </c>
      <c r="I145" s="11" t="s">
        <v>6516</v>
      </c>
      <c r="J145" s="11" t="s">
        <v>6983</v>
      </c>
      <c r="K145" s="11" t="s">
        <v>552</v>
      </c>
      <c r="L145" s="16" t="s">
        <v>5455</v>
      </c>
      <c r="M145" s="11">
        <v>0</v>
      </c>
      <c r="N145" s="9" t="s">
        <v>5044</v>
      </c>
      <c r="O145" s="9" t="s">
        <v>5044</v>
      </c>
      <c r="P145" s="11">
        <v>0</v>
      </c>
      <c r="Q145" s="11">
        <v>0</v>
      </c>
      <c r="R145" s="11">
        <v>1</v>
      </c>
      <c r="S145" s="11">
        <v>1</v>
      </c>
      <c r="T145" s="11">
        <v>1</v>
      </c>
      <c r="U145" s="11">
        <v>186</v>
      </c>
      <c r="V145" s="11">
        <v>1</v>
      </c>
      <c r="W145" s="11">
        <v>0</v>
      </c>
      <c r="X145" s="11">
        <v>0</v>
      </c>
      <c r="Y145" s="11">
        <v>0</v>
      </c>
      <c r="Z145" s="11">
        <v>0</v>
      </c>
      <c r="AA145" s="11">
        <v>0</v>
      </c>
      <c r="AB145" s="11">
        <v>1</v>
      </c>
      <c r="AC145" s="11">
        <v>1</v>
      </c>
      <c r="AD145" s="11">
        <v>2</v>
      </c>
      <c r="AE145" s="11">
        <v>3</v>
      </c>
      <c r="AF145" s="11">
        <v>0</v>
      </c>
      <c r="AG145" s="11" t="s">
        <v>5044</v>
      </c>
      <c r="AH145" s="11" t="s">
        <v>5044</v>
      </c>
      <c r="AI145" s="11" t="s">
        <v>5044</v>
      </c>
      <c r="AJ145" s="11" t="s">
        <v>5044</v>
      </c>
      <c r="AK145" s="11">
        <v>1</v>
      </c>
      <c r="AL145" s="11">
        <v>1</v>
      </c>
      <c r="AM145" s="11">
        <v>0</v>
      </c>
      <c r="AN145" s="11" t="s">
        <v>5254</v>
      </c>
      <c r="AO145" s="11">
        <v>3</v>
      </c>
      <c r="AP145" s="11" t="s">
        <v>5318</v>
      </c>
      <c r="AQ145" s="11" t="s">
        <v>5318</v>
      </c>
    </row>
    <row r="146" spans="1:43" ht="63" customHeight="1" x14ac:dyDescent="0.2">
      <c r="A146" s="10">
        <v>1930</v>
      </c>
      <c r="B146" s="11" t="s">
        <v>6984</v>
      </c>
      <c r="C146" s="11" t="s">
        <v>553</v>
      </c>
      <c r="D146" s="11">
        <v>2023</v>
      </c>
      <c r="E146" s="11" t="s">
        <v>5318</v>
      </c>
      <c r="F146" s="11">
        <v>167</v>
      </c>
      <c r="G146" s="11">
        <v>2</v>
      </c>
      <c r="H146" s="11" t="s">
        <v>6985</v>
      </c>
      <c r="I146" s="11" t="s">
        <v>6516</v>
      </c>
      <c r="J146" s="11" t="s">
        <v>6986</v>
      </c>
      <c r="K146" s="11" t="s">
        <v>554</v>
      </c>
      <c r="L146" s="16" t="s">
        <v>5456</v>
      </c>
      <c r="M146" s="11">
        <v>0</v>
      </c>
      <c r="N146" s="9" t="s">
        <v>5044</v>
      </c>
      <c r="O146" s="9" t="s">
        <v>5044</v>
      </c>
      <c r="P146" s="11">
        <v>0</v>
      </c>
      <c r="Q146" s="11">
        <v>0</v>
      </c>
      <c r="R146" s="11">
        <v>0</v>
      </c>
      <c r="S146" s="11">
        <v>1</v>
      </c>
      <c r="T146" s="11">
        <v>1</v>
      </c>
      <c r="U146" s="11">
        <v>123</v>
      </c>
      <c r="V146" s="11">
        <v>0</v>
      </c>
      <c r="W146" s="11">
        <v>1</v>
      </c>
      <c r="X146" s="11">
        <v>0</v>
      </c>
      <c r="Y146" s="11">
        <v>0</v>
      </c>
      <c r="Z146" s="11">
        <v>0</v>
      </c>
      <c r="AA146" s="11">
        <v>0</v>
      </c>
      <c r="AB146" s="11">
        <v>1</v>
      </c>
      <c r="AC146" s="11">
        <v>1</v>
      </c>
      <c r="AD146" s="11" t="s">
        <v>5044</v>
      </c>
      <c r="AE146" s="11" t="s">
        <v>5044</v>
      </c>
      <c r="AF146" s="11" t="s">
        <v>5044</v>
      </c>
      <c r="AG146" s="11">
        <v>2</v>
      </c>
      <c r="AH146" s="11">
        <v>3</v>
      </c>
      <c r="AI146" s="11">
        <v>0</v>
      </c>
      <c r="AJ146" s="11" t="s">
        <v>5044</v>
      </c>
      <c r="AK146" s="11">
        <v>1</v>
      </c>
      <c r="AL146" s="11">
        <v>0</v>
      </c>
      <c r="AM146" s="11">
        <v>0</v>
      </c>
      <c r="AN146" s="11" t="s">
        <v>5318</v>
      </c>
      <c r="AO146" s="11">
        <v>3</v>
      </c>
      <c r="AP146" s="11" t="s">
        <v>5318</v>
      </c>
      <c r="AQ146" s="11" t="s">
        <v>5318</v>
      </c>
    </row>
    <row r="147" spans="1:43" ht="63" customHeight="1" x14ac:dyDescent="0.2">
      <c r="A147" s="10">
        <v>1949</v>
      </c>
      <c r="B147" s="11" t="s">
        <v>6987</v>
      </c>
      <c r="C147" s="11" t="s">
        <v>555</v>
      </c>
      <c r="D147" s="11">
        <v>2020</v>
      </c>
      <c r="E147" s="11" t="s">
        <v>5318</v>
      </c>
      <c r="F147" s="11">
        <v>69</v>
      </c>
      <c r="G147" s="11">
        <v>6</v>
      </c>
      <c r="H147" s="11" t="s">
        <v>6988</v>
      </c>
      <c r="I147" s="11" t="s">
        <v>6516</v>
      </c>
      <c r="J147" s="11" t="s">
        <v>6989</v>
      </c>
      <c r="K147" s="11" t="s">
        <v>558</v>
      </c>
      <c r="L147" s="16" t="s">
        <v>5457</v>
      </c>
      <c r="M147" s="11">
        <v>0</v>
      </c>
      <c r="N147" s="9" t="s">
        <v>5044</v>
      </c>
      <c r="O147" s="9" t="s">
        <v>5044</v>
      </c>
      <c r="P147" s="11">
        <v>0</v>
      </c>
      <c r="Q147" s="11">
        <v>0</v>
      </c>
      <c r="R147" s="11">
        <v>0</v>
      </c>
      <c r="S147" s="11">
        <v>1</v>
      </c>
      <c r="T147" s="11">
        <v>4</v>
      </c>
      <c r="U147" s="11">
        <v>80</v>
      </c>
      <c r="V147" s="11">
        <v>0</v>
      </c>
      <c r="W147" s="11">
        <v>1</v>
      </c>
      <c r="X147" s="11">
        <v>0</v>
      </c>
      <c r="Y147" s="11">
        <v>0</v>
      </c>
      <c r="Z147" s="11">
        <v>0</v>
      </c>
      <c r="AA147" s="11">
        <v>0</v>
      </c>
      <c r="AB147" s="11">
        <v>1</v>
      </c>
      <c r="AC147" s="11">
        <v>1</v>
      </c>
      <c r="AD147" s="11" t="s">
        <v>5044</v>
      </c>
      <c r="AE147" s="11" t="s">
        <v>5044</v>
      </c>
      <c r="AF147" s="11" t="s">
        <v>5044</v>
      </c>
      <c r="AG147" s="11">
        <v>2</v>
      </c>
      <c r="AH147" s="11">
        <v>3</v>
      </c>
      <c r="AI147" s="11">
        <v>0</v>
      </c>
      <c r="AJ147" s="11" t="s">
        <v>5044</v>
      </c>
      <c r="AK147" s="11">
        <v>1</v>
      </c>
      <c r="AL147" s="11">
        <v>1</v>
      </c>
      <c r="AM147" s="11">
        <v>0</v>
      </c>
      <c r="AN147" s="11" t="s">
        <v>5318</v>
      </c>
      <c r="AO147" s="11">
        <v>3</v>
      </c>
      <c r="AP147" s="11" t="s">
        <v>5318</v>
      </c>
      <c r="AQ147" s="11" t="s">
        <v>5318</v>
      </c>
    </row>
    <row r="148" spans="1:43" ht="63" customHeight="1" x14ac:dyDescent="0.2">
      <c r="A148" s="10">
        <v>1952</v>
      </c>
      <c r="B148" s="11" t="s">
        <v>6990</v>
      </c>
      <c r="C148" s="11" t="s">
        <v>559</v>
      </c>
      <c r="D148" s="11">
        <v>2022</v>
      </c>
      <c r="E148" s="11" t="s">
        <v>5318</v>
      </c>
      <c r="F148" s="11">
        <v>11</v>
      </c>
      <c r="G148" s="11">
        <v>2</v>
      </c>
      <c r="H148" s="11" t="s">
        <v>6991</v>
      </c>
      <c r="I148" s="11" t="s">
        <v>6516</v>
      </c>
      <c r="J148" s="11" t="s">
        <v>6992</v>
      </c>
      <c r="K148" s="11" t="s">
        <v>560</v>
      </c>
      <c r="L148" s="12" t="s">
        <v>5458</v>
      </c>
      <c r="M148" s="11">
        <v>0</v>
      </c>
      <c r="N148" s="9" t="s">
        <v>5044</v>
      </c>
      <c r="O148" s="9" t="s">
        <v>5044</v>
      </c>
      <c r="P148" s="11">
        <v>0</v>
      </c>
      <c r="Q148" s="11">
        <v>0</v>
      </c>
      <c r="R148" s="11">
        <v>0</v>
      </c>
      <c r="S148" s="11">
        <v>1</v>
      </c>
      <c r="T148" s="11">
        <v>4</v>
      </c>
      <c r="U148" s="11">
        <v>120</v>
      </c>
      <c r="V148" s="11">
        <v>1</v>
      </c>
      <c r="W148" s="11">
        <v>0</v>
      </c>
      <c r="X148" s="11">
        <v>0</v>
      </c>
      <c r="Y148" s="11">
        <v>0</v>
      </c>
      <c r="Z148" s="11">
        <v>0</v>
      </c>
      <c r="AA148" s="11">
        <v>0</v>
      </c>
      <c r="AB148" s="11">
        <v>1</v>
      </c>
      <c r="AC148" s="11">
        <v>1</v>
      </c>
      <c r="AD148" s="11">
        <v>2</v>
      </c>
      <c r="AE148" s="11">
        <v>3</v>
      </c>
      <c r="AF148" s="11">
        <v>0</v>
      </c>
      <c r="AG148" s="11" t="s">
        <v>5044</v>
      </c>
      <c r="AH148" s="11" t="s">
        <v>5044</v>
      </c>
      <c r="AI148" s="11" t="s">
        <v>5044</v>
      </c>
      <c r="AJ148" s="11" t="s">
        <v>5044</v>
      </c>
      <c r="AK148" s="11">
        <v>1</v>
      </c>
      <c r="AL148" s="11">
        <v>1</v>
      </c>
      <c r="AM148" s="11">
        <v>0</v>
      </c>
      <c r="AN148" s="11" t="s">
        <v>5318</v>
      </c>
      <c r="AO148" s="11">
        <v>3</v>
      </c>
      <c r="AP148" s="11" t="s">
        <v>5318</v>
      </c>
      <c r="AQ148" s="11" t="s">
        <v>5318</v>
      </c>
    </row>
    <row r="149" spans="1:43" ht="63" customHeight="1" x14ac:dyDescent="0.2">
      <c r="A149" s="10">
        <v>1954</v>
      </c>
      <c r="B149" s="11" t="s">
        <v>6993</v>
      </c>
      <c r="C149" s="11" t="s">
        <v>561</v>
      </c>
      <c r="D149" s="11">
        <v>2022</v>
      </c>
      <c r="E149" s="11" t="s">
        <v>5318</v>
      </c>
      <c r="F149" s="11">
        <v>11</v>
      </c>
      <c r="G149" s="11" t="s">
        <v>5318</v>
      </c>
      <c r="H149" s="11" t="s">
        <v>6604</v>
      </c>
      <c r="I149" s="11" t="s">
        <v>6516</v>
      </c>
      <c r="J149" s="11" t="s">
        <v>6994</v>
      </c>
      <c r="K149" s="11" t="s">
        <v>562</v>
      </c>
      <c r="L149" s="12" t="s">
        <v>5459</v>
      </c>
      <c r="M149" s="11">
        <v>0</v>
      </c>
      <c r="N149" s="9" t="s">
        <v>5044</v>
      </c>
      <c r="O149" s="9" t="s">
        <v>5044</v>
      </c>
      <c r="P149" s="11">
        <v>0</v>
      </c>
      <c r="Q149" s="11">
        <v>0</v>
      </c>
      <c r="R149" s="11">
        <v>0</v>
      </c>
      <c r="S149" s="11">
        <v>10</v>
      </c>
      <c r="T149" s="11">
        <v>4</v>
      </c>
      <c r="U149" s="11">
        <v>84</v>
      </c>
      <c r="V149" s="11">
        <v>0</v>
      </c>
      <c r="W149" s="11">
        <v>1</v>
      </c>
      <c r="X149" s="11">
        <v>0</v>
      </c>
      <c r="Y149" s="11">
        <v>0</v>
      </c>
      <c r="Z149" s="11">
        <v>0</v>
      </c>
      <c r="AA149" s="11">
        <v>0</v>
      </c>
      <c r="AB149" s="11">
        <v>1</v>
      </c>
      <c r="AC149" s="11">
        <v>1</v>
      </c>
      <c r="AD149" s="11" t="s">
        <v>5044</v>
      </c>
      <c r="AE149" s="11" t="s">
        <v>5044</v>
      </c>
      <c r="AF149" s="11" t="s">
        <v>5044</v>
      </c>
      <c r="AG149" s="11">
        <v>2</v>
      </c>
      <c r="AH149" s="11">
        <v>2</v>
      </c>
      <c r="AI149" s="11" t="s">
        <v>5044</v>
      </c>
      <c r="AJ149" s="11" t="s">
        <v>5044</v>
      </c>
      <c r="AK149" s="11" t="s">
        <v>5318</v>
      </c>
      <c r="AL149" s="11">
        <v>1</v>
      </c>
      <c r="AM149" s="11">
        <v>0</v>
      </c>
      <c r="AN149" s="11" t="s">
        <v>5318</v>
      </c>
      <c r="AO149" s="11">
        <v>2</v>
      </c>
      <c r="AP149" s="11" t="s">
        <v>5318</v>
      </c>
      <c r="AQ149" s="11" t="s">
        <v>5318</v>
      </c>
    </row>
    <row r="150" spans="1:43" ht="63" customHeight="1" x14ac:dyDescent="0.2">
      <c r="A150" s="10">
        <v>1985</v>
      </c>
      <c r="B150" s="11" t="s">
        <v>6996</v>
      </c>
      <c r="C150" s="11" t="s">
        <v>565</v>
      </c>
      <c r="D150" s="11">
        <v>2010</v>
      </c>
      <c r="E150" s="11" t="s">
        <v>5318</v>
      </c>
      <c r="F150" s="11">
        <v>52</v>
      </c>
      <c r="G150" s="11">
        <v>3</v>
      </c>
      <c r="H150" s="11" t="s">
        <v>6898</v>
      </c>
      <c r="I150" s="11" t="s">
        <v>6516</v>
      </c>
      <c r="J150" s="11" t="s">
        <v>6997</v>
      </c>
      <c r="K150" s="11" t="s">
        <v>566</v>
      </c>
      <c r="L150" s="11" t="s">
        <v>5044</v>
      </c>
      <c r="M150" s="11">
        <v>0</v>
      </c>
      <c r="N150" s="9" t="s">
        <v>5044</v>
      </c>
      <c r="O150" s="9" t="s">
        <v>5044</v>
      </c>
      <c r="P150" s="11">
        <v>0</v>
      </c>
      <c r="Q150" s="11">
        <v>0</v>
      </c>
      <c r="R150" s="11">
        <v>0</v>
      </c>
      <c r="S150" s="11">
        <v>9</v>
      </c>
      <c r="T150" s="11">
        <v>1</v>
      </c>
      <c r="U150" s="11">
        <v>30</v>
      </c>
      <c r="V150" s="11">
        <v>0</v>
      </c>
      <c r="W150" s="11">
        <v>1</v>
      </c>
      <c r="X150" s="11">
        <v>0</v>
      </c>
      <c r="Y150" s="11">
        <v>0</v>
      </c>
      <c r="Z150" s="11">
        <v>0</v>
      </c>
      <c r="AA150" s="11">
        <v>0</v>
      </c>
      <c r="AB150" s="11">
        <v>0</v>
      </c>
      <c r="AC150" s="11">
        <v>1</v>
      </c>
      <c r="AD150" s="11" t="s">
        <v>5044</v>
      </c>
      <c r="AE150" s="11" t="s">
        <v>5044</v>
      </c>
      <c r="AF150" s="11" t="s">
        <v>5044</v>
      </c>
      <c r="AG150" s="11">
        <v>1</v>
      </c>
      <c r="AH150" s="11">
        <v>0</v>
      </c>
      <c r="AI150" s="11">
        <v>0</v>
      </c>
      <c r="AJ150" s="11" t="s">
        <v>5044</v>
      </c>
      <c r="AK150" s="11" t="s">
        <v>5318</v>
      </c>
      <c r="AL150" s="11">
        <v>0</v>
      </c>
      <c r="AM150" s="11">
        <v>0</v>
      </c>
      <c r="AN150" s="11" t="s">
        <v>5318</v>
      </c>
      <c r="AO150" s="9">
        <v>0</v>
      </c>
      <c r="AP150" s="11" t="s">
        <v>5318</v>
      </c>
      <c r="AQ150" s="11" t="s">
        <v>5318</v>
      </c>
    </row>
    <row r="151" spans="1:43" ht="63" customHeight="1" x14ac:dyDescent="0.2">
      <c r="A151" s="10">
        <v>1995</v>
      </c>
      <c r="B151" s="11" t="s">
        <v>6998</v>
      </c>
      <c r="C151" s="11" t="s">
        <v>567</v>
      </c>
      <c r="D151" s="11">
        <v>2020</v>
      </c>
      <c r="E151" s="11" t="s">
        <v>5318</v>
      </c>
      <c r="F151" s="11">
        <v>155</v>
      </c>
      <c r="G151" s="11">
        <v>4</v>
      </c>
      <c r="H151" s="11" t="s">
        <v>6676</v>
      </c>
      <c r="I151" s="11" t="s">
        <v>6516</v>
      </c>
      <c r="J151" s="11" t="s">
        <v>6999</v>
      </c>
      <c r="K151" s="11" t="s">
        <v>569</v>
      </c>
      <c r="L151" s="16" t="s">
        <v>5461</v>
      </c>
      <c r="M151" s="11">
        <v>0</v>
      </c>
      <c r="N151" s="9" t="s">
        <v>5044</v>
      </c>
      <c r="O151" s="9" t="s">
        <v>5044</v>
      </c>
      <c r="P151" s="11">
        <v>0</v>
      </c>
      <c r="Q151" s="11">
        <v>0</v>
      </c>
      <c r="R151" s="11">
        <v>0</v>
      </c>
      <c r="S151" s="11">
        <v>1</v>
      </c>
      <c r="T151" s="11">
        <v>1</v>
      </c>
      <c r="U151" s="11">
        <v>168</v>
      </c>
      <c r="V151" s="11">
        <v>0</v>
      </c>
      <c r="W151" s="11">
        <v>1</v>
      </c>
      <c r="X151" s="11">
        <v>0</v>
      </c>
      <c r="Y151" s="11">
        <v>1</v>
      </c>
      <c r="Z151" s="11">
        <v>0</v>
      </c>
      <c r="AA151" s="11">
        <v>0</v>
      </c>
      <c r="AB151" s="11">
        <v>1</v>
      </c>
      <c r="AC151" s="11">
        <v>1</v>
      </c>
      <c r="AD151" s="11" t="s">
        <v>5044</v>
      </c>
      <c r="AE151" s="11" t="s">
        <v>5044</v>
      </c>
      <c r="AF151" s="11" t="s">
        <v>5044</v>
      </c>
      <c r="AG151" s="11">
        <v>2</v>
      </c>
      <c r="AH151" s="11">
        <v>1</v>
      </c>
      <c r="AI151" s="11">
        <v>1</v>
      </c>
      <c r="AJ151" s="11">
        <v>0</v>
      </c>
      <c r="AK151" s="11" t="s">
        <v>5318</v>
      </c>
      <c r="AL151" s="11">
        <v>1</v>
      </c>
      <c r="AM151" s="11">
        <v>0</v>
      </c>
      <c r="AN151" s="11" t="s">
        <v>5318</v>
      </c>
      <c r="AO151" s="11">
        <v>1</v>
      </c>
      <c r="AP151" s="11" t="s">
        <v>5318</v>
      </c>
      <c r="AQ151" s="11" t="s">
        <v>5318</v>
      </c>
    </row>
    <row r="152" spans="1:43" ht="63" customHeight="1" x14ac:dyDescent="0.2">
      <c r="A152" s="10">
        <v>2001</v>
      </c>
      <c r="B152" s="11" t="s">
        <v>7000</v>
      </c>
      <c r="C152" s="11" t="s">
        <v>570</v>
      </c>
      <c r="D152" s="11">
        <v>2021</v>
      </c>
      <c r="E152" s="11" t="s">
        <v>5318</v>
      </c>
      <c r="F152" s="11">
        <v>96</v>
      </c>
      <c r="G152" s="11" t="s">
        <v>5318</v>
      </c>
      <c r="H152" s="11" t="s">
        <v>7001</v>
      </c>
      <c r="I152" s="11" t="s">
        <v>6516</v>
      </c>
      <c r="J152" s="11" t="s">
        <v>7002</v>
      </c>
      <c r="K152" s="11" t="s">
        <v>573</v>
      </c>
      <c r="L152" s="11" t="s">
        <v>5044</v>
      </c>
      <c r="M152" s="11">
        <v>0</v>
      </c>
      <c r="N152" s="9" t="s">
        <v>5044</v>
      </c>
      <c r="O152" s="9" t="s">
        <v>5044</v>
      </c>
      <c r="P152" s="11">
        <v>0</v>
      </c>
      <c r="Q152" s="11">
        <v>0</v>
      </c>
      <c r="R152" s="11">
        <v>0</v>
      </c>
      <c r="S152" s="11">
        <v>1</v>
      </c>
      <c r="T152" s="11">
        <v>1</v>
      </c>
      <c r="U152" s="11">
        <v>1205</v>
      </c>
      <c r="V152" s="11">
        <v>0</v>
      </c>
      <c r="W152" s="11">
        <v>1</v>
      </c>
      <c r="X152" s="11">
        <v>0</v>
      </c>
      <c r="Y152" s="11">
        <v>0</v>
      </c>
      <c r="Z152" s="11">
        <v>0</v>
      </c>
      <c r="AA152" s="11">
        <v>0</v>
      </c>
      <c r="AB152" s="11">
        <v>1</v>
      </c>
      <c r="AC152" s="11">
        <v>0</v>
      </c>
      <c r="AD152" s="11" t="s">
        <v>5044</v>
      </c>
      <c r="AE152" s="11" t="s">
        <v>5044</v>
      </c>
      <c r="AF152" s="11" t="s">
        <v>5044</v>
      </c>
      <c r="AG152" s="11">
        <v>0</v>
      </c>
      <c r="AH152" s="11" t="s">
        <v>5044</v>
      </c>
      <c r="AI152" s="11" t="s">
        <v>5044</v>
      </c>
      <c r="AJ152" s="11" t="s">
        <v>5044</v>
      </c>
      <c r="AK152" s="11" t="s">
        <v>5318</v>
      </c>
      <c r="AL152" s="11">
        <v>1</v>
      </c>
      <c r="AM152" s="11">
        <v>0</v>
      </c>
      <c r="AN152" s="11" t="s">
        <v>5318</v>
      </c>
      <c r="AO152" s="11">
        <v>9</v>
      </c>
      <c r="AP152" s="11" t="s">
        <v>5318</v>
      </c>
      <c r="AQ152" s="11" t="s">
        <v>5318</v>
      </c>
    </row>
    <row r="153" spans="1:43" ht="63" customHeight="1" x14ac:dyDescent="0.2">
      <c r="A153" s="10">
        <v>2002</v>
      </c>
      <c r="B153" s="11" t="s">
        <v>7003</v>
      </c>
      <c r="C153" s="11" t="s">
        <v>574</v>
      </c>
      <c r="D153" s="11">
        <v>2015</v>
      </c>
      <c r="E153" s="11" t="s">
        <v>5318</v>
      </c>
      <c r="F153" s="11">
        <v>262</v>
      </c>
      <c r="G153" s="11">
        <v>6</v>
      </c>
      <c r="H153" s="11" t="s">
        <v>6533</v>
      </c>
      <c r="I153" s="11" t="s">
        <v>6516</v>
      </c>
      <c r="J153" s="11" t="s">
        <v>7004</v>
      </c>
      <c r="K153" s="11" t="s">
        <v>575</v>
      </c>
      <c r="L153" s="16" t="s">
        <v>5498</v>
      </c>
      <c r="M153" s="11">
        <v>0</v>
      </c>
      <c r="N153" s="9" t="s">
        <v>5044</v>
      </c>
      <c r="O153" s="9" t="s">
        <v>5044</v>
      </c>
      <c r="P153" s="11">
        <v>0</v>
      </c>
      <c r="Q153" s="11">
        <v>0</v>
      </c>
      <c r="R153" s="11">
        <v>0</v>
      </c>
      <c r="S153" s="11">
        <v>1</v>
      </c>
      <c r="T153" s="11">
        <v>1</v>
      </c>
      <c r="U153" s="11">
        <v>152</v>
      </c>
      <c r="V153" s="11">
        <v>0</v>
      </c>
      <c r="W153" s="11">
        <v>1</v>
      </c>
      <c r="X153" s="11">
        <v>0</v>
      </c>
      <c r="Y153" s="11">
        <v>0</v>
      </c>
      <c r="Z153" s="11">
        <v>0</v>
      </c>
      <c r="AA153" s="11">
        <v>0</v>
      </c>
      <c r="AB153" s="11">
        <v>1</v>
      </c>
      <c r="AC153" s="11">
        <v>1</v>
      </c>
      <c r="AD153" s="11" t="s">
        <v>5044</v>
      </c>
      <c r="AE153" s="11" t="s">
        <v>5044</v>
      </c>
      <c r="AF153" s="11" t="s">
        <v>5044</v>
      </c>
      <c r="AG153" s="11">
        <v>1</v>
      </c>
      <c r="AH153" s="11">
        <v>0</v>
      </c>
      <c r="AI153" s="11">
        <v>0</v>
      </c>
      <c r="AJ153" s="11" t="s">
        <v>5044</v>
      </c>
      <c r="AK153" s="11" t="s">
        <v>5318</v>
      </c>
      <c r="AL153" s="11">
        <v>1</v>
      </c>
      <c r="AM153" s="11">
        <v>0</v>
      </c>
      <c r="AN153" s="11" t="s">
        <v>5318</v>
      </c>
      <c r="AO153" s="9">
        <v>0</v>
      </c>
      <c r="AP153" s="11" t="s">
        <v>5318</v>
      </c>
      <c r="AQ153" s="11" t="s">
        <v>5318</v>
      </c>
    </row>
    <row r="154" spans="1:43" ht="63" customHeight="1" x14ac:dyDescent="0.2">
      <c r="A154" s="10">
        <v>2020</v>
      </c>
      <c r="B154" s="11" t="s">
        <v>7005</v>
      </c>
      <c r="C154" s="11" t="s">
        <v>576</v>
      </c>
      <c r="D154" s="11">
        <v>2022</v>
      </c>
      <c r="E154" s="11" t="s">
        <v>5318</v>
      </c>
      <c r="F154" s="11">
        <v>48</v>
      </c>
      <c r="G154" s="11">
        <v>1</v>
      </c>
      <c r="H154" s="11" t="s">
        <v>7006</v>
      </c>
      <c r="I154" s="11" t="s">
        <v>6516</v>
      </c>
      <c r="J154" s="11" t="s">
        <v>7007</v>
      </c>
      <c r="K154" s="11" t="s">
        <v>579</v>
      </c>
      <c r="L154" s="16" t="s">
        <v>5499</v>
      </c>
      <c r="M154" s="11">
        <v>0</v>
      </c>
      <c r="N154" s="9" t="s">
        <v>5044</v>
      </c>
      <c r="O154" s="9" t="s">
        <v>5044</v>
      </c>
      <c r="P154" s="11">
        <v>0</v>
      </c>
      <c r="Q154" s="11">
        <v>0</v>
      </c>
      <c r="R154" s="11">
        <v>0</v>
      </c>
      <c r="S154" s="11">
        <v>9</v>
      </c>
      <c r="T154" s="11">
        <v>1</v>
      </c>
      <c r="U154" s="11">
        <v>69</v>
      </c>
      <c r="V154" s="11">
        <v>0</v>
      </c>
      <c r="W154" s="11">
        <v>1</v>
      </c>
      <c r="X154" s="11">
        <v>0</v>
      </c>
      <c r="Y154" s="11">
        <v>0</v>
      </c>
      <c r="Z154" s="11">
        <v>0</v>
      </c>
      <c r="AA154" s="11">
        <v>0</v>
      </c>
      <c r="AB154" s="11">
        <v>1</v>
      </c>
      <c r="AC154" s="11">
        <v>1</v>
      </c>
      <c r="AD154" s="11" t="s">
        <v>5044</v>
      </c>
      <c r="AE154" s="11" t="s">
        <v>5044</v>
      </c>
      <c r="AF154" s="11" t="s">
        <v>5044</v>
      </c>
      <c r="AG154" s="11">
        <v>2</v>
      </c>
      <c r="AH154" s="11">
        <v>1</v>
      </c>
      <c r="AI154" s="11">
        <v>3</v>
      </c>
      <c r="AJ154" s="11" t="s">
        <v>5044</v>
      </c>
      <c r="AK154" s="11" t="s">
        <v>5318</v>
      </c>
      <c r="AL154" s="11">
        <v>0</v>
      </c>
      <c r="AM154" s="11">
        <v>0</v>
      </c>
      <c r="AN154" s="11" t="s">
        <v>5318</v>
      </c>
      <c r="AO154" s="11">
        <v>1</v>
      </c>
      <c r="AP154" s="11" t="s">
        <v>5318</v>
      </c>
      <c r="AQ154" s="11" t="s">
        <v>5318</v>
      </c>
    </row>
    <row r="155" spans="1:43" ht="63" customHeight="1" x14ac:dyDescent="0.2">
      <c r="A155" s="10">
        <v>2025</v>
      </c>
      <c r="B155" s="11" t="s">
        <v>7008</v>
      </c>
      <c r="C155" s="11" t="s">
        <v>580</v>
      </c>
      <c r="D155" s="11">
        <v>2020</v>
      </c>
      <c r="E155" s="11" t="s">
        <v>5318</v>
      </c>
      <c r="F155" s="11">
        <v>38</v>
      </c>
      <c r="G155" s="11">
        <v>27</v>
      </c>
      <c r="H155" s="11" t="s">
        <v>6449</v>
      </c>
      <c r="I155" s="11" t="s">
        <v>6828</v>
      </c>
      <c r="J155" s="11" t="s">
        <v>7009</v>
      </c>
      <c r="K155" s="11" t="s">
        <v>581</v>
      </c>
      <c r="L155" s="16" t="s">
        <v>5500</v>
      </c>
      <c r="M155" s="11">
        <v>0</v>
      </c>
      <c r="N155" s="9" t="s">
        <v>5044</v>
      </c>
      <c r="O155" s="9" t="s">
        <v>5044</v>
      </c>
      <c r="P155" s="11">
        <v>0</v>
      </c>
      <c r="Q155" s="11">
        <v>0</v>
      </c>
      <c r="R155" s="11">
        <v>0</v>
      </c>
      <c r="S155" s="11">
        <v>1</v>
      </c>
      <c r="T155" s="11">
        <v>4</v>
      </c>
      <c r="U155" s="11">
        <v>241</v>
      </c>
      <c r="V155" s="11">
        <v>0</v>
      </c>
      <c r="W155" s="11">
        <v>1</v>
      </c>
      <c r="X155" s="11">
        <v>0</v>
      </c>
      <c r="Y155" s="11">
        <v>0</v>
      </c>
      <c r="Z155" s="11">
        <v>0</v>
      </c>
      <c r="AA155" s="11">
        <v>0</v>
      </c>
      <c r="AB155" s="11">
        <v>1</v>
      </c>
      <c r="AC155" s="11">
        <v>1</v>
      </c>
      <c r="AD155" s="11" t="s">
        <v>5044</v>
      </c>
      <c r="AE155" s="11" t="s">
        <v>5044</v>
      </c>
      <c r="AF155" s="11" t="s">
        <v>5044</v>
      </c>
      <c r="AG155" s="11">
        <v>2</v>
      </c>
      <c r="AH155" s="11">
        <v>1</v>
      </c>
      <c r="AI155" s="11">
        <v>2</v>
      </c>
      <c r="AJ155" s="11" t="s">
        <v>5044</v>
      </c>
      <c r="AK155" s="11" t="s">
        <v>5318</v>
      </c>
      <c r="AL155" s="11">
        <v>1</v>
      </c>
      <c r="AM155" s="11">
        <v>0</v>
      </c>
      <c r="AN155" s="11" t="s">
        <v>5318</v>
      </c>
      <c r="AO155" s="11">
        <v>1</v>
      </c>
      <c r="AP155" s="11" t="s">
        <v>5318</v>
      </c>
      <c r="AQ155" s="11" t="s">
        <v>5318</v>
      </c>
    </row>
    <row r="156" spans="1:43" ht="63" customHeight="1" x14ac:dyDescent="0.2">
      <c r="A156" s="10">
        <v>2058</v>
      </c>
      <c r="B156" s="11" t="s">
        <v>7012</v>
      </c>
      <c r="C156" s="11" t="s">
        <v>584</v>
      </c>
      <c r="D156" s="11">
        <v>2015</v>
      </c>
      <c r="E156" s="11" t="s">
        <v>5318</v>
      </c>
      <c r="F156" s="11">
        <v>22</v>
      </c>
      <c r="G156" s="11">
        <v>6</v>
      </c>
      <c r="H156" s="11" t="s">
        <v>6742</v>
      </c>
      <c r="I156" s="11" t="s">
        <v>6516</v>
      </c>
      <c r="J156" s="11" t="s">
        <v>7013</v>
      </c>
      <c r="K156" s="11" t="s">
        <v>585</v>
      </c>
      <c r="L156" s="12" t="s">
        <v>5502</v>
      </c>
      <c r="M156" s="11">
        <v>0</v>
      </c>
      <c r="N156" s="9" t="s">
        <v>5044</v>
      </c>
      <c r="O156" s="9" t="s">
        <v>5044</v>
      </c>
      <c r="P156" s="11">
        <v>0</v>
      </c>
      <c r="Q156" s="11">
        <v>0</v>
      </c>
      <c r="R156" s="11">
        <v>0</v>
      </c>
      <c r="S156" s="11">
        <v>1</v>
      </c>
      <c r="T156" s="11">
        <v>4</v>
      </c>
      <c r="U156" s="11">
        <v>193</v>
      </c>
      <c r="V156" s="11">
        <v>0</v>
      </c>
      <c r="W156" s="11">
        <v>1</v>
      </c>
      <c r="X156" s="11">
        <v>0</v>
      </c>
      <c r="Y156" s="11">
        <v>0</v>
      </c>
      <c r="Z156" s="11">
        <v>0</v>
      </c>
      <c r="AA156" s="11">
        <v>0</v>
      </c>
      <c r="AB156" s="11">
        <v>1</v>
      </c>
      <c r="AC156" s="11">
        <v>1</v>
      </c>
      <c r="AD156" s="11" t="s">
        <v>5044</v>
      </c>
      <c r="AE156" s="11" t="s">
        <v>5044</v>
      </c>
      <c r="AF156" s="11" t="s">
        <v>5044</v>
      </c>
      <c r="AG156" s="11">
        <v>1</v>
      </c>
      <c r="AH156" s="11">
        <v>0</v>
      </c>
      <c r="AI156" s="11">
        <v>0</v>
      </c>
      <c r="AJ156" s="11" t="s">
        <v>5044</v>
      </c>
      <c r="AK156" s="11" t="s">
        <v>5318</v>
      </c>
      <c r="AL156" s="11">
        <v>0</v>
      </c>
      <c r="AM156" s="11">
        <v>0</v>
      </c>
      <c r="AN156" s="11" t="s">
        <v>5318</v>
      </c>
      <c r="AO156" s="9">
        <v>0</v>
      </c>
      <c r="AP156" s="11" t="s">
        <v>5318</v>
      </c>
      <c r="AQ156" s="11" t="s">
        <v>5318</v>
      </c>
    </row>
    <row r="157" spans="1:43" ht="63" customHeight="1" x14ac:dyDescent="0.2">
      <c r="A157" s="10">
        <v>2077</v>
      </c>
      <c r="B157" s="11" t="s">
        <v>7014</v>
      </c>
      <c r="C157" s="11" t="s">
        <v>586</v>
      </c>
      <c r="D157" s="11">
        <v>2016</v>
      </c>
      <c r="E157" s="11" t="s">
        <v>5318</v>
      </c>
      <c r="F157" s="11">
        <v>40</v>
      </c>
      <c r="G157" s="11">
        <v>8</v>
      </c>
      <c r="H157" s="11" t="s">
        <v>6745</v>
      </c>
      <c r="I157" s="11" t="s">
        <v>6516</v>
      </c>
      <c r="J157" s="11" t="s">
        <v>7015</v>
      </c>
      <c r="K157" s="11" t="s">
        <v>588</v>
      </c>
      <c r="L157" s="12" t="s">
        <v>5503</v>
      </c>
      <c r="M157" s="11">
        <v>0</v>
      </c>
      <c r="N157" s="9" t="s">
        <v>5044</v>
      </c>
      <c r="O157" s="9" t="s">
        <v>5044</v>
      </c>
      <c r="P157" s="11">
        <v>0</v>
      </c>
      <c r="Q157" s="11">
        <v>0</v>
      </c>
      <c r="R157" s="11">
        <v>0</v>
      </c>
      <c r="S157" s="11">
        <v>1</v>
      </c>
      <c r="T157" s="11">
        <v>5</v>
      </c>
      <c r="U157" s="11">
        <v>40</v>
      </c>
      <c r="V157" s="11">
        <v>0</v>
      </c>
      <c r="W157" s="11">
        <v>1</v>
      </c>
      <c r="X157" s="11">
        <v>0</v>
      </c>
      <c r="Y157" s="11">
        <v>0</v>
      </c>
      <c r="Z157" s="11">
        <v>0</v>
      </c>
      <c r="AA157" s="11">
        <v>0</v>
      </c>
      <c r="AB157" s="11">
        <v>1</v>
      </c>
      <c r="AC157" s="11">
        <v>1</v>
      </c>
      <c r="AD157" s="11" t="s">
        <v>5044</v>
      </c>
      <c r="AE157" s="11" t="s">
        <v>5044</v>
      </c>
      <c r="AF157" s="11" t="s">
        <v>5044</v>
      </c>
      <c r="AG157" s="11">
        <v>2</v>
      </c>
      <c r="AH157" s="11">
        <v>3</v>
      </c>
      <c r="AI157" s="11">
        <v>0</v>
      </c>
      <c r="AJ157" s="11" t="s">
        <v>5044</v>
      </c>
      <c r="AK157" s="11">
        <v>1</v>
      </c>
      <c r="AL157" s="11">
        <v>1</v>
      </c>
      <c r="AM157" s="11">
        <v>0</v>
      </c>
      <c r="AN157" s="11" t="s">
        <v>5318</v>
      </c>
      <c r="AO157" s="11">
        <v>3</v>
      </c>
      <c r="AP157" s="11" t="s">
        <v>5318</v>
      </c>
      <c r="AQ157" s="11" t="s">
        <v>5318</v>
      </c>
    </row>
    <row r="158" spans="1:43" ht="63" customHeight="1" x14ac:dyDescent="0.2">
      <c r="A158" s="10">
        <v>2087</v>
      </c>
      <c r="B158" s="11" t="s">
        <v>7016</v>
      </c>
      <c r="C158" s="11" t="s">
        <v>589</v>
      </c>
      <c r="D158" s="11">
        <v>2014</v>
      </c>
      <c r="E158" s="11" t="s">
        <v>5318</v>
      </c>
      <c r="F158" s="11">
        <v>38</v>
      </c>
      <c r="G158" s="11">
        <v>2</v>
      </c>
      <c r="H158" s="11" t="s">
        <v>6745</v>
      </c>
      <c r="I158" s="11" t="s">
        <v>6516</v>
      </c>
      <c r="J158" s="11" t="s">
        <v>7017</v>
      </c>
      <c r="K158" s="11" t="s">
        <v>590</v>
      </c>
      <c r="L158" s="11" t="s">
        <v>5044</v>
      </c>
      <c r="M158" s="11">
        <v>0</v>
      </c>
      <c r="N158" s="9" t="s">
        <v>5044</v>
      </c>
      <c r="O158" s="9" t="s">
        <v>5044</v>
      </c>
      <c r="P158" s="11">
        <v>0</v>
      </c>
      <c r="Q158" s="11">
        <v>0</v>
      </c>
      <c r="R158" s="11">
        <v>0</v>
      </c>
      <c r="S158" s="11">
        <v>1</v>
      </c>
      <c r="T158" s="11">
        <v>1</v>
      </c>
      <c r="U158" s="11">
        <v>71</v>
      </c>
      <c r="V158" s="11">
        <v>0</v>
      </c>
      <c r="W158" s="11">
        <v>1</v>
      </c>
      <c r="X158" s="11">
        <v>0</v>
      </c>
      <c r="Y158" s="11">
        <v>0</v>
      </c>
      <c r="Z158" s="11">
        <v>0</v>
      </c>
      <c r="AA158" s="11">
        <v>0</v>
      </c>
      <c r="AB158" s="11">
        <v>1</v>
      </c>
      <c r="AC158" s="11">
        <v>1</v>
      </c>
      <c r="AD158" s="11" t="s">
        <v>5044</v>
      </c>
      <c r="AE158" s="11" t="s">
        <v>5044</v>
      </c>
      <c r="AF158" s="11" t="s">
        <v>5044</v>
      </c>
      <c r="AG158" s="11">
        <v>2</v>
      </c>
      <c r="AH158" s="11">
        <v>3</v>
      </c>
      <c r="AI158" s="11">
        <v>0</v>
      </c>
      <c r="AJ158" s="11" t="s">
        <v>5044</v>
      </c>
      <c r="AK158" s="11">
        <v>1</v>
      </c>
      <c r="AL158" s="11">
        <v>0</v>
      </c>
      <c r="AM158" s="11">
        <v>0</v>
      </c>
      <c r="AN158" s="11" t="s">
        <v>5318</v>
      </c>
      <c r="AO158" s="11">
        <v>3</v>
      </c>
      <c r="AP158" s="11" t="s">
        <v>5318</v>
      </c>
      <c r="AQ158" s="11" t="s">
        <v>5318</v>
      </c>
    </row>
    <row r="159" spans="1:43" ht="63" customHeight="1" x14ac:dyDescent="0.2">
      <c r="A159" s="10">
        <v>2097</v>
      </c>
      <c r="B159" s="22" t="s">
        <v>7018</v>
      </c>
      <c r="C159" s="11" t="s">
        <v>591</v>
      </c>
      <c r="D159" s="11">
        <v>2020</v>
      </c>
      <c r="E159" s="11" t="s">
        <v>5318</v>
      </c>
      <c r="F159" s="11">
        <v>34</v>
      </c>
      <c r="G159" s="11">
        <v>2</v>
      </c>
      <c r="H159" s="11" t="s">
        <v>6624</v>
      </c>
      <c r="I159" s="11" t="s">
        <v>6516</v>
      </c>
      <c r="J159" s="11" t="s">
        <v>7019</v>
      </c>
      <c r="K159" s="11" t="s">
        <v>592</v>
      </c>
      <c r="L159" s="11" t="s">
        <v>5044</v>
      </c>
      <c r="M159" s="11">
        <v>0</v>
      </c>
      <c r="N159" s="9" t="s">
        <v>5044</v>
      </c>
      <c r="O159" s="9" t="s">
        <v>5044</v>
      </c>
      <c r="P159" s="11">
        <v>0</v>
      </c>
      <c r="Q159" s="11">
        <v>0</v>
      </c>
      <c r="R159" s="11">
        <v>0</v>
      </c>
      <c r="S159" s="11" t="s">
        <v>5728</v>
      </c>
      <c r="T159" s="11">
        <v>6</v>
      </c>
      <c r="U159" s="11">
        <v>140</v>
      </c>
      <c r="V159" s="11">
        <v>1</v>
      </c>
      <c r="W159" s="11">
        <v>0</v>
      </c>
      <c r="X159" s="11">
        <v>0</v>
      </c>
      <c r="Y159" s="11">
        <v>0</v>
      </c>
      <c r="Z159" s="11">
        <v>0</v>
      </c>
      <c r="AA159" s="11">
        <v>0</v>
      </c>
      <c r="AB159" s="11">
        <v>1</v>
      </c>
      <c r="AC159" s="11">
        <v>0</v>
      </c>
      <c r="AD159" s="11">
        <v>0</v>
      </c>
      <c r="AE159" s="11" t="s">
        <v>5044</v>
      </c>
      <c r="AF159" s="11" t="s">
        <v>5044</v>
      </c>
      <c r="AG159" s="11" t="s">
        <v>5044</v>
      </c>
      <c r="AH159" s="11" t="s">
        <v>5044</v>
      </c>
      <c r="AI159" s="11" t="s">
        <v>5044</v>
      </c>
      <c r="AJ159" s="11" t="s">
        <v>5044</v>
      </c>
      <c r="AK159" s="11" t="s">
        <v>5318</v>
      </c>
      <c r="AL159" s="11" t="s">
        <v>5044</v>
      </c>
      <c r="AM159" s="11">
        <v>0</v>
      </c>
      <c r="AN159" s="11" t="s">
        <v>5105</v>
      </c>
      <c r="AO159" s="11">
        <v>9</v>
      </c>
      <c r="AP159" s="11" t="s">
        <v>5318</v>
      </c>
      <c r="AQ159" s="11" t="s">
        <v>5318</v>
      </c>
    </row>
    <row r="160" spans="1:43" ht="63" customHeight="1" x14ac:dyDescent="0.2">
      <c r="A160" s="10">
        <v>2104</v>
      </c>
      <c r="B160" s="11" t="s">
        <v>7020</v>
      </c>
      <c r="C160" s="11" t="s">
        <v>593</v>
      </c>
      <c r="D160" s="11">
        <v>2015</v>
      </c>
      <c r="E160" s="11" t="s">
        <v>5318</v>
      </c>
      <c r="F160" s="11">
        <v>22</v>
      </c>
      <c r="G160" s="11" t="s">
        <v>5318</v>
      </c>
      <c r="H160" s="11" t="s">
        <v>6621</v>
      </c>
      <c r="I160" s="11" t="s">
        <v>6516</v>
      </c>
      <c r="J160" s="11" t="s">
        <v>7021</v>
      </c>
      <c r="K160" s="11" t="s">
        <v>594</v>
      </c>
      <c r="L160" s="12" t="s">
        <v>5504</v>
      </c>
      <c r="M160" s="11">
        <v>0</v>
      </c>
      <c r="N160" s="9" t="s">
        <v>5044</v>
      </c>
      <c r="O160" s="9" t="s">
        <v>5044</v>
      </c>
      <c r="P160" s="11">
        <v>0</v>
      </c>
      <c r="Q160" s="11">
        <v>0</v>
      </c>
      <c r="R160" s="11">
        <v>0</v>
      </c>
      <c r="S160" s="11">
        <v>1</v>
      </c>
      <c r="T160" s="11">
        <v>4</v>
      </c>
      <c r="U160" s="11">
        <v>47</v>
      </c>
      <c r="V160" s="11">
        <v>0</v>
      </c>
      <c r="W160" s="11">
        <v>1</v>
      </c>
      <c r="X160" s="11">
        <v>0</v>
      </c>
      <c r="Y160" s="11">
        <v>0</v>
      </c>
      <c r="Z160" s="11">
        <v>0</v>
      </c>
      <c r="AA160" s="11">
        <v>0</v>
      </c>
      <c r="AB160" s="11">
        <v>1</v>
      </c>
      <c r="AC160" s="11">
        <v>1</v>
      </c>
      <c r="AD160" s="11" t="s">
        <v>5044</v>
      </c>
      <c r="AE160" s="11" t="s">
        <v>5044</v>
      </c>
      <c r="AF160" s="11" t="s">
        <v>5044</v>
      </c>
      <c r="AG160" s="11">
        <v>2</v>
      </c>
      <c r="AH160" s="11">
        <v>2</v>
      </c>
      <c r="AI160" s="11">
        <v>2</v>
      </c>
      <c r="AJ160" s="11" t="s">
        <v>5044</v>
      </c>
      <c r="AK160" s="11" t="s">
        <v>5318</v>
      </c>
      <c r="AL160" s="11">
        <v>1</v>
      </c>
      <c r="AM160" s="11">
        <v>0</v>
      </c>
      <c r="AN160" s="11" t="s">
        <v>5318</v>
      </c>
      <c r="AO160" s="11">
        <v>2</v>
      </c>
      <c r="AP160" s="11" t="s">
        <v>5318</v>
      </c>
      <c r="AQ160" s="11" t="s">
        <v>5318</v>
      </c>
    </row>
    <row r="161" spans="1:43" ht="63" customHeight="1" x14ac:dyDescent="0.2">
      <c r="A161" s="10">
        <v>2110</v>
      </c>
      <c r="B161" s="11" t="s">
        <v>7022</v>
      </c>
      <c r="C161" s="11" t="s">
        <v>595</v>
      </c>
      <c r="D161" s="11">
        <v>2018</v>
      </c>
      <c r="E161" s="11" t="s">
        <v>5318</v>
      </c>
      <c r="F161" s="11">
        <v>403</v>
      </c>
      <c r="G161" s="11">
        <v>8</v>
      </c>
      <c r="H161" s="11" t="s">
        <v>7023</v>
      </c>
      <c r="I161" s="11" t="s">
        <v>6516</v>
      </c>
      <c r="J161" s="11" t="s">
        <v>7024</v>
      </c>
      <c r="K161" s="11" t="s">
        <v>597</v>
      </c>
      <c r="L161" s="12" t="s">
        <v>5505</v>
      </c>
      <c r="M161" s="11">
        <v>0</v>
      </c>
      <c r="N161" s="9" t="s">
        <v>5044</v>
      </c>
      <c r="O161" s="9" t="s">
        <v>5044</v>
      </c>
      <c r="P161" s="11">
        <v>0</v>
      </c>
      <c r="Q161" s="11">
        <v>0</v>
      </c>
      <c r="R161" s="11">
        <v>0</v>
      </c>
      <c r="S161" s="11">
        <v>1</v>
      </c>
      <c r="T161" s="11">
        <v>4</v>
      </c>
      <c r="U161" s="11">
        <v>50</v>
      </c>
      <c r="V161" s="11">
        <v>0</v>
      </c>
      <c r="W161" s="11">
        <v>1</v>
      </c>
      <c r="X161" s="11">
        <v>0</v>
      </c>
      <c r="Y161" s="11">
        <v>0</v>
      </c>
      <c r="Z161" s="11">
        <v>0</v>
      </c>
      <c r="AA161" s="11">
        <v>0</v>
      </c>
      <c r="AB161" s="11">
        <v>1</v>
      </c>
      <c r="AC161" s="11">
        <v>1</v>
      </c>
      <c r="AD161" s="11" t="s">
        <v>5044</v>
      </c>
      <c r="AE161" s="11" t="s">
        <v>5044</v>
      </c>
      <c r="AF161" s="11" t="s">
        <v>5044</v>
      </c>
      <c r="AG161" s="11">
        <v>2</v>
      </c>
      <c r="AH161" s="11">
        <v>1</v>
      </c>
      <c r="AI161" s="11">
        <v>1</v>
      </c>
      <c r="AJ161" s="11" t="s">
        <v>5044</v>
      </c>
      <c r="AK161" s="11" t="s">
        <v>5318</v>
      </c>
      <c r="AL161" s="11">
        <v>0</v>
      </c>
      <c r="AM161" s="11">
        <v>0</v>
      </c>
      <c r="AN161" s="11" t="s">
        <v>5318</v>
      </c>
      <c r="AO161" s="11">
        <v>1</v>
      </c>
      <c r="AP161" s="11" t="s">
        <v>5318</v>
      </c>
      <c r="AQ161" s="11" t="s">
        <v>5318</v>
      </c>
    </row>
    <row r="162" spans="1:43" ht="63" customHeight="1" x14ac:dyDescent="0.2">
      <c r="A162" s="10">
        <v>2120</v>
      </c>
      <c r="B162" s="11" t="s">
        <v>7025</v>
      </c>
      <c r="C162" s="11" t="s">
        <v>598</v>
      </c>
      <c r="D162" s="11">
        <v>2015</v>
      </c>
      <c r="E162" s="11" t="s">
        <v>5318</v>
      </c>
      <c r="F162" s="11">
        <v>262</v>
      </c>
      <c r="G162" s="11">
        <v>2</v>
      </c>
      <c r="H162" s="11" t="s">
        <v>6533</v>
      </c>
      <c r="I162" s="11" t="s">
        <v>6516</v>
      </c>
      <c r="J162" s="11" t="s">
        <v>7026</v>
      </c>
      <c r="K162" s="11" t="s">
        <v>599</v>
      </c>
      <c r="L162" s="12" t="s">
        <v>5506</v>
      </c>
      <c r="M162" s="11">
        <v>0</v>
      </c>
      <c r="N162" s="9" t="s">
        <v>5044</v>
      </c>
      <c r="O162" s="9" t="s">
        <v>5044</v>
      </c>
      <c r="P162" s="11">
        <v>0</v>
      </c>
      <c r="Q162" s="11">
        <v>0</v>
      </c>
      <c r="R162" s="11">
        <v>0</v>
      </c>
      <c r="S162" s="11">
        <v>1</v>
      </c>
      <c r="T162" s="11">
        <v>4</v>
      </c>
      <c r="U162" s="11">
        <v>40</v>
      </c>
      <c r="V162" s="11">
        <v>0</v>
      </c>
      <c r="W162" s="11">
        <v>1</v>
      </c>
      <c r="X162" s="11">
        <v>0</v>
      </c>
      <c r="Y162" s="11">
        <v>0</v>
      </c>
      <c r="Z162" s="11">
        <v>0</v>
      </c>
      <c r="AA162" s="11">
        <v>0</v>
      </c>
      <c r="AB162" s="11">
        <v>1</v>
      </c>
      <c r="AC162" s="11">
        <v>1</v>
      </c>
      <c r="AD162" s="11" t="s">
        <v>5044</v>
      </c>
      <c r="AE162" s="11" t="s">
        <v>5044</v>
      </c>
      <c r="AF162" s="11" t="s">
        <v>5044</v>
      </c>
      <c r="AG162" s="11">
        <v>2</v>
      </c>
      <c r="AH162" s="11">
        <v>2</v>
      </c>
      <c r="AI162" s="11">
        <v>2</v>
      </c>
      <c r="AJ162" s="11" t="s">
        <v>5044</v>
      </c>
      <c r="AK162" s="11" t="s">
        <v>5318</v>
      </c>
      <c r="AL162" s="11">
        <v>1</v>
      </c>
      <c r="AM162" s="11">
        <v>0</v>
      </c>
      <c r="AN162" s="11" t="s">
        <v>5318</v>
      </c>
      <c r="AO162" s="11">
        <v>2</v>
      </c>
      <c r="AP162" s="11" t="s">
        <v>5318</v>
      </c>
      <c r="AQ162" s="11" t="s">
        <v>5318</v>
      </c>
    </row>
    <row r="163" spans="1:43" ht="63" customHeight="1" x14ac:dyDescent="0.2">
      <c r="A163" s="10">
        <v>2150</v>
      </c>
      <c r="B163" s="11" t="s">
        <v>7027</v>
      </c>
      <c r="C163" s="11" t="s">
        <v>600</v>
      </c>
      <c r="D163" s="11">
        <v>2019</v>
      </c>
      <c r="E163" s="11" t="s">
        <v>305</v>
      </c>
      <c r="F163" s="11">
        <v>38</v>
      </c>
      <c r="G163" s="11">
        <v>1</v>
      </c>
      <c r="H163" s="11" t="s">
        <v>6592</v>
      </c>
      <c r="I163" s="11" t="s">
        <v>6516</v>
      </c>
      <c r="J163" s="11" t="s">
        <v>7028</v>
      </c>
      <c r="K163" s="11" t="s">
        <v>601</v>
      </c>
      <c r="L163" s="12" t="s">
        <v>5507</v>
      </c>
      <c r="M163" s="11">
        <v>0</v>
      </c>
      <c r="N163" s="9" t="s">
        <v>5044</v>
      </c>
      <c r="O163" s="9" t="s">
        <v>5044</v>
      </c>
      <c r="P163" s="11">
        <v>0</v>
      </c>
      <c r="Q163" s="11">
        <v>0</v>
      </c>
      <c r="R163" s="11">
        <v>0</v>
      </c>
      <c r="S163" s="11">
        <v>1</v>
      </c>
      <c r="T163" s="11">
        <v>4</v>
      </c>
      <c r="U163" s="11">
        <v>80</v>
      </c>
      <c r="V163" s="11">
        <v>0</v>
      </c>
      <c r="W163" s="11">
        <v>1</v>
      </c>
      <c r="X163" s="11">
        <v>0</v>
      </c>
      <c r="Y163" s="11">
        <v>0</v>
      </c>
      <c r="Z163" s="11">
        <v>0</v>
      </c>
      <c r="AA163" s="11">
        <v>0</v>
      </c>
      <c r="AB163" s="11">
        <v>1</v>
      </c>
      <c r="AC163" s="11">
        <v>1</v>
      </c>
      <c r="AD163" s="11" t="s">
        <v>5044</v>
      </c>
      <c r="AE163" s="11" t="s">
        <v>5044</v>
      </c>
      <c r="AF163" s="11" t="s">
        <v>5044</v>
      </c>
      <c r="AG163" s="11">
        <v>2</v>
      </c>
      <c r="AH163" s="11">
        <v>3</v>
      </c>
      <c r="AI163" s="11">
        <v>0</v>
      </c>
      <c r="AJ163" s="11" t="s">
        <v>5044</v>
      </c>
      <c r="AK163" s="11">
        <v>1</v>
      </c>
      <c r="AL163" s="11">
        <v>1</v>
      </c>
      <c r="AM163" s="11">
        <v>0</v>
      </c>
      <c r="AN163" s="11" t="s">
        <v>5318</v>
      </c>
      <c r="AO163" s="11">
        <v>3</v>
      </c>
      <c r="AP163" s="11" t="s">
        <v>5318</v>
      </c>
      <c r="AQ163" s="11" t="s">
        <v>5318</v>
      </c>
    </row>
    <row r="164" spans="1:43" ht="63" customHeight="1" x14ac:dyDescent="0.2">
      <c r="A164" s="10">
        <v>2163</v>
      </c>
      <c r="B164" s="11" t="s">
        <v>7029</v>
      </c>
      <c r="C164" s="11" t="s">
        <v>602</v>
      </c>
      <c r="D164" s="11">
        <v>2018</v>
      </c>
      <c r="E164" s="11" t="s">
        <v>5318</v>
      </c>
      <c r="F164" s="11">
        <v>28</v>
      </c>
      <c r="G164" s="11">
        <v>1</v>
      </c>
      <c r="H164" s="11" t="s">
        <v>6482</v>
      </c>
      <c r="I164" s="11" t="s">
        <v>6516</v>
      </c>
      <c r="J164" s="11" t="s">
        <v>7030</v>
      </c>
      <c r="K164" s="11" t="s">
        <v>603</v>
      </c>
      <c r="L164" s="11" t="s">
        <v>5044</v>
      </c>
      <c r="M164" s="11">
        <v>0</v>
      </c>
      <c r="N164" s="9" t="s">
        <v>5044</v>
      </c>
      <c r="O164" s="9" t="s">
        <v>5044</v>
      </c>
      <c r="P164" s="11">
        <v>0</v>
      </c>
      <c r="Q164" s="11">
        <v>0</v>
      </c>
      <c r="R164" s="11">
        <v>0</v>
      </c>
      <c r="S164" s="11">
        <v>1</v>
      </c>
      <c r="T164" s="11">
        <v>6</v>
      </c>
      <c r="U164" s="11">
        <v>400</v>
      </c>
      <c r="V164" s="11">
        <v>1</v>
      </c>
      <c r="W164" s="11">
        <v>0</v>
      </c>
      <c r="X164" s="11">
        <v>0</v>
      </c>
      <c r="Y164" s="11">
        <v>0</v>
      </c>
      <c r="Z164" s="11">
        <v>0</v>
      </c>
      <c r="AA164" s="11">
        <v>0</v>
      </c>
      <c r="AB164" s="11">
        <v>1</v>
      </c>
      <c r="AC164" s="11">
        <v>1</v>
      </c>
      <c r="AD164" s="11">
        <v>2</v>
      </c>
      <c r="AE164" s="11">
        <v>3</v>
      </c>
      <c r="AF164" s="11">
        <v>0</v>
      </c>
      <c r="AG164" s="11" t="s">
        <v>5044</v>
      </c>
      <c r="AH164" s="11" t="s">
        <v>5044</v>
      </c>
      <c r="AI164" s="11" t="s">
        <v>5044</v>
      </c>
      <c r="AJ164" s="11" t="s">
        <v>5044</v>
      </c>
      <c r="AK164" s="11">
        <v>1</v>
      </c>
      <c r="AL164" s="11">
        <v>0</v>
      </c>
      <c r="AM164" s="11">
        <v>0</v>
      </c>
      <c r="AN164" s="11" t="s">
        <v>5318</v>
      </c>
      <c r="AO164" s="11">
        <v>3</v>
      </c>
      <c r="AP164" s="11" t="s">
        <v>5318</v>
      </c>
      <c r="AQ164" s="11" t="s">
        <v>5318</v>
      </c>
    </row>
    <row r="165" spans="1:43" ht="63" customHeight="1" x14ac:dyDescent="0.2">
      <c r="A165" s="10">
        <v>2178</v>
      </c>
      <c r="B165" s="11" t="s">
        <v>7035</v>
      </c>
      <c r="C165" s="11" t="s">
        <v>608</v>
      </c>
      <c r="D165" s="11">
        <v>2012</v>
      </c>
      <c r="E165" s="11" t="s">
        <v>5318</v>
      </c>
      <c r="F165" s="11">
        <v>26</v>
      </c>
      <c r="G165" s="11">
        <v>9</v>
      </c>
      <c r="H165" s="11" t="s">
        <v>6692</v>
      </c>
      <c r="I165" s="11" t="s">
        <v>6828</v>
      </c>
      <c r="J165" s="11" t="s">
        <v>7036</v>
      </c>
      <c r="K165" s="11" t="s">
        <v>609</v>
      </c>
      <c r="L165" s="11" t="s">
        <v>5044</v>
      </c>
      <c r="M165" s="11">
        <v>0</v>
      </c>
      <c r="N165" s="9" t="s">
        <v>5044</v>
      </c>
      <c r="O165" s="9" t="s">
        <v>5044</v>
      </c>
      <c r="P165" s="11">
        <v>0</v>
      </c>
      <c r="Q165" s="11">
        <v>0</v>
      </c>
      <c r="R165" s="11">
        <v>0</v>
      </c>
      <c r="S165" s="11">
        <v>3</v>
      </c>
      <c r="T165" s="11">
        <v>1</v>
      </c>
      <c r="U165" s="11">
        <v>238</v>
      </c>
      <c r="V165" s="11">
        <v>0</v>
      </c>
      <c r="W165" s="11">
        <v>1</v>
      </c>
      <c r="X165" s="11">
        <v>0</v>
      </c>
      <c r="Y165" s="11">
        <v>0</v>
      </c>
      <c r="Z165" s="11">
        <v>0</v>
      </c>
      <c r="AA165" s="11">
        <v>1</v>
      </c>
      <c r="AB165" s="11">
        <v>0</v>
      </c>
      <c r="AC165" s="11">
        <v>1</v>
      </c>
      <c r="AD165" s="11" t="s">
        <v>5044</v>
      </c>
      <c r="AE165" s="11" t="s">
        <v>5044</v>
      </c>
      <c r="AF165" s="11" t="s">
        <v>5044</v>
      </c>
      <c r="AG165" s="11">
        <v>1</v>
      </c>
      <c r="AH165" s="11">
        <v>0</v>
      </c>
      <c r="AI165" s="11">
        <v>0</v>
      </c>
      <c r="AJ165" s="11" t="s">
        <v>5044</v>
      </c>
      <c r="AK165" s="11" t="s">
        <v>5318</v>
      </c>
      <c r="AL165" s="11" t="s">
        <v>5044</v>
      </c>
      <c r="AM165" s="11">
        <v>0</v>
      </c>
      <c r="AN165" s="11" t="s">
        <v>5105</v>
      </c>
      <c r="AO165" s="9">
        <v>0</v>
      </c>
      <c r="AP165" s="11" t="s">
        <v>5318</v>
      </c>
      <c r="AQ165" s="11" t="s">
        <v>5318</v>
      </c>
    </row>
    <row r="166" spans="1:43" ht="63" customHeight="1" x14ac:dyDescent="0.2">
      <c r="A166" s="10">
        <v>2183</v>
      </c>
      <c r="B166" s="11" t="s">
        <v>7037</v>
      </c>
      <c r="C166" s="11" t="s">
        <v>610</v>
      </c>
      <c r="D166" s="11">
        <v>2023</v>
      </c>
      <c r="E166" s="11" t="s">
        <v>5318</v>
      </c>
      <c r="F166" s="11">
        <v>45</v>
      </c>
      <c r="G166" s="11">
        <v>1</v>
      </c>
      <c r="H166" s="11" t="s">
        <v>7038</v>
      </c>
      <c r="I166" s="11" t="s">
        <v>6516</v>
      </c>
      <c r="J166" s="11" t="s">
        <v>7039</v>
      </c>
      <c r="K166" s="11" t="s">
        <v>611</v>
      </c>
      <c r="L166" s="12" t="s">
        <v>5510</v>
      </c>
      <c r="M166" s="11">
        <v>0</v>
      </c>
      <c r="N166" s="9" t="s">
        <v>5044</v>
      </c>
      <c r="O166" s="9" t="s">
        <v>5044</v>
      </c>
      <c r="P166" s="11">
        <v>0</v>
      </c>
      <c r="Q166" s="11">
        <v>0</v>
      </c>
      <c r="R166" s="11">
        <v>0</v>
      </c>
      <c r="S166" s="11" t="s">
        <v>5772</v>
      </c>
      <c r="T166" s="11">
        <v>2</v>
      </c>
      <c r="U166" s="11">
        <v>55</v>
      </c>
      <c r="V166" s="11">
        <v>0</v>
      </c>
      <c r="W166" s="11">
        <v>1</v>
      </c>
      <c r="X166" s="11">
        <v>0</v>
      </c>
      <c r="Y166" s="11">
        <v>0</v>
      </c>
      <c r="Z166" s="11">
        <v>0</v>
      </c>
      <c r="AA166" s="11">
        <v>0</v>
      </c>
      <c r="AB166" s="11">
        <v>1</v>
      </c>
      <c r="AC166" s="11">
        <v>0</v>
      </c>
      <c r="AD166" s="11" t="s">
        <v>5044</v>
      </c>
      <c r="AE166" s="11" t="s">
        <v>5044</v>
      </c>
      <c r="AF166" s="11" t="s">
        <v>5044</v>
      </c>
      <c r="AG166" s="11">
        <v>0</v>
      </c>
      <c r="AH166" s="11" t="s">
        <v>5044</v>
      </c>
      <c r="AI166" s="11" t="s">
        <v>5044</v>
      </c>
      <c r="AJ166" s="11" t="s">
        <v>5044</v>
      </c>
      <c r="AK166" s="11" t="s">
        <v>5511</v>
      </c>
      <c r="AL166" s="11">
        <v>0</v>
      </c>
      <c r="AM166" s="11">
        <v>0</v>
      </c>
      <c r="AN166" s="11" t="s">
        <v>5318</v>
      </c>
      <c r="AO166" s="11">
        <v>9</v>
      </c>
      <c r="AP166" s="11" t="s">
        <v>5318</v>
      </c>
      <c r="AQ166" s="11" t="s">
        <v>5318</v>
      </c>
    </row>
    <row r="167" spans="1:43" ht="63" customHeight="1" x14ac:dyDescent="0.2">
      <c r="A167" s="10">
        <v>2184</v>
      </c>
      <c r="B167" s="11" t="s">
        <v>7040</v>
      </c>
      <c r="C167" s="11" t="s">
        <v>612</v>
      </c>
      <c r="D167" s="11">
        <v>2022</v>
      </c>
      <c r="E167" s="11" t="s">
        <v>5318</v>
      </c>
      <c r="F167" s="11">
        <v>21</v>
      </c>
      <c r="G167" s="11">
        <v>3</v>
      </c>
      <c r="H167" s="11" t="s">
        <v>7041</v>
      </c>
      <c r="I167" s="11" t="s">
        <v>6516</v>
      </c>
      <c r="J167" s="11" t="s">
        <v>7042</v>
      </c>
      <c r="K167" s="11" t="s">
        <v>614</v>
      </c>
      <c r="L167" s="11" t="s">
        <v>5044</v>
      </c>
      <c r="M167" s="11">
        <v>0</v>
      </c>
      <c r="N167" s="9" t="s">
        <v>5044</v>
      </c>
      <c r="O167" s="9" t="s">
        <v>5044</v>
      </c>
      <c r="P167" s="11">
        <v>0</v>
      </c>
      <c r="Q167" s="11">
        <v>0</v>
      </c>
      <c r="R167" s="11">
        <v>0</v>
      </c>
      <c r="S167" s="11">
        <v>1</v>
      </c>
      <c r="T167" s="11">
        <v>4</v>
      </c>
      <c r="U167" s="11">
        <v>122</v>
      </c>
      <c r="V167" s="11">
        <v>0</v>
      </c>
      <c r="W167" s="11">
        <v>1</v>
      </c>
      <c r="X167" s="11">
        <v>0</v>
      </c>
      <c r="Y167" s="11">
        <v>0</v>
      </c>
      <c r="Z167" s="11">
        <v>0</v>
      </c>
      <c r="AA167" s="11">
        <v>0</v>
      </c>
      <c r="AB167" s="11">
        <v>1</v>
      </c>
      <c r="AC167" s="11">
        <v>1</v>
      </c>
      <c r="AD167" s="11" t="s">
        <v>5044</v>
      </c>
      <c r="AE167" s="11" t="s">
        <v>5044</v>
      </c>
      <c r="AF167" s="11" t="s">
        <v>5044</v>
      </c>
      <c r="AG167" s="11">
        <v>1</v>
      </c>
      <c r="AH167" s="11">
        <v>0</v>
      </c>
      <c r="AI167" s="11">
        <v>0</v>
      </c>
      <c r="AJ167" s="11" t="s">
        <v>5044</v>
      </c>
      <c r="AK167" s="11" t="s">
        <v>5318</v>
      </c>
      <c r="AL167" s="11" t="s">
        <v>5044</v>
      </c>
      <c r="AM167" s="11">
        <v>0</v>
      </c>
      <c r="AN167" s="11" t="s">
        <v>5105</v>
      </c>
      <c r="AO167" s="9">
        <v>0</v>
      </c>
      <c r="AP167" s="11" t="s">
        <v>5318</v>
      </c>
      <c r="AQ167" s="11" t="s">
        <v>5318</v>
      </c>
    </row>
    <row r="168" spans="1:43" ht="63" customHeight="1" x14ac:dyDescent="0.2">
      <c r="A168" s="10">
        <v>2226</v>
      </c>
      <c r="B168" s="11" t="s">
        <v>7048</v>
      </c>
      <c r="C168" s="11" t="s">
        <v>620</v>
      </c>
      <c r="D168" s="11">
        <v>2022</v>
      </c>
      <c r="E168" s="11" t="s">
        <v>5318</v>
      </c>
      <c r="F168" s="11">
        <v>9</v>
      </c>
      <c r="G168" s="11" t="s">
        <v>5318</v>
      </c>
      <c r="H168" s="11" t="s">
        <v>7049</v>
      </c>
      <c r="I168" s="11" t="s">
        <v>6516</v>
      </c>
      <c r="J168" s="11" t="s">
        <v>7050</v>
      </c>
      <c r="K168" s="11" t="s">
        <v>622</v>
      </c>
      <c r="L168" s="16" t="s">
        <v>5513</v>
      </c>
      <c r="M168" s="11">
        <v>0</v>
      </c>
      <c r="N168" s="9" t="s">
        <v>5044</v>
      </c>
      <c r="O168" s="9" t="s">
        <v>5044</v>
      </c>
      <c r="P168" s="11">
        <v>1</v>
      </c>
      <c r="Q168" s="11">
        <v>0</v>
      </c>
      <c r="R168" s="11">
        <v>0</v>
      </c>
      <c r="S168" s="11">
        <v>9</v>
      </c>
      <c r="T168" s="11">
        <v>4</v>
      </c>
      <c r="U168" s="11">
        <v>80</v>
      </c>
      <c r="V168" s="11">
        <v>0</v>
      </c>
      <c r="W168" s="11">
        <v>1</v>
      </c>
      <c r="X168" s="11">
        <v>0</v>
      </c>
      <c r="Y168" s="11">
        <v>0</v>
      </c>
      <c r="Z168" s="11">
        <v>0</v>
      </c>
      <c r="AA168" s="11">
        <v>0</v>
      </c>
      <c r="AB168" s="11">
        <v>1</v>
      </c>
      <c r="AC168" s="11">
        <v>1</v>
      </c>
      <c r="AD168" s="11" t="s">
        <v>5044</v>
      </c>
      <c r="AE168" s="11" t="s">
        <v>5044</v>
      </c>
      <c r="AF168" s="11" t="s">
        <v>5044</v>
      </c>
      <c r="AG168" s="11">
        <v>2</v>
      </c>
      <c r="AH168" s="11">
        <v>1</v>
      </c>
      <c r="AI168" s="11">
        <v>1</v>
      </c>
      <c r="AJ168" s="11" t="s">
        <v>5044</v>
      </c>
      <c r="AK168" s="11" t="s">
        <v>5318</v>
      </c>
      <c r="AL168" s="11">
        <v>0</v>
      </c>
      <c r="AM168" s="11">
        <v>0</v>
      </c>
      <c r="AN168" s="11" t="s">
        <v>5318</v>
      </c>
      <c r="AO168" s="11">
        <v>1</v>
      </c>
      <c r="AP168" s="11" t="s">
        <v>5318</v>
      </c>
      <c r="AQ168" s="11" t="s">
        <v>5318</v>
      </c>
    </row>
    <row r="169" spans="1:43" ht="63" customHeight="1" x14ac:dyDescent="0.2">
      <c r="A169" s="10">
        <v>2242</v>
      </c>
      <c r="B169" s="11" t="s">
        <v>7053</v>
      </c>
      <c r="C169" s="11" t="s">
        <v>625</v>
      </c>
      <c r="D169" s="11">
        <v>2018</v>
      </c>
      <c r="E169" s="11" t="s">
        <v>5318</v>
      </c>
      <c r="F169" s="11">
        <v>267</v>
      </c>
      <c r="G169" s="11">
        <v>3</v>
      </c>
      <c r="H169" s="11" t="s">
        <v>6533</v>
      </c>
      <c r="I169" s="11" t="s">
        <v>6878</v>
      </c>
      <c r="J169" s="11" t="s">
        <v>7054</v>
      </c>
      <c r="K169" s="11" t="s">
        <v>627</v>
      </c>
      <c r="L169" s="12" t="s">
        <v>5515</v>
      </c>
      <c r="M169" s="11">
        <v>0</v>
      </c>
      <c r="N169" s="9" t="s">
        <v>5044</v>
      </c>
      <c r="O169" s="9" t="s">
        <v>5044</v>
      </c>
      <c r="P169" s="11">
        <v>0</v>
      </c>
      <c r="Q169" s="11">
        <v>0</v>
      </c>
      <c r="R169" s="11">
        <v>0</v>
      </c>
      <c r="S169" s="11">
        <v>1</v>
      </c>
      <c r="T169" s="11">
        <v>2</v>
      </c>
      <c r="U169" s="11">
        <v>280</v>
      </c>
      <c r="V169" s="11">
        <v>0</v>
      </c>
      <c r="W169" s="11">
        <v>1</v>
      </c>
      <c r="X169" s="11">
        <v>0</v>
      </c>
      <c r="Y169" s="11">
        <v>0</v>
      </c>
      <c r="Z169" s="11">
        <v>0</v>
      </c>
      <c r="AA169" s="11">
        <v>0</v>
      </c>
      <c r="AB169" s="11">
        <v>1</v>
      </c>
      <c r="AC169" s="11">
        <v>1</v>
      </c>
      <c r="AD169" s="11" t="s">
        <v>5044</v>
      </c>
      <c r="AE169" s="11" t="s">
        <v>5044</v>
      </c>
      <c r="AF169" s="11" t="s">
        <v>5044</v>
      </c>
      <c r="AG169" s="11">
        <v>2</v>
      </c>
      <c r="AH169" s="11">
        <v>3</v>
      </c>
      <c r="AI169" s="11">
        <v>0</v>
      </c>
      <c r="AJ169" s="11" t="s">
        <v>5044</v>
      </c>
      <c r="AK169" s="11">
        <v>1</v>
      </c>
      <c r="AL169" s="11">
        <v>1</v>
      </c>
      <c r="AM169" s="11">
        <v>0</v>
      </c>
      <c r="AN169" s="11" t="s">
        <v>5318</v>
      </c>
      <c r="AO169" s="11">
        <v>3</v>
      </c>
      <c r="AP169" s="11" t="s">
        <v>5318</v>
      </c>
      <c r="AQ169" s="11" t="s">
        <v>5318</v>
      </c>
    </row>
    <row r="170" spans="1:43" ht="63" customHeight="1" x14ac:dyDescent="0.2">
      <c r="A170" s="10">
        <v>2252</v>
      </c>
      <c r="B170" s="11" t="s">
        <v>7055</v>
      </c>
      <c r="C170" s="11" t="s">
        <v>628</v>
      </c>
      <c r="D170" s="11">
        <v>2019</v>
      </c>
      <c r="E170" s="11" t="s">
        <v>5318</v>
      </c>
      <c r="F170" s="11">
        <v>23</v>
      </c>
      <c r="G170" s="11">
        <v>8</v>
      </c>
      <c r="H170" s="11" t="s">
        <v>6725</v>
      </c>
      <c r="I170" s="11" t="s">
        <v>6516</v>
      </c>
      <c r="J170" s="11" t="s">
        <v>7056</v>
      </c>
      <c r="K170" s="11" t="s">
        <v>629</v>
      </c>
      <c r="L170" s="16" t="s">
        <v>5516</v>
      </c>
      <c r="M170" s="11">
        <v>0</v>
      </c>
      <c r="N170" s="9" t="s">
        <v>5044</v>
      </c>
      <c r="O170" s="9" t="s">
        <v>5044</v>
      </c>
      <c r="P170" s="11">
        <v>0</v>
      </c>
      <c r="Q170" s="11">
        <v>0</v>
      </c>
      <c r="R170" s="11">
        <v>0</v>
      </c>
      <c r="S170" s="11">
        <v>1</v>
      </c>
      <c r="T170" s="11">
        <v>6</v>
      </c>
      <c r="U170" s="11">
        <v>72</v>
      </c>
      <c r="V170" s="11">
        <v>0</v>
      </c>
      <c r="W170" s="11">
        <v>1</v>
      </c>
      <c r="X170" s="11">
        <v>0</v>
      </c>
      <c r="Y170" s="11">
        <v>0</v>
      </c>
      <c r="Z170" s="11">
        <v>0</v>
      </c>
      <c r="AA170" s="11">
        <v>0</v>
      </c>
      <c r="AB170" s="11">
        <v>1</v>
      </c>
      <c r="AC170" s="11">
        <v>1</v>
      </c>
      <c r="AD170" s="11" t="s">
        <v>5044</v>
      </c>
      <c r="AE170" s="11" t="s">
        <v>5044</v>
      </c>
      <c r="AF170" s="11" t="s">
        <v>5044</v>
      </c>
      <c r="AG170" s="11">
        <v>1</v>
      </c>
      <c r="AH170" s="11">
        <v>0</v>
      </c>
      <c r="AI170" s="11">
        <v>0</v>
      </c>
      <c r="AJ170" s="11" t="s">
        <v>5044</v>
      </c>
      <c r="AK170" s="11" t="s">
        <v>5318</v>
      </c>
      <c r="AL170" s="11">
        <v>0</v>
      </c>
      <c r="AM170" s="11">
        <v>0</v>
      </c>
      <c r="AN170" s="11" t="s">
        <v>5318</v>
      </c>
      <c r="AO170" s="9">
        <v>0</v>
      </c>
      <c r="AP170" s="11" t="s">
        <v>5318</v>
      </c>
      <c r="AQ170" s="11" t="s">
        <v>5318</v>
      </c>
    </row>
    <row r="171" spans="1:43" ht="63" customHeight="1" x14ac:dyDescent="0.2">
      <c r="A171" s="10">
        <v>2256</v>
      </c>
      <c r="B171" s="11" t="s">
        <v>7057</v>
      </c>
      <c r="C171" s="11" t="s">
        <v>630</v>
      </c>
      <c r="D171" s="11">
        <v>2019</v>
      </c>
      <c r="E171" s="11" t="s">
        <v>5318</v>
      </c>
      <c r="F171" s="11">
        <v>2019</v>
      </c>
      <c r="G171" s="11" t="s">
        <v>5318</v>
      </c>
      <c r="H171" s="11" t="s">
        <v>7058</v>
      </c>
      <c r="I171" s="11" t="s">
        <v>6516</v>
      </c>
      <c r="J171" s="11" t="s">
        <v>7059</v>
      </c>
      <c r="K171" s="11" t="s">
        <v>631</v>
      </c>
      <c r="L171" s="12" t="s">
        <v>5517</v>
      </c>
      <c r="M171" s="11">
        <v>0</v>
      </c>
      <c r="N171" s="9" t="s">
        <v>5044</v>
      </c>
      <c r="O171" s="9" t="s">
        <v>5044</v>
      </c>
      <c r="P171" s="11">
        <v>0</v>
      </c>
      <c r="Q171" s="11">
        <v>0</v>
      </c>
      <c r="R171" s="11">
        <v>0</v>
      </c>
      <c r="S171" s="11">
        <v>9</v>
      </c>
      <c r="T171" s="11">
        <v>4</v>
      </c>
      <c r="U171" s="11">
        <v>306</v>
      </c>
      <c r="V171" s="11">
        <v>1</v>
      </c>
      <c r="W171" s="11">
        <v>0</v>
      </c>
      <c r="X171" s="11">
        <v>0</v>
      </c>
      <c r="Y171" s="11">
        <v>0</v>
      </c>
      <c r="Z171" s="11">
        <v>0</v>
      </c>
      <c r="AA171" s="11">
        <v>0</v>
      </c>
      <c r="AB171" s="11">
        <v>1</v>
      </c>
      <c r="AC171" s="11">
        <v>1</v>
      </c>
      <c r="AD171" s="11">
        <v>1</v>
      </c>
      <c r="AE171" s="11">
        <v>0</v>
      </c>
      <c r="AF171" s="11">
        <v>0</v>
      </c>
      <c r="AG171" s="11" t="s">
        <v>5044</v>
      </c>
      <c r="AH171" s="11" t="s">
        <v>5044</v>
      </c>
      <c r="AI171" s="11" t="s">
        <v>5044</v>
      </c>
      <c r="AJ171" s="11" t="s">
        <v>5044</v>
      </c>
      <c r="AK171" s="11" t="s">
        <v>5318</v>
      </c>
      <c r="AL171" s="11">
        <v>0</v>
      </c>
      <c r="AM171" s="11">
        <v>0</v>
      </c>
      <c r="AN171" s="11" t="s">
        <v>5318</v>
      </c>
      <c r="AO171" s="9">
        <v>0</v>
      </c>
      <c r="AP171" s="11" t="s">
        <v>5318</v>
      </c>
      <c r="AQ171" s="11" t="s">
        <v>5318</v>
      </c>
    </row>
    <row r="172" spans="1:43" ht="63" customHeight="1" x14ac:dyDescent="0.2">
      <c r="A172" s="10">
        <v>2272</v>
      </c>
      <c r="B172" s="11" t="s">
        <v>7060</v>
      </c>
      <c r="C172" s="11" t="s">
        <v>632</v>
      </c>
      <c r="D172" s="11">
        <v>2021</v>
      </c>
      <c r="E172" s="11" t="s">
        <v>5318</v>
      </c>
      <c r="F172" s="11">
        <v>274</v>
      </c>
      <c r="G172" s="11">
        <v>6</v>
      </c>
      <c r="H172" s="11" t="s">
        <v>6533</v>
      </c>
      <c r="I172" s="11" t="s">
        <v>6516</v>
      </c>
      <c r="J172" s="11" t="s">
        <v>7061</v>
      </c>
      <c r="K172" s="11" t="s">
        <v>633</v>
      </c>
      <c r="L172" s="12" t="s">
        <v>5518</v>
      </c>
      <c r="M172" s="11">
        <v>0</v>
      </c>
      <c r="N172" s="9" t="s">
        <v>5044</v>
      </c>
      <c r="O172" s="9" t="s">
        <v>5044</v>
      </c>
      <c r="P172" s="11">
        <v>1</v>
      </c>
      <c r="Q172" s="11">
        <v>0</v>
      </c>
      <c r="R172" s="11">
        <v>0</v>
      </c>
      <c r="S172" s="11">
        <v>1</v>
      </c>
      <c r="T172" s="11">
        <v>4</v>
      </c>
      <c r="U172" s="11">
        <v>101</v>
      </c>
      <c r="V172" s="11">
        <v>0</v>
      </c>
      <c r="W172" s="11">
        <v>1</v>
      </c>
      <c r="X172" s="11">
        <v>0</v>
      </c>
      <c r="Y172" s="11">
        <v>0</v>
      </c>
      <c r="Z172" s="11">
        <v>0</v>
      </c>
      <c r="AA172" s="11">
        <v>0</v>
      </c>
      <c r="AB172" s="11">
        <v>1</v>
      </c>
      <c r="AC172" s="11">
        <v>1</v>
      </c>
      <c r="AD172" s="11" t="s">
        <v>5044</v>
      </c>
      <c r="AE172" s="11" t="s">
        <v>5044</v>
      </c>
      <c r="AF172" s="11" t="s">
        <v>5044</v>
      </c>
      <c r="AG172" s="11">
        <v>2</v>
      </c>
      <c r="AH172" s="11">
        <v>1</v>
      </c>
      <c r="AI172" s="11">
        <v>1</v>
      </c>
      <c r="AJ172" s="11" t="s">
        <v>5044</v>
      </c>
      <c r="AK172" s="11" t="s">
        <v>5318</v>
      </c>
      <c r="AL172" s="11" t="s">
        <v>5044</v>
      </c>
      <c r="AM172" s="11">
        <v>0</v>
      </c>
      <c r="AN172" s="11" t="s">
        <v>6293</v>
      </c>
      <c r="AO172" s="11">
        <v>1</v>
      </c>
      <c r="AP172" s="11" t="s">
        <v>5318</v>
      </c>
      <c r="AQ172" s="11" t="s">
        <v>5318</v>
      </c>
    </row>
    <row r="173" spans="1:43" ht="63" customHeight="1" x14ac:dyDescent="0.2">
      <c r="A173" s="10">
        <v>2289</v>
      </c>
      <c r="B173" s="11" t="s">
        <v>7062</v>
      </c>
      <c r="C173" s="11" t="s">
        <v>634</v>
      </c>
      <c r="D173" s="11">
        <v>2018</v>
      </c>
      <c r="E173" s="11" t="s">
        <v>5318</v>
      </c>
      <c r="F173" s="11">
        <v>267</v>
      </c>
      <c r="G173" s="11">
        <v>1</v>
      </c>
      <c r="H173" s="11" t="s">
        <v>6533</v>
      </c>
      <c r="I173" s="11" t="s">
        <v>6516</v>
      </c>
      <c r="J173" s="11" t="s">
        <v>7063</v>
      </c>
      <c r="K173" s="11" t="s">
        <v>635</v>
      </c>
      <c r="L173" s="12">
        <v>9800</v>
      </c>
      <c r="M173" s="11">
        <v>0</v>
      </c>
      <c r="N173" s="9" t="s">
        <v>5044</v>
      </c>
      <c r="O173" s="9" t="s">
        <v>5044</v>
      </c>
      <c r="P173" s="11">
        <v>0</v>
      </c>
      <c r="Q173" s="11">
        <v>0</v>
      </c>
      <c r="R173" s="11">
        <v>0</v>
      </c>
      <c r="S173" s="11">
        <v>1</v>
      </c>
      <c r="T173" s="11">
        <v>4</v>
      </c>
      <c r="U173" s="11">
        <v>86</v>
      </c>
      <c r="V173" s="11">
        <v>0</v>
      </c>
      <c r="W173" s="11">
        <v>1</v>
      </c>
      <c r="X173" s="11">
        <v>0</v>
      </c>
      <c r="Y173" s="11">
        <v>0</v>
      </c>
      <c r="Z173" s="11">
        <v>0</v>
      </c>
      <c r="AA173" s="11">
        <v>0</v>
      </c>
      <c r="AB173" s="11">
        <v>1</v>
      </c>
      <c r="AC173" s="11">
        <v>1</v>
      </c>
      <c r="AD173" s="11" t="s">
        <v>5044</v>
      </c>
      <c r="AE173" s="11" t="s">
        <v>5044</v>
      </c>
      <c r="AF173" s="11" t="s">
        <v>5044</v>
      </c>
      <c r="AG173" s="11">
        <v>2</v>
      </c>
      <c r="AH173" s="11">
        <v>1</v>
      </c>
      <c r="AI173" s="11">
        <v>2</v>
      </c>
      <c r="AJ173" s="11" t="s">
        <v>5044</v>
      </c>
      <c r="AK173" s="11" t="s">
        <v>5318</v>
      </c>
      <c r="AL173" s="11">
        <v>0</v>
      </c>
      <c r="AM173" s="11">
        <v>0</v>
      </c>
      <c r="AN173" s="11" t="s">
        <v>5318</v>
      </c>
      <c r="AO173" s="11">
        <v>1</v>
      </c>
      <c r="AP173" s="11" t="s">
        <v>5318</v>
      </c>
      <c r="AQ173" s="11" t="s">
        <v>5318</v>
      </c>
    </row>
    <row r="174" spans="1:43" ht="63" customHeight="1" x14ac:dyDescent="0.2">
      <c r="A174" s="10">
        <v>2306</v>
      </c>
      <c r="B174" s="11" t="s">
        <v>7064</v>
      </c>
      <c r="C174" s="11" t="s">
        <v>636</v>
      </c>
      <c r="D174" s="11">
        <v>2021</v>
      </c>
      <c r="E174" s="11" t="s">
        <v>5318</v>
      </c>
      <c r="F174" s="11">
        <v>17</v>
      </c>
      <c r="G174" s="11">
        <v>3</v>
      </c>
      <c r="H174" s="11" t="s">
        <v>7065</v>
      </c>
      <c r="I174" s="11" t="s">
        <v>6516</v>
      </c>
      <c r="J174" s="11" t="s">
        <v>7066</v>
      </c>
      <c r="K174" s="11" t="s">
        <v>637</v>
      </c>
      <c r="L174" s="16" t="s">
        <v>5519</v>
      </c>
      <c r="M174" s="11">
        <v>0</v>
      </c>
      <c r="N174" s="9" t="s">
        <v>5044</v>
      </c>
      <c r="O174" s="9" t="s">
        <v>5044</v>
      </c>
      <c r="P174" s="11">
        <v>0</v>
      </c>
      <c r="Q174" s="11">
        <v>0</v>
      </c>
      <c r="R174" s="11">
        <v>0</v>
      </c>
      <c r="S174" s="11">
        <v>1</v>
      </c>
      <c r="T174" s="11">
        <v>1</v>
      </c>
      <c r="U174" s="11">
        <v>74</v>
      </c>
      <c r="V174" s="11">
        <v>0</v>
      </c>
      <c r="W174" s="11">
        <v>1</v>
      </c>
      <c r="X174" s="11">
        <v>0</v>
      </c>
      <c r="Y174" s="11">
        <v>0</v>
      </c>
      <c r="Z174" s="11">
        <v>0</v>
      </c>
      <c r="AA174" s="11">
        <v>0</v>
      </c>
      <c r="AB174" s="11">
        <v>1</v>
      </c>
      <c r="AC174" s="11">
        <v>1</v>
      </c>
      <c r="AD174" s="11" t="s">
        <v>5044</v>
      </c>
      <c r="AE174" s="11" t="s">
        <v>5044</v>
      </c>
      <c r="AF174" s="11" t="s">
        <v>5044</v>
      </c>
      <c r="AG174" s="11">
        <v>2</v>
      </c>
      <c r="AH174" s="11">
        <v>3</v>
      </c>
      <c r="AI174" s="11">
        <v>0</v>
      </c>
      <c r="AJ174" s="11" t="s">
        <v>5044</v>
      </c>
      <c r="AK174" s="11" t="s">
        <v>5318</v>
      </c>
      <c r="AL174" s="11">
        <v>0</v>
      </c>
      <c r="AM174" s="11">
        <v>0</v>
      </c>
      <c r="AN174" s="11" t="s">
        <v>5318</v>
      </c>
      <c r="AO174" s="11">
        <v>3</v>
      </c>
      <c r="AP174" s="11" t="s">
        <v>5318</v>
      </c>
      <c r="AQ174" s="11" t="s">
        <v>5318</v>
      </c>
    </row>
    <row r="175" spans="1:43" ht="63" customHeight="1" x14ac:dyDescent="0.2">
      <c r="A175" s="10">
        <v>2318</v>
      </c>
      <c r="B175" s="11" t="s">
        <v>7067</v>
      </c>
      <c r="C175" s="11" t="s">
        <v>639</v>
      </c>
      <c r="D175" s="11">
        <v>2017</v>
      </c>
      <c r="E175" s="11" t="s">
        <v>5318</v>
      </c>
      <c r="F175" s="11">
        <v>71</v>
      </c>
      <c r="G175" s="11">
        <v>5</v>
      </c>
      <c r="H175" s="11" t="s">
        <v>6515</v>
      </c>
      <c r="I175" s="11" t="s">
        <v>6516</v>
      </c>
      <c r="J175" s="11" t="s">
        <v>7068</v>
      </c>
      <c r="K175" s="11" t="s">
        <v>641</v>
      </c>
      <c r="L175" s="11" t="s">
        <v>5044</v>
      </c>
      <c r="M175" s="11">
        <v>0</v>
      </c>
      <c r="N175" s="9" t="s">
        <v>5044</v>
      </c>
      <c r="O175" s="9" t="s">
        <v>5044</v>
      </c>
      <c r="P175" s="11">
        <v>0</v>
      </c>
      <c r="Q175" s="11">
        <v>0</v>
      </c>
      <c r="R175" s="11">
        <v>0</v>
      </c>
      <c r="S175" s="11">
        <v>3</v>
      </c>
      <c r="T175" s="11">
        <v>1</v>
      </c>
      <c r="U175" s="11">
        <v>66</v>
      </c>
      <c r="V175" s="11">
        <v>0</v>
      </c>
      <c r="W175" s="11">
        <v>1</v>
      </c>
      <c r="X175" s="11">
        <v>0</v>
      </c>
      <c r="Y175" s="11">
        <v>0</v>
      </c>
      <c r="Z175" s="11">
        <v>0</v>
      </c>
      <c r="AA175" s="11">
        <v>0</v>
      </c>
      <c r="AB175" s="11">
        <v>1</v>
      </c>
      <c r="AC175" s="11">
        <v>1</v>
      </c>
      <c r="AD175" s="11" t="s">
        <v>5044</v>
      </c>
      <c r="AE175" s="11" t="s">
        <v>5044</v>
      </c>
      <c r="AF175" s="11" t="s">
        <v>5044</v>
      </c>
      <c r="AG175" s="11">
        <v>2</v>
      </c>
      <c r="AH175" s="11">
        <v>3</v>
      </c>
      <c r="AI175" s="11">
        <v>0</v>
      </c>
      <c r="AJ175" s="11" t="s">
        <v>5044</v>
      </c>
      <c r="AK175" s="11">
        <v>1</v>
      </c>
      <c r="AL175" s="11">
        <v>1</v>
      </c>
      <c r="AM175" s="11">
        <v>0</v>
      </c>
      <c r="AN175" s="11" t="s">
        <v>5318</v>
      </c>
      <c r="AO175" s="11">
        <v>3</v>
      </c>
      <c r="AP175" s="11" t="s">
        <v>5318</v>
      </c>
      <c r="AQ175" s="11" t="s">
        <v>5318</v>
      </c>
    </row>
    <row r="176" spans="1:43" ht="63" customHeight="1" x14ac:dyDescent="0.2">
      <c r="A176" s="10">
        <v>2319</v>
      </c>
      <c r="B176" s="11" t="s">
        <v>7069</v>
      </c>
      <c r="C176" s="11" t="s">
        <v>642</v>
      </c>
      <c r="D176" s="11">
        <v>2023</v>
      </c>
      <c r="E176" s="11" t="s">
        <v>5318</v>
      </c>
      <c r="F176" s="11">
        <v>83</v>
      </c>
      <c r="G176" s="11">
        <v>2</v>
      </c>
      <c r="H176" s="11" t="s">
        <v>6515</v>
      </c>
      <c r="I176" s="11" t="s">
        <v>6516</v>
      </c>
      <c r="J176" s="11" t="s">
        <v>7070</v>
      </c>
      <c r="K176" s="11" t="s">
        <v>643</v>
      </c>
      <c r="L176" s="12" t="s">
        <v>5520</v>
      </c>
      <c r="M176" s="11">
        <v>0</v>
      </c>
      <c r="N176" s="9" t="s">
        <v>5044</v>
      </c>
      <c r="O176" s="9" t="s">
        <v>5044</v>
      </c>
      <c r="P176" s="11">
        <v>0</v>
      </c>
      <c r="Q176" s="11">
        <v>0</v>
      </c>
      <c r="R176" s="11">
        <v>0</v>
      </c>
      <c r="S176" s="11">
        <v>3</v>
      </c>
      <c r="T176" s="11">
        <v>1</v>
      </c>
      <c r="U176" s="11">
        <v>260</v>
      </c>
      <c r="V176" s="11">
        <v>0</v>
      </c>
      <c r="W176" s="11">
        <v>1</v>
      </c>
      <c r="X176" s="11">
        <v>0</v>
      </c>
      <c r="Y176" s="11">
        <v>0</v>
      </c>
      <c r="Z176" s="11">
        <v>0</v>
      </c>
      <c r="AA176" s="11">
        <v>0</v>
      </c>
      <c r="AB176" s="11">
        <v>1</v>
      </c>
      <c r="AC176" s="11">
        <v>1</v>
      </c>
      <c r="AD176" s="11" t="s">
        <v>5044</v>
      </c>
      <c r="AE176" s="11" t="s">
        <v>5044</v>
      </c>
      <c r="AF176" s="11" t="s">
        <v>5044</v>
      </c>
      <c r="AG176" s="11">
        <v>1</v>
      </c>
      <c r="AH176" s="11">
        <v>0</v>
      </c>
      <c r="AI176" s="11">
        <v>0</v>
      </c>
      <c r="AJ176" s="11" t="s">
        <v>5044</v>
      </c>
      <c r="AK176" s="11" t="s">
        <v>5318</v>
      </c>
      <c r="AL176" s="11">
        <v>1</v>
      </c>
      <c r="AM176" s="11">
        <v>0</v>
      </c>
      <c r="AN176" s="11" t="s">
        <v>5318</v>
      </c>
      <c r="AO176" s="9">
        <v>0</v>
      </c>
      <c r="AP176" s="11" t="s">
        <v>5318</v>
      </c>
      <c r="AQ176" s="11" t="s">
        <v>5318</v>
      </c>
    </row>
    <row r="177" spans="1:43" ht="63" customHeight="1" x14ac:dyDescent="0.2">
      <c r="A177" s="10">
        <v>2327</v>
      </c>
      <c r="B177" s="11" t="s">
        <v>7071</v>
      </c>
      <c r="C177" s="11" t="s">
        <v>644</v>
      </c>
      <c r="D177" s="11">
        <v>2020</v>
      </c>
      <c r="E177" s="11" t="s">
        <v>5318</v>
      </c>
      <c r="F177" s="11">
        <v>272</v>
      </c>
      <c r="G177" s="11">
        <v>1</v>
      </c>
      <c r="H177" s="11" t="s">
        <v>6533</v>
      </c>
      <c r="I177" s="11" t="s">
        <v>6516</v>
      </c>
      <c r="J177" s="11" t="s">
        <v>7072</v>
      </c>
      <c r="K177" s="11" t="s">
        <v>646</v>
      </c>
      <c r="L177" s="16" t="s">
        <v>5521</v>
      </c>
      <c r="M177" s="11">
        <v>0</v>
      </c>
      <c r="N177" s="9" t="s">
        <v>5044</v>
      </c>
      <c r="O177" s="9" t="s">
        <v>5044</v>
      </c>
      <c r="P177" s="11">
        <v>0</v>
      </c>
      <c r="Q177" s="11">
        <v>0</v>
      </c>
      <c r="R177" s="11">
        <v>0</v>
      </c>
      <c r="S177" s="11">
        <v>1</v>
      </c>
      <c r="T177" s="11">
        <v>1</v>
      </c>
      <c r="U177" s="11">
        <v>456</v>
      </c>
      <c r="V177" s="11">
        <v>0</v>
      </c>
      <c r="W177" s="11">
        <v>1</v>
      </c>
      <c r="X177" s="11">
        <v>0</v>
      </c>
      <c r="Y177" s="11">
        <v>0</v>
      </c>
      <c r="Z177" s="11">
        <v>0</v>
      </c>
      <c r="AA177" s="11">
        <v>0</v>
      </c>
      <c r="AB177" s="11">
        <v>1</v>
      </c>
      <c r="AC177" s="11">
        <v>1</v>
      </c>
      <c r="AD177" s="11" t="s">
        <v>5044</v>
      </c>
      <c r="AE177" s="11" t="s">
        <v>5044</v>
      </c>
      <c r="AF177" s="11" t="s">
        <v>5044</v>
      </c>
      <c r="AG177" s="11">
        <v>2</v>
      </c>
      <c r="AH177" s="11">
        <v>1</v>
      </c>
      <c r="AI177" s="11">
        <v>2</v>
      </c>
      <c r="AJ177" s="11" t="s">
        <v>5044</v>
      </c>
      <c r="AK177" s="11" t="s">
        <v>5318</v>
      </c>
      <c r="AL177" s="11">
        <v>1</v>
      </c>
      <c r="AM177" s="11">
        <v>0</v>
      </c>
      <c r="AN177" s="11" t="s">
        <v>5318</v>
      </c>
      <c r="AO177" s="11">
        <v>1</v>
      </c>
      <c r="AP177" s="11" t="s">
        <v>5318</v>
      </c>
      <c r="AQ177" s="11" t="s">
        <v>5318</v>
      </c>
    </row>
    <row r="178" spans="1:43" ht="63" customHeight="1" x14ac:dyDescent="0.2">
      <c r="A178" s="10">
        <v>2339</v>
      </c>
      <c r="B178" s="11" t="s">
        <v>7073</v>
      </c>
      <c r="C178" s="11" t="s">
        <v>647</v>
      </c>
      <c r="D178" s="11">
        <v>2018</v>
      </c>
      <c r="E178" s="11" t="s">
        <v>5318</v>
      </c>
      <c r="F178" s="11">
        <v>32</v>
      </c>
      <c r="G178" s="11">
        <v>6</v>
      </c>
      <c r="H178" s="11" t="s">
        <v>6624</v>
      </c>
      <c r="I178" s="11" t="s">
        <v>6516</v>
      </c>
      <c r="J178" s="11" t="s">
        <v>7074</v>
      </c>
      <c r="K178" s="11" t="s">
        <v>648</v>
      </c>
      <c r="L178" s="12" t="s">
        <v>5522</v>
      </c>
      <c r="M178" s="11">
        <v>0</v>
      </c>
      <c r="N178" s="9" t="s">
        <v>5044</v>
      </c>
      <c r="O178" s="9" t="s">
        <v>5044</v>
      </c>
      <c r="P178" s="11">
        <v>0</v>
      </c>
      <c r="Q178" s="11">
        <v>0</v>
      </c>
      <c r="R178" s="11">
        <v>1</v>
      </c>
      <c r="S178" s="11">
        <v>1</v>
      </c>
      <c r="T178" s="11">
        <v>1</v>
      </c>
      <c r="U178" s="11">
        <v>79</v>
      </c>
      <c r="V178" s="11">
        <v>0</v>
      </c>
      <c r="W178" s="11">
        <v>1</v>
      </c>
      <c r="X178" s="11">
        <v>0</v>
      </c>
      <c r="Y178" s="11">
        <v>0</v>
      </c>
      <c r="Z178" s="11">
        <v>0</v>
      </c>
      <c r="AA178" s="11">
        <v>0</v>
      </c>
      <c r="AB178" s="11">
        <v>1</v>
      </c>
      <c r="AC178" s="11">
        <v>1</v>
      </c>
      <c r="AD178" s="11" t="s">
        <v>5044</v>
      </c>
      <c r="AE178" s="11" t="s">
        <v>5044</v>
      </c>
      <c r="AF178" s="11" t="s">
        <v>5044</v>
      </c>
      <c r="AG178" s="11">
        <v>2</v>
      </c>
      <c r="AH178" s="11">
        <v>2</v>
      </c>
      <c r="AI178" s="11">
        <v>2</v>
      </c>
      <c r="AJ178" s="11" t="s">
        <v>5044</v>
      </c>
      <c r="AK178" s="11" t="s">
        <v>5318</v>
      </c>
      <c r="AL178" s="11">
        <v>0</v>
      </c>
      <c r="AM178" s="11">
        <v>0</v>
      </c>
      <c r="AN178" s="11" t="s">
        <v>5523</v>
      </c>
      <c r="AO178" s="11">
        <v>2</v>
      </c>
      <c r="AP178" s="11" t="s">
        <v>5318</v>
      </c>
      <c r="AQ178" s="11" t="s">
        <v>5318</v>
      </c>
    </row>
    <row r="179" spans="1:43" ht="63" customHeight="1" x14ac:dyDescent="0.2">
      <c r="A179" s="10">
        <v>2355</v>
      </c>
      <c r="B179" s="11" t="s">
        <v>7075</v>
      </c>
      <c r="C179" s="11" t="s">
        <v>649</v>
      </c>
      <c r="D179" s="11">
        <v>2021</v>
      </c>
      <c r="E179" s="11" t="s">
        <v>5318</v>
      </c>
      <c r="F179" s="11">
        <v>28</v>
      </c>
      <c r="G179" s="11">
        <v>4</v>
      </c>
      <c r="H179" s="11" t="s">
        <v>7076</v>
      </c>
      <c r="I179" s="11" t="s">
        <v>6516</v>
      </c>
      <c r="J179" s="11" t="s">
        <v>7077</v>
      </c>
      <c r="K179" s="11" t="s">
        <v>651</v>
      </c>
      <c r="L179" s="12" t="s">
        <v>5524</v>
      </c>
      <c r="M179" s="11">
        <v>0</v>
      </c>
      <c r="N179" s="9" t="s">
        <v>5044</v>
      </c>
      <c r="O179" s="9" t="s">
        <v>5044</v>
      </c>
      <c r="P179" s="11">
        <v>0</v>
      </c>
      <c r="Q179" s="11">
        <v>0</v>
      </c>
      <c r="R179" s="11">
        <v>0</v>
      </c>
      <c r="S179" s="11">
        <v>5</v>
      </c>
      <c r="T179" s="11">
        <v>1</v>
      </c>
      <c r="U179" s="11">
        <v>90</v>
      </c>
      <c r="V179" s="11">
        <v>0</v>
      </c>
      <c r="W179" s="11">
        <v>1</v>
      </c>
      <c r="X179" s="11">
        <v>0</v>
      </c>
      <c r="Y179" s="11">
        <v>0</v>
      </c>
      <c r="Z179" s="11">
        <v>0</v>
      </c>
      <c r="AA179" s="11">
        <v>0</v>
      </c>
      <c r="AB179" s="11">
        <v>1</v>
      </c>
      <c r="AC179" s="11">
        <v>1</v>
      </c>
      <c r="AD179" s="11" t="s">
        <v>5044</v>
      </c>
      <c r="AE179" s="11" t="s">
        <v>5044</v>
      </c>
      <c r="AF179" s="11" t="s">
        <v>5044</v>
      </c>
      <c r="AG179" s="11">
        <v>1</v>
      </c>
      <c r="AH179" s="11">
        <v>0</v>
      </c>
      <c r="AI179" s="11">
        <v>0</v>
      </c>
      <c r="AJ179" s="11" t="s">
        <v>5044</v>
      </c>
      <c r="AK179" s="11" t="s">
        <v>5318</v>
      </c>
      <c r="AL179" s="11">
        <v>0</v>
      </c>
      <c r="AM179" s="11">
        <v>0</v>
      </c>
      <c r="AN179" s="11" t="s">
        <v>5318</v>
      </c>
      <c r="AO179" s="9">
        <v>0</v>
      </c>
      <c r="AP179" s="11" t="s">
        <v>5318</v>
      </c>
      <c r="AQ179" s="11" t="s">
        <v>5318</v>
      </c>
    </row>
    <row r="180" spans="1:43" ht="63" customHeight="1" x14ac:dyDescent="0.2">
      <c r="A180" s="10">
        <v>2375</v>
      </c>
      <c r="B180" s="11" t="s">
        <v>7078</v>
      </c>
      <c r="C180" s="11" t="s">
        <v>652</v>
      </c>
      <c r="D180" s="11">
        <v>2019</v>
      </c>
      <c r="E180" s="11" t="s">
        <v>5318</v>
      </c>
      <c r="F180" s="11">
        <v>21</v>
      </c>
      <c r="G180" s="11">
        <v>10</v>
      </c>
      <c r="H180" s="11" t="s">
        <v>6749</v>
      </c>
      <c r="I180" s="11" t="s">
        <v>6516</v>
      </c>
      <c r="J180" s="11" t="s">
        <v>7079</v>
      </c>
      <c r="K180" s="11" t="s">
        <v>653</v>
      </c>
      <c r="L180" s="12" t="s">
        <v>5525</v>
      </c>
      <c r="M180" s="11">
        <v>0</v>
      </c>
      <c r="N180" s="9" t="s">
        <v>5044</v>
      </c>
      <c r="O180" s="9" t="s">
        <v>5044</v>
      </c>
      <c r="P180" s="11">
        <v>0</v>
      </c>
      <c r="Q180" s="11">
        <v>0</v>
      </c>
      <c r="R180" s="11">
        <v>0</v>
      </c>
      <c r="S180" s="11">
        <v>1</v>
      </c>
      <c r="T180" s="11">
        <v>5</v>
      </c>
      <c r="U180" s="11">
        <v>96</v>
      </c>
      <c r="V180" s="11">
        <v>0</v>
      </c>
      <c r="W180" s="11">
        <v>1</v>
      </c>
      <c r="X180" s="11">
        <v>0</v>
      </c>
      <c r="Y180" s="11">
        <v>0</v>
      </c>
      <c r="Z180" s="11">
        <v>0</v>
      </c>
      <c r="AA180" s="11">
        <v>0</v>
      </c>
      <c r="AB180" s="11">
        <v>1</v>
      </c>
      <c r="AC180" s="11">
        <v>1</v>
      </c>
      <c r="AD180" s="11" t="s">
        <v>5044</v>
      </c>
      <c r="AE180" s="11" t="s">
        <v>5044</v>
      </c>
      <c r="AF180" s="11" t="s">
        <v>5044</v>
      </c>
      <c r="AG180" s="11">
        <v>2</v>
      </c>
      <c r="AH180" s="11">
        <v>3</v>
      </c>
      <c r="AI180" s="11">
        <v>0</v>
      </c>
      <c r="AJ180" s="11" t="s">
        <v>5044</v>
      </c>
      <c r="AK180" s="11">
        <v>1</v>
      </c>
      <c r="AL180" s="11">
        <v>0</v>
      </c>
      <c r="AM180" s="11">
        <v>0</v>
      </c>
      <c r="AN180" s="11" t="s">
        <v>5318</v>
      </c>
      <c r="AO180" s="11">
        <v>3</v>
      </c>
      <c r="AP180" s="11" t="s">
        <v>5318</v>
      </c>
      <c r="AQ180" s="11" t="s">
        <v>5318</v>
      </c>
    </row>
    <row r="181" spans="1:43" ht="63" customHeight="1" x14ac:dyDescent="0.2">
      <c r="A181" s="10">
        <v>2380</v>
      </c>
      <c r="B181" s="11" t="s">
        <v>7080</v>
      </c>
      <c r="C181" s="11" t="s">
        <v>654</v>
      </c>
      <c r="D181" s="11">
        <v>2016</v>
      </c>
      <c r="E181" s="11" t="s">
        <v>5318</v>
      </c>
      <c r="F181" s="11">
        <v>387</v>
      </c>
      <c r="G181" s="11">
        <v>10026</v>
      </c>
      <c r="H181" s="11" t="s">
        <v>6349</v>
      </c>
      <c r="I181" s="11" t="s">
        <v>6516</v>
      </c>
      <c r="J181" s="11" t="s">
        <v>7081</v>
      </c>
      <c r="K181" s="11" t="s">
        <v>655</v>
      </c>
      <c r="L181" s="16" t="s">
        <v>5526</v>
      </c>
      <c r="M181" s="11">
        <v>0</v>
      </c>
      <c r="N181" s="9" t="s">
        <v>5044</v>
      </c>
      <c r="O181" s="9" t="s">
        <v>5044</v>
      </c>
      <c r="P181" s="11">
        <v>0</v>
      </c>
      <c r="Q181" s="11">
        <v>0</v>
      </c>
      <c r="R181" s="11">
        <v>0</v>
      </c>
      <c r="S181" s="11">
        <v>1</v>
      </c>
      <c r="T181" s="11">
        <v>1</v>
      </c>
      <c r="U181" s="11">
        <v>2507</v>
      </c>
      <c r="V181" s="11">
        <v>1</v>
      </c>
      <c r="W181" s="11">
        <v>1</v>
      </c>
      <c r="X181" s="11">
        <v>0</v>
      </c>
      <c r="Y181" s="11">
        <v>0</v>
      </c>
      <c r="Z181" s="11">
        <v>0</v>
      </c>
      <c r="AA181" s="11">
        <v>0</v>
      </c>
      <c r="AB181" s="11">
        <v>1</v>
      </c>
      <c r="AC181" s="11">
        <v>1</v>
      </c>
      <c r="AD181" s="11">
        <v>2</v>
      </c>
      <c r="AE181" s="11">
        <v>1</v>
      </c>
      <c r="AF181" s="11">
        <v>2</v>
      </c>
      <c r="AG181" s="11">
        <v>2</v>
      </c>
      <c r="AH181" s="11">
        <v>2</v>
      </c>
      <c r="AI181" s="11">
        <v>2</v>
      </c>
      <c r="AJ181" s="11" t="s">
        <v>5044</v>
      </c>
      <c r="AK181" s="11" t="s">
        <v>5318</v>
      </c>
      <c r="AL181" s="11">
        <v>1</v>
      </c>
      <c r="AM181" s="11">
        <v>0</v>
      </c>
      <c r="AN181" s="11" t="s">
        <v>5318</v>
      </c>
      <c r="AO181" s="11">
        <v>1</v>
      </c>
      <c r="AP181" s="11" t="s">
        <v>5318</v>
      </c>
      <c r="AQ181" s="11" t="s">
        <v>5318</v>
      </c>
    </row>
    <row r="182" spans="1:43" ht="63" customHeight="1" x14ac:dyDescent="0.2">
      <c r="A182" s="10">
        <v>2398</v>
      </c>
      <c r="B182" s="11" t="s">
        <v>7085</v>
      </c>
      <c r="C182" s="11" t="s">
        <v>659</v>
      </c>
      <c r="D182" s="11">
        <v>2021</v>
      </c>
      <c r="E182" s="11" t="s">
        <v>5318</v>
      </c>
      <c r="F182" s="11">
        <v>7</v>
      </c>
      <c r="G182" s="11">
        <v>1</v>
      </c>
      <c r="H182" s="11" t="s">
        <v>6728</v>
      </c>
      <c r="I182" s="11" t="s">
        <v>6516</v>
      </c>
      <c r="J182" s="11" t="s">
        <v>7086</v>
      </c>
      <c r="K182" s="11" t="s">
        <v>660</v>
      </c>
      <c r="L182" s="12" t="s">
        <v>5528</v>
      </c>
      <c r="M182" s="11">
        <v>0</v>
      </c>
      <c r="N182" s="9" t="s">
        <v>5044</v>
      </c>
      <c r="O182" s="9" t="s">
        <v>5044</v>
      </c>
      <c r="P182" s="11">
        <v>1</v>
      </c>
      <c r="Q182" s="11">
        <v>0</v>
      </c>
      <c r="R182" s="11">
        <v>0</v>
      </c>
      <c r="S182" s="11">
        <v>1</v>
      </c>
      <c r="T182" s="11">
        <v>5</v>
      </c>
      <c r="U182" s="11">
        <v>22</v>
      </c>
      <c r="V182" s="11">
        <v>0</v>
      </c>
      <c r="W182" s="11">
        <v>1</v>
      </c>
      <c r="X182" s="11">
        <v>0</v>
      </c>
      <c r="Y182" s="11">
        <v>0</v>
      </c>
      <c r="Z182" s="11">
        <v>0</v>
      </c>
      <c r="AA182" s="11">
        <v>0</v>
      </c>
      <c r="AB182" s="11">
        <v>1</v>
      </c>
      <c r="AC182" s="11">
        <v>1</v>
      </c>
      <c r="AD182" s="11" t="s">
        <v>5044</v>
      </c>
      <c r="AE182" s="11" t="s">
        <v>5044</v>
      </c>
      <c r="AF182" s="11" t="s">
        <v>5044</v>
      </c>
      <c r="AG182" s="11">
        <v>2</v>
      </c>
      <c r="AH182" s="11">
        <v>3</v>
      </c>
      <c r="AI182" s="11">
        <v>0</v>
      </c>
      <c r="AJ182" s="11" t="s">
        <v>5044</v>
      </c>
      <c r="AK182" s="11">
        <v>1</v>
      </c>
      <c r="AL182" s="11" t="s">
        <v>5044</v>
      </c>
      <c r="AM182" s="11">
        <v>0</v>
      </c>
      <c r="AN182" s="11" t="s">
        <v>2539</v>
      </c>
      <c r="AO182" s="11">
        <v>3</v>
      </c>
      <c r="AP182" s="11" t="s">
        <v>5318</v>
      </c>
      <c r="AQ182" s="11" t="s">
        <v>5318</v>
      </c>
    </row>
    <row r="183" spans="1:43" ht="63" customHeight="1" x14ac:dyDescent="0.2">
      <c r="A183" s="10">
        <v>2399</v>
      </c>
      <c r="B183" s="11" t="s">
        <v>7087</v>
      </c>
      <c r="C183" s="11" t="s">
        <v>661</v>
      </c>
      <c r="D183" s="11">
        <v>2022</v>
      </c>
      <c r="E183" s="11" t="s">
        <v>5318</v>
      </c>
      <c r="F183" s="11">
        <v>92</v>
      </c>
      <c r="G183" s="11">
        <v>4</v>
      </c>
      <c r="H183" s="11" t="s">
        <v>7088</v>
      </c>
      <c r="I183" s="11" t="s">
        <v>6516</v>
      </c>
      <c r="J183" s="11" t="s">
        <v>7089</v>
      </c>
      <c r="K183" s="11" t="s">
        <v>664</v>
      </c>
      <c r="L183" s="12" t="s">
        <v>5529</v>
      </c>
      <c r="M183" s="11">
        <v>0</v>
      </c>
      <c r="N183" s="9" t="s">
        <v>5044</v>
      </c>
      <c r="O183" s="9" t="s">
        <v>5044</v>
      </c>
      <c r="P183" s="11">
        <v>0</v>
      </c>
      <c r="Q183" s="11">
        <v>0</v>
      </c>
      <c r="R183" s="11">
        <v>0</v>
      </c>
      <c r="S183" s="11">
        <v>1</v>
      </c>
      <c r="T183" s="11">
        <v>5</v>
      </c>
      <c r="U183" s="11">
        <v>96</v>
      </c>
      <c r="V183" s="11">
        <v>0</v>
      </c>
      <c r="W183" s="11">
        <v>1</v>
      </c>
      <c r="X183" s="11">
        <v>0</v>
      </c>
      <c r="Y183" s="11">
        <v>0</v>
      </c>
      <c r="Z183" s="11">
        <v>0</v>
      </c>
      <c r="AA183" s="11">
        <v>0</v>
      </c>
      <c r="AB183" s="11">
        <v>1</v>
      </c>
      <c r="AC183" s="11">
        <v>1</v>
      </c>
      <c r="AD183" s="11" t="s">
        <v>5044</v>
      </c>
      <c r="AE183" s="11" t="s">
        <v>5044</v>
      </c>
      <c r="AF183" s="11" t="s">
        <v>5044</v>
      </c>
      <c r="AG183" s="11">
        <v>2</v>
      </c>
      <c r="AH183" s="11">
        <v>3</v>
      </c>
      <c r="AI183" s="11">
        <v>0</v>
      </c>
      <c r="AJ183" s="11" t="s">
        <v>5044</v>
      </c>
      <c r="AK183" s="11">
        <v>1</v>
      </c>
      <c r="AL183" s="11">
        <v>0</v>
      </c>
      <c r="AM183" s="11">
        <v>0</v>
      </c>
      <c r="AN183" s="11" t="s">
        <v>5318</v>
      </c>
      <c r="AO183" s="11">
        <v>3</v>
      </c>
      <c r="AP183" s="11" t="s">
        <v>5318</v>
      </c>
      <c r="AQ183" s="11" t="s">
        <v>5318</v>
      </c>
    </row>
    <row r="184" spans="1:43" ht="63" customHeight="1" x14ac:dyDescent="0.2">
      <c r="A184" s="10">
        <v>2419</v>
      </c>
      <c r="B184" s="11" t="s">
        <v>7092</v>
      </c>
      <c r="C184" s="11" t="s">
        <v>667</v>
      </c>
      <c r="D184" s="11">
        <v>2013</v>
      </c>
      <c r="E184" s="11" t="s">
        <v>5318</v>
      </c>
      <c r="F184" s="11">
        <v>100</v>
      </c>
      <c r="G184" s="11">
        <v>1</v>
      </c>
      <c r="H184" s="11" t="s">
        <v>6530</v>
      </c>
      <c r="I184" s="11" t="s">
        <v>6516</v>
      </c>
      <c r="J184" s="11" t="s">
        <v>7093</v>
      </c>
      <c r="K184" s="11" t="s">
        <v>668</v>
      </c>
      <c r="L184" s="16" t="s">
        <v>5531</v>
      </c>
      <c r="M184" s="11">
        <v>0</v>
      </c>
      <c r="N184" s="9" t="s">
        <v>5044</v>
      </c>
      <c r="O184" s="9" t="s">
        <v>5044</v>
      </c>
      <c r="P184" s="11">
        <v>0</v>
      </c>
      <c r="Q184" s="11">
        <v>0</v>
      </c>
      <c r="R184" s="11">
        <v>0</v>
      </c>
      <c r="S184" s="11">
        <v>1</v>
      </c>
      <c r="T184" s="11">
        <v>5</v>
      </c>
      <c r="U184" s="11">
        <v>85</v>
      </c>
      <c r="V184" s="11">
        <v>0</v>
      </c>
      <c r="W184" s="11">
        <v>1</v>
      </c>
      <c r="X184" s="11">
        <v>0</v>
      </c>
      <c r="Y184" s="11">
        <v>0</v>
      </c>
      <c r="Z184" s="11">
        <v>0</v>
      </c>
      <c r="AA184" s="11">
        <v>0</v>
      </c>
      <c r="AB184" s="11">
        <v>1</v>
      </c>
      <c r="AC184" s="11">
        <v>1</v>
      </c>
      <c r="AD184" s="11" t="s">
        <v>5044</v>
      </c>
      <c r="AE184" s="11" t="s">
        <v>5044</v>
      </c>
      <c r="AF184" s="11" t="s">
        <v>5044</v>
      </c>
      <c r="AG184" s="11">
        <v>2</v>
      </c>
      <c r="AH184" s="11">
        <v>3</v>
      </c>
      <c r="AI184" s="11">
        <v>0</v>
      </c>
      <c r="AJ184" s="11" t="s">
        <v>5044</v>
      </c>
      <c r="AK184" s="11">
        <v>1</v>
      </c>
      <c r="AL184" s="11">
        <v>0</v>
      </c>
      <c r="AM184" s="11">
        <v>0</v>
      </c>
      <c r="AN184" s="11" t="s">
        <v>5318</v>
      </c>
      <c r="AO184" s="11">
        <v>3</v>
      </c>
      <c r="AP184" s="11" t="s">
        <v>5318</v>
      </c>
      <c r="AQ184" s="11" t="s">
        <v>5318</v>
      </c>
    </row>
    <row r="185" spans="1:43" ht="63" customHeight="1" x14ac:dyDescent="0.2">
      <c r="A185" s="10">
        <v>2449</v>
      </c>
      <c r="B185" s="11" t="s">
        <v>7094</v>
      </c>
      <c r="C185" s="11" t="s">
        <v>669</v>
      </c>
      <c r="D185" s="11">
        <v>2014</v>
      </c>
      <c r="E185" s="11" t="s">
        <v>5318</v>
      </c>
      <c r="F185" s="11">
        <v>30</v>
      </c>
      <c r="G185" s="11">
        <v>10</v>
      </c>
      <c r="H185" s="11" t="s">
        <v>7095</v>
      </c>
      <c r="I185" s="11" t="s">
        <v>6516</v>
      </c>
      <c r="J185" s="11" t="s">
        <v>7096</v>
      </c>
      <c r="K185" s="11" t="s">
        <v>671</v>
      </c>
      <c r="L185" s="11" t="s">
        <v>5044</v>
      </c>
      <c r="M185" s="11">
        <v>0</v>
      </c>
      <c r="N185" s="9" t="s">
        <v>5044</v>
      </c>
      <c r="O185" s="9" t="s">
        <v>5044</v>
      </c>
      <c r="P185" s="11">
        <v>0</v>
      </c>
      <c r="Q185" s="11">
        <v>0</v>
      </c>
      <c r="R185" s="11">
        <v>0</v>
      </c>
      <c r="S185" s="11" t="s">
        <v>5696</v>
      </c>
      <c r="T185" s="11">
        <v>1</v>
      </c>
      <c r="U185" s="11">
        <v>73</v>
      </c>
      <c r="V185" s="11">
        <v>0</v>
      </c>
      <c r="W185" s="11">
        <v>1</v>
      </c>
      <c r="X185" s="11">
        <v>0</v>
      </c>
      <c r="Y185" s="11">
        <v>0</v>
      </c>
      <c r="Z185" s="11">
        <v>0</v>
      </c>
      <c r="AA185" s="11">
        <v>0</v>
      </c>
      <c r="AB185" s="11">
        <v>0</v>
      </c>
      <c r="AC185" s="11">
        <v>1</v>
      </c>
      <c r="AD185" s="11" t="s">
        <v>5044</v>
      </c>
      <c r="AE185" s="11" t="s">
        <v>5044</v>
      </c>
      <c r="AF185" s="11" t="s">
        <v>5044</v>
      </c>
      <c r="AG185" s="11">
        <v>1</v>
      </c>
      <c r="AH185" s="11">
        <v>0</v>
      </c>
      <c r="AI185" s="11">
        <v>0</v>
      </c>
      <c r="AJ185" s="11" t="s">
        <v>5044</v>
      </c>
      <c r="AK185" s="11" t="s">
        <v>5318</v>
      </c>
      <c r="AL185" s="11" t="s">
        <v>5044</v>
      </c>
      <c r="AM185" s="11">
        <v>0</v>
      </c>
      <c r="AN185" s="11" t="s">
        <v>5105</v>
      </c>
      <c r="AO185" s="9">
        <v>0</v>
      </c>
      <c r="AP185" s="11" t="s">
        <v>5318</v>
      </c>
      <c r="AQ185" s="11" t="s">
        <v>5318</v>
      </c>
    </row>
    <row r="186" spans="1:43" ht="63" customHeight="1" x14ac:dyDescent="0.2">
      <c r="A186" s="10">
        <v>2473</v>
      </c>
      <c r="B186" s="11" t="s">
        <v>7097</v>
      </c>
      <c r="C186" s="11" t="s">
        <v>672</v>
      </c>
      <c r="D186" s="11">
        <v>2021</v>
      </c>
      <c r="E186" s="11" t="s">
        <v>5318</v>
      </c>
      <c r="F186" s="11">
        <v>21</v>
      </c>
      <c r="G186" s="11">
        <v>4</v>
      </c>
      <c r="H186" s="11" t="s">
        <v>7098</v>
      </c>
      <c r="I186" s="11" t="s">
        <v>6516</v>
      </c>
      <c r="J186" s="11" t="s">
        <v>7099</v>
      </c>
      <c r="K186" s="11" t="s">
        <v>673</v>
      </c>
      <c r="L186" s="11" t="s">
        <v>5044</v>
      </c>
      <c r="M186" s="11">
        <v>0</v>
      </c>
      <c r="N186" s="9" t="s">
        <v>5044</v>
      </c>
      <c r="O186" s="9" t="s">
        <v>5044</v>
      </c>
      <c r="P186" s="11">
        <v>0</v>
      </c>
      <c r="Q186" s="11">
        <v>0</v>
      </c>
      <c r="R186" s="11">
        <v>0</v>
      </c>
      <c r="S186" s="11">
        <v>2</v>
      </c>
      <c r="T186" s="11">
        <v>2</v>
      </c>
      <c r="U186" s="11">
        <v>20</v>
      </c>
      <c r="V186" s="11">
        <v>0</v>
      </c>
      <c r="W186" s="11">
        <v>1</v>
      </c>
      <c r="X186" s="11">
        <v>0</v>
      </c>
      <c r="Y186" s="11">
        <v>0</v>
      </c>
      <c r="Z186" s="11">
        <v>0</v>
      </c>
      <c r="AA186" s="11">
        <v>0</v>
      </c>
      <c r="AB186" s="11">
        <v>0</v>
      </c>
      <c r="AC186" s="11">
        <v>1</v>
      </c>
      <c r="AD186" s="11" t="s">
        <v>5044</v>
      </c>
      <c r="AE186" s="11" t="s">
        <v>5044</v>
      </c>
      <c r="AF186" s="11" t="s">
        <v>5044</v>
      </c>
      <c r="AG186" s="11">
        <v>2</v>
      </c>
      <c r="AH186" s="11">
        <v>3</v>
      </c>
      <c r="AI186" s="11">
        <v>0</v>
      </c>
      <c r="AJ186" s="11" t="s">
        <v>5044</v>
      </c>
      <c r="AK186" s="11">
        <v>1</v>
      </c>
      <c r="AL186" s="11">
        <v>1</v>
      </c>
      <c r="AM186" s="11">
        <v>0</v>
      </c>
      <c r="AN186" s="11" t="s">
        <v>5318</v>
      </c>
      <c r="AO186" s="11">
        <v>3</v>
      </c>
      <c r="AP186" s="11" t="s">
        <v>5318</v>
      </c>
      <c r="AQ186" s="11" t="s">
        <v>5318</v>
      </c>
    </row>
    <row r="187" spans="1:43" ht="63" customHeight="1" x14ac:dyDescent="0.2">
      <c r="A187" s="10">
        <v>2502</v>
      </c>
      <c r="B187" s="11" t="s">
        <v>7100</v>
      </c>
      <c r="C187" s="11" t="s">
        <v>674</v>
      </c>
      <c r="D187" s="11">
        <v>2014</v>
      </c>
      <c r="E187" s="11" t="s">
        <v>5318</v>
      </c>
      <c r="F187" s="11">
        <v>101</v>
      </c>
      <c r="G187" s="11">
        <v>2</v>
      </c>
      <c r="H187" s="11" t="s">
        <v>6530</v>
      </c>
      <c r="I187" s="11" t="s">
        <v>6516</v>
      </c>
      <c r="J187" s="11" t="s">
        <v>7101</v>
      </c>
      <c r="K187" s="11" t="s">
        <v>676</v>
      </c>
      <c r="L187" s="16" t="s">
        <v>5532</v>
      </c>
      <c r="M187" s="11">
        <v>0</v>
      </c>
      <c r="N187" s="9" t="s">
        <v>5044</v>
      </c>
      <c r="O187" s="9" t="s">
        <v>5044</v>
      </c>
      <c r="P187" s="11">
        <v>0</v>
      </c>
      <c r="Q187" s="11">
        <v>0</v>
      </c>
      <c r="R187" s="11">
        <v>0</v>
      </c>
      <c r="S187" s="11">
        <v>1</v>
      </c>
      <c r="T187" s="11">
        <v>1</v>
      </c>
      <c r="U187" s="11">
        <v>148</v>
      </c>
      <c r="V187" s="11">
        <v>1</v>
      </c>
      <c r="W187" s="11">
        <v>0</v>
      </c>
      <c r="X187" s="11">
        <v>0</v>
      </c>
      <c r="Y187" s="11">
        <v>0</v>
      </c>
      <c r="Z187" s="11">
        <v>0</v>
      </c>
      <c r="AA187" s="11">
        <v>0</v>
      </c>
      <c r="AB187" s="11">
        <v>1</v>
      </c>
      <c r="AC187" s="11">
        <v>0</v>
      </c>
      <c r="AD187" s="11">
        <v>0</v>
      </c>
      <c r="AE187" s="11" t="s">
        <v>5044</v>
      </c>
      <c r="AF187" s="11" t="s">
        <v>5044</v>
      </c>
      <c r="AG187" s="11" t="s">
        <v>5044</v>
      </c>
      <c r="AH187" s="11" t="s">
        <v>5044</v>
      </c>
      <c r="AI187" s="11" t="s">
        <v>5044</v>
      </c>
      <c r="AJ187" s="11" t="s">
        <v>5044</v>
      </c>
      <c r="AK187" s="11" t="s">
        <v>5318</v>
      </c>
      <c r="AL187" s="11">
        <v>0</v>
      </c>
      <c r="AM187" s="11">
        <v>0</v>
      </c>
      <c r="AN187" s="11" t="s">
        <v>5318</v>
      </c>
      <c r="AO187" s="11">
        <v>9</v>
      </c>
      <c r="AP187" s="11" t="s">
        <v>5318</v>
      </c>
      <c r="AQ187" s="11" t="s">
        <v>5318</v>
      </c>
    </row>
    <row r="188" spans="1:43" ht="63" customHeight="1" x14ac:dyDescent="0.2">
      <c r="A188" s="10">
        <v>2507</v>
      </c>
      <c r="B188" s="11" t="s">
        <v>7102</v>
      </c>
      <c r="C188" s="11" t="s">
        <v>677</v>
      </c>
      <c r="D188" s="11">
        <v>2022</v>
      </c>
      <c r="E188" s="11" t="s">
        <v>5318</v>
      </c>
      <c r="F188" s="11">
        <v>130</v>
      </c>
      <c r="G188" s="11">
        <v>1</v>
      </c>
      <c r="H188" s="11" t="s">
        <v>7103</v>
      </c>
      <c r="I188" s="11" t="s">
        <v>6516</v>
      </c>
      <c r="J188" s="11" t="s">
        <v>7104</v>
      </c>
      <c r="K188" s="11" t="s">
        <v>680</v>
      </c>
      <c r="L188" s="11" t="s">
        <v>5044</v>
      </c>
      <c r="M188" s="11">
        <v>0</v>
      </c>
      <c r="N188" s="9" t="s">
        <v>5044</v>
      </c>
      <c r="O188" s="9" t="s">
        <v>5044</v>
      </c>
      <c r="P188" s="11">
        <v>1</v>
      </c>
      <c r="Q188" s="11">
        <v>0</v>
      </c>
      <c r="R188" s="11">
        <v>0</v>
      </c>
      <c r="S188" s="11">
        <v>3</v>
      </c>
      <c r="T188" s="11">
        <v>1</v>
      </c>
      <c r="U188" s="11">
        <v>51</v>
      </c>
      <c r="V188" s="11">
        <v>0</v>
      </c>
      <c r="W188" s="11">
        <v>1</v>
      </c>
      <c r="X188" s="11">
        <v>0</v>
      </c>
      <c r="Y188" s="11">
        <v>0</v>
      </c>
      <c r="Z188" s="11">
        <v>0</v>
      </c>
      <c r="AA188" s="11">
        <v>0</v>
      </c>
      <c r="AB188" s="11">
        <v>1</v>
      </c>
      <c r="AC188" s="11">
        <v>0</v>
      </c>
      <c r="AD188" s="11" t="s">
        <v>5044</v>
      </c>
      <c r="AE188" s="11" t="s">
        <v>5044</v>
      </c>
      <c r="AF188" s="11" t="s">
        <v>5044</v>
      </c>
      <c r="AG188" s="11">
        <v>0</v>
      </c>
      <c r="AH188" s="11" t="s">
        <v>5044</v>
      </c>
      <c r="AI188" s="11" t="s">
        <v>5044</v>
      </c>
      <c r="AJ188" s="11" t="s">
        <v>5044</v>
      </c>
      <c r="AK188" s="11" t="s">
        <v>5318</v>
      </c>
      <c r="AL188" s="11" t="s">
        <v>5044</v>
      </c>
      <c r="AM188" s="11">
        <v>0</v>
      </c>
      <c r="AN188" s="11" t="s">
        <v>5318</v>
      </c>
      <c r="AO188" s="11">
        <v>9</v>
      </c>
      <c r="AP188" s="11" t="s">
        <v>5318</v>
      </c>
      <c r="AQ188" s="11" t="s">
        <v>5318</v>
      </c>
    </row>
    <row r="189" spans="1:43" ht="63" customHeight="1" x14ac:dyDescent="0.2">
      <c r="A189" s="10">
        <v>2513</v>
      </c>
      <c r="B189" s="11" t="s">
        <v>7105</v>
      </c>
      <c r="C189" s="11" t="s">
        <v>681</v>
      </c>
      <c r="D189" s="11">
        <v>2015</v>
      </c>
      <c r="E189" s="11" t="s">
        <v>5318</v>
      </c>
      <c r="F189" s="11">
        <v>68</v>
      </c>
      <c r="G189" s="11">
        <v>4</v>
      </c>
      <c r="H189" s="11" t="s">
        <v>6515</v>
      </c>
      <c r="I189" s="11" t="s">
        <v>6516</v>
      </c>
      <c r="J189" s="11" t="s">
        <v>7106</v>
      </c>
      <c r="K189" s="11" t="s">
        <v>682</v>
      </c>
      <c r="L189" s="16" t="s">
        <v>5533</v>
      </c>
      <c r="M189" s="11">
        <v>0</v>
      </c>
      <c r="N189" s="9" t="s">
        <v>5044</v>
      </c>
      <c r="O189" s="9" t="s">
        <v>5044</v>
      </c>
      <c r="P189" s="11">
        <v>0</v>
      </c>
      <c r="Q189" s="11">
        <v>0</v>
      </c>
      <c r="R189" s="11">
        <v>0</v>
      </c>
      <c r="S189" s="11">
        <v>3</v>
      </c>
      <c r="T189" s="11">
        <v>1</v>
      </c>
      <c r="U189" s="11">
        <v>91</v>
      </c>
      <c r="V189" s="11">
        <v>1</v>
      </c>
      <c r="W189" s="11">
        <v>1</v>
      </c>
      <c r="X189" s="11">
        <v>0</v>
      </c>
      <c r="Y189" s="11">
        <v>0</v>
      </c>
      <c r="Z189" s="11">
        <v>0</v>
      </c>
      <c r="AA189" s="11">
        <v>0</v>
      </c>
      <c r="AB189" s="11">
        <v>1</v>
      </c>
      <c r="AC189" s="11">
        <v>1</v>
      </c>
      <c r="AD189" s="11">
        <v>2</v>
      </c>
      <c r="AE189" s="11">
        <v>1</v>
      </c>
      <c r="AF189" s="11">
        <v>1</v>
      </c>
      <c r="AG189" s="11">
        <v>1</v>
      </c>
      <c r="AH189" s="11">
        <v>0</v>
      </c>
      <c r="AI189" s="11">
        <v>0</v>
      </c>
      <c r="AJ189" s="11" t="s">
        <v>5044</v>
      </c>
      <c r="AK189" s="11" t="s">
        <v>5318</v>
      </c>
      <c r="AL189" s="11">
        <v>1</v>
      </c>
      <c r="AM189" s="11">
        <v>0</v>
      </c>
      <c r="AN189" s="11" t="s">
        <v>5318</v>
      </c>
      <c r="AO189" s="9">
        <v>0</v>
      </c>
      <c r="AP189" s="11" t="s">
        <v>5318</v>
      </c>
      <c r="AQ189" s="11" t="s">
        <v>5318</v>
      </c>
    </row>
    <row r="190" spans="1:43" ht="63" customHeight="1" x14ac:dyDescent="0.2">
      <c r="A190" s="10">
        <v>2516</v>
      </c>
      <c r="B190" s="11" t="s">
        <v>7107</v>
      </c>
      <c r="C190" s="11" t="s">
        <v>683</v>
      </c>
      <c r="D190" s="11">
        <v>2021</v>
      </c>
      <c r="E190" s="11" t="s">
        <v>5318</v>
      </c>
      <c r="F190" s="11">
        <v>112</v>
      </c>
      <c r="G190" s="11">
        <v>3</v>
      </c>
      <c r="H190" s="11" t="s">
        <v>7108</v>
      </c>
      <c r="I190" s="11" t="s">
        <v>6516</v>
      </c>
      <c r="J190" s="11" t="s">
        <v>7109</v>
      </c>
      <c r="K190" s="11" t="s">
        <v>686</v>
      </c>
      <c r="L190" s="12" t="s">
        <v>5534</v>
      </c>
      <c r="M190" s="11">
        <v>0</v>
      </c>
      <c r="N190" s="9" t="s">
        <v>5044</v>
      </c>
      <c r="O190" s="9" t="s">
        <v>5044</v>
      </c>
      <c r="P190" s="11">
        <v>0</v>
      </c>
      <c r="Q190" s="11">
        <v>0</v>
      </c>
      <c r="R190" s="11">
        <v>0</v>
      </c>
      <c r="S190" s="11">
        <v>7</v>
      </c>
      <c r="T190" s="11">
        <v>4</v>
      </c>
      <c r="U190" s="11">
        <v>76</v>
      </c>
      <c r="V190" s="11">
        <v>0</v>
      </c>
      <c r="W190" s="11">
        <v>1</v>
      </c>
      <c r="X190" s="11">
        <v>0</v>
      </c>
      <c r="Y190" s="11">
        <v>0</v>
      </c>
      <c r="Z190" s="11">
        <v>0</v>
      </c>
      <c r="AA190" s="11">
        <v>0</v>
      </c>
      <c r="AB190" s="11">
        <v>1</v>
      </c>
      <c r="AC190" s="11">
        <v>1</v>
      </c>
      <c r="AD190" s="11" t="s">
        <v>5044</v>
      </c>
      <c r="AE190" s="11" t="s">
        <v>5044</v>
      </c>
      <c r="AF190" s="11" t="s">
        <v>5044</v>
      </c>
      <c r="AG190" s="11">
        <v>2</v>
      </c>
      <c r="AH190" s="11">
        <v>1</v>
      </c>
      <c r="AI190" s="11">
        <v>2</v>
      </c>
      <c r="AJ190" s="11" t="s">
        <v>5044</v>
      </c>
      <c r="AK190" s="11" t="s">
        <v>5318</v>
      </c>
      <c r="AL190" s="11">
        <v>1</v>
      </c>
      <c r="AM190" s="11">
        <v>0</v>
      </c>
      <c r="AN190" s="11" t="s">
        <v>5318</v>
      </c>
      <c r="AO190" s="11">
        <v>1</v>
      </c>
      <c r="AP190" s="11" t="s">
        <v>5318</v>
      </c>
      <c r="AQ190" s="11" t="s">
        <v>5318</v>
      </c>
    </row>
    <row r="191" spans="1:43" ht="63" customHeight="1" x14ac:dyDescent="0.2">
      <c r="A191" s="10">
        <v>2522</v>
      </c>
      <c r="B191" s="11" t="s">
        <v>7110</v>
      </c>
      <c r="C191" s="11" t="s">
        <v>687</v>
      </c>
      <c r="D191" s="11">
        <v>2017</v>
      </c>
      <c r="E191" s="11" t="s">
        <v>5318</v>
      </c>
      <c r="F191" s="11">
        <v>124</v>
      </c>
      <c r="G191" s="11">
        <v>2</v>
      </c>
      <c r="H191" s="11" t="s">
        <v>7111</v>
      </c>
      <c r="I191" s="11" t="s">
        <v>6516</v>
      </c>
      <c r="J191" s="11" t="s">
        <v>7112</v>
      </c>
      <c r="K191" s="11" t="s">
        <v>690</v>
      </c>
      <c r="L191" s="12" t="s">
        <v>5535</v>
      </c>
      <c r="M191" s="11">
        <v>0</v>
      </c>
      <c r="N191" s="9" t="s">
        <v>5044</v>
      </c>
      <c r="O191" s="9" t="s">
        <v>5044</v>
      </c>
      <c r="P191" s="11">
        <v>0</v>
      </c>
      <c r="Q191" s="11">
        <v>0</v>
      </c>
      <c r="R191" s="11">
        <v>0</v>
      </c>
      <c r="S191" s="11">
        <v>5</v>
      </c>
      <c r="T191" s="11">
        <v>4</v>
      </c>
      <c r="U191" s="11">
        <v>68</v>
      </c>
      <c r="V191" s="11">
        <v>0</v>
      </c>
      <c r="W191" s="11">
        <v>1</v>
      </c>
      <c r="X191" s="11">
        <v>0</v>
      </c>
      <c r="Y191" s="11">
        <v>0</v>
      </c>
      <c r="Z191" s="11">
        <v>0</v>
      </c>
      <c r="AA191" s="11">
        <v>0</v>
      </c>
      <c r="AB191" s="11">
        <v>1</v>
      </c>
      <c r="AC191" s="11">
        <v>0</v>
      </c>
      <c r="AD191" s="11" t="s">
        <v>5044</v>
      </c>
      <c r="AE191" s="11" t="s">
        <v>5044</v>
      </c>
      <c r="AF191" s="11" t="s">
        <v>5044</v>
      </c>
      <c r="AG191" s="11">
        <v>0</v>
      </c>
      <c r="AH191" s="11" t="s">
        <v>5044</v>
      </c>
      <c r="AI191" s="11" t="s">
        <v>5044</v>
      </c>
      <c r="AJ191" s="11" t="s">
        <v>5044</v>
      </c>
      <c r="AK191" s="11" t="s">
        <v>5318</v>
      </c>
      <c r="AL191" s="11">
        <v>1</v>
      </c>
      <c r="AM191" s="11">
        <v>0</v>
      </c>
      <c r="AN191" s="11" t="s">
        <v>5318</v>
      </c>
      <c r="AO191" s="11">
        <v>9</v>
      </c>
      <c r="AP191" s="11" t="s">
        <v>5318</v>
      </c>
      <c r="AQ191" s="11" t="s">
        <v>5318</v>
      </c>
    </row>
    <row r="192" spans="1:43" ht="63" customHeight="1" x14ac:dyDescent="0.2">
      <c r="A192" s="10">
        <v>2524</v>
      </c>
      <c r="B192" s="11" t="s">
        <v>7113</v>
      </c>
      <c r="C192" s="11" t="s">
        <v>691</v>
      </c>
      <c r="D192" s="11">
        <v>2022</v>
      </c>
      <c r="E192" s="11" t="s">
        <v>5318</v>
      </c>
      <c r="F192" s="11">
        <v>17</v>
      </c>
      <c r="G192" s="11">
        <v>1</v>
      </c>
      <c r="H192" s="11" t="s">
        <v>7114</v>
      </c>
      <c r="I192" s="11" t="s">
        <v>6516</v>
      </c>
      <c r="J192" s="11" t="s">
        <v>7115</v>
      </c>
      <c r="K192" s="11" t="s">
        <v>693</v>
      </c>
      <c r="L192" s="12" t="s">
        <v>5536</v>
      </c>
      <c r="M192" s="11">
        <v>0</v>
      </c>
      <c r="N192" s="9" t="s">
        <v>5044</v>
      </c>
      <c r="O192" s="9" t="s">
        <v>5044</v>
      </c>
      <c r="P192" s="11">
        <v>0</v>
      </c>
      <c r="Q192" s="11">
        <v>0</v>
      </c>
      <c r="R192" s="11">
        <v>0</v>
      </c>
      <c r="S192" s="11">
        <v>5</v>
      </c>
      <c r="T192" s="11">
        <v>4</v>
      </c>
      <c r="U192" s="11">
        <v>68</v>
      </c>
      <c r="V192" s="11">
        <v>0</v>
      </c>
      <c r="W192" s="11">
        <v>1</v>
      </c>
      <c r="X192" s="11">
        <v>0</v>
      </c>
      <c r="Y192" s="11">
        <v>0</v>
      </c>
      <c r="Z192" s="11">
        <v>0</v>
      </c>
      <c r="AA192" s="11">
        <v>0</v>
      </c>
      <c r="AB192" s="11">
        <v>1</v>
      </c>
      <c r="AC192" s="11">
        <v>0</v>
      </c>
      <c r="AD192" s="11" t="s">
        <v>5044</v>
      </c>
      <c r="AE192" s="11" t="s">
        <v>5044</v>
      </c>
      <c r="AF192" s="11" t="s">
        <v>5044</v>
      </c>
      <c r="AG192" s="11">
        <v>0</v>
      </c>
      <c r="AH192" s="11" t="s">
        <v>5044</v>
      </c>
      <c r="AI192" s="11" t="s">
        <v>5044</v>
      </c>
      <c r="AJ192" s="11" t="s">
        <v>5044</v>
      </c>
      <c r="AK192" s="11" t="s">
        <v>5318</v>
      </c>
      <c r="AL192" s="11">
        <v>0</v>
      </c>
      <c r="AM192" s="11">
        <v>0</v>
      </c>
      <c r="AN192" s="11" t="s">
        <v>5318</v>
      </c>
      <c r="AO192" s="11">
        <v>9</v>
      </c>
      <c r="AP192" s="11" t="s">
        <v>5318</v>
      </c>
      <c r="AQ192" s="11" t="s">
        <v>5318</v>
      </c>
    </row>
    <row r="193" spans="1:43" ht="63" customHeight="1" x14ac:dyDescent="0.2">
      <c r="A193" s="10">
        <v>2533</v>
      </c>
      <c r="B193" s="11" t="s">
        <v>7118</v>
      </c>
      <c r="C193" s="11" t="s">
        <v>696</v>
      </c>
      <c r="D193" s="11">
        <v>2013</v>
      </c>
      <c r="E193" s="11" t="s">
        <v>5318</v>
      </c>
      <c r="F193" s="11">
        <v>471</v>
      </c>
      <c r="G193" s="11">
        <v>1</v>
      </c>
      <c r="H193" s="11" t="s">
        <v>7119</v>
      </c>
      <c r="I193" s="11" t="s">
        <v>6878</v>
      </c>
      <c r="J193" s="11" t="s">
        <v>7120</v>
      </c>
      <c r="K193" s="11" t="s">
        <v>699</v>
      </c>
      <c r="L193" s="11" t="s">
        <v>5044</v>
      </c>
      <c r="M193" s="11">
        <v>0</v>
      </c>
      <c r="N193" s="9" t="s">
        <v>5044</v>
      </c>
      <c r="O193" s="9" t="s">
        <v>5044</v>
      </c>
      <c r="P193" s="11">
        <v>0</v>
      </c>
      <c r="Q193" s="11">
        <v>0</v>
      </c>
      <c r="R193" s="11">
        <v>0</v>
      </c>
      <c r="S193" s="11">
        <v>4</v>
      </c>
      <c r="T193" s="11">
        <v>4</v>
      </c>
      <c r="U193" s="11">
        <v>100</v>
      </c>
      <c r="V193" s="11">
        <v>0</v>
      </c>
      <c r="W193" s="11">
        <v>1</v>
      </c>
      <c r="X193" s="11">
        <v>0</v>
      </c>
      <c r="Y193" s="11">
        <v>0</v>
      </c>
      <c r="Z193" s="11">
        <v>0</v>
      </c>
      <c r="AA193" s="11">
        <v>0</v>
      </c>
      <c r="AB193" s="11">
        <v>1</v>
      </c>
      <c r="AC193" s="11">
        <v>0</v>
      </c>
      <c r="AD193" s="11" t="s">
        <v>5044</v>
      </c>
      <c r="AE193" s="11" t="s">
        <v>5044</v>
      </c>
      <c r="AF193" s="11" t="s">
        <v>5044</v>
      </c>
      <c r="AG193" s="11">
        <v>0</v>
      </c>
      <c r="AH193" s="11" t="s">
        <v>5044</v>
      </c>
      <c r="AI193" s="11" t="s">
        <v>5044</v>
      </c>
      <c r="AJ193" s="11" t="s">
        <v>5044</v>
      </c>
      <c r="AK193" s="11" t="s">
        <v>5318</v>
      </c>
      <c r="AL193" s="11">
        <v>0</v>
      </c>
      <c r="AM193" s="11">
        <v>0</v>
      </c>
      <c r="AN193" s="11" t="s">
        <v>5318</v>
      </c>
      <c r="AO193" s="11">
        <v>9</v>
      </c>
      <c r="AP193" s="11" t="s">
        <v>5318</v>
      </c>
      <c r="AQ193" s="11" t="s">
        <v>5318</v>
      </c>
    </row>
    <row r="194" spans="1:43" ht="63" customHeight="1" x14ac:dyDescent="0.2">
      <c r="A194" s="10">
        <v>2545</v>
      </c>
      <c r="B194" s="11" t="s">
        <v>7124</v>
      </c>
      <c r="C194" s="11" t="s">
        <v>702</v>
      </c>
      <c r="D194" s="11">
        <v>2021</v>
      </c>
      <c r="E194" s="11" t="s">
        <v>5318</v>
      </c>
      <c r="F194" s="11">
        <v>35</v>
      </c>
      <c r="G194" s="11">
        <v>6</v>
      </c>
      <c r="H194" s="11" t="s">
        <v>6692</v>
      </c>
      <c r="I194" s="11" t="s">
        <v>6516</v>
      </c>
      <c r="J194" s="11" t="s">
        <v>7125</v>
      </c>
      <c r="K194" s="11" t="s">
        <v>704</v>
      </c>
      <c r="L194" s="11" t="s">
        <v>5044</v>
      </c>
      <c r="M194" s="11">
        <v>0</v>
      </c>
      <c r="N194" s="9" t="s">
        <v>5044</v>
      </c>
      <c r="O194" s="9" t="s">
        <v>5044</v>
      </c>
      <c r="P194" s="11">
        <v>0</v>
      </c>
      <c r="Q194" s="11">
        <v>0</v>
      </c>
      <c r="R194" s="11">
        <v>0</v>
      </c>
      <c r="S194" s="11">
        <v>3</v>
      </c>
      <c r="T194" s="11">
        <v>4</v>
      </c>
      <c r="U194" s="11">
        <v>150</v>
      </c>
      <c r="V194" s="11">
        <v>0</v>
      </c>
      <c r="W194" s="11">
        <v>1</v>
      </c>
      <c r="X194" s="11">
        <v>0</v>
      </c>
      <c r="Y194" s="11">
        <v>0</v>
      </c>
      <c r="Z194" s="11">
        <v>0</v>
      </c>
      <c r="AA194" s="11">
        <v>0</v>
      </c>
      <c r="AB194" s="11">
        <v>1</v>
      </c>
      <c r="AC194" s="11">
        <v>1</v>
      </c>
      <c r="AD194" s="11" t="s">
        <v>5044</v>
      </c>
      <c r="AE194" s="11" t="s">
        <v>5044</v>
      </c>
      <c r="AF194" s="11" t="s">
        <v>5044</v>
      </c>
      <c r="AG194" s="11">
        <v>2</v>
      </c>
      <c r="AH194" s="11">
        <v>3</v>
      </c>
      <c r="AI194" s="11">
        <v>0</v>
      </c>
      <c r="AJ194" s="11" t="s">
        <v>5044</v>
      </c>
      <c r="AK194" s="11" t="s">
        <v>5318</v>
      </c>
      <c r="AL194" s="11" t="s">
        <v>5044</v>
      </c>
      <c r="AM194" s="11">
        <v>0</v>
      </c>
      <c r="AN194" s="11" t="s">
        <v>5105</v>
      </c>
      <c r="AO194" s="11">
        <v>3</v>
      </c>
      <c r="AP194" s="11" t="s">
        <v>5318</v>
      </c>
      <c r="AQ194" s="11" t="s">
        <v>5318</v>
      </c>
    </row>
    <row r="195" spans="1:43" ht="63" customHeight="1" x14ac:dyDescent="0.2">
      <c r="A195" s="10">
        <v>2557</v>
      </c>
      <c r="B195" s="11" t="s">
        <v>7126</v>
      </c>
      <c r="C195" s="11" t="s">
        <v>705</v>
      </c>
      <c r="D195" s="11">
        <v>2012</v>
      </c>
      <c r="E195" s="11" t="s">
        <v>5318</v>
      </c>
      <c r="F195" s="11">
        <v>206</v>
      </c>
      <c r="G195" s="11">
        <v>1</v>
      </c>
      <c r="H195" s="11" t="s">
        <v>6923</v>
      </c>
      <c r="I195" s="11" t="s">
        <v>6516</v>
      </c>
      <c r="J195" s="11" t="s">
        <v>7127</v>
      </c>
      <c r="K195" s="11" t="s">
        <v>706</v>
      </c>
      <c r="L195" s="11" t="s">
        <v>5044</v>
      </c>
      <c r="M195" s="11">
        <v>0</v>
      </c>
      <c r="N195" s="9" t="s">
        <v>5044</v>
      </c>
      <c r="O195" s="9" t="s">
        <v>5044</v>
      </c>
      <c r="P195" s="11">
        <v>0</v>
      </c>
      <c r="Q195" s="11">
        <v>0</v>
      </c>
      <c r="R195" s="11">
        <v>0</v>
      </c>
      <c r="S195" s="11">
        <v>5</v>
      </c>
      <c r="T195" s="11">
        <v>2</v>
      </c>
      <c r="U195" s="11">
        <v>65</v>
      </c>
      <c r="V195" s="11">
        <v>0</v>
      </c>
      <c r="W195" s="11">
        <v>1</v>
      </c>
      <c r="X195" s="11">
        <v>0</v>
      </c>
      <c r="Y195" s="11">
        <v>0</v>
      </c>
      <c r="Z195" s="11">
        <v>0</v>
      </c>
      <c r="AA195" s="11">
        <v>0</v>
      </c>
      <c r="AB195" s="11">
        <v>1</v>
      </c>
      <c r="AC195" s="11">
        <v>0</v>
      </c>
      <c r="AD195" s="11" t="s">
        <v>5044</v>
      </c>
      <c r="AE195" s="11" t="s">
        <v>5044</v>
      </c>
      <c r="AF195" s="11" t="s">
        <v>5044</v>
      </c>
      <c r="AG195" s="11">
        <v>0</v>
      </c>
      <c r="AH195" s="11" t="s">
        <v>5044</v>
      </c>
      <c r="AI195" s="11" t="s">
        <v>5044</v>
      </c>
      <c r="AJ195" s="11" t="s">
        <v>5044</v>
      </c>
      <c r="AK195" s="11" t="s">
        <v>5318</v>
      </c>
      <c r="AL195" s="11">
        <v>0</v>
      </c>
      <c r="AM195" s="11">
        <v>0</v>
      </c>
      <c r="AN195" s="11" t="s">
        <v>5318</v>
      </c>
      <c r="AO195" s="11">
        <v>9</v>
      </c>
      <c r="AP195" s="11" t="s">
        <v>5318</v>
      </c>
      <c r="AQ195" s="11" t="s">
        <v>5318</v>
      </c>
    </row>
    <row r="196" spans="1:43" ht="63" customHeight="1" x14ac:dyDescent="0.2">
      <c r="A196" s="10">
        <v>2574</v>
      </c>
      <c r="B196" s="11" t="s">
        <v>7132</v>
      </c>
      <c r="C196" s="11" t="s">
        <v>710</v>
      </c>
      <c r="D196" s="11">
        <v>2020</v>
      </c>
      <c r="E196" s="11" t="s">
        <v>5318</v>
      </c>
      <c r="F196" s="11">
        <v>24</v>
      </c>
      <c r="G196" s="11">
        <v>12</v>
      </c>
      <c r="H196" s="11" t="s">
        <v>6708</v>
      </c>
      <c r="I196" s="11" t="s">
        <v>6516</v>
      </c>
      <c r="J196" s="11" t="s">
        <v>7133</v>
      </c>
      <c r="K196" s="11" t="s">
        <v>711</v>
      </c>
      <c r="L196" s="12" t="s">
        <v>5540</v>
      </c>
      <c r="M196" s="11">
        <v>0</v>
      </c>
      <c r="N196" s="9" t="s">
        <v>5044</v>
      </c>
      <c r="O196" s="9" t="s">
        <v>5044</v>
      </c>
      <c r="P196" s="11">
        <v>1</v>
      </c>
      <c r="Q196" s="11">
        <v>0</v>
      </c>
      <c r="R196" s="11">
        <v>0</v>
      </c>
      <c r="S196" s="21" t="s">
        <v>6057</v>
      </c>
      <c r="T196" s="11">
        <v>1</v>
      </c>
      <c r="U196" s="11" t="s">
        <v>7665</v>
      </c>
      <c r="V196" s="11">
        <v>0</v>
      </c>
      <c r="W196" s="11">
        <v>1</v>
      </c>
      <c r="X196" s="11">
        <v>0</v>
      </c>
      <c r="Y196" s="11">
        <v>0</v>
      </c>
      <c r="Z196" s="11">
        <v>0</v>
      </c>
      <c r="AA196" s="11">
        <v>0</v>
      </c>
      <c r="AB196" s="11">
        <v>1</v>
      </c>
      <c r="AC196" s="11">
        <v>1</v>
      </c>
      <c r="AD196" s="11" t="s">
        <v>5044</v>
      </c>
      <c r="AE196" s="11" t="s">
        <v>5044</v>
      </c>
      <c r="AF196" s="11" t="s">
        <v>5044</v>
      </c>
      <c r="AG196" s="11">
        <v>1</v>
      </c>
      <c r="AH196" s="11">
        <v>0</v>
      </c>
      <c r="AI196" s="11">
        <v>0</v>
      </c>
      <c r="AJ196" s="11" t="s">
        <v>5044</v>
      </c>
      <c r="AK196" s="11" t="s">
        <v>5318</v>
      </c>
      <c r="AL196" s="11" t="s">
        <v>5044</v>
      </c>
      <c r="AM196" s="11">
        <v>0</v>
      </c>
      <c r="AN196" s="11" t="s">
        <v>2539</v>
      </c>
      <c r="AO196" s="9">
        <v>0</v>
      </c>
      <c r="AP196" s="11" t="s">
        <v>5318</v>
      </c>
      <c r="AQ196" s="11" t="s">
        <v>5318</v>
      </c>
    </row>
    <row r="197" spans="1:43" ht="63" customHeight="1" x14ac:dyDescent="0.2">
      <c r="A197" s="10">
        <v>2582</v>
      </c>
      <c r="B197" s="11" t="s">
        <v>7140</v>
      </c>
      <c r="C197" s="11" t="s">
        <v>718</v>
      </c>
      <c r="D197" s="11">
        <v>2022</v>
      </c>
      <c r="E197" s="11" t="s">
        <v>5318</v>
      </c>
      <c r="F197" s="11">
        <v>275</v>
      </c>
      <c r="G197" s="11">
        <v>5</v>
      </c>
      <c r="H197" s="11" t="s">
        <v>6533</v>
      </c>
      <c r="I197" s="11" t="s">
        <v>6516</v>
      </c>
      <c r="J197" s="11" t="s">
        <v>7141</v>
      </c>
      <c r="K197" s="11" t="s">
        <v>719</v>
      </c>
      <c r="L197" s="12" t="s">
        <v>5544</v>
      </c>
      <c r="M197" s="11">
        <v>0</v>
      </c>
      <c r="N197" s="9" t="s">
        <v>5044</v>
      </c>
      <c r="O197" s="9" t="s">
        <v>5044</v>
      </c>
      <c r="P197" s="11">
        <v>0</v>
      </c>
      <c r="Q197" s="11">
        <v>0</v>
      </c>
      <c r="R197" s="11">
        <v>0</v>
      </c>
      <c r="S197" s="11">
        <v>1</v>
      </c>
      <c r="T197" s="11">
        <v>5</v>
      </c>
      <c r="U197" s="11">
        <v>3301</v>
      </c>
      <c r="V197" s="11">
        <v>0</v>
      </c>
      <c r="W197" s="11">
        <v>1</v>
      </c>
      <c r="X197" s="11">
        <v>0</v>
      </c>
      <c r="Y197" s="11">
        <v>0</v>
      </c>
      <c r="Z197" s="11">
        <v>0</v>
      </c>
      <c r="AA197" s="11">
        <v>0</v>
      </c>
      <c r="AB197" s="11">
        <v>1</v>
      </c>
      <c r="AC197" s="11">
        <v>0</v>
      </c>
      <c r="AD197" s="11" t="s">
        <v>5044</v>
      </c>
      <c r="AE197" s="11" t="s">
        <v>5044</v>
      </c>
      <c r="AF197" s="11" t="s">
        <v>5044</v>
      </c>
      <c r="AG197" s="11">
        <v>0</v>
      </c>
      <c r="AH197" s="11" t="s">
        <v>5044</v>
      </c>
      <c r="AI197" s="11" t="s">
        <v>5044</v>
      </c>
      <c r="AJ197" s="11" t="s">
        <v>5044</v>
      </c>
      <c r="AK197" s="11" t="s">
        <v>5318</v>
      </c>
      <c r="AL197" s="11">
        <v>0</v>
      </c>
      <c r="AM197" s="11">
        <v>0</v>
      </c>
      <c r="AN197" s="11" t="s">
        <v>5318</v>
      </c>
      <c r="AO197" s="11">
        <v>9</v>
      </c>
      <c r="AP197" s="11" t="s">
        <v>5318</v>
      </c>
      <c r="AQ197" s="11" t="s">
        <v>5318</v>
      </c>
    </row>
    <row r="198" spans="1:43" ht="63" customHeight="1" x14ac:dyDescent="0.2">
      <c r="A198" s="10">
        <v>2592</v>
      </c>
      <c r="B198" s="11" t="s">
        <v>7144</v>
      </c>
      <c r="C198" s="11" t="s">
        <v>722</v>
      </c>
      <c r="D198" s="11">
        <v>2018</v>
      </c>
      <c r="E198" s="11" t="s">
        <v>5318</v>
      </c>
      <c r="F198" s="11">
        <v>70</v>
      </c>
      <c r="G198" s="11">
        <v>3</v>
      </c>
      <c r="H198" s="11" t="s">
        <v>7145</v>
      </c>
      <c r="I198" s="11" t="s">
        <v>6516</v>
      </c>
      <c r="J198" s="11" t="s">
        <v>7146</v>
      </c>
      <c r="K198" s="11" t="s">
        <v>724</v>
      </c>
      <c r="L198" s="11" t="s">
        <v>5044</v>
      </c>
      <c r="M198" s="11">
        <v>0</v>
      </c>
      <c r="N198" s="9" t="s">
        <v>5044</v>
      </c>
      <c r="O198" s="9" t="s">
        <v>5044</v>
      </c>
      <c r="P198" s="11">
        <v>0</v>
      </c>
      <c r="Q198" s="11">
        <v>0</v>
      </c>
      <c r="R198" s="11">
        <v>0</v>
      </c>
      <c r="S198" s="11">
        <v>1</v>
      </c>
      <c r="T198" s="11">
        <v>1</v>
      </c>
      <c r="U198" s="11">
        <v>120</v>
      </c>
      <c r="V198" s="11">
        <v>0</v>
      </c>
      <c r="W198" s="11">
        <v>1</v>
      </c>
      <c r="X198" s="11">
        <v>0</v>
      </c>
      <c r="Y198" s="11">
        <v>0</v>
      </c>
      <c r="Z198" s="11">
        <v>0</v>
      </c>
      <c r="AA198" s="11">
        <v>0</v>
      </c>
      <c r="AB198" s="11">
        <v>1</v>
      </c>
      <c r="AC198" s="11">
        <v>0</v>
      </c>
      <c r="AD198" s="11" t="s">
        <v>5044</v>
      </c>
      <c r="AE198" s="11" t="s">
        <v>5044</v>
      </c>
      <c r="AF198" s="11" t="s">
        <v>5044</v>
      </c>
      <c r="AG198" s="11">
        <v>0</v>
      </c>
      <c r="AH198" s="11" t="s">
        <v>5044</v>
      </c>
      <c r="AI198" s="11" t="s">
        <v>5044</v>
      </c>
      <c r="AJ198" s="11" t="s">
        <v>5044</v>
      </c>
      <c r="AK198" s="11" t="s">
        <v>5318</v>
      </c>
      <c r="AL198" s="11" t="s">
        <v>5044</v>
      </c>
      <c r="AM198" s="11">
        <v>0</v>
      </c>
      <c r="AN198" s="11" t="s">
        <v>5105</v>
      </c>
      <c r="AO198" s="11">
        <v>9</v>
      </c>
      <c r="AP198" s="11" t="s">
        <v>5318</v>
      </c>
      <c r="AQ198" s="11" t="s">
        <v>5318</v>
      </c>
    </row>
    <row r="199" spans="1:43" ht="63" customHeight="1" x14ac:dyDescent="0.2">
      <c r="A199" s="10">
        <v>2595</v>
      </c>
      <c r="B199" s="11" t="s">
        <v>7147</v>
      </c>
      <c r="C199" s="11" t="s">
        <v>725</v>
      </c>
      <c r="D199" s="11">
        <v>2022</v>
      </c>
      <c r="E199" s="11" t="s">
        <v>5318</v>
      </c>
      <c r="F199" s="11">
        <v>6</v>
      </c>
      <c r="G199" s="11">
        <v>1</v>
      </c>
      <c r="H199" s="11" t="s">
        <v>6839</v>
      </c>
      <c r="I199" s="11" t="s">
        <v>6516</v>
      </c>
      <c r="J199" s="11" t="s">
        <v>7148</v>
      </c>
      <c r="K199" s="11" t="s">
        <v>726</v>
      </c>
      <c r="L199" s="16" t="s">
        <v>5546</v>
      </c>
      <c r="M199" s="11">
        <v>0</v>
      </c>
      <c r="N199" s="9" t="s">
        <v>5044</v>
      </c>
      <c r="O199" s="9" t="s">
        <v>5044</v>
      </c>
      <c r="P199" s="11">
        <v>0</v>
      </c>
      <c r="Q199" s="11">
        <v>0</v>
      </c>
      <c r="R199" s="11">
        <v>0</v>
      </c>
      <c r="S199" s="11">
        <v>1</v>
      </c>
      <c r="T199" s="11">
        <v>1</v>
      </c>
      <c r="U199" s="11">
        <v>134</v>
      </c>
      <c r="V199" s="11">
        <v>0</v>
      </c>
      <c r="W199" s="11">
        <v>1</v>
      </c>
      <c r="X199" s="11">
        <v>0</v>
      </c>
      <c r="Y199" s="11">
        <v>0</v>
      </c>
      <c r="Z199" s="11">
        <v>0</v>
      </c>
      <c r="AA199" s="11">
        <v>0</v>
      </c>
      <c r="AB199" s="11">
        <v>1</v>
      </c>
      <c r="AC199" s="11">
        <v>1</v>
      </c>
      <c r="AD199" s="11" t="s">
        <v>5044</v>
      </c>
      <c r="AE199" s="11" t="s">
        <v>5044</v>
      </c>
      <c r="AF199" s="11" t="s">
        <v>5044</v>
      </c>
      <c r="AG199" s="11">
        <v>1</v>
      </c>
      <c r="AH199" s="11">
        <v>0</v>
      </c>
      <c r="AI199" s="11">
        <v>0</v>
      </c>
      <c r="AJ199" s="11" t="s">
        <v>5044</v>
      </c>
      <c r="AK199" s="11" t="s">
        <v>5318</v>
      </c>
      <c r="AL199" s="11">
        <v>0</v>
      </c>
      <c r="AM199" s="11">
        <v>0</v>
      </c>
      <c r="AN199" s="11" t="s">
        <v>5318</v>
      </c>
      <c r="AO199" s="9">
        <v>0</v>
      </c>
      <c r="AP199" s="11" t="s">
        <v>5318</v>
      </c>
      <c r="AQ199" s="11" t="s">
        <v>5318</v>
      </c>
    </row>
    <row r="200" spans="1:43" ht="63" customHeight="1" x14ac:dyDescent="0.2">
      <c r="A200" s="10">
        <v>2617</v>
      </c>
      <c r="B200" s="11" t="s">
        <v>7151</v>
      </c>
      <c r="C200" s="11" t="s">
        <v>729</v>
      </c>
      <c r="D200" s="11">
        <v>2015</v>
      </c>
      <c r="E200" s="11" t="s">
        <v>5318</v>
      </c>
      <c r="F200" s="11">
        <v>194</v>
      </c>
      <c r="G200" s="11">
        <v>2</v>
      </c>
      <c r="H200" s="11" t="s">
        <v>7152</v>
      </c>
      <c r="I200" s="11" t="s">
        <v>6878</v>
      </c>
      <c r="J200" s="11" t="s">
        <v>7153</v>
      </c>
      <c r="K200" s="11" t="s">
        <v>731</v>
      </c>
      <c r="L200" s="11" t="s">
        <v>5044</v>
      </c>
      <c r="M200" s="11">
        <v>0</v>
      </c>
      <c r="N200" s="9" t="s">
        <v>5044</v>
      </c>
      <c r="O200" s="9" t="s">
        <v>5044</v>
      </c>
      <c r="P200" s="11">
        <v>0</v>
      </c>
      <c r="Q200" s="11">
        <v>0</v>
      </c>
      <c r="R200" s="11">
        <v>0</v>
      </c>
      <c r="S200" s="11">
        <v>3</v>
      </c>
      <c r="T200" s="11">
        <v>2</v>
      </c>
      <c r="U200" s="11">
        <v>484</v>
      </c>
      <c r="V200" s="11">
        <v>0</v>
      </c>
      <c r="W200" s="11">
        <v>1</v>
      </c>
      <c r="X200" s="11">
        <v>0</v>
      </c>
      <c r="Y200" s="11">
        <v>0</v>
      </c>
      <c r="Z200" s="11">
        <v>0</v>
      </c>
      <c r="AA200" s="11">
        <v>0</v>
      </c>
      <c r="AB200" s="11">
        <v>1</v>
      </c>
      <c r="AC200" s="11">
        <v>1</v>
      </c>
      <c r="AD200" s="11" t="s">
        <v>5044</v>
      </c>
      <c r="AE200" s="11" t="s">
        <v>5044</v>
      </c>
      <c r="AF200" s="11" t="s">
        <v>5044</v>
      </c>
      <c r="AG200" s="11">
        <v>2</v>
      </c>
      <c r="AH200" s="11">
        <v>2</v>
      </c>
      <c r="AI200" s="11">
        <v>1</v>
      </c>
      <c r="AJ200" s="11" t="s">
        <v>5044</v>
      </c>
      <c r="AK200" s="11" t="s">
        <v>5318</v>
      </c>
      <c r="AL200" s="11">
        <v>0</v>
      </c>
      <c r="AM200" s="11">
        <v>0</v>
      </c>
      <c r="AN200" s="11" t="s">
        <v>5318</v>
      </c>
      <c r="AO200" s="11">
        <v>2</v>
      </c>
      <c r="AP200" s="11" t="s">
        <v>5318</v>
      </c>
      <c r="AQ200" s="11" t="s">
        <v>5318</v>
      </c>
    </row>
    <row r="201" spans="1:43" ht="63" customHeight="1" x14ac:dyDescent="0.2">
      <c r="A201" s="10">
        <v>2624</v>
      </c>
      <c r="B201" s="11" t="s">
        <v>7154</v>
      </c>
      <c r="C201" s="11" t="s">
        <v>732</v>
      </c>
      <c r="D201" s="11">
        <v>2021</v>
      </c>
      <c r="E201" s="11" t="s">
        <v>5318</v>
      </c>
      <c r="F201" s="11">
        <v>325</v>
      </c>
      <c r="G201" s="11">
        <v>4</v>
      </c>
      <c r="H201" s="11" t="s">
        <v>7155</v>
      </c>
      <c r="I201" s="11" t="s">
        <v>6516</v>
      </c>
      <c r="J201" s="11" t="s">
        <v>7156</v>
      </c>
      <c r="K201" s="11" t="s">
        <v>734</v>
      </c>
      <c r="L201" s="16" t="s">
        <v>5548</v>
      </c>
      <c r="M201" s="11">
        <v>0</v>
      </c>
      <c r="N201" s="9" t="s">
        <v>5044</v>
      </c>
      <c r="O201" s="9" t="s">
        <v>5044</v>
      </c>
      <c r="P201" s="11">
        <v>0</v>
      </c>
      <c r="Q201" s="11">
        <v>0</v>
      </c>
      <c r="R201" s="11">
        <v>0</v>
      </c>
      <c r="S201" s="11">
        <v>1</v>
      </c>
      <c r="T201" s="11">
        <v>1</v>
      </c>
      <c r="U201" s="11">
        <v>603</v>
      </c>
      <c r="V201" s="11">
        <v>0</v>
      </c>
      <c r="W201" s="11">
        <v>1</v>
      </c>
      <c r="X201" s="11">
        <v>0</v>
      </c>
      <c r="Y201" s="11">
        <v>0</v>
      </c>
      <c r="Z201" s="11">
        <v>0</v>
      </c>
      <c r="AA201" s="11">
        <v>0</v>
      </c>
      <c r="AB201" s="11">
        <v>1</v>
      </c>
      <c r="AC201" s="11">
        <v>0</v>
      </c>
      <c r="AD201" s="11" t="s">
        <v>5044</v>
      </c>
      <c r="AE201" s="11" t="s">
        <v>5044</v>
      </c>
      <c r="AF201" s="11" t="s">
        <v>5044</v>
      </c>
      <c r="AG201" s="11">
        <v>0</v>
      </c>
      <c r="AH201" s="11" t="s">
        <v>5044</v>
      </c>
      <c r="AI201" s="11" t="s">
        <v>5044</v>
      </c>
      <c r="AJ201" s="11" t="s">
        <v>5044</v>
      </c>
      <c r="AK201" s="11" t="s">
        <v>5318</v>
      </c>
      <c r="AL201" s="11">
        <v>1</v>
      </c>
      <c r="AM201" s="11">
        <v>0</v>
      </c>
      <c r="AN201" s="11" t="s">
        <v>5318</v>
      </c>
      <c r="AO201" s="11">
        <v>9</v>
      </c>
      <c r="AP201" s="11" t="s">
        <v>5318</v>
      </c>
      <c r="AQ201" s="11" t="s">
        <v>5318</v>
      </c>
    </row>
    <row r="202" spans="1:43" ht="63" customHeight="1" x14ac:dyDescent="0.2">
      <c r="A202" s="10">
        <v>2638</v>
      </c>
      <c r="B202" s="11" t="s">
        <v>7157</v>
      </c>
      <c r="C202" s="11" t="s">
        <v>735</v>
      </c>
      <c r="D202" s="11">
        <v>2023</v>
      </c>
      <c r="E202" s="11" t="s">
        <v>5318</v>
      </c>
      <c r="F202" s="11">
        <v>41</v>
      </c>
      <c r="G202" s="11">
        <v>5</v>
      </c>
      <c r="H202" s="11" t="s">
        <v>6582</v>
      </c>
      <c r="I202" s="11" t="s">
        <v>6516</v>
      </c>
      <c r="J202" s="11" t="s">
        <v>7158</v>
      </c>
      <c r="K202" s="11" t="s">
        <v>736</v>
      </c>
      <c r="L202" s="12" t="s">
        <v>5549</v>
      </c>
      <c r="M202" s="11">
        <v>0</v>
      </c>
      <c r="N202" s="9" t="s">
        <v>5044</v>
      </c>
      <c r="O202" s="9" t="s">
        <v>5044</v>
      </c>
      <c r="P202" s="11">
        <v>0</v>
      </c>
      <c r="Q202" s="11">
        <v>0</v>
      </c>
      <c r="R202" s="11">
        <v>0</v>
      </c>
      <c r="S202" s="11">
        <v>3</v>
      </c>
      <c r="T202" s="11">
        <v>4</v>
      </c>
      <c r="U202" s="11">
        <v>90</v>
      </c>
      <c r="V202" s="11">
        <v>0</v>
      </c>
      <c r="W202" s="11">
        <v>1</v>
      </c>
      <c r="X202" s="11">
        <v>0</v>
      </c>
      <c r="Y202" s="11">
        <v>0</v>
      </c>
      <c r="Z202" s="11">
        <v>0</v>
      </c>
      <c r="AA202" s="11">
        <v>0</v>
      </c>
      <c r="AB202" s="11">
        <v>1</v>
      </c>
      <c r="AC202" s="11">
        <v>1</v>
      </c>
      <c r="AD202" s="11" t="s">
        <v>5044</v>
      </c>
      <c r="AE202" s="11" t="s">
        <v>5044</v>
      </c>
      <c r="AF202" s="11" t="s">
        <v>5044</v>
      </c>
      <c r="AG202" s="11">
        <v>1</v>
      </c>
      <c r="AH202" s="11">
        <v>0</v>
      </c>
      <c r="AI202" s="11">
        <v>0</v>
      </c>
      <c r="AJ202" s="11" t="s">
        <v>5044</v>
      </c>
      <c r="AK202" s="11" t="s">
        <v>5318</v>
      </c>
      <c r="AL202" s="11" t="s">
        <v>5044</v>
      </c>
      <c r="AM202" s="11">
        <v>0</v>
      </c>
      <c r="AN202" s="11" t="s">
        <v>5105</v>
      </c>
      <c r="AO202" s="9">
        <v>0</v>
      </c>
      <c r="AP202" s="11" t="s">
        <v>5318</v>
      </c>
      <c r="AQ202" s="11" t="s">
        <v>5318</v>
      </c>
    </row>
    <row r="203" spans="1:43" ht="63" customHeight="1" x14ac:dyDescent="0.2">
      <c r="A203" s="10">
        <v>2642</v>
      </c>
      <c r="B203" s="11" t="s">
        <v>7159</v>
      </c>
      <c r="C203" s="11" t="s">
        <v>737</v>
      </c>
      <c r="D203" s="11">
        <v>2014</v>
      </c>
      <c r="E203" s="11" t="s">
        <v>5318</v>
      </c>
      <c r="F203" s="11">
        <v>113</v>
      </c>
      <c r="G203" s="11" t="s">
        <v>7160</v>
      </c>
      <c r="H203" s="11" t="s">
        <v>6454</v>
      </c>
      <c r="I203" s="11" t="s">
        <v>6516</v>
      </c>
      <c r="J203" s="11" t="s">
        <v>7161</v>
      </c>
      <c r="K203" s="11" t="s">
        <v>738</v>
      </c>
      <c r="L203" s="12" t="s">
        <v>5550</v>
      </c>
      <c r="M203" s="11">
        <v>0</v>
      </c>
      <c r="N203" s="9" t="s">
        <v>5044</v>
      </c>
      <c r="O203" s="9" t="s">
        <v>5044</v>
      </c>
      <c r="P203" s="11">
        <v>0</v>
      </c>
      <c r="Q203" s="11">
        <v>0</v>
      </c>
      <c r="R203" s="11">
        <v>1</v>
      </c>
      <c r="S203" s="11" t="s">
        <v>5772</v>
      </c>
      <c r="T203" s="11">
        <v>5</v>
      </c>
      <c r="U203" s="11">
        <v>60</v>
      </c>
      <c r="V203" s="11">
        <v>0</v>
      </c>
      <c r="W203" s="11">
        <v>1</v>
      </c>
      <c r="X203" s="11">
        <v>0</v>
      </c>
      <c r="Y203" s="11">
        <v>0</v>
      </c>
      <c r="Z203" s="11">
        <v>0</v>
      </c>
      <c r="AA203" s="11">
        <v>0</v>
      </c>
      <c r="AB203" s="11">
        <v>1</v>
      </c>
      <c r="AC203" s="11">
        <v>1</v>
      </c>
      <c r="AD203" s="11" t="s">
        <v>5044</v>
      </c>
      <c r="AE203" s="11" t="s">
        <v>5044</v>
      </c>
      <c r="AF203" s="11" t="s">
        <v>5044</v>
      </c>
      <c r="AG203" s="11">
        <v>2</v>
      </c>
      <c r="AH203" s="11">
        <v>3</v>
      </c>
      <c r="AI203" s="11">
        <v>0</v>
      </c>
      <c r="AJ203" s="11" t="s">
        <v>5044</v>
      </c>
      <c r="AK203" s="11">
        <v>1</v>
      </c>
      <c r="AL203" s="11" t="s">
        <v>5044</v>
      </c>
      <c r="AM203" s="11">
        <v>0</v>
      </c>
      <c r="AN203" s="11" t="s">
        <v>5551</v>
      </c>
      <c r="AO203" s="11">
        <v>3</v>
      </c>
      <c r="AP203" s="11" t="s">
        <v>5318</v>
      </c>
      <c r="AQ203" s="11" t="s">
        <v>5318</v>
      </c>
    </row>
    <row r="204" spans="1:43" ht="63" customHeight="1" x14ac:dyDescent="0.2">
      <c r="A204" s="10">
        <v>2643</v>
      </c>
      <c r="B204" s="11" t="s">
        <v>6375</v>
      </c>
      <c r="C204" s="11" t="s">
        <v>739</v>
      </c>
      <c r="D204" s="11">
        <v>2016</v>
      </c>
      <c r="E204" s="11" t="s">
        <v>5318</v>
      </c>
      <c r="F204" s="11">
        <v>223</v>
      </c>
      <c r="G204" s="11">
        <v>2</v>
      </c>
      <c r="H204" s="11" t="s">
        <v>6377</v>
      </c>
      <c r="I204" s="11" t="s">
        <v>6878</v>
      </c>
      <c r="J204" s="11" t="s">
        <v>7162</v>
      </c>
      <c r="K204" s="11" t="s">
        <v>741</v>
      </c>
      <c r="L204" s="16" t="s">
        <v>5552</v>
      </c>
      <c r="M204" s="11">
        <v>0</v>
      </c>
      <c r="N204" s="9" t="s">
        <v>5044</v>
      </c>
      <c r="O204" s="9" t="s">
        <v>5044</v>
      </c>
      <c r="P204" s="11">
        <v>0</v>
      </c>
      <c r="Q204" s="11">
        <v>0</v>
      </c>
      <c r="R204" s="11">
        <v>0</v>
      </c>
      <c r="S204" s="11">
        <v>1</v>
      </c>
      <c r="T204" s="11">
        <v>5</v>
      </c>
      <c r="U204" s="11">
        <v>144</v>
      </c>
      <c r="V204" s="11">
        <v>1</v>
      </c>
      <c r="W204" s="11">
        <v>0</v>
      </c>
      <c r="X204" s="11">
        <v>0</v>
      </c>
      <c r="Y204" s="11">
        <v>1</v>
      </c>
      <c r="Z204" s="11">
        <v>0</v>
      </c>
      <c r="AA204" s="11">
        <v>0</v>
      </c>
      <c r="AB204" s="11">
        <v>1</v>
      </c>
      <c r="AC204" s="11">
        <v>1</v>
      </c>
      <c r="AD204" s="11">
        <v>2</v>
      </c>
      <c r="AE204" s="11">
        <v>3</v>
      </c>
      <c r="AF204" s="11">
        <v>0</v>
      </c>
      <c r="AG204" s="11" t="s">
        <v>5044</v>
      </c>
      <c r="AH204" s="11" t="s">
        <v>5044</v>
      </c>
      <c r="AI204" s="11" t="s">
        <v>5044</v>
      </c>
      <c r="AJ204" s="11">
        <v>0</v>
      </c>
      <c r="AK204" s="11">
        <v>1</v>
      </c>
      <c r="AL204" s="11">
        <v>0</v>
      </c>
      <c r="AM204" s="11">
        <v>0</v>
      </c>
      <c r="AN204" s="11" t="s">
        <v>5318</v>
      </c>
      <c r="AO204" s="11">
        <v>3</v>
      </c>
      <c r="AP204" s="11" t="s">
        <v>5318</v>
      </c>
      <c r="AQ204" s="11" t="s">
        <v>5318</v>
      </c>
    </row>
    <row r="205" spans="1:43" ht="63" customHeight="1" x14ac:dyDescent="0.2">
      <c r="A205" s="10">
        <v>2648</v>
      </c>
      <c r="B205" s="11" t="s">
        <v>7163</v>
      </c>
      <c r="C205" s="11" t="s">
        <v>742</v>
      </c>
      <c r="D205" s="11">
        <v>2020</v>
      </c>
      <c r="E205" s="11" t="s">
        <v>5318</v>
      </c>
      <c r="F205" s="11">
        <v>90</v>
      </c>
      <c r="G205" s="13">
        <v>45511</v>
      </c>
      <c r="H205" s="11" t="s">
        <v>7088</v>
      </c>
      <c r="I205" s="11" t="s">
        <v>6516</v>
      </c>
      <c r="J205" s="11" t="s">
        <v>7164</v>
      </c>
      <c r="K205" s="11" t="s">
        <v>744</v>
      </c>
      <c r="L205" s="12" t="s">
        <v>5553</v>
      </c>
      <c r="M205" s="11">
        <v>0</v>
      </c>
      <c r="N205" s="9" t="s">
        <v>5044</v>
      </c>
      <c r="O205" s="9" t="s">
        <v>5044</v>
      </c>
      <c r="P205" s="11">
        <v>0</v>
      </c>
      <c r="Q205" s="11">
        <v>0</v>
      </c>
      <c r="R205" s="11">
        <v>0</v>
      </c>
      <c r="S205" s="11">
        <v>1</v>
      </c>
      <c r="T205" s="11">
        <v>4</v>
      </c>
      <c r="U205" s="11">
        <v>40</v>
      </c>
      <c r="V205" s="11">
        <v>0</v>
      </c>
      <c r="W205" s="11">
        <v>1</v>
      </c>
      <c r="X205" s="11">
        <v>0</v>
      </c>
      <c r="Y205" s="11">
        <v>0</v>
      </c>
      <c r="Z205" s="11">
        <v>0</v>
      </c>
      <c r="AA205" s="11">
        <v>0</v>
      </c>
      <c r="AB205" s="11">
        <v>1</v>
      </c>
      <c r="AC205" s="11">
        <v>1</v>
      </c>
      <c r="AD205" s="11" t="s">
        <v>5044</v>
      </c>
      <c r="AE205" s="11" t="s">
        <v>5044</v>
      </c>
      <c r="AF205" s="11" t="s">
        <v>5044</v>
      </c>
      <c r="AG205" s="11">
        <v>2</v>
      </c>
      <c r="AH205" s="11">
        <v>1</v>
      </c>
      <c r="AI205" s="11">
        <v>2</v>
      </c>
      <c r="AJ205" s="11" t="s">
        <v>5044</v>
      </c>
      <c r="AK205" s="11" t="s">
        <v>5318</v>
      </c>
      <c r="AL205" s="11" t="s">
        <v>5044</v>
      </c>
      <c r="AM205" s="11">
        <v>0</v>
      </c>
      <c r="AN205" s="11" t="s">
        <v>5105</v>
      </c>
      <c r="AO205" s="11">
        <v>1</v>
      </c>
      <c r="AP205" s="11" t="s">
        <v>5318</v>
      </c>
      <c r="AQ205" s="11" t="s">
        <v>5318</v>
      </c>
    </row>
    <row r="206" spans="1:43" ht="63" customHeight="1" x14ac:dyDescent="0.2">
      <c r="A206" s="10">
        <v>2688</v>
      </c>
      <c r="B206" s="11" t="s">
        <v>7167</v>
      </c>
      <c r="C206" s="11" t="s">
        <v>748</v>
      </c>
      <c r="D206" s="11">
        <v>2020</v>
      </c>
      <c r="E206" s="11" t="s">
        <v>5318</v>
      </c>
      <c r="F206" s="11">
        <v>38</v>
      </c>
      <c r="G206" s="11">
        <v>8</v>
      </c>
      <c r="H206" s="11" t="s">
        <v>6582</v>
      </c>
      <c r="I206" s="11" t="s">
        <v>6516</v>
      </c>
      <c r="J206" s="11" t="s">
        <v>7168</v>
      </c>
      <c r="K206" s="11" t="s">
        <v>749</v>
      </c>
      <c r="L206" s="11" t="s">
        <v>5044</v>
      </c>
      <c r="M206" s="11">
        <v>0</v>
      </c>
      <c r="N206" s="9" t="s">
        <v>5044</v>
      </c>
      <c r="O206" s="9" t="s">
        <v>5044</v>
      </c>
      <c r="P206" s="11">
        <v>0</v>
      </c>
      <c r="Q206" s="11">
        <v>0</v>
      </c>
      <c r="R206" s="11">
        <v>0</v>
      </c>
      <c r="S206" s="11">
        <v>3</v>
      </c>
      <c r="T206" s="11">
        <v>1</v>
      </c>
      <c r="U206" s="11">
        <v>53</v>
      </c>
      <c r="V206" s="11">
        <v>0</v>
      </c>
      <c r="W206" s="11">
        <v>1</v>
      </c>
      <c r="X206" s="11">
        <v>0</v>
      </c>
      <c r="Y206" s="11">
        <v>0</v>
      </c>
      <c r="Z206" s="11">
        <v>0</v>
      </c>
      <c r="AA206" s="11">
        <v>0</v>
      </c>
      <c r="AB206" s="11">
        <v>1</v>
      </c>
      <c r="AC206" s="11">
        <v>1</v>
      </c>
      <c r="AD206" s="11" t="s">
        <v>5044</v>
      </c>
      <c r="AE206" s="11" t="s">
        <v>5044</v>
      </c>
      <c r="AF206" s="11" t="s">
        <v>5044</v>
      </c>
      <c r="AG206" s="11">
        <v>1</v>
      </c>
      <c r="AH206" s="11">
        <v>0</v>
      </c>
      <c r="AI206" s="11">
        <v>0</v>
      </c>
      <c r="AJ206" s="11" t="s">
        <v>5044</v>
      </c>
      <c r="AK206" s="11" t="s">
        <v>5318</v>
      </c>
      <c r="AL206" s="11" t="s">
        <v>5044</v>
      </c>
      <c r="AM206" s="11">
        <v>0</v>
      </c>
      <c r="AN206" s="11" t="s">
        <v>5105</v>
      </c>
      <c r="AO206" s="9">
        <v>0</v>
      </c>
      <c r="AP206" s="11" t="s">
        <v>5318</v>
      </c>
      <c r="AQ206" s="11" t="s">
        <v>5318</v>
      </c>
    </row>
    <row r="207" spans="1:43" ht="63" customHeight="1" x14ac:dyDescent="0.2">
      <c r="A207" s="10">
        <v>2695</v>
      </c>
      <c r="B207" s="11" t="s">
        <v>7169</v>
      </c>
      <c r="C207" s="11" t="s">
        <v>750</v>
      </c>
      <c r="D207" s="11">
        <v>2016</v>
      </c>
      <c r="E207" s="11" t="s">
        <v>5318</v>
      </c>
      <c r="F207" s="11">
        <v>388</v>
      </c>
      <c r="G207" s="11">
        <v>10045</v>
      </c>
      <c r="H207" s="11" t="s">
        <v>6349</v>
      </c>
      <c r="I207" s="11" t="s">
        <v>6516</v>
      </c>
      <c r="J207" s="11" t="s">
        <v>7170</v>
      </c>
      <c r="K207" s="11" t="s">
        <v>751</v>
      </c>
      <c r="L207" s="16" t="s">
        <v>5555</v>
      </c>
      <c r="M207" s="11">
        <v>0</v>
      </c>
      <c r="N207" s="9" t="s">
        <v>5044</v>
      </c>
      <c r="O207" s="9" t="s">
        <v>5044</v>
      </c>
      <c r="P207" s="11">
        <v>0</v>
      </c>
      <c r="Q207" s="11">
        <v>0</v>
      </c>
      <c r="R207" s="11">
        <v>0</v>
      </c>
      <c r="S207" s="11">
        <v>6</v>
      </c>
      <c r="T207" s="11">
        <v>1</v>
      </c>
      <c r="U207" s="11">
        <v>1403</v>
      </c>
      <c r="V207" s="11">
        <v>0</v>
      </c>
      <c r="W207" s="11">
        <v>1</v>
      </c>
      <c r="X207" s="11">
        <v>0</v>
      </c>
      <c r="Y207" s="11">
        <v>0</v>
      </c>
      <c r="Z207" s="11">
        <v>0</v>
      </c>
      <c r="AA207" s="11">
        <v>0</v>
      </c>
      <c r="AB207" s="11">
        <v>1</v>
      </c>
      <c r="AC207" s="11">
        <v>0</v>
      </c>
      <c r="AD207" s="11" t="s">
        <v>5044</v>
      </c>
      <c r="AE207" s="11" t="s">
        <v>5044</v>
      </c>
      <c r="AF207" s="11" t="s">
        <v>5044</v>
      </c>
      <c r="AG207" s="11">
        <v>0</v>
      </c>
      <c r="AH207" s="11" t="s">
        <v>5044</v>
      </c>
      <c r="AI207" s="11" t="s">
        <v>5044</v>
      </c>
      <c r="AJ207" s="11" t="s">
        <v>5044</v>
      </c>
      <c r="AK207" s="11" t="s">
        <v>5318</v>
      </c>
      <c r="AL207" s="11">
        <v>0</v>
      </c>
      <c r="AM207" s="11">
        <v>0</v>
      </c>
      <c r="AN207" s="11" t="s">
        <v>5318</v>
      </c>
      <c r="AO207" s="11">
        <v>9</v>
      </c>
      <c r="AP207" s="11" t="s">
        <v>5318</v>
      </c>
      <c r="AQ207" s="11" t="s">
        <v>5318</v>
      </c>
    </row>
    <row r="208" spans="1:43" ht="63" customHeight="1" x14ac:dyDescent="0.2">
      <c r="A208" s="10">
        <v>2705</v>
      </c>
      <c r="B208" s="11" t="s">
        <v>7171</v>
      </c>
      <c r="C208" s="11" t="s">
        <v>752</v>
      </c>
      <c r="D208" s="11">
        <v>2014</v>
      </c>
      <c r="E208" s="11" t="s">
        <v>5318</v>
      </c>
      <c r="F208" s="11">
        <v>12</v>
      </c>
      <c r="G208" s="11">
        <v>8</v>
      </c>
      <c r="H208" s="11" t="s">
        <v>7001</v>
      </c>
      <c r="I208" s="11" t="s">
        <v>6516</v>
      </c>
      <c r="J208" s="11" t="s">
        <v>7172</v>
      </c>
      <c r="K208" s="11" t="s">
        <v>753</v>
      </c>
      <c r="L208" s="12" t="s">
        <v>5556</v>
      </c>
      <c r="M208" s="11">
        <v>0</v>
      </c>
      <c r="N208" s="9" t="s">
        <v>5044</v>
      </c>
      <c r="O208" s="9" t="s">
        <v>5044</v>
      </c>
      <c r="P208" s="11">
        <v>0</v>
      </c>
      <c r="Q208" s="11">
        <v>0</v>
      </c>
      <c r="R208" s="11">
        <v>0</v>
      </c>
      <c r="S208" s="11">
        <v>1</v>
      </c>
      <c r="T208" s="11">
        <v>4</v>
      </c>
      <c r="U208" s="11">
        <v>160</v>
      </c>
      <c r="V208" s="11">
        <v>0</v>
      </c>
      <c r="W208" s="11">
        <v>1</v>
      </c>
      <c r="X208" s="11">
        <v>0</v>
      </c>
      <c r="Y208" s="11">
        <v>0</v>
      </c>
      <c r="Z208" s="11">
        <v>0</v>
      </c>
      <c r="AA208" s="11">
        <v>0</v>
      </c>
      <c r="AB208" s="11">
        <v>1</v>
      </c>
      <c r="AC208" s="11">
        <v>0</v>
      </c>
      <c r="AD208" s="11" t="s">
        <v>5044</v>
      </c>
      <c r="AE208" s="11" t="s">
        <v>5044</v>
      </c>
      <c r="AF208" s="11" t="s">
        <v>5044</v>
      </c>
      <c r="AG208" s="11">
        <v>0</v>
      </c>
      <c r="AH208" s="11" t="s">
        <v>5044</v>
      </c>
      <c r="AI208" s="11" t="s">
        <v>5044</v>
      </c>
      <c r="AJ208" s="11" t="s">
        <v>5044</v>
      </c>
      <c r="AK208" s="11" t="s">
        <v>5318</v>
      </c>
      <c r="AL208" s="11">
        <v>1</v>
      </c>
      <c r="AM208" s="11">
        <v>0</v>
      </c>
      <c r="AN208" s="11" t="s">
        <v>5318</v>
      </c>
      <c r="AO208" s="11">
        <v>9</v>
      </c>
      <c r="AP208" s="11" t="s">
        <v>5318</v>
      </c>
      <c r="AQ208" s="11" t="s">
        <v>5318</v>
      </c>
    </row>
    <row r="209" spans="1:43" ht="63" customHeight="1" x14ac:dyDescent="0.2">
      <c r="A209" s="10">
        <v>2717</v>
      </c>
      <c r="B209" s="11" t="s">
        <v>7173</v>
      </c>
      <c r="C209" s="11" t="s">
        <v>754</v>
      </c>
      <c r="D209" s="11">
        <v>2023</v>
      </c>
      <c r="E209" s="11" t="s">
        <v>5318</v>
      </c>
      <c r="F209" s="11">
        <v>37</v>
      </c>
      <c r="G209" s="11">
        <v>1</v>
      </c>
      <c r="H209" s="11" t="s">
        <v>6692</v>
      </c>
      <c r="I209" s="11" t="s">
        <v>6516</v>
      </c>
      <c r="J209" s="11" t="s">
        <v>7174</v>
      </c>
      <c r="K209" s="11" t="s">
        <v>755</v>
      </c>
      <c r="L209" s="11" t="s">
        <v>5044</v>
      </c>
      <c r="M209" s="11">
        <v>0</v>
      </c>
      <c r="N209" s="9" t="s">
        <v>5044</v>
      </c>
      <c r="O209" s="9" t="s">
        <v>5044</v>
      </c>
      <c r="P209" s="11">
        <v>0</v>
      </c>
      <c r="Q209" s="11">
        <v>0</v>
      </c>
      <c r="R209" s="11">
        <v>0</v>
      </c>
      <c r="S209" s="11">
        <v>3</v>
      </c>
      <c r="T209" s="11">
        <v>4</v>
      </c>
      <c r="U209" s="11">
        <v>80</v>
      </c>
      <c r="V209" s="11">
        <v>0</v>
      </c>
      <c r="W209" s="11">
        <v>1</v>
      </c>
      <c r="X209" s="11">
        <v>0</v>
      </c>
      <c r="Y209" s="11">
        <v>0</v>
      </c>
      <c r="Z209" s="11">
        <v>0</v>
      </c>
      <c r="AA209" s="11">
        <v>0</v>
      </c>
      <c r="AB209" s="11">
        <v>1</v>
      </c>
      <c r="AC209" s="11">
        <v>1</v>
      </c>
      <c r="AD209" s="11" t="s">
        <v>5044</v>
      </c>
      <c r="AE209" s="11" t="s">
        <v>5044</v>
      </c>
      <c r="AF209" s="11" t="s">
        <v>5044</v>
      </c>
      <c r="AG209" s="11">
        <v>1</v>
      </c>
      <c r="AH209" s="11">
        <v>0</v>
      </c>
      <c r="AI209" s="11">
        <v>0</v>
      </c>
      <c r="AJ209" s="11" t="s">
        <v>5044</v>
      </c>
      <c r="AK209" s="11" t="s">
        <v>5318</v>
      </c>
      <c r="AL209" s="11">
        <v>0</v>
      </c>
      <c r="AM209" s="11">
        <v>0</v>
      </c>
      <c r="AN209" s="11" t="s">
        <v>5318</v>
      </c>
      <c r="AO209" s="9">
        <v>0</v>
      </c>
      <c r="AP209" s="11" t="s">
        <v>5318</v>
      </c>
      <c r="AQ209" s="11" t="s">
        <v>5318</v>
      </c>
    </row>
    <row r="210" spans="1:43" ht="63" customHeight="1" x14ac:dyDescent="0.2">
      <c r="A210" s="10">
        <v>2718</v>
      </c>
      <c r="B210" s="11" t="s">
        <v>7175</v>
      </c>
      <c r="C210" s="11" t="s">
        <v>756</v>
      </c>
      <c r="D210" s="11">
        <v>2012</v>
      </c>
      <c r="E210" s="11" t="s">
        <v>5318</v>
      </c>
      <c r="F210" s="11">
        <v>79</v>
      </c>
      <c r="G210" s="11">
        <v>4</v>
      </c>
      <c r="H210" s="11" t="s">
        <v>6926</v>
      </c>
      <c r="I210" s="11" t="s">
        <v>6516</v>
      </c>
      <c r="J210" s="11" t="s">
        <v>7176</v>
      </c>
      <c r="K210" s="11" t="s">
        <v>758</v>
      </c>
      <c r="L210" s="11" t="s">
        <v>5044</v>
      </c>
      <c r="M210" s="11">
        <v>0</v>
      </c>
      <c r="N210" s="9" t="s">
        <v>5044</v>
      </c>
      <c r="O210" s="9" t="s">
        <v>5044</v>
      </c>
      <c r="P210" s="11">
        <v>0</v>
      </c>
      <c r="Q210" s="11">
        <v>0</v>
      </c>
      <c r="R210" s="11">
        <v>0</v>
      </c>
      <c r="S210" s="11">
        <v>3</v>
      </c>
      <c r="T210" s="11">
        <v>6</v>
      </c>
      <c r="U210" s="11">
        <v>100</v>
      </c>
      <c r="V210" s="11">
        <v>0</v>
      </c>
      <c r="W210" s="11">
        <v>1</v>
      </c>
      <c r="X210" s="11">
        <v>0</v>
      </c>
      <c r="Y210" s="11">
        <v>0</v>
      </c>
      <c r="Z210" s="11">
        <v>0</v>
      </c>
      <c r="AA210" s="11">
        <v>0</v>
      </c>
      <c r="AB210" s="11">
        <v>1</v>
      </c>
      <c r="AC210" s="11">
        <v>1</v>
      </c>
      <c r="AD210" s="11" t="s">
        <v>5044</v>
      </c>
      <c r="AE210" s="11" t="s">
        <v>5044</v>
      </c>
      <c r="AF210" s="11" t="s">
        <v>5044</v>
      </c>
      <c r="AG210" s="11">
        <v>1</v>
      </c>
      <c r="AH210" s="11">
        <v>0</v>
      </c>
      <c r="AI210" s="11">
        <v>0</v>
      </c>
      <c r="AJ210" s="11" t="s">
        <v>5044</v>
      </c>
      <c r="AK210" s="11" t="s">
        <v>5318</v>
      </c>
      <c r="AL210" s="11">
        <v>0</v>
      </c>
      <c r="AM210" s="11">
        <v>0</v>
      </c>
      <c r="AN210" s="11" t="s">
        <v>5318</v>
      </c>
      <c r="AO210" s="9">
        <v>0</v>
      </c>
      <c r="AP210" s="11" t="s">
        <v>5318</v>
      </c>
      <c r="AQ210" s="11" t="s">
        <v>5318</v>
      </c>
    </row>
    <row r="211" spans="1:43" ht="63" customHeight="1" x14ac:dyDescent="0.2">
      <c r="A211" s="10">
        <v>2738</v>
      </c>
      <c r="B211" s="11" t="s">
        <v>7177</v>
      </c>
      <c r="C211" s="11" t="s">
        <v>759</v>
      </c>
      <c r="D211" s="11">
        <v>2017</v>
      </c>
      <c r="E211" s="11" t="s">
        <v>5318</v>
      </c>
      <c r="F211" s="11">
        <v>92</v>
      </c>
      <c r="G211" s="11">
        <v>2</v>
      </c>
      <c r="H211" s="11" t="s">
        <v>7178</v>
      </c>
      <c r="I211" s="11" t="s">
        <v>6516</v>
      </c>
      <c r="J211" s="11" t="s">
        <v>7179</v>
      </c>
      <c r="K211" s="11" t="s">
        <v>760</v>
      </c>
      <c r="L211" s="12" t="s">
        <v>5557</v>
      </c>
      <c r="M211" s="11">
        <v>0</v>
      </c>
      <c r="N211" s="9" t="s">
        <v>5044</v>
      </c>
      <c r="O211" s="9" t="s">
        <v>5044</v>
      </c>
      <c r="P211" s="11">
        <v>0</v>
      </c>
      <c r="Q211" s="11">
        <v>0</v>
      </c>
      <c r="R211" s="11">
        <v>0</v>
      </c>
      <c r="S211" s="11">
        <v>1</v>
      </c>
      <c r="T211" s="11">
        <v>4</v>
      </c>
      <c r="U211" s="11">
        <v>162</v>
      </c>
      <c r="V211" s="11">
        <v>0</v>
      </c>
      <c r="W211" s="11">
        <v>1</v>
      </c>
      <c r="X211" s="11">
        <v>0</v>
      </c>
      <c r="Y211" s="11">
        <v>0</v>
      </c>
      <c r="Z211" s="11">
        <v>0</v>
      </c>
      <c r="AA211" s="11">
        <v>0</v>
      </c>
      <c r="AB211" s="11">
        <v>1</v>
      </c>
      <c r="AC211" s="11">
        <v>1</v>
      </c>
      <c r="AD211" s="11" t="s">
        <v>5044</v>
      </c>
      <c r="AE211" s="11" t="s">
        <v>5044</v>
      </c>
      <c r="AF211" s="11" t="s">
        <v>5044</v>
      </c>
      <c r="AG211" s="11">
        <v>2</v>
      </c>
      <c r="AH211" s="11">
        <v>1</v>
      </c>
      <c r="AI211" s="11">
        <v>2</v>
      </c>
      <c r="AJ211" s="11" t="s">
        <v>5044</v>
      </c>
      <c r="AK211" s="11" t="s">
        <v>5318</v>
      </c>
      <c r="AL211" s="11" t="s">
        <v>5044</v>
      </c>
      <c r="AM211" s="11">
        <v>0</v>
      </c>
      <c r="AN211" s="11" t="s">
        <v>5105</v>
      </c>
      <c r="AO211" s="11">
        <v>1</v>
      </c>
      <c r="AP211" s="11" t="s">
        <v>5318</v>
      </c>
      <c r="AQ211" s="11" t="s">
        <v>5318</v>
      </c>
    </row>
    <row r="212" spans="1:43" ht="63" customHeight="1" x14ac:dyDescent="0.2">
      <c r="A212" s="10">
        <v>2739</v>
      </c>
      <c r="B212" s="11" t="s">
        <v>7180</v>
      </c>
      <c r="C212" s="11" t="s">
        <v>761</v>
      </c>
      <c r="D212" s="11">
        <v>2021</v>
      </c>
      <c r="E212" s="11" t="s">
        <v>5318</v>
      </c>
      <c r="F212" s="11">
        <v>18</v>
      </c>
      <c r="G212" s="11">
        <v>4</v>
      </c>
      <c r="H212" s="11" t="s">
        <v>7181</v>
      </c>
      <c r="I212" s="11" t="s">
        <v>6516</v>
      </c>
      <c r="J212" s="11" t="s">
        <v>7182</v>
      </c>
      <c r="K212" s="11" t="s">
        <v>762</v>
      </c>
      <c r="L212" s="12" t="s">
        <v>5558</v>
      </c>
      <c r="M212" s="11">
        <v>0</v>
      </c>
      <c r="N212" s="9" t="s">
        <v>5044</v>
      </c>
      <c r="O212" s="9" t="s">
        <v>5044</v>
      </c>
      <c r="P212" s="11">
        <v>0</v>
      </c>
      <c r="Q212" s="11">
        <v>0</v>
      </c>
      <c r="R212" s="11">
        <v>0</v>
      </c>
      <c r="S212" s="11">
        <v>1</v>
      </c>
      <c r="T212" s="11">
        <v>4</v>
      </c>
      <c r="U212" s="11">
        <v>180</v>
      </c>
      <c r="V212" s="11">
        <v>0</v>
      </c>
      <c r="W212" s="11">
        <v>1</v>
      </c>
      <c r="X212" s="11">
        <v>0</v>
      </c>
      <c r="Y212" s="11">
        <v>0</v>
      </c>
      <c r="Z212" s="11">
        <v>0</v>
      </c>
      <c r="AA212" s="11">
        <v>0</v>
      </c>
      <c r="AB212" s="11">
        <v>1</v>
      </c>
      <c r="AC212" s="11">
        <v>1</v>
      </c>
      <c r="AD212" s="11" t="s">
        <v>5044</v>
      </c>
      <c r="AE212" s="11" t="s">
        <v>5044</v>
      </c>
      <c r="AF212" s="11" t="s">
        <v>5044</v>
      </c>
      <c r="AG212" s="11">
        <v>2</v>
      </c>
      <c r="AH212" s="11">
        <v>1</v>
      </c>
      <c r="AI212" s="11">
        <v>1</v>
      </c>
      <c r="AJ212" s="11" t="s">
        <v>5044</v>
      </c>
      <c r="AK212" s="11" t="s">
        <v>5318</v>
      </c>
      <c r="AL212" s="11" t="s">
        <v>5044</v>
      </c>
      <c r="AM212" s="11">
        <v>0</v>
      </c>
      <c r="AN212" s="11" t="s">
        <v>5277</v>
      </c>
      <c r="AO212" s="11">
        <v>1</v>
      </c>
      <c r="AP212" s="11" t="s">
        <v>5318</v>
      </c>
      <c r="AQ212" s="11" t="s">
        <v>5318</v>
      </c>
    </row>
    <row r="213" spans="1:43" ht="63" customHeight="1" x14ac:dyDescent="0.2">
      <c r="A213" s="10">
        <v>2776</v>
      </c>
      <c r="B213" s="11" t="s">
        <v>7186</v>
      </c>
      <c r="C213" s="11" t="s">
        <v>766</v>
      </c>
      <c r="D213" s="11">
        <v>2021</v>
      </c>
      <c r="E213" s="11" t="s">
        <v>5318</v>
      </c>
      <c r="F213" s="11">
        <v>44</v>
      </c>
      <c r="G213" s="11">
        <v>1</v>
      </c>
      <c r="H213" s="11" t="s">
        <v>7187</v>
      </c>
      <c r="I213" s="11" t="s">
        <v>6516</v>
      </c>
      <c r="J213" s="11" t="s">
        <v>7188</v>
      </c>
      <c r="K213" s="11" t="s">
        <v>769</v>
      </c>
      <c r="L213" s="11" t="s">
        <v>5044</v>
      </c>
      <c r="M213" s="11">
        <v>0</v>
      </c>
      <c r="N213" s="9" t="s">
        <v>5044</v>
      </c>
      <c r="O213" s="9" t="s">
        <v>5044</v>
      </c>
      <c r="P213" s="11">
        <v>0</v>
      </c>
      <c r="Q213" s="11">
        <v>0</v>
      </c>
      <c r="R213" s="11">
        <v>0</v>
      </c>
      <c r="S213" s="11">
        <v>9</v>
      </c>
      <c r="T213" s="11">
        <v>4</v>
      </c>
      <c r="U213" s="11">
        <v>80</v>
      </c>
      <c r="V213" s="11">
        <v>0</v>
      </c>
      <c r="W213" s="11">
        <v>1</v>
      </c>
      <c r="X213" s="11">
        <v>0</v>
      </c>
      <c r="Y213" s="11">
        <v>0</v>
      </c>
      <c r="Z213" s="11">
        <v>0</v>
      </c>
      <c r="AA213" s="11">
        <v>0</v>
      </c>
      <c r="AB213" s="11">
        <v>1</v>
      </c>
      <c r="AC213" s="11">
        <v>1</v>
      </c>
      <c r="AD213" s="11" t="s">
        <v>5044</v>
      </c>
      <c r="AE213" s="11" t="s">
        <v>5044</v>
      </c>
      <c r="AF213" s="11" t="s">
        <v>5044</v>
      </c>
      <c r="AG213" s="11">
        <v>1</v>
      </c>
      <c r="AH213" s="11">
        <v>0</v>
      </c>
      <c r="AI213" s="11">
        <v>0</v>
      </c>
      <c r="AJ213" s="11" t="s">
        <v>5044</v>
      </c>
      <c r="AK213" s="11" t="s">
        <v>5318</v>
      </c>
      <c r="AL213" s="11">
        <v>1</v>
      </c>
      <c r="AM213" s="11">
        <v>0</v>
      </c>
      <c r="AN213" s="11" t="s">
        <v>5318</v>
      </c>
      <c r="AO213" s="9">
        <v>0</v>
      </c>
      <c r="AP213" s="11" t="s">
        <v>5318</v>
      </c>
      <c r="AQ213" s="11" t="s">
        <v>5318</v>
      </c>
    </row>
    <row r="214" spans="1:43" ht="63" customHeight="1" x14ac:dyDescent="0.2">
      <c r="A214" s="10">
        <v>2780</v>
      </c>
      <c r="B214" s="11" t="s">
        <v>7189</v>
      </c>
      <c r="C214" s="11" t="s">
        <v>770</v>
      </c>
      <c r="D214" s="11">
        <v>2015</v>
      </c>
      <c r="E214" s="11" t="s">
        <v>5318</v>
      </c>
      <c r="F214" s="11">
        <v>2015</v>
      </c>
      <c r="G214" s="11" t="s">
        <v>5318</v>
      </c>
      <c r="H214" s="11" t="s">
        <v>7190</v>
      </c>
      <c r="I214" s="11" t="s">
        <v>6516</v>
      </c>
      <c r="J214" s="11" t="s">
        <v>7191</v>
      </c>
      <c r="K214" s="11" t="s">
        <v>771</v>
      </c>
      <c r="L214" s="11" t="s">
        <v>5044</v>
      </c>
      <c r="M214" s="11">
        <v>0</v>
      </c>
      <c r="N214" s="9" t="s">
        <v>5044</v>
      </c>
      <c r="O214" s="9" t="s">
        <v>5044</v>
      </c>
      <c r="P214" s="11">
        <v>0</v>
      </c>
      <c r="Q214" s="11">
        <v>0</v>
      </c>
      <c r="R214" s="11">
        <v>1</v>
      </c>
      <c r="S214" s="11">
        <v>1</v>
      </c>
      <c r="T214" s="11">
        <v>2</v>
      </c>
      <c r="U214" s="11">
        <v>239</v>
      </c>
      <c r="V214" s="11">
        <v>0</v>
      </c>
      <c r="W214" s="11">
        <v>1</v>
      </c>
      <c r="X214" s="11">
        <v>0</v>
      </c>
      <c r="Y214" s="11">
        <v>0</v>
      </c>
      <c r="Z214" s="11">
        <v>0</v>
      </c>
      <c r="AA214" s="11">
        <v>0</v>
      </c>
      <c r="AB214" s="11">
        <v>1</v>
      </c>
      <c r="AC214" s="11">
        <v>1</v>
      </c>
      <c r="AD214" s="11" t="s">
        <v>5044</v>
      </c>
      <c r="AE214" s="11" t="s">
        <v>5044</v>
      </c>
      <c r="AF214" s="11" t="s">
        <v>5044</v>
      </c>
      <c r="AG214" s="11">
        <v>1</v>
      </c>
      <c r="AH214" s="11">
        <v>0</v>
      </c>
      <c r="AI214" s="11">
        <v>0</v>
      </c>
      <c r="AJ214" s="11" t="s">
        <v>5044</v>
      </c>
      <c r="AK214" s="11" t="s">
        <v>5318</v>
      </c>
      <c r="AL214" s="11">
        <v>1</v>
      </c>
      <c r="AM214" s="11">
        <v>0</v>
      </c>
      <c r="AN214" s="11" t="s">
        <v>5551</v>
      </c>
      <c r="AO214" s="9">
        <v>0</v>
      </c>
      <c r="AP214" s="11" t="s">
        <v>5318</v>
      </c>
      <c r="AQ214" s="11" t="s">
        <v>5318</v>
      </c>
    </row>
    <row r="215" spans="1:43" ht="63" customHeight="1" x14ac:dyDescent="0.2">
      <c r="A215" s="10">
        <v>2801</v>
      </c>
      <c r="B215" s="11" t="s">
        <v>7194</v>
      </c>
      <c r="C215" s="11" t="s">
        <v>774</v>
      </c>
      <c r="D215" s="11">
        <v>2022</v>
      </c>
      <c r="E215" s="11" t="s">
        <v>5318</v>
      </c>
      <c r="F215" s="11">
        <v>166</v>
      </c>
      <c r="G215" s="11" t="s">
        <v>5318</v>
      </c>
      <c r="H215" s="11" t="s">
        <v>7195</v>
      </c>
      <c r="I215" s="11" t="s">
        <v>6516</v>
      </c>
      <c r="J215" s="11" t="s">
        <v>7196</v>
      </c>
      <c r="K215" s="11" t="s">
        <v>776</v>
      </c>
      <c r="L215" s="16" t="s">
        <v>5561</v>
      </c>
      <c r="M215" s="11">
        <v>0</v>
      </c>
      <c r="N215" s="9" t="s">
        <v>5044</v>
      </c>
      <c r="O215" s="9" t="s">
        <v>5044</v>
      </c>
      <c r="P215" s="11">
        <v>0</v>
      </c>
      <c r="Q215" s="11">
        <v>0</v>
      </c>
      <c r="R215" s="11">
        <v>0</v>
      </c>
      <c r="S215" s="11">
        <v>1</v>
      </c>
      <c r="T215" s="11">
        <v>4</v>
      </c>
      <c r="U215" s="11">
        <v>76</v>
      </c>
      <c r="V215" s="11">
        <v>0</v>
      </c>
      <c r="W215" s="11">
        <v>1</v>
      </c>
      <c r="X215" s="11">
        <v>0</v>
      </c>
      <c r="Y215" s="11">
        <v>0</v>
      </c>
      <c r="Z215" s="11">
        <v>0</v>
      </c>
      <c r="AA215" s="11">
        <v>0</v>
      </c>
      <c r="AB215" s="11">
        <v>1</v>
      </c>
      <c r="AC215" s="11">
        <v>1</v>
      </c>
      <c r="AD215" s="11" t="s">
        <v>5044</v>
      </c>
      <c r="AE215" s="11" t="s">
        <v>5044</v>
      </c>
      <c r="AF215" s="11" t="s">
        <v>5044</v>
      </c>
      <c r="AG215" s="11">
        <v>2</v>
      </c>
      <c r="AH215" s="11">
        <v>1</v>
      </c>
      <c r="AI215" s="11">
        <v>2</v>
      </c>
      <c r="AJ215" s="11" t="s">
        <v>5044</v>
      </c>
      <c r="AK215" s="11" t="s">
        <v>5318</v>
      </c>
      <c r="AL215" s="11">
        <v>1</v>
      </c>
      <c r="AM215" s="11">
        <v>0</v>
      </c>
      <c r="AN215" s="11" t="s">
        <v>5318</v>
      </c>
      <c r="AO215" s="11">
        <v>1</v>
      </c>
      <c r="AP215" s="11" t="s">
        <v>5318</v>
      </c>
      <c r="AQ215" s="11" t="s">
        <v>5318</v>
      </c>
    </row>
    <row r="216" spans="1:43" ht="63" customHeight="1" x14ac:dyDescent="0.2">
      <c r="A216" s="10">
        <v>2870</v>
      </c>
      <c r="B216" s="11" t="s">
        <v>7201</v>
      </c>
      <c r="C216" s="11" t="s">
        <v>781</v>
      </c>
      <c r="D216" s="11">
        <v>2017</v>
      </c>
      <c r="E216" s="11" t="s">
        <v>5318</v>
      </c>
      <c r="F216" s="11">
        <v>19</v>
      </c>
      <c r="G216" s="11">
        <v>7</v>
      </c>
      <c r="H216" s="11" t="s">
        <v>6749</v>
      </c>
      <c r="I216" s="11" t="s">
        <v>6516</v>
      </c>
      <c r="J216" s="11" t="s">
        <v>7202</v>
      </c>
      <c r="K216" s="11" t="s">
        <v>782</v>
      </c>
      <c r="L216" s="12" t="s">
        <v>5565</v>
      </c>
      <c r="M216" s="11">
        <v>0</v>
      </c>
      <c r="N216" s="9" t="s">
        <v>5044</v>
      </c>
      <c r="O216" s="9" t="s">
        <v>5044</v>
      </c>
      <c r="P216" s="11">
        <v>1</v>
      </c>
      <c r="Q216" s="11">
        <v>0</v>
      </c>
      <c r="R216" s="11">
        <v>0</v>
      </c>
      <c r="S216" s="11">
        <v>1</v>
      </c>
      <c r="T216" s="11">
        <v>4</v>
      </c>
      <c r="U216" s="11">
        <v>20</v>
      </c>
      <c r="V216" s="11">
        <v>0</v>
      </c>
      <c r="W216" s="11">
        <v>1</v>
      </c>
      <c r="X216" s="11">
        <v>0</v>
      </c>
      <c r="Y216" s="11">
        <v>0</v>
      </c>
      <c r="Z216" s="11">
        <v>0</v>
      </c>
      <c r="AA216" s="11">
        <v>0</v>
      </c>
      <c r="AB216" s="11">
        <v>1</v>
      </c>
      <c r="AC216" s="11">
        <v>1</v>
      </c>
      <c r="AD216" s="11" t="s">
        <v>5044</v>
      </c>
      <c r="AE216" s="11" t="s">
        <v>5044</v>
      </c>
      <c r="AF216" s="11" t="s">
        <v>5044</v>
      </c>
      <c r="AG216" s="11">
        <v>2</v>
      </c>
      <c r="AH216" s="11">
        <v>2</v>
      </c>
      <c r="AI216" s="11">
        <v>2</v>
      </c>
      <c r="AJ216" s="11" t="s">
        <v>5044</v>
      </c>
      <c r="AK216" s="11" t="s">
        <v>5318</v>
      </c>
      <c r="AL216" s="11">
        <v>1</v>
      </c>
      <c r="AM216" s="11">
        <v>0</v>
      </c>
      <c r="AN216" s="11" t="s">
        <v>5318</v>
      </c>
      <c r="AO216" s="11">
        <v>2</v>
      </c>
      <c r="AP216" s="11" t="s">
        <v>5318</v>
      </c>
      <c r="AQ216" s="11" t="s">
        <v>5318</v>
      </c>
    </row>
    <row r="217" spans="1:43" ht="63" customHeight="1" x14ac:dyDescent="0.2">
      <c r="A217" s="10">
        <v>2871</v>
      </c>
      <c r="B217" s="11" t="s">
        <v>7203</v>
      </c>
      <c r="C217" s="11" t="s">
        <v>783</v>
      </c>
      <c r="D217" s="11">
        <v>2022</v>
      </c>
      <c r="E217" s="11" t="s">
        <v>5318</v>
      </c>
      <c r="F217" s="11">
        <v>172</v>
      </c>
      <c r="G217" s="11">
        <v>2</v>
      </c>
      <c r="H217" s="11" t="s">
        <v>6553</v>
      </c>
      <c r="I217" s="11" t="s">
        <v>6878</v>
      </c>
      <c r="J217" s="11" t="s">
        <v>7204</v>
      </c>
      <c r="K217" s="11" t="s">
        <v>784</v>
      </c>
      <c r="L217" s="12" t="s">
        <v>5566</v>
      </c>
      <c r="M217" s="11">
        <v>0</v>
      </c>
      <c r="N217" s="9" t="s">
        <v>5044</v>
      </c>
      <c r="O217" s="9" t="s">
        <v>5044</v>
      </c>
      <c r="P217" s="11">
        <v>0</v>
      </c>
      <c r="Q217" s="11">
        <v>0</v>
      </c>
      <c r="R217" s="11">
        <v>0</v>
      </c>
      <c r="S217" s="11">
        <v>1</v>
      </c>
      <c r="T217" s="11">
        <v>1</v>
      </c>
      <c r="U217" s="11">
        <v>71</v>
      </c>
      <c r="V217" s="11">
        <v>0</v>
      </c>
      <c r="W217" s="11">
        <v>1</v>
      </c>
      <c r="X217" s="11">
        <v>0</v>
      </c>
      <c r="Y217" s="11">
        <v>0</v>
      </c>
      <c r="Z217" s="11">
        <v>1</v>
      </c>
      <c r="AA217" s="11">
        <v>0</v>
      </c>
      <c r="AB217" s="11">
        <v>1</v>
      </c>
      <c r="AC217" s="11">
        <v>1</v>
      </c>
      <c r="AD217" s="11" t="s">
        <v>5044</v>
      </c>
      <c r="AE217" s="11" t="s">
        <v>5044</v>
      </c>
      <c r="AF217" s="11" t="s">
        <v>5044</v>
      </c>
      <c r="AG217" s="11">
        <v>2</v>
      </c>
      <c r="AH217" s="11">
        <v>2</v>
      </c>
      <c r="AI217" s="11">
        <v>3</v>
      </c>
      <c r="AJ217" s="11">
        <v>0</v>
      </c>
      <c r="AK217" s="11" t="s">
        <v>5318</v>
      </c>
      <c r="AL217" s="11" t="s">
        <v>5044</v>
      </c>
      <c r="AM217" s="11">
        <v>0</v>
      </c>
      <c r="AN217" s="11" t="s">
        <v>5567</v>
      </c>
      <c r="AO217" s="11">
        <v>2</v>
      </c>
      <c r="AP217" s="11" t="s">
        <v>5318</v>
      </c>
      <c r="AQ217" s="11" t="s">
        <v>5318</v>
      </c>
    </row>
    <row r="218" spans="1:43" ht="63" customHeight="1" x14ac:dyDescent="0.2">
      <c r="A218" s="10">
        <v>2876</v>
      </c>
      <c r="B218" s="11" t="s">
        <v>7205</v>
      </c>
      <c r="C218" s="11" t="s">
        <v>785</v>
      </c>
      <c r="D218" s="11">
        <v>2023</v>
      </c>
      <c r="E218" s="11" t="s">
        <v>5318</v>
      </c>
      <c r="F218" s="11">
        <v>7</v>
      </c>
      <c r="G218" s="11">
        <v>2</v>
      </c>
      <c r="H218" s="11" t="s">
        <v>6839</v>
      </c>
      <c r="I218" s="11" t="s">
        <v>6878</v>
      </c>
      <c r="J218" s="11" t="s">
        <v>7206</v>
      </c>
      <c r="K218" s="11" t="s">
        <v>786</v>
      </c>
      <c r="L218" s="16" t="s">
        <v>5568</v>
      </c>
      <c r="M218" s="11">
        <v>0</v>
      </c>
      <c r="N218" s="9" t="s">
        <v>5044</v>
      </c>
      <c r="O218" s="9" t="s">
        <v>5044</v>
      </c>
      <c r="P218" s="11">
        <v>0</v>
      </c>
      <c r="Q218" s="11">
        <v>0</v>
      </c>
      <c r="R218" s="11">
        <v>0</v>
      </c>
      <c r="S218" s="11">
        <v>1</v>
      </c>
      <c r="T218" s="11">
        <v>1</v>
      </c>
      <c r="U218" s="11">
        <v>72</v>
      </c>
      <c r="V218" s="11">
        <v>0</v>
      </c>
      <c r="W218" s="11">
        <v>1</v>
      </c>
      <c r="X218" s="11">
        <v>0</v>
      </c>
      <c r="Y218" s="11">
        <v>0</v>
      </c>
      <c r="Z218" s="11">
        <v>0</v>
      </c>
      <c r="AA218" s="11">
        <v>0</v>
      </c>
      <c r="AB218" s="11">
        <v>1</v>
      </c>
      <c r="AC218" s="11">
        <v>1</v>
      </c>
      <c r="AD218" s="11" t="s">
        <v>5044</v>
      </c>
      <c r="AE218" s="11" t="s">
        <v>5044</v>
      </c>
      <c r="AF218" s="11" t="s">
        <v>5044</v>
      </c>
      <c r="AG218" s="11">
        <v>2</v>
      </c>
      <c r="AH218" s="11">
        <v>2</v>
      </c>
      <c r="AI218" s="11">
        <v>2</v>
      </c>
      <c r="AJ218" s="11" t="s">
        <v>5044</v>
      </c>
      <c r="AK218" s="11" t="s">
        <v>5318</v>
      </c>
      <c r="AL218" s="11">
        <v>1</v>
      </c>
      <c r="AM218" s="11">
        <v>0</v>
      </c>
      <c r="AN218" s="11" t="s">
        <v>5318</v>
      </c>
      <c r="AO218" s="11">
        <v>2</v>
      </c>
      <c r="AP218" s="11" t="s">
        <v>5318</v>
      </c>
      <c r="AQ218" s="11" t="s">
        <v>5318</v>
      </c>
    </row>
    <row r="219" spans="1:43" ht="63" customHeight="1" x14ac:dyDescent="0.2">
      <c r="A219" s="10">
        <v>2877</v>
      </c>
      <c r="B219" s="11" t="s">
        <v>7207</v>
      </c>
      <c r="C219" s="11" t="s">
        <v>787</v>
      </c>
      <c r="D219" s="11">
        <v>2019</v>
      </c>
      <c r="E219" s="11" t="s">
        <v>5318</v>
      </c>
      <c r="F219" s="11">
        <v>43</v>
      </c>
      <c r="G219" s="11">
        <v>7</v>
      </c>
      <c r="H219" s="11" t="s">
        <v>6745</v>
      </c>
      <c r="I219" s="11" t="s">
        <v>6516</v>
      </c>
      <c r="J219" s="11" t="s">
        <v>7208</v>
      </c>
      <c r="K219" s="11" t="s">
        <v>789</v>
      </c>
      <c r="L219" s="16" t="s">
        <v>5569</v>
      </c>
      <c r="M219" s="11">
        <v>0</v>
      </c>
      <c r="N219" s="9" t="s">
        <v>5044</v>
      </c>
      <c r="O219" s="9" t="s">
        <v>5044</v>
      </c>
      <c r="P219" s="11">
        <v>0</v>
      </c>
      <c r="Q219" s="11">
        <v>0</v>
      </c>
      <c r="R219" s="11">
        <v>0</v>
      </c>
      <c r="S219" s="11">
        <v>1</v>
      </c>
      <c r="T219" s="11">
        <v>1</v>
      </c>
      <c r="U219" s="11">
        <v>70</v>
      </c>
      <c r="V219" s="11">
        <v>0</v>
      </c>
      <c r="W219" s="11">
        <v>1</v>
      </c>
      <c r="X219" s="11">
        <v>0</v>
      </c>
      <c r="Y219" s="11">
        <v>0</v>
      </c>
      <c r="Z219" s="11">
        <v>0</v>
      </c>
      <c r="AA219" s="11">
        <v>0</v>
      </c>
      <c r="AB219" s="11">
        <v>1</v>
      </c>
      <c r="AC219" s="11">
        <v>1</v>
      </c>
      <c r="AD219" s="11" t="s">
        <v>5044</v>
      </c>
      <c r="AE219" s="11" t="s">
        <v>5044</v>
      </c>
      <c r="AF219" s="11" t="s">
        <v>5044</v>
      </c>
      <c r="AG219" s="11">
        <v>2</v>
      </c>
      <c r="AH219" s="11">
        <v>3</v>
      </c>
      <c r="AI219" s="11">
        <v>0</v>
      </c>
      <c r="AJ219" s="11" t="s">
        <v>5044</v>
      </c>
      <c r="AK219" s="11" t="s">
        <v>5318</v>
      </c>
      <c r="AL219" s="11">
        <v>0</v>
      </c>
      <c r="AM219" s="11">
        <v>0</v>
      </c>
      <c r="AN219" s="11" t="s">
        <v>5318</v>
      </c>
      <c r="AO219" s="11">
        <v>3</v>
      </c>
      <c r="AP219" s="11" t="s">
        <v>5318</v>
      </c>
      <c r="AQ219" s="11" t="s">
        <v>5318</v>
      </c>
    </row>
    <row r="220" spans="1:43" ht="63" customHeight="1" x14ac:dyDescent="0.2">
      <c r="A220" s="10">
        <v>2879</v>
      </c>
      <c r="B220" s="11" t="s">
        <v>7209</v>
      </c>
      <c r="C220" s="11" t="s">
        <v>790</v>
      </c>
      <c r="D220" s="11">
        <v>2023</v>
      </c>
      <c r="E220" s="11" t="s">
        <v>5318</v>
      </c>
      <c r="F220" s="11">
        <v>110</v>
      </c>
      <c r="G220" s="11">
        <v>2</v>
      </c>
      <c r="H220" s="11" t="s">
        <v>6530</v>
      </c>
      <c r="I220" s="11" t="s">
        <v>6516</v>
      </c>
      <c r="J220" s="11" t="s">
        <v>7210</v>
      </c>
      <c r="K220" s="11" t="s">
        <v>792</v>
      </c>
      <c r="L220" s="16" t="s">
        <v>5570</v>
      </c>
      <c r="M220" s="11">
        <v>0</v>
      </c>
      <c r="N220" s="9" t="s">
        <v>5044</v>
      </c>
      <c r="O220" s="9" t="s">
        <v>5044</v>
      </c>
      <c r="P220" s="11">
        <v>0</v>
      </c>
      <c r="Q220" s="11">
        <v>0</v>
      </c>
      <c r="R220" s="11">
        <v>0</v>
      </c>
      <c r="S220" s="11">
        <v>1</v>
      </c>
      <c r="T220" s="11">
        <v>1</v>
      </c>
      <c r="U220" s="11">
        <v>16</v>
      </c>
      <c r="V220" s="11">
        <v>0</v>
      </c>
      <c r="W220" s="11">
        <v>1</v>
      </c>
      <c r="X220" s="11">
        <v>0</v>
      </c>
      <c r="Y220" s="11">
        <v>0</v>
      </c>
      <c r="Z220" s="11">
        <v>1</v>
      </c>
      <c r="AA220" s="11">
        <v>0</v>
      </c>
      <c r="AB220" s="11">
        <v>1</v>
      </c>
      <c r="AC220" s="11">
        <v>1</v>
      </c>
      <c r="AD220" s="11" t="s">
        <v>5044</v>
      </c>
      <c r="AE220" s="11" t="s">
        <v>5044</v>
      </c>
      <c r="AF220" s="11" t="s">
        <v>5044</v>
      </c>
      <c r="AG220" s="11">
        <v>1</v>
      </c>
      <c r="AH220" s="11">
        <v>0</v>
      </c>
      <c r="AI220" s="11">
        <v>0</v>
      </c>
      <c r="AJ220" s="11">
        <v>0</v>
      </c>
      <c r="AK220" s="11" t="s">
        <v>5318</v>
      </c>
      <c r="AL220" s="11">
        <v>1</v>
      </c>
      <c r="AM220" s="11">
        <v>0</v>
      </c>
      <c r="AN220" s="11" t="s">
        <v>5318</v>
      </c>
      <c r="AO220" s="9">
        <v>0</v>
      </c>
      <c r="AP220" s="11" t="s">
        <v>5318</v>
      </c>
      <c r="AQ220" s="11" t="s">
        <v>5318</v>
      </c>
    </row>
    <row r="221" spans="1:43" ht="63" customHeight="1" x14ac:dyDescent="0.2">
      <c r="A221" s="10">
        <v>2882</v>
      </c>
      <c r="B221" s="11" t="s">
        <v>7213</v>
      </c>
      <c r="C221" s="11" t="s">
        <v>795</v>
      </c>
      <c r="D221" s="11">
        <v>2023</v>
      </c>
      <c r="E221" s="11" t="s">
        <v>5318</v>
      </c>
      <c r="F221" s="11">
        <v>34</v>
      </c>
      <c r="G221" s="11">
        <v>1</v>
      </c>
      <c r="H221" s="11" t="s">
        <v>7214</v>
      </c>
      <c r="I221" s="11" t="s">
        <v>6516</v>
      </c>
      <c r="J221" s="11" t="s">
        <v>7215</v>
      </c>
      <c r="K221" s="11" t="s">
        <v>796</v>
      </c>
      <c r="L221" s="16" t="s">
        <v>5572</v>
      </c>
      <c r="M221" s="11">
        <v>0</v>
      </c>
      <c r="N221" s="9" t="s">
        <v>5044</v>
      </c>
      <c r="O221" s="9" t="s">
        <v>5044</v>
      </c>
      <c r="P221" s="11">
        <v>0</v>
      </c>
      <c r="Q221" s="11">
        <v>0</v>
      </c>
      <c r="R221" s="11">
        <v>0</v>
      </c>
      <c r="S221" s="11">
        <v>1</v>
      </c>
      <c r="T221" s="11">
        <v>1</v>
      </c>
      <c r="U221" s="11">
        <v>173</v>
      </c>
      <c r="V221" s="11">
        <v>0</v>
      </c>
      <c r="W221" s="11">
        <v>1</v>
      </c>
      <c r="X221" s="11">
        <v>0</v>
      </c>
      <c r="Y221" s="11">
        <v>0</v>
      </c>
      <c r="Z221" s="11">
        <v>1</v>
      </c>
      <c r="AA221" s="11">
        <v>0</v>
      </c>
      <c r="AB221" s="11">
        <v>1</v>
      </c>
      <c r="AC221" s="11">
        <v>1</v>
      </c>
      <c r="AD221" s="11" t="s">
        <v>5044</v>
      </c>
      <c r="AE221" s="11" t="s">
        <v>5044</v>
      </c>
      <c r="AF221" s="11" t="s">
        <v>5044</v>
      </c>
      <c r="AG221" s="11">
        <v>1</v>
      </c>
      <c r="AH221" s="11">
        <v>0</v>
      </c>
      <c r="AI221" s="11">
        <v>0</v>
      </c>
      <c r="AJ221" s="11">
        <v>0</v>
      </c>
      <c r="AK221" s="11" t="s">
        <v>5318</v>
      </c>
      <c r="AL221" s="11" t="s">
        <v>5044</v>
      </c>
      <c r="AM221" s="11">
        <v>0</v>
      </c>
      <c r="AN221" s="11" t="s">
        <v>5573</v>
      </c>
      <c r="AO221" s="9">
        <v>0</v>
      </c>
      <c r="AP221" s="11" t="s">
        <v>5318</v>
      </c>
      <c r="AQ221" s="11" t="s">
        <v>5318</v>
      </c>
    </row>
    <row r="222" spans="1:43" ht="63" customHeight="1" x14ac:dyDescent="0.2">
      <c r="A222" s="10">
        <v>2900</v>
      </c>
      <c r="B222" s="11" t="s">
        <v>7216</v>
      </c>
      <c r="C222" s="11" t="s">
        <v>797</v>
      </c>
      <c r="D222" s="11">
        <v>2022</v>
      </c>
      <c r="E222" s="11" t="s">
        <v>5318</v>
      </c>
      <c r="F222" s="11">
        <v>164</v>
      </c>
      <c r="G222" s="11">
        <v>5</v>
      </c>
      <c r="H222" s="11" t="s">
        <v>7217</v>
      </c>
      <c r="I222" s="11" t="s">
        <v>6516</v>
      </c>
      <c r="J222" s="11" t="s">
        <v>7218</v>
      </c>
      <c r="K222" s="11" t="s">
        <v>798</v>
      </c>
      <c r="L222" s="12" t="s">
        <v>5574</v>
      </c>
      <c r="M222" s="11">
        <v>0</v>
      </c>
      <c r="N222" s="9" t="s">
        <v>5044</v>
      </c>
      <c r="O222" s="9" t="s">
        <v>5044</v>
      </c>
      <c r="P222" s="11">
        <v>0</v>
      </c>
      <c r="Q222" s="11">
        <v>0</v>
      </c>
      <c r="R222" s="11">
        <v>0</v>
      </c>
      <c r="S222" s="11">
        <v>1</v>
      </c>
      <c r="T222" s="11">
        <v>1</v>
      </c>
      <c r="U222" s="11">
        <v>44</v>
      </c>
      <c r="V222" s="11">
        <v>0</v>
      </c>
      <c r="W222" s="11">
        <v>1</v>
      </c>
      <c r="X222" s="11">
        <v>0</v>
      </c>
      <c r="Y222" s="11">
        <v>0</v>
      </c>
      <c r="Z222" s="11">
        <v>0</v>
      </c>
      <c r="AA222" s="11">
        <v>0</v>
      </c>
      <c r="AB222" s="11">
        <v>1</v>
      </c>
      <c r="AC222" s="11">
        <v>1</v>
      </c>
      <c r="AD222" s="11" t="s">
        <v>5044</v>
      </c>
      <c r="AE222" s="11" t="s">
        <v>5044</v>
      </c>
      <c r="AF222" s="11" t="s">
        <v>5044</v>
      </c>
      <c r="AG222" s="11">
        <v>2</v>
      </c>
      <c r="AH222" s="11">
        <v>3</v>
      </c>
      <c r="AI222" s="11">
        <v>0</v>
      </c>
      <c r="AJ222" s="11" t="s">
        <v>5044</v>
      </c>
      <c r="AK222" s="11" t="s">
        <v>5575</v>
      </c>
      <c r="AL222" s="11">
        <v>0</v>
      </c>
      <c r="AM222" s="11">
        <v>0</v>
      </c>
      <c r="AN222" s="11" t="s">
        <v>5318</v>
      </c>
      <c r="AO222" s="11">
        <v>3</v>
      </c>
      <c r="AP222" s="11" t="s">
        <v>5318</v>
      </c>
      <c r="AQ222" s="11" t="s">
        <v>5318</v>
      </c>
    </row>
    <row r="223" spans="1:43" ht="63" customHeight="1" x14ac:dyDescent="0.2">
      <c r="A223" s="10">
        <v>2907</v>
      </c>
      <c r="B223" s="11" t="s">
        <v>7221</v>
      </c>
      <c r="C223" s="11" t="s">
        <v>801</v>
      </c>
      <c r="D223" s="11">
        <v>2018</v>
      </c>
      <c r="E223" s="11" t="s">
        <v>5318</v>
      </c>
      <c r="F223" s="11">
        <v>105</v>
      </c>
      <c r="G223" s="11">
        <v>1</v>
      </c>
      <c r="H223" s="11" t="s">
        <v>6530</v>
      </c>
      <c r="I223" s="11" t="s">
        <v>6516</v>
      </c>
      <c r="J223" s="11" t="s">
        <v>7222</v>
      </c>
      <c r="K223" s="11" t="s">
        <v>802</v>
      </c>
      <c r="L223" s="12" t="s">
        <v>5577</v>
      </c>
      <c r="M223" s="11">
        <v>0</v>
      </c>
      <c r="N223" s="9" t="s">
        <v>5044</v>
      </c>
      <c r="O223" s="9" t="s">
        <v>5044</v>
      </c>
      <c r="P223" s="11">
        <v>0</v>
      </c>
      <c r="Q223" s="11">
        <v>0</v>
      </c>
      <c r="R223" s="11">
        <v>0</v>
      </c>
      <c r="S223" s="11">
        <v>1</v>
      </c>
      <c r="T223" s="11">
        <v>4</v>
      </c>
      <c r="U223" s="11">
        <v>120</v>
      </c>
      <c r="V223" s="11">
        <v>0</v>
      </c>
      <c r="W223" s="11">
        <v>1</v>
      </c>
      <c r="X223" s="11">
        <v>0</v>
      </c>
      <c r="Y223" s="11">
        <v>0</v>
      </c>
      <c r="Z223" s="11">
        <v>0</v>
      </c>
      <c r="AA223" s="11">
        <v>0</v>
      </c>
      <c r="AB223" s="11">
        <v>1</v>
      </c>
      <c r="AC223" s="11">
        <v>1</v>
      </c>
      <c r="AD223" s="11" t="s">
        <v>5044</v>
      </c>
      <c r="AE223" s="11" t="s">
        <v>5044</v>
      </c>
      <c r="AF223" s="11" t="s">
        <v>5044</v>
      </c>
      <c r="AG223" s="11">
        <v>2</v>
      </c>
      <c r="AH223" s="11">
        <v>3</v>
      </c>
      <c r="AI223" s="11">
        <v>0</v>
      </c>
      <c r="AJ223" s="11" t="s">
        <v>5044</v>
      </c>
      <c r="AK223" s="11">
        <v>1</v>
      </c>
      <c r="AL223" s="11">
        <v>1</v>
      </c>
      <c r="AM223" s="11">
        <v>0</v>
      </c>
      <c r="AN223" s="11" t="s">
        <v>5318</v>
      </c>
      <c r="AO223" s="11">
        <v>3</v>
      </c>
      <c r="AP223" s="11" t="s">
        <v>5318</v>
      </c>
      <c r="AQ223" s="11" t="s">
        <v>5318</v>
      </c>
    </row>
    <row r="224" spans="1:43" ht="63" customHeight="1" x14ac:dyDescent="0.2">
      <c r="A224" s="10">
        <v>2945</v>
      </c>
      <c r="B224" s="11" t="s">
        <v>7225</v>
      </c>
      <c r="C224" s="11" t="s">
        <v>805</v>
      </c>
      <c r="D224" s="11">
        <v>2015</v>
      </c>
      <c r="E224" s="11" t="s">
        <v>5318</v>
      </c>
      <c r="F224" s="11">
        <v>10</v>
      </c>
      <c r="G224" s="11">
        <v>10</v>
      </c>
      <c r="H224" s="11" t="s">
        <v>6772</v>
      </c>
      <c r="I224" s="11" t="s">
        <v>6516</v>
      </c>
      <c r="J224" s="11" t="s">
        <v>7226</v>
      </c>
      <c r="K224" s="11" t="s">
        <v>806</v>
      </c>
      <c r="L224" s="16" t="s">
        <v>5579</v>
      </c>
      <c r="M224" s="11">
        <v>0</v>
      </c>
      <c r="N224" s="9" t="s">
        <v>5044</v>
      </c>
      <c r="O224" s="9" t="s">
        <v>5044</v>
      </c>
      <c r="P224" s="11">
        <v>0</v>
      </c>
      <c r="Q224" s="11">
        <v>0</v>
      </c>
      <c r="R224" s="11">
        <v>0</v>
      </c>
      <c r="S224" s="11">
        <v>1</v>
      </c>
      <c r="T224" s="11">
        <v>1</v>
      </c>
      <c r="U224" s="11">
        <v>41</v>
      </c>
      <c r="V224" s="11">
        <v>0</v>
      </c>
      <c r="W224" s="11">
        <v>1</v>
      </c>
      <c r="X224" s="11">
        <v>0</v>
      </c>
      <c r="Y224" s="11">
        <v>0</v>
      </c>
      <c r="Z224" s="11">
        <v>0</v>
      </c>
      <c r="AA224" s="11">
        <v>0</v>
      </c>
      <c r="AB224" s="11">
        <v>1</v>
      </c>
      <c r="AC224" s="11">
        <v>1</v>
      </c>
      <c r="AD224" s="11" t="s">
        <v>5044</v>
      </c>
      <c r="AE224" s="11" t="s">
        <v>5044</v>
      </c>
      <c r="AF224" s="11" t="s">
        <v>5044</v>
      </c>
      <c r="AG224" s="11">
        <v>1</v>
      </c>
      <c r="AH224" s="11">
        <v>0</v>
      </c>
      <c r="AI224" s="11">
        <v>0</v>
      </c>
      <c r="AJ224" s="11" t="s">
        <v>5044</v>
      </c>
      <c r="AK224" s="11" t="s">
        <v>5318</v>
      </c>
      <c r="AL224" s="11">
        <v>1</v>
      </c>
      <c r="AM224" s="11">
        <v>0</v>
      </c>
      <c r="AN224" s="11" t="s">
        <v>5318</v>
      </c>
      <c r="AO224" s="9">
        <v>0</v>
      </c>
      <c r="AP224" s="11" t="s">
        <v>5318</v>
      </c>
      <c r="AQ224" s="11" t="s">
        <v>5318</v>
      </c>
    </row>
    <row r="225" spans="1:43" ht="63" customHeight="1" x14ac:dyDescent="0.2">
      <c r="A225" s="10">
        <v>2952</v>
      </c>
      <c r="B225" s="11" t="s">
        <v>7228</v>
      </c>
      <c r="C225" s="11" t="s">
        <v>809</v>
      </c>
      <c r="D225" s="11">
        <v>2015</v>
      </c>
      <c r="E225" s="11" t="s">
        <v>5318</v>
      </c>
      <c r="F225" s="11">
        <v>314</v>
      </c>
      <c r="G225" s="11">
        <v>13</v>
      </c>
      <c r="H225" s="11" t="s">
        <v>7155</v>
      </c>
      <c r="I225" s="11" t="s">
        <v>6516</v>
      </c>
      <c r="J225" s="11" t="s">
        <v>7229</v>
      </c>
      <c r="K225" s="11" t="s">
        <v>811</v>
      </c>
      <c r="L225" s="16" t="s">
        <v>5581</v>
      </c>
      <c r="M225" s="11">
        <v>0</v>
      </c>
      <c r="N225" s="9" t="s">
        <v>5044</v>
      </c>
      <c r="O225" s="9" t="s">
        <v>5044</v>
      </c>
      <c r="P225" s="11">
        <v>0</v>
      </c>
      <c r="Q225" s="11">
        <v>0</v>
      </c>
      <c r="R225" s="11">
        <v>0</v>
      </c>
      <c r="S225" s="11">
        <v>1</v>
      </c>
      <c r="T225" s="11">
        <v>1</v>
      </c>
      <c r="U225" s="11">
        <v>199</v>
      </c>
      <c r="V225" s="11">
        <v>1</v>
      </c>
      <c r="W225" s="11">
        <v>1</v>
      </c>
      <c r="X225" s="11">
        <v>0</v>
      </c>
      <c r="Y225" s="11">
        <v>0</v>
      </c>
      <c r="Z225" s="11">
        <v>0</v>
      </c>
      <c r="AA225" s="11">
        <v>0</v>
      </c>
      <c r="AB225" s="11">
        <v>1</v>
      </c>
      <c r="AC225" s="11">
        <v>1</v>
      </c>
      <c r="AD225" s="11">
        <v>2</v>
      </c>
      <c r="AE225" s="11">
        <v>1</v>
      </c>
      <c r="AF225" s="11">
        <v>3</v>
      </c>
      <c r="AG225" s="11">
        <v>2</v>
      </c>
      <c r="AH225" s="11">
        <v>1</v>
      </c>
      <c r="AI225" s="11">
        <v>3</v>
      </c>
      <c r="AJ225" s="11" t="s">
        <v>5044</v>
      </c>
      <c r="AK225" s="11" t="s">
        <v>5318</v>
      </c>
      <c r="AL225" s="11">
        <v>0</v>
      </c>
      <c r="AM225" s="11">
        <v>0</v>
      </c>
      <c r="AN225" s="11" t="s">
        <v>5318</v>
      </c>
      <c r="AO225" s="11">
        <v>1</v>
      </c>
      <c r="AP225" s="11" t="s">
        <v>5318</v>
      </c>
      <c r="AQ225" s="11" t="s">
        <v>5318</v>
      </c>
    </row>
    <row r="226" spans="1:43" ht="63" customHeight="1" x14ac:dyDescent="0.2">
      <c r="A226" s="10">
        <v>2961</v>
      </c>
      <c r="B226" s="11" t="s">
        <v>7234</v>
      </c>
      <c r="C226" s="11" t="s">
        <v>816</v>
      </c>
      <c r="D226" s="11">
        <v>2022</v>
      </c>
      <c r="E226" s="11" t="s">
        <v>5318</v>
      </c>
      <c r="F226" s="11">
        <v>12</v>
      </c>
      <c r="G226" s="11">
        <v>1</v>
      </c>
      <c r="H226" s="11" t="s">
        <v>6645</v>
      </c>
      <c r="I226" s="11" t="s">
        <v>6516</v>
      </c>
      <c r="J226" s="11" t="s">
        <v>7235</v>
      </c>
      <c r="K226" s="11" t="s">
        <v>817</v>
      </c>
      <c r="L226" s="12" t="s">
        <v>5583</v>
      </c>
      <c r="M226" s="11">
        <v>0</v>
      </c>
      <c r="N226" s="9" t="s">
        <v>5044</v>
      </c>
      <c r="O226" s="9" t="s">
        <v>5044</v>
      </c>
      <c r="P226" s="11">
        <v>1</v>
      </c>
      <c r="Q226" s="11">
        <v>0</v>
      </c>
      <c r="R226" s="11">
        <v>0</v>
      </c>
      <c r="S226" s="11">
        <v>1</v>
      </c>
      <c r="T226" s="11">
        <v>1</v>
      </c>
      <c r="U226" s="11">
        <v>36</v>
      </c>
      <c r="V226" s="11">
        <v>0</v>
      </c>
      <c r="W226" s="11">
        <v>1</v>
      </c>
      <c r="X226" s="11">
        <v>0</v>
      </c>
      <c r="Y226" s="11">
        <v>0</v>
      </c>
      <c r="Z226" s="11">
        <v>1</v>
      </c>
      <c r="AA226" s="11">
        <v>0</v>
      </c>
      <c r="AB226" s="11">
        <v>1</v>
      </c>
      <c r="AC226" s="11">
        <v>1</v>
      </c>
      <c r="AD226" s="11" t="s">
        <v>5044</v>
      </c>
      <c r="AE226" s="11" t="s">
        <v>5044</v>
      </c>
      <c r="AF226" s="11" t="s">
        <v>5044</v>
      </c>
      <c r="AG226" s="11">
        <v>2</v>
      </c>
      <c r="AH226" s="11">
        <v>1</v>
      </c>
      <c r="AI226" s="11">
        <v>2</v>
      </c>
      <c r="AJ226" s="11">
        <v>0</v>
      </c>
      <c r="AK226" s="11" t="s">
        <v>5318</v>
      </c>
      <c r="AL226" s="11" t="s">
        <v>5044</v>
      </c>
      <c r="AM226" s="11">
        <v>0</v>
      </c>
      <c r="AN226" s="11" t="s">
        <v>5105</v>
      </c>
      <c r="AO226" s="11">
        <v>1</v>
      </c>
      <c r="AP226" s="11" t="s">
        <v>5318</v>
      </c>
      <c r="AQ226" s="11" t="s">
        <v>5318</v>
      </c>
    </row>
    <row r="227" spans="1:43" ht="63" customHeight="1" x14ac:dyDescent="0.2">
      <c r="A227" s="10">
        <v>2974</v>
      </c>
      <c r="B227" s="11" t="s">
        <v>7236</v>
      </c>
      <c r="C227" s="11" t="s">
        <v>818</v>
      </c>
      <c r="D227" s="11">
        <v>2020</v>
      </c>
      <c r="E227" s="11" t="s">
        <v>5318</v>
      </c>
      <c r="F227" s="11">
        <v>6</v>
      </c>
      <c r="G227" s="11">
        <v>10</v>
      </c>
      <c r="H227" s="11" t="s">
        <v>6695</v>
      </c>
      <c r="I227" s="11" t="s">
        <v>6516</v>
      </c>
      <c r="J227" s="11" t="s">
        <v>7237</v>
      </c>
      <c r="K227" s="11" t="s">
        <v>819</v>
      </c>
      <c r="L227" s="16" t="s">
        <v>5584</v>
      </c>
      <c r="M227" s="11">
        <v>0</v>
      </c>
      <c r="N227" s="9" t="s">
        <v>5044</v>
      </c>
      <c r="O227" s="9" t="s">
        <v>5044</v>
      </c>
      <c r="P227" s="11">
        <v>0</v>
      </c>
      <c r="Q227" s="11">
        <v>0</v>
      </c>
      <c r="R227" s="11">
        <v>0</v>
      </c>
      <c r="S227" s="11" t="s">
        <v>5708</v>
      </c>
      <c r="T227" s="11">
        <v>2</v>
      </c>
      <c r="U227" s="11">
        <v>29</v>
      </c>
      <c r="V227" s="11">
        <v>0</v>
      </c>
      <c r="W227" s="11">
        <v>1</v>
      </c>
      <c r="X227" s="11">
        <v>0</v>
      </c>
      <c r="Y227" s="11">
        <v>0</v>
      </c>
      <c r="Z227" s="11">
        <v>0</v>
      </c>
      <c r="AA227" s="11">
        <v>0</v>
      </c>
      <c r="AB227" s="11">
        <v>1</v>
      </c>
      <c r="AC227" s="11">
        <v>1</v>
      </c>
      <c r="AD227" s="11" t="s">
        <v>5044</v>
      </c>
      <c r="AE227" s="11" t="s">
        <v>5044</v>
      </c>
      <c r="AF227" s="11" t="s">
        <v>5044</v>
      </c>
      <c r="AG227" s="11">
        <v>2</v>
      </c>
      <c r="AH227" s="11">
        <v>2</v>
      </c>
      <c r="AI227" s="11">
        <v>2</v>
      </c>
      <c r="AJ227" s="11" t="s">
        <v>5044</v>
      </c>
      <c r="AK227" s="11" t="s">
        <v>5318</v>
      </c>
      <c r="AL227" s="11" t="s">
        <v>5044</v>
      </c>
      <c r="AM227" s="11">
        <v>0</v>
      </c>
      <c r="AN227" s="11" t="s">
        <v>5105</v>
      </c>
      <c r="AO227" s="11">
        <v>2</v>
      </c>
      <c r="AP227" s="11" t="s">
        <v>5318</v>
      </c>
      <c r="AQ227" s="11" t="s">
        <v>5318</v>
      </c>
    </row>
    <row r="228" spans="1:43" ht="63" customHeight="1" x14ac:dyDescent="0.2">
      <c r="A228" s="10">
        <v>2993</v>
      </c>
      <c r="B228" s="11" t="s">
        <v>7238</v>
      </c>
      <c r="C228" s="11" t="s">
        <v>820</v>
      </c>
      <c r="D228" s="11">
        <v>2015</v>
      </c>
      <c r="E228" s="11" t="s">
        <v>5318</v>
      </c>
      <c r="F228" s="11">
        <v>10</v>
      </c>
      <c r="G228" s="11">
        <v>9</v>
      </c>
      <c r="H228" s="11" t="s">
        <v>6772</v>
      </c>
      <c r="I228" s="11" t="s">
        <v>6516</v>
      </c>
      <c r="J228" s="11" t="s">
        <v>7239</v>
      </c>
      <c r="K228" s="11" t="s">
        <v>821</v>
      </c>
      <c r="L228" s="16" t="s">
        <v>5585</v>
      </c>
      <c r="M228" s="11">
        <v>0</v>
      </c>
      <c r="N228" s="9" t="s">
        <v>5044</v>
      </c>
      <c r="O228" s="9" t="s">
        <v>5044</v>
      </c>
      <c r="P228" s="11">
        <v>0</v>
      </c>
      <c r="Q228" s="11">
        <v>0</v>
      </c>
      <c r="R228" s="11">
        <v>0</v>
      </c>
      <c r="S228" s="11">
        <v>9</v>
      </c>
      <c r="T228" s="11">
        <v>1</v>
      </c>
      <c r="U228" s="11">
        <v>690</v>
      </c>
      <c r="V228" s="11">
        <v>0</v>
      </c>
      <c r="W228" s="11">
        <v>1</v>
      </c>
      <c r="X228" s="11">
        <v>0</v>
      </c>
      <c r="Y228" s="11">
        <v>0</v>
      </c>
      <c r="Z228" s="11">
        <v>0</v>
      </c>
      <c r="AA228" s="11">
        <v>0</v>
      </c>
      <c r="AB228" s="11">
        <v>1</v>
      </c>
      <c r="AC228" s="11">
        <v>1</v>
      </c>
      <c r="AD228" s="11" t="s">
        <v>5044</v>
      </c>
      <c r="AE228" s="11" t="s">
        <v>5044</v>
      </c>
      <c r="AF228" s="11" t="s">
        <v>5044</v>
      </c>
      <c r="AG228" s="11">
        <v>2</v>
      </c>
      <c r="AH228" s="11">
        <v>2</v>
      </c>
      <c r="AI228" s="11">
        <v>2</v>
      </c>
      <c r="AJ228" s="11" t="s">
        <v>5044</v>
      </c>
      <c r="AK228" s="11" t="s">
        <v>5318</v>
      </c>
      <c r="AL228" s="11">
        <v>0</v>
      </c>
      <c r="AM228" s="11">
        <v>0</v>
      </c>
      <c r="AN228" s="11" t="s">
        <v>5318</v>
      </c>
      <c r="AO228" s="11">
        <v>2</v>
      </c>
      <c r="AP228" s="11" t="s">
        <v>5318</v>
      </c>
      <c r="AQ228" s="11" t="s">
        <v>5318</v>
      </c>
    </row>
    <row r="229" spans="1:43" ht="63" customHeight="1" x14ac:dyDescent="0.2">
      <c r="A229" s="10">
        <v>3001</v>
      </c>
      <c r="B229" s="11" t="s">
        <v>7240</v>
      </c>
      <c r="C229" s="11" t="s">
        <v>822</v>
      </c>
      <c r="D229" s="11">
        <v>2022</v>
      </c>
      <c r="E229" s="11" t="s">
        <v>5318</v>
      </c>
      <c r="F229" s="11">
        <v>12</v>
      </c>
      <c r="G229" s="11" t="s">
        <v>5318</v>
      </c>
      <c r="H229" s="11" t="s">
        <v>6604</v>
      </c>
      <c r="I229" s="11" t="s">
        <v>6516</v>
      </c>
      <c r="J229" s="11" t="s">
        <v>7241</v>
      </c>
      <c r="K229" s="11" t="s">
        <v>823</v>
      </c>
      <c r="L229" s="11" t="s">
        <v>5044</v>
      </c>
      <c r="M229" s="11">
        <v>0</v>
      </c>
      <c r="N229" s="9" t="s">
        <v>5044</v>
      </c>
      <c r="O229" s="9" t="s">
        <v>5044</v>
      </c>
      <c r="P229" s="11">
        <v>0</v>
      </c>
      <c r="Q229" s="11">
        <v>0</v>
      </c>
      <c r="R229" s="11">
        <v>0</v>
      </c>
      <c r="S229" s="11">
        <v>1</v>
      </c>
      <c r="T229" s="11">
        <v>1</v>
      </c>
      <c r="U229" s="11">
        <v>6</v>
      </c>
      <c r="V229" s="11">
        <v>0</v>
      </c>
      <c r="W229" s="11">
        <v>1</v>
      </c>
      <c r="X229" s="11">
        <v>0</v>
      </c>
      <c r="Y229" s="11">
        <v>0</v>
      </c>
      <c r="Z229" s="11">
        <v>0</v>
      </c>
      <c r="AA229" s="11">
        <v>0</v>
      </c>
      <c r="AB229" s="11">
        <v>1</v>
      </c>
      <c r="AC229" s="11">
        <v>1</v>
      </c>
      <c r="AD229" s="11" t="s">
        <v>5044</v>
      </c>
      <c r="AE229" s="11" t="s">
        <v>5044</v>
      </c>
      <c r="AF229" s="11" t="s">
        <v>5044</v>
      </c>
      <c r="AG229" s="11">
        <v>1</v>
      </c>
      <c r="AH229" s="11">
        <v>0</v>
      </c>
      <c r="AI229" s="11">
        <v>0</v>
      </c>
      <c r="AJ229" s="11" t="s">
        <v>5044</v>
      </c>
      <c r="AK229" s="11" t="s">
        <v>5318</v>
      </c>
      <c r="AL229" s="11" t="s">
        <v>5044</v>
      </c>
      <c r="AM229" s="11">
        <v>0</v>
      </c>
      <c r="AN229" s="11" t="s">
        <v>6293</v>
      </c>
      <c r="AO229" s="9">
        <v>0</v>
      </c>
      <c r="AP229" s="11" t="s">
        <v>5318</v>
      </c>
      <c r="AQ229" s="11" t="s">
        <v>5318</v>
      </c>
    </row>
    <row r="230" spans="1:43" ht="63" customHeight="1" x14ac:dyDescent="0.2">
      <c r="A230" s="10">
        <v>3010</v>
      </c>
      <c r="B230" s="11" t="s">
        <v>7242</v>
      </c>
      <c r="C230" s="11" t="s">
        <v>824</v>
      </c>
      <c r="D230" s="11">
        <v>2023</v>
      </c>
      <c r="E230" s="11" t="s">
        <v>5318</v>
      </c>
      <c r="F230" s="11">
        <v>78</v>
      </c>
      <c r="G230" s="11">
        <v>4</v>
      </c>
      <c r="H230" s="11" t="s">
        <v>6898</v>
      </c>
      <c r="I230" s="11" t="s">
        <v>6516</v>
      </c>
      <c r="J230" s="11" t="s">
        <v>7243</v>
      </c>
      <c r="K230" s="11" t="s">
        <v>825</v>
      </c>
      <c r="L230" s="16" t="s">
        <v>5586</v>
      </c>
      <c r="M230" s="11">
        <v>0</v>
      </c>
      <c r="N230" s="9" t="s">
        <v>5044</v>
      </c>
      <c r="O230" s="9" t="s">
        <v>5044</v>
      </c>
      <c r="P230" s="11">
        <v>0</v>
      </c>
      <c r="Q230" s="11">
        <v>0</v>
      </c>
      <c r="R230" s="11">
        <v>0</v>
      </c>
      <c r="S230" s="11">
        <v>1</v>
      </c>
      <c r="T230" s="11">
        <v>1</v>
      </c>
      <c r="U230" s="11">
        <v>177</v>
      </c>
      <c r="V230" s="11">
        <v>1</v>
      </c>
      <c r="W230" s="11">
        <v>0</v>
      </c>
      <c r="X230" s="11">
        <v>0</v>
      </c>
      <c r="Y230" s="11">
        <v>0</v>
      </c>
      <c r="Z230" s="11">
        <v>1</v>
      </c>
      <c r="AA230" s="11">
        <v>0</v>
      </c>
      <c r="AB230" s="11">
        <v>1</v>
      </c>
      <c r="AC230" s="11">
        <v>1</v>
      </c>
      <c r="AD230" s="11">
        <v>2</v>
      </c>
      <c r="AE230" s="11">
        <v>1</v>
      </c>
      <c r="AF230" s="11">
        <v>2</v>
      </c>
      <c r="AG230" s="11" t="s">
        <v>5044</v>
      </c>
      <c r="AH230" s="11" t="s">
        <v>5044</v>
      </c>
      <c r="AI230" s="11" t="s">
        <v>5044</v>
      </c>
      <c r="AJ230" s="11">
        <v>0</v>
      </c>
      <c r="AK230" s="11" t="s">
        <v>7244</v>
      </c>
      <c r="AL230" s="11">
        <v>0</v>
      </c>
      <c r="AM230" s="11">
        <v>0</v>
      </c>
      <c r="AN230" s="11" t="s">
        <v>5318</v>
      </c>
      <c r="AO230" s="11">
        <v>1</v>
      </c>
      <c r="AP230" s="11" t="s">
        <v>5318</v>
      </c>
      <c r="AQ230" s="11" t="s">
        <v>5318</v>
      </c>
    </row>
    <row r="231" spans="1:43" ht="63" customHeight="1" x14ac:dyDescent="0.2">
      <c r="A231" s="10">
        <v>3014</v>
      </c>
      <c r="B231" s="11" t="s">
        <v>7245</v>
      </c>
      <c r="C231" s="11" t="s">
        <v>826</v>
      </c>
      <c r="D231" s="11">
        <v>2018</v>
      </c>
      <c r="E231" s="11" t="s">
        <v>5318</v>
      </c>
      <c r="F231" s="11">
        <v>105</v>
      </c>
      <c r="G231" s="11">
        <v>7</v>
      </c>
      <c r="H231" s="11" t="s">
        <v>6530</v>
      </c>
      <c r="I231" s="11" t="s">
        <v>6516</v>
      </c>
      <c r="J231" s="11" t="s">
        <v>7246</v>
      </c>
      <c r="K231" s="11" t="s">
        <v>827</v>
      </c>
      <c r="L231" s="11" t="s">
        <v>5044</v>
      </c>
      <c r="M231" s="11">
        <v>0</v>
      </c>
      <c r="N231" s="9" t="s">
        <v>5044</v>
      </c>
      <c r="O231" s="9" t="s">
        <v>5044</v>
      </c>
      <c r="P231" s="11">
        <v>0</v>
      </c>
      <c r="Q231" s="11">
        <v>0</v>
      </c>
      <c r="R231" s="11">
        <v>0</v>
      </c>
      <c r="S231" s="11">
        <v>1</v>
      </c>
      <c r="T231" s="11">
        <v>1</v>
      </c>
      <c r="U231" s="11">
        <v>142</v>
      </c>
      <c r="V231" s="11">
        <v>0</v>
      </c>
      <c r="W231" s="11">
        <v>1</v>
      </c>
      <c r="X231" s="11">
        <v>0</v>
      </c>
      <c r="Y231" s="11">
        <v>0</v>
      </c>
      <c r="Z231" s="11">
        <v>0</v>
      </c>
      <c r="AA231" s="11">
        <v>0</v>
      </c>
      <c r="AB231" s="11">
        <v>1</v>
      </c>
      <c r="AC231" s="11">
        <v>1</v>
      </c>
      <c r="AD231" s="11" t="s">
        <v>5044</v>
      </c>
      <c r="AE231" s="11" t="s">
        <v>5044</v>
      </c>
      <c r="AF231" s="11" t="s">
        <v>5044</v>
      </c>
      <c r="AG231" s="11">
        <v>2</v>
      </c>
      <c r="AH231" s="11">
        <v>3</v>
      </c>
      <c r="AI231" s="11">
        <v>0</v>
      </c>
      <c r="AJ231" s="11" t="s">
        <v>5044</v>
      </c>
      <c r="AK231" s="11">
        <v>1</v>
      </c>
      <c r="AL231" s="11">
        <v>0</v>
      </c>
      <c r="AM231" s="11">
        <v>0</v>
      </c>
      <c r="AN231" s="11" t="s">
        <v>5318</v>
      </c>
      <c r="AO231" s="11">
        <v>3</v>
      </c>
      <c r="AP231" s="11" t="s">
        <v>5318</v>
      </c>
      <c r="AQ231" s="11" t="s">
        <v>5318</v>
      </c>
    </row>
    <row r="232" spans="1:43" ht="63" customHeight="1" x14ac:dyDescent="0.2">
      <c r="A232" s="10">
        <v>3033</v>
      </c>
      <c r="B232" s="11" t="s">
        <v>7247</v>
      </c>
      <c r="C232" s="11" t="s">
        <v>828</v>
      </c>
      <c r="D232" s="11">
        <v>2021</v>
      </c>
      <c r="E232" s="11" t="s">
        <v>5318</v>
      </c>
      <c r="F232" s="11">
        <v>127</v>
      </c>
      <c r="G232" s="11">
        <v>5</v>
      </c>
      <c r="H232" s="11" t="s">
        <v>6454</v>
      </c>
      <c r="I232" s="11" t="s">
        <v>6516</v>
      </c>
      <c r="J232" s="11" t="s">
        <v>7248</v>
      </c>
      <c r="K232" s="11" t="s">
        <v>830</v>
      </c>
      <c r="L232" s="16" t="s">
        <v>5587</v>
      </c>
      <c r="M232" s="11">
        <v>0</v>
      </c>
      <c r="N232" s="9" t="s">
        <v>5044</v>
      </c>
      <c r="O232" s="9" t="s">
        <v>5044</v>
      </c>
      <c r="P232" s="11">
        <v>0</v>
      </c>
      <c r="Q232" s="11">
        <v>0</v>
      </c>
      <c r="R232" s="11">
        <v>0</v>
      </c>
      <c r="S232" s="11">
        <v>9</v>
      </c>
      <c r="T232" s="11">
        <v>1</v>
      </c>
      <c r="U232" s="11">
        <v>68</v>
      </c>
      <c r="V232" s="11">
        <v>0</v>
      </c>
      <c r="W232" s="11">
        <v>1</v>
      </c>
      <c r="X232" s="11">
        <v>0</v>
      </c>
      <c r="Y232" s="11">
        <v>0</v>
      </c>
      <c r="Z232" s="11">
        <v>0</v>
      </c>
      <c r="AA232" s="11">
        <v>0</v>
      </c>
      <c r="AB232" s="11">
        <v>1</v>
      </c>
      <c r="AC232" s="11">
        <v>1</v>
      </c>
      <c r="AD232" s="11" t="s">
        <v>5044</v>
      </c>
      <c r="AE232" s="11" t="s">
        <v>5044</v>
      </c>
      <c r="AF232" s="11" t="s">
        <v>5044</v>
      </c>
      <c r="AG232" s="11">
        <v>2</v>
      </c>
      <c r="AH232" s="11">
        <v>1</v>
      </c>
      <c r="AI232" s="11">
        <v>2</v>
      </c>
      <c r="AJ232" s="11" t="s">
        <v>5044</v>
      </c>
      <c r="AK232" s="11" t="s">
        <v>5318</v>
      </c>
      <c r="AL232" s="11">
        <v>0</v>
      </c>
      <c r="AM232" s="11">
        <v>0</v>
      </c>
      <c r="AN232" s="11" t="s">
        <v>5318</v>
      </c>
      <c r="AO232" s="11">
        <v>1</v>
      </c>
      <c r="AP232" s="11" t="s">
        <v>5318</v>
      </c>
      <c r="AQ232" s="11" t="s">
        <v>5318</v>
      </c>
    </row>
    <row r="233" spans="1:43" ht="63" customHeight="1" x14ac:dyDescent="0.2">
      <c r="A233" s="10">
        <v>3050</v>
      </c>
      <c r="B233" s="11" t="s">
        <v>7251</v>
      </c>
      <c r="C233" s="11" t="s">
        <v>833</v>
      </c>
      <c r="D233" s="11">
        <v>2011</v>
      </c>
      <c r="E233" s="11" t="s">
        <v>5318</v>
      </c>
      <c r="F233" s="11">
        <v>98</v>
      </c>
      <c r="G233" s="11">
        <v>9</v>
      </c>
      <c r="H233" s="11" t="s">
        <v>6530</v>
      </c>
      <c r="I233" s="11" t="s">
        <v>6516</v>
      </c>
      <c r="J233" s="11" t="s">
        <v>7252</v>
      </c>
      <c r="K233" s="11" t="s">
        <v>835</v>
      </c>
      <c r="L233" s="16" t="s">
        <v>5589</v>
      </c>
      <c r="M233" s="11">
        <v>0</v>
      </c>
      <c r="N233" s="9" t="s">
        <v>5044</v>
      </c>
      <c r="O233" s="9" t="s">
        <v>5044</v>
      </c>
      <c r="P233" s="11">
        <v>0</v>
      </c>
      <c r="Q233" s="11">
        <v>0</v>
      </c>
      <c r="R233" s="11">
        <v>0</v>
      </c>
      <c r="S233" s="11">
        <v>1</v>
      </c>
      <c r="T233" s="11">
        <v>1</v>
      </c>
      <c r="U233" s="11">
        <v>87</v>
      </c>
      <c r="V233" s="11">
        <v>0</v>
      </c>
      <c r="W233" s="11">
        <v>1</v>
      </c>
      <c r="X233" s="11">
        <v>0</v>
      </c>
      <c r="Y233" s="11">
        <v>0</v>
      </c>
      <c r="Z233" s="11">
        <v>0</v>
      </c>
      <c r="AA233" s="11">
        <v>0</v>
      </c>
      <c r="AB233" s="11">
        <v>1</v>
      </c>
      <c r="AC233" s="11">
        <v>1</v>
      </c>
      <c r="AD233" s="11" t="s">
        <v>5044</v>
      </c>
      <c r="AE233" s="11" t="s">
        <v>5044</v>
      </c>
      <c r="AF233" s="11" t="s">
        <v>5044</v>
      </c>
      <c r="AG233" s="11">
        <v>1</v>
      </c>
      <c r="AH233" s="11">
        <v>0</v>
      </c>
      <c r="AI233" s="11">
        <v>0</v>
      </c>
      <c r="AJ233" s="11" t="s">
        <v>5044</v>
      </c>
      <c r="AK233" s="11" t="s">
        <v>5318</v>
      </c>
      <c r="AL233" s="11">
        <v>0</v>
      </c>
      <c r="AM233" s="11">
        <v>0</v>
      </c>
      <c r="AN233" s="11" t="s">
        <v>5318</v>
      </c>
      <c r="AO233" s="9">
        <v>0</v>
      </c>
      <c r="AP233" s="11" t="s">
        <v>5318</v>
      </c>
      <c r="AQ233" s="11" t="s">
        <v>5318</v>
      </c>
    </row>
    <row r="234" spans="1:43" ht="63" customHeight="1" x14ac:dyDescent="0.2">
      <c r="A234" s="10">
        <v>3059</v>
      </c>
      <c r="B234" s="11" t="s">
        <v>7256</v>
      </c>
      <c r="C234" s="11" t="s">
        <v>839</v>
      </c>
      <c r="D234" s="11">
        <v>2018</v>
      </c>
      <c r="E234" s="11" t="s">
        <v>5318</v>
      </c>
      <c r="F234" s="11">
        <v>18</v>
      </c>
      <c r="G234" s="11">
        <v>1</v>
      </c>
      <c r="H234" s="11" t="s">
        <v>7257</v>
      </c>
      <c r="I234" s="11" t="s">
        <v>6516</v>
      </c>
      <c r="J234" s="11" t="s">
        <v>7258</v>
      </c>
      <c r="K234" s="11" t="s">
        <v>841</v>
      </c>
      <c r="L234" s="16" t="s">
        <v>5591</v>
      </c>
      <c r="M234" s="11">
        <v>0</v>
      </c>
      <c r="N234" s="9" t="s">
        <v>5044</v>
      </c>
      <c r="O234" s="9" t="s">
        <v>5044</v>
      </c>
      <c r="P234" s="11">
        <v>0</v>
      </c>
      <c r="Q234" s="11">
        <v>0</v>
      </c>
      <c r="R234" s="11">
        <v>0</v>
      </c>
      <c r="S234" s="11">
        <v>4</v>
      </c>
      <c r="T234" s="11">
        <v>1</v>
      </c>
      <c r="U234" s="11">
        <v>190</v>
      </c>
      <c r="V234" s="11">
        <v>0</v>
      </c>
      <c r="W234" s="11">
        <v>1</v>
      </c>
      <c r="X234" s="11">
        <v>0</v>
      </c>
      <c r="Y234" s="11">
        <v>0</v>
      </c>
      <c r="Z234" s="11">
        <v>0</v>
      </c>
      <c r="AA234" s="11">
        <v>0</v>
      </c>
      <c r="AB234" s="11">
        <v>1</v>
      </c>
      <c r="AC234" s="11">
        <v>1</v>
      </c>
      <c r="AD234" s="11" t="s">
        <v>5044</v>
      </c>
      <c r="AE234" s="11" t="s">
        <v>5044</v>
      </c>
      <c r="AF234" s="11" t="s">
        <v>5044</v>
      </c>
      <c r="AG234" s="11">
        <v>2</v>
      </c>
      <c r="AH234" s="11">
        <v>3</v>
      </c>
      <c r="AI234" s="11">
        <v>0</v>
      </c>
      <c r="AJ234" s="11" t="s">
        <v>5044</v>
      </c>
      <c r="AK234" s="11">
        <v>1</v>
      </c>
      <c r="AL234" s="11">
        <v>0</v>
      </c>
      <c r="AM234" s="11">
        <v>0</v>
      </c>
      <c r="AN234" s="11" t="s">
        <v>5318</v>
      </c>
      <c r="AO234" s="11">
        <v>3</v>
      </c>
      <c r="AP234" s="11" t="s">
        <v>5318</v>
      </c>
      <c r="AQ234" s="11" t="s">
        <v>5318</v>
      </c>
    </row>
    <row r="235" spans="1:43" ht="63" customHeight="1" x14ac:dyDescent="0.2">
      <c r="A235" s="10">
        <v>3064</v>
      </c>
      <c r="B235" s="11" t="s">
        <v>7259</v>
      </c>
      <c r="C235" s="11" t="s">
        <v>842</v>
      </c>
      <c r="D235" s="11">
        <v>2013</v>
      </c>
      <c r="E235" s="11" t="s">
        <v>5318</v>
      </c>
      <c r="F235" s="11">
        <v>37</v>
      </c>
      <c r="G235" s="11">
        <v>4</v>
      </c>
      <c r="H235" s="11" t="s">
        <v>6745</v>
      </c>
      <c r="I235" s="11" t="s">
        <v>6516</v>
      </c>
      <c r="J235" s="11" t="s">
        <v>7260</v>
      </c>
      <c r="K235" s="11" t="s">
        <v>843</v>
      </c>
      <c r="L235" s="11" t="s">
        <v>5044</v>
      </c>
      <c r="M235" s="11">
        <v>0</v>
      </c>
      <c r="N235" s="9" t="s">
        <v>5044</v>
      </c>
      <c r="O235" s="9" t="s">
        <v>5044</v>
      </c>
      <c r="P235" s="11">
        <v>0</v>
      </c>
      <c r="Q235" s="11">
        <v>0</v>
      </c>
      <c r="R235" s="11">
        <v>0</v>
      </c>
      <c r="S235" s="11">
        <v>1</v>
      </c>
      <c r="T235" s="11">
        <v>1</v>
      </c>
      <c r="U235" s="11">
        <v>100</v>
      </c>
      <c r="V235" s="11">
        <v>0</v>
      </c>
      <c r="W235" s="11">
        <v>1</v>
      </c>
      <c r="X235" s="11">
        <v>0</v>
      </c>
      <c r="Y235" s="11">
        <v>0</v>
      </c>
      <c r="Z235" s="11">
        <v>0</v>
      </c>
      <c r="AA235" s="11">
        <v>0</v>
      </c>
      <c r="AB235" s="11">
        <v>1</v>
      </c>
      <c r="AC235" s="11">
        <v>1</v>
      </c>
      <c r="AD235" s="11" t="s">
        <v>5044</v>
      </c>
      <c r="AE235" s="11" t="s">
        <v>5044</v>
      </c>
      <c r="AF235" s="11" t="s">
        <v>5044</v>
      </c>
      <c r="AG235" s="11">
        <v>1</v>
      </c>
      <c r="AH235" s="11">
        <v>0</v>
      </c>
      <c r="AI235" s="11">
        <v>0</v>
      </c>
      <c r="AJ235" s="11" t="s">
        <v>5044</v>
      </c>
      <c r="AK235" s="11" t="s">
        <v>5318</v>
      </c>
      <c r="AL235" s="11">
        <v>0</v>
      </c>
      <c r="AM235" s="11">
        <v>0</v>
      </c>
      <c r="AN235" s="11" t="s">
        <v>5318</v>
      </c>
      <c r="AO235" s="9">
        <v>0</v>
      </c>
      <c r="AP235" s="11" t="s">
        <v>5318</v>
      </c>
      <c r="AQ235" s="11" t="s">
        <v>5318</v>
      </c>
    </row>
    <row r="236" spans="1:43" ht="63" customHeight="1" x14ac:dyDescent="0.2">
      <c r="A236" s="10">
        <v>3071</v>
      </c>
      <c r="B236" s="11" t="s">
        <v>7261</v>
      </c>
      <c r="C236" s="11" t="s">
        <v>844</v>
      </c>
      <c r="D236" s="11">
        <v>2020</v>
      </c>
      <c r="E236" s="11" t="s">
        <v>5318</v>
      </c>
      <c r="F236" s="11">
        <v>24</v>
      </c>
      <c r="G236" s="11">
        <v>9</v>
      </c>
      <c r="H236" s="11" t="s">
        <v>6725</v>
      </c>
      <c r="I236" s="11" t="s">
        <v>6516</v>
      </c>
      <c r="J236" s="11" t="s">
        <v>7262</v>
      </c>
      <c r="K236" s="11" t="s">
        <v>845</v>
      </c>
      <c r="L236" s="12" t="s">
        <v>5592</v>
      </c>
      <c r="M236" s="11">
        <v>0</v>
      </c>
      <c r="N236" s="9" t="s">
        <v>5044</v>
      </c>
      <c r="O236" s="9" t="s">
        <v>5044</v>
      </c>
      <c r="P236" s="11">
        <v>0</v>
      </c>
      <c r="Q236" s="11">
        <v>0</v>
      </c>
      <c r="R236" s="11">
        <v>0</v>
      </c>
      <c r="S236" s="11">
        <v>1</v>
      </c>
      <c r="T236" s="11">
        <v>4</v>
      </c>
      <c r="U236" s="11">
        <v>82</v>
      </c>
      <c r="V236" s="11">
        <v>0</v>
      </c>
      <c r="W236" s="11">
        <v>1</v>
      </c>
      <c r="X236" s="11">
        <v>0</v>
      </c>
      <c r="Y236" s="11">
        <v>0</v>
      </c>
      <c r="Z236" s="11">
        <v>0</v>
      </c>
      <c r="AA236" s="11">
        <v>0</v>
      </c>
      <c r="AB236" s="11">
        <v>1</v>
      </c>
      <c r="AC236" s="11">
        <v>1</v>
      </c>
      <c r="AD236" s="11" t="s">
        <v>5044</v>
      </c>
      <c r="AE236" s="11" t="s">
        <v>5044</v>
      </c>
      <c r="AF236" s="11" t="s">
        <v>5044</v>
      </c>
      <c r="AG236" s="11">
        <v>2</v>
      </c>
      <c r="AH236" s="11">
        <v>3</v>
      </c>
      <c r="AI236" s="11">
        <v>0</v>
      </c>
      <c r="AJ236" s="11" t="s">
        <v>5044</v>
      </c>
      <c r="AK236" s="11" t="s">
        <v>5318</v>
      </c>
      <c r="AL236" s="11">
        <v>1</v>
      </c>
      <c r="AM236" s="11">
        <v>0</v>
      </c>
      <c r="AN236" s="11" t="s">
        <v>5318</v>
      </c>
      <c r="AO236" s="11">
        <v>3</v>
      </c>
      <c r="AP236" s="11" t="s">
        <v>5318</v>
      </c>
      <c r="AQ236" s="11" t="s">
        <v>5318</v>
      </c>
    </row>
    <row r="237" spans="1:43" ht="63" customHeight="1" x14ac:dyDescent="0.2">
      <c r="A237" s="10">
        <v>3105</v>
      </c>
      <c r="B237" s="11" t="s">
        <v>7263</v>
      </c>
      <c r="C237" s="11" t="s">
        <v>846</v>
      </c>
      <c r="D237" s="11">
        <v>2021</v>
      </c>
      <c r="E237" s="11" t="s">
        <v>5318</v>
      </c>
      <c r="F237" s="11">
        <v>51</v>
      </c>
      <c r="G237" s="11">
        <v>4</v>
      </c>
      <c r="H237" s="11" t="s">
        <v>7264</v>
      </c>
      <c r="I237" s="11" t="s">
        <v>6516</v>
      </c>
      <c r="J237" s="11" t="s">
        <v>7265</v>
      </c>
      <c r="K237" s="11" t="s">
        <v>847</v>
      </c>
      <c r="L237" s="11" t="s">
        <v>5044</v>
      </c>
      <c r="M237" s="11">
        <v>0</v>
      </c>
      <c r="N237" s="9" t="s">
        <v>5044</v>
      </c>
      <c r="O237" s="9" t="s">
        <v>5044</v>
      </c>
      <c r="P237" s="11">
        <v>0</v>
      </c>
      <c r="Q237" s="11">
        <v>0</v>
      </c>
      <c r="R237" s="11">
        <v>0</v>
      </c>
      <c r="S237" s="11">
        <v>1</v>
      </c>
      <c r="T237" s="11">
        <v>4</v>
      </c>
      <c r="U237" s="11">
        <v>70</v>
      </c>
      <c r="V237" s="11">
        <v>0</v>
      </c>
      <c r="W237" s="11">
        <v>1</v>
      </c>
      <c r="X237" s="11">
        <v>0</v>
      </c>
      <c r="Y237" s="11">
        <v>0</v>
      </c>
      <c r="Z237" s="11">
        <v>0</v>
      </c>
      <c r="AA237" s="11">
        <v>0</v>
      </c>
      <c r="AB237" s="11">
        <v>1</v>
      </c>
      <c r="AC237" s="11">
        <v>0</v>
      </c>
      <c r="AD237" s="11" t="s">
        <v>5044</v>
      </c>
      <c r="AE237" s="11" t="s">
        <v>5044</v>
      </c>
      <c r="AF237" s="11" t="s">
        <v>5044</v>
      </c>
      <c r="AG237" s="11">
        <v>0</v>
      </c>
      <c r="AH237" s="11" t="s">
        <v>5044</v>
      </c>
      <c r="AI237" s="11" t="s">
        <v>5044</v>
      </c>
      <c r="AJ237" s="11" t="s">
        <v>5044</v>
      </c>
      <c r="AK237" s="11" t="s">
        <v>5318</v>
      </c>
      <c r="AL237" s="11">
        <v>0</v>
      </c>
      <c r="AM237" s="11">
        <v>0</v>
      </c>
      <c r="AN237" s="11" t="s">
        <v>5318</v>
      </c>
      <c r="AO237" s="11">
        <v>9</v>
      </c>
      <c r="AP237" s="11" t="s">
        <v>5318</v>
      </c>
      <c r="AQ237" s="11" t="s">
        <v>5318</v>
      </c>
    </row>
    <row r="238" spans="1:43" ht="63" customHeight="1" x14ac:dyDescent="0.2">
      <c r="A238" s="10">
        <v>3119</v>
      </c>
      <c r="B238" s="11" t="s">
        <v>7266</v>
      </c>
      <c r="C238" s="11" t="s">
        <v>848</v>
      </c>
      <c r="D238" s="11">
        <v>2018</v>
      </c>
      <c r="E238" s="11" t="s">
        <v>5318</v>
      </c>
      <c r="F238" s="11">
        <v>55</v>
      </c>
      <c r="G238" s="11">
        <v>5</v>
      </c>
      <c r="H238" s="11" t="s">
        <v>7267</v>
      </c>
      <c r="I238" s="11" t="s">
        <v>6516</v>
      </c>
      <c r="J238" s="11" t="s">
        <v>7268</v>
      </c>
      <c r="K238" s="11" t="s">
        <v>849</v>
      </c>
      <c r="L238" s="12" t="s">
        <v>5593</v>
      </c>
      <c r="M238" s="11">
        <v>0</v>
      </c>
      <c r="N238" s="9" t="s">
        <v>5044</v>
      </c>
      <c r="O238" s="9" t="s">
        <v>5044</v>
      </c>
      <c r="P238" s="11">
        <v>1</v>
      </c>
      <c r="Q238" s="11">
        <v>0</v>
      </c>
      <c r="R238" s="11">
        <v>0</v>
      </c>
      <c r="S238" s="11" t="s">
        <v>7668</v>
      </c>
      <c r="T238" s="11">
        <v>1</v>
      </c>
      <c r="U238" s="11">
        <v>58</v>
      </c>
      <c r="V238" s="11">
        <v>0</v>
      </c>
      <c r="W238" s="11">
        <v>1</v>
      </c>
      <c r="X238" s="11">
        <v>0</v>
      </c>
      <c r="Y238" s="11">
        <v>0</v>
      </c>
      <c r="Z238" s="11">
        <v>0</v>
      </c>
      <c r="AA238" s="11">
        <v>0</v>
      </c>
      <c r="AB238" s="11">
        <v>1</v>
      </c>
      <c r="AC238" s="11">
        <v>1</v>
      </c>
      <c r="AD238" s="11" t="s">
        <v>5044</v>
      </c>
      <c r="AE238" s="11" t="s">
        <v>5044</v>
      </c>
      <c r="AF238" s="11" t="s">
        <v>5044</v>
      </c>
      <c r="AG238" s="11">
        <v>2</v>
      </c>
      <c r="AH238" s="11">
        <v>3</v>
      </c>
      <c r="AI238" s="11">
        <v>0</v>
      </c>
      <c r="AJ238" s="11" t="s">
        <v>5044</v>
      </c>
      <c r="AK238" s="11" t="s">
        <v>5318</v>
      </c>
      <c r="AL238" s="11" t="s">
        <v>5044</v>
      </c>
      <c r="AM238" s="11">
        <v>0</v>
      </c>
      <c r="AN238" s="11" t="s">
        <v>6293</v>
      </c>
      <c r="AO238" s="11">
        <v>3</v>
      </c>
      <c r="AP238" s="11" t="s">
        <v>5318</v>
      </c>
      <c r="AQ238" s="11" t="s">
        <v>5318</v>
      </c>
    </row>
    <row r="239" spans="1:43" ht="63" customHeight="1" x14ac:dyDescent="0.2">
      <c r="A239" s="10">
        <v>3122</v>
      </c>
      <c r="B239" s="11" t="s">
        <v>7269</v>
      </c>
      <c r="C239" s="11" t="s">
        <v>850</v>
      </c>
      <c r="D239" s="11">
        <v>2023</v>
      </c>
      <c r="E239" s="11" t="s">
        <v>5318</v>
      </c>
      <c r="F239" s="11">
        <v>66</v>
      </c>
      <c r="G239" s="11">
        <v>2</v>
      </c>
      <c r="H239" s="11" t="s">
        <v>6598</v>
      </c>
      <c r="I239" s="11" t="s">
        <v>6516</v>
      </c>
      <c r="J239" s="11" t="s">
        <v>7270</v>
      </c>
      <c r="K239" s="11" t="s">
        <v>851</v>
      </c>
      <c r="L239" s="12" t="s">
        <v>5594</v>
      </c>
      <c r="M239" s="11">
        <v>0</v>
      </c>
      <c r="N239" s="9" t="s">
        <v>5044</v>
      </c>
      <c r="O239" s="9" t="s">
        <v>5044</v>
      </c>
      <c r="P239" s="11">
        <v>0</v>
      </c>
      <c r="Q239" s="11">
        <v>0</v>
      </c>
      <c r="R239" s="11">
        <v>0</v>
      </c>
      <c r="S239" s="11">
        <v>1</v>
      </c>
      <c r="T239" s="11">
        <v>2</v>
      </c>
      <c r="U239" s="11">
        <v>298</v>
      </c>
      <c r="V239" s="11">
        <v>0</v>
      </c>
      <c r="W239" s="11">
        <v>1</v>
      </c>
      <c r="X239" s="11">
        <v>0</v>
      </c>
      <c r="Y239" s="11">
        <v>0</v>
      </c>
      <c r="Z239" s="11">
        <v>0</v>
      </c>
      <c r="AA239" s="11">
        <v>0</v>
      </c>
      <c r="AB239" s="11">
        <v>1</v>
      </c>
      <c r="AC239" s="11">
        <v>1</v>
      </c>
      <c r="AD239" s="11" t="s">
        <v>5044</v>
      </c>
      <c r="AE239" s="11" t="s">
        <v>5044</v>
      </c>
      <c r="AF239" s="11" t="s">
        <v>5044</v>
      </c>
      <c r="AG239" s="11">
        <v>1</v>
      </c>
      <c r="AH239" s="11">
        <v>0</v>
      </c>
      <c r="AI239" s="11">
        <v>0</v>
      </c>
      <c r="AJ239" s="11" t="s">
        <v>5044</v>
      </c>
      <c r="AK239" s="11" t="s">
        <v>5318</v>
      </c>
      <c r="AL239" s="11">
        <v>0</v>
      </c>
      <c r="AM239" s="11">
        <v>0</v>
      </c>
      <c r="AN239" s="11" t="s">
        <v>5318</v>
      </c>
      <c r="AO239" s="9">
        <v>0</v>
      </c>
      <c r="AP239" s="11" t="s">
        <v>5318</v>
      </c>
      <c r="AQ239" s="11" t="s">
        <v>5318</v>
      </c>
    </row>
    <row r="240" spans="1:43" ht="63" customHeight="1" x14ac:dyDescent="0.2">
      <c r="A240" s="10">
        <v>3137</v>
      </c>
      <c r="B240" s="11" t="s">
        <v>7271</v>
      </c>
      <c r="C240" s="11" t="s">
        <v>852</v>
      </c>
      <c r="D240" s="11">
        <v>2018</v>
      </c>
      <c r="E240" s="11" t="s">
        <v>5318</v>
      </c>
      <c r="F240" s="11">
        <v>267</v>
      </c>
      <c r="G240" s="11">
        <v>5</v>
      </c>
      <c r="H240" s="11" t="s">
        <v>6533</v>
      </c>
      <c r="I240" s="11" t="s">
        <v>6516</v>
      </c>
      <c r="J240" s="11" t="s">
        <v>7272</v>
      </c>
      <c r="K240" s="11" t="s">
        <v>853</v>
      </c>
      <c r="L240" s="12" t="s">
        <v>5595</v>
      </c>
      <c r="M240" s="11">
        <v>0</v>
      </c>
      <c r="N240" s="9" t="s">
        <v>5044</v>
      </c>
      <c r="O240" s="9" t="s">
        <v>5044</v>
      </c>
      <c r="P240" s="11">
        <v>0</v>
      </c>
      <c r="Q240" s="11">
        <v>0</v>
      </c>
      <c r="R240" s="11">
        <v>0</v>
      </c>
      <c r="S240" s="11">
        <v>1</v>
      </c>
      <c r="T240" s="11">
        <v>1</v>
      </c>
      <c r="U240" s="11">
        <v>100</v>
      </c>
      <c r="V240" s="11">
        <v>0</v>
      </c>
      <c r="W240" s="11">
        <v>1</v>
      </c>
      <c r="X240" s="11">
        <v>0</v>
      </c>
      <c r="Y240" s="11">
        <v>0</v>
      </c>
      <c r="Z240" s="11">
        <v>0</v>
      </c>
      <c r="AA240" s="11">
        <v>0</v>
      </c>
      <c r="AB240" s="11">
        <v>1</v>
      </c>
      <c r="AC240" s="11">
        <v>1</v>
      </c>
      <c r="AD240" s="11" t="s">
        <v>5044</v>
      </c>
      <c r="AE240" s="11" t="s">
        <v>5044</v>
      </c>
      <c r="AF240" s="11" t="s">
        <v>5044</v>
      </c>
      <c r="AG240" s="11">
        <v>1</v>
      </c>
      <c r="AH240" s="11">
        <v>0</v>
      </c>
      <c r="AI240" s="11">
        <v>0</v>
      </c>
      <c r="AJ240" s="11" t="s">
        <v>5044</v>
      </c>
      <c r="AK240" s="11" t="s">
        <v>5318</v>
      </c>
      <c r="AL240" s="11">
        <v>1</v>
      </c>
      <c r="AM240" s="11">
        <v>0</v>
      </c>
      <c r="AN240" s="11" t="s">
        <v>5318</v>
      </c>
      <c r="AO240" s="9">
        <v>0</v>
      </c>
      <c r="AP240" s="11" t="s">
        <v>5318</v>
      </c>
      <c r="AQ240" s="11" t="s">
        <v>5318</v>
      </c>
    </row>
    <row r="241" spans="1:43" ht="63" customHeight="1" x14ac:dyDescent="0.2">
      <c r="A241" s="10">
        <v>3152</v>
      </c>
      <c r="B241" s="22" t="s">
        <v>7275</v>
      </c>
      <c r="C241" s="11" t="s">
        <v>856</v>
      </c>
      <c r="D241" s="11">
        <v>2021</v>
      </c>
      <c r="E241" s="11" t="s">
        <v>5318</v>
      </c>
      <c r="F241" s="11">
        <v>28</v>
      </c>
      <c r="G241" s="11">
        <v>13</v>
      </c>
      <c r="H241" s="11" t="s">
        <v>6621</v>
      </c>
      <c r="I241" s="11" t="s">
        <v>6516</v>
      </c>
      <c r="J241" s="11" t="s">
        <v>7276</v>
      </c>
      <c r="K241" s="11" t="s">
        <v>857</v>
      </c>
      <c r="L241" s="12" t="s">
        <v>5597</v>
      </c>
      <c r="M241" s="11">
        <v>0</v>
      </c>
      <c r="N241" s="9" t="s">
        <v>5044</v>
      </c>
      <c r="O241" s="9" t="s">
        <v>5044</v>
      </c>
      <c r="P241" s="11">
        <v>0</v>
      </c>
      <c r="Q241" s="11">
        <v>0</v>
      </c>
      <c r="R241" s="11">
        <v>0</v>
      </c>
      <c r="S241" s="11">
        <v>5</v>
      </c>
      <c r="T241" s="11">
        <v>1</v>
      </c>
      <c r="U241" s="11">
        <v>99</v>
      </c>
      <c r="V241" s="11">
        <v>0</v>
      </c>
      <c r="W241" s="11">
        <v>1</v>
      </c>
      <c r="X241" s="11">
        <v>0</v>
      </c>
      <c r="Y241" s="11">
        <v>0</v>
      </c>
      <c r="Z241" s="11">
        <v>1</v>
      </c>
      <c r="AA241" s="11">
        <v>0</v>
      </c>
      <c r="AB241" s="11">
        <v>1</v>
      </c>
      <c r="AC241" s="11">
        <v>0</v>
      </c>
      <c r="AD241" s="11" t="s">
        <v>5044</v>
      </c>
      <c r="AE241" s="11" t="s">
        <v>5044</v>
      </c>
      <c r="AF241" s="11" t="s">
        <v>5044</v>
      </c>
      <c r="AG241" s="11">
        <v>0</v>
      </c>
      <c r="AH241" s="11" t="s">
        <v>5044</v>
      </c>
      <c r="AI241" s="11" t="s">
        <v>5044</v>
      </c>
      <c r="AJ241" s="11">
        <v>0</v>
      </c>
      <c r="AK241" s="11" t="s">
        <v>5318</v>
      </c>
      <c r="AL241" s="11">
        <v>1</v>
      </c>
      <c r="AM241" s="11">
        <v>0</v>
      </c>
      <c r="AN241" s="11" t="s">
        <v>5105</v>
      </c>
      <c r="AO241" s="11">
        <v>9</v>
      </c>
      <c r="AP241" s="11" t="s">
        <v>5318</v>
      </c>
      <c r="AQ241" s="11" t="s">
        <v>5318</v>
      </c>
    </row>
    <row r="242" spans="1:43" ht="63" customHeight="1" x14ac:dyDescent="0.2">
      <c r="A242" s="10">
        <v>3153</v>
      </c>
      <c r="B242" s="11" t="s">
        <v>7277</v>
      </c>
      <c r="C242" s="11" t="s">
        <v>858</v>
      </c>
      <c r="D242" s="11">
        <v>2020</v>
      </c>
      <c r="E242" s="11" t="s">
        <v>5318</v>
      </c>
      <c r="F242" s="11">
        <v>136</v>
      </c>
      <c r="G242" s="11" t="s">
        <v>5318</v>
      </c>
      <c r="H242" s="11" t="s">
        <v>7195</v>
      </c>
      <c r="I242" s="11" t="s">
        <v>6516</v>
      </c>
      <c r="J242" s="11" t="s">
        <v>7278</v>
      </c>
      <c r="K242" s="11" t="s">
        <v>860</v>
      </c>
      <c r="L242" s="16" t="s">
        <v>5597</v>
      </c>
      <c r="M242" s="11">
        <v>0</v>
      </c>
      <c r="N242" s="9" t="s">
        <v>5044</v>
      </c>
      <c r="O242" s="9" t="s">
        <v>5044</v>
      </c>
      <c r="P242" s="11">
        <v>0</v>
      </c>
      <c r="Q242" s="11">
        <v>0</v>
      </c>
      <c r="R242" s="11">
        <v>0</v>
      </c>
      <c r="S242" s="11">
        <v>5</v>
      </c>
      <c r="T242" s="11">
        <v>1</v>
      </c>
      <c r="U242" s="11">
        <v>110</v>
      </c>
      <c r="V242" s="11">
        <v>0</v>
      </c>
      <c r="W242" s="11">
        <v>1</v>
      </c>
      <c r="X242" s="11">
        <v>0</v>
      </c>
      <c r="Y242" s="11">
        <v>0</v>
      </c>
      <c r="Z242" s="11">
        <v>1</v>
      </c>
      <c r="AA242" s="11">
        <v>0</v>
      </c>
      <c r="AB242" s="11">
        <v>1</v>
      </c>
      <c r="AC242" s="11">
        <v>1</v>
      </c>
      <c r="AD242" s="11" t="s">
        <v>5044</v>
      </c>
      <c r="AE242" s="11" t="s">
        <v>5044</v>
      </c>
      <c r="AF242" s="11" t="s">
        <v>5044</v>
      </c>
      <c r="AG242" s="11">
        <v>2</v>
      </c>
      <c r="AH242" s="11">
        <v>3</v>
      </c>
      <c r="AI242" s="11">
        <v>0</v>
      </c>
      <c r="AJ242" s="11">
        <v>0</v>
      </c>
      <c r="AK242" s="11">
        <v>2</v>
      </c>
      <c r="AL242" s="11">
        <v>1</v>
      </c>
      <c r="AM242" s="11">
        <v>0</v>
      </c>
      <c r="AN242" s="11" t="s">
        <v>5318</v>
      </c>
      <c r="AO242" s="11">
        <v>3</v>
      </c>
      <c r="AP242" s="11" t="s">
        <v>5318</v>
      </c>
      <c r="AQ242" s="11" t="s">
        <v>5318</v>
      </c>
    </row>
    <row r="243" spans="1:43" ht="63" customHeight="1" x14ac:dyDescent="0.2">
      <c r="A243" s="10">
        <v>3154</v>
      </c>
      <c r="B243" s="11" t="s">
        <v>7279</v>
      </c>
      <c r="C243" s="11" t="s">
        <v>861</v>
      </c>
      <c r="D243" s="11">
        <v>2021</v>
      </c>
      <c r="E243" s="11" t="s">
        <v>5318</v>
      </c>
      <c r="F243" s="11">
        <v>10</v>
      </c>
      <c r="G243" s="11">
        <v>16</v>
      </c>
      <c r="H243" s="11" t="s">
        <v>7280</v>
      </c>
      <c r="I243" s="11" t="s">
        <v>6516</v>
      </c>
      <c r="J243" s="11" t="s">
        <v>7281</v>
      </c>
      <c r="K243" s="11" t="s">
        <v>863</v>
      </c>
      <c r="L243" s="12" t="s">
        <v>5599</v>
      </c>
      <c r="M243" s="11">
        <v>0</v>
      </c>
      <c r="N243" s="9" t="s">
        <v>5044</v>
      </c>
      <c r="O243" s="9" t="s">
        <v>5044</v>
      </c>
      <c r="P243" s="11">
        <v>0</v>
      </c>
      <c r="Q243" s="11">
        <v>0</v>
      </c>
      <c r="R243" s="11">
        <v>0</v>
      </c>
      <c r="S243" s="11">
        <v>1</v>
      </c>
      <c r="T243" s="11">
        <v>1</v>
      </c>
      <c r="U243" s="11">
        <v>170</v>
      </c>
      <c r="V243" s="11">
        <v>1</v>
      </c>
      <c r="W243" s="11">
        <v>0</v>
      </c>
      <c r="X243" s="11">
        <v>0</v>
      </c>
      <c r="Y243" s="11">
        <v>0</v>
      </c>
      <c r="Z243" s="11">
        <v>0</v>
      </c>
      <c r="AA243" s="11">
        <v>0</v>
      </c>
      <c r="AB243" s="11">
        <v>1</v>
      </c>
      <c r="AC243" s="11">
        <v>1</v>
      </c>
      <c r="AD243" s="11">
        <v>2</v>
      </c>
      <c r="AE243" s="11">
        <v>2</v>
      </c>
      <c r="AF243" s="11">
        <v>2</v>
      </c>
      <c r="AG243" s="11" t="s">
        <v>5044</v>
      </c>
      <c r="AH243" s="11" t="s">
        <v>5044</v>
      </c>
      <c r="AI243" s="11" t="s">
        <v>5044</v>
      </c>
      <c r="AJ243" s="11" t="s">
        <v>5044</v>
      </c>
      <c r="AK243" s="11" t="s">
        <v>5318</v>
      </c>
      <c r="AL243" s="11">
        <v>0</v>
      </c>
      <c r="AM243" s="11">
        <v>0</v>
      </c>
      <c r="AN243" s="11" t="s">
        <v>5318</v>
      </c>
      <c r="AO243" s="11">
        <v>2</v>
      </c>
      <c r="AP243" s="11" t="s">
        <v>5318</v>
      </c>
      <c r="AQ243" s="11" t="s">
        <v>5318</v>
      </c>
    </row>
    <row r="244" spans="1:43" ht="63" customHeight="1" x14ac:dyDescent="0.2">
      <c r="A244" s="10">
        <v>3159</v>
      </c>
      <c r="B244" s="11" t="s">
        <v>7282</v>
      </c>
      <c r="C244" s="11" t="s">
        <v>864</v>
      </c>
      <c r="D244" s="11">
        <v>2022</v>
      </c>
      <c r="E244" s="11" t="s">
        <v>5318</v>
      </c>
      <c r="F244" s="11">
        <v>29</v>
      </c>
      <c r="G244" s="11">
        <v>12</v>
      </c>
      <c r="H244" s="11" t="s">
        <v>6621</v>
      </c>
      <c r="I244" s="11" t="s">
        <v>6516</v>
      </c>
      <c r="J244" s="11" t="s">
        <v>7283</v>
      </c>
      <c r="K244" s="11" t="s">
        <v>866</v>
      </c>
      <c r="L244" s="11" t="s">
        <v>5044</v>
      </c>
      <c r="M244" s="11">
        <v>0</v>
      </c>
      <c r="N244" s="9" t="s">
        <v>5044</v>
      </c>
      <c r="O244" s="9" t="s">
        <v>5044</v>
      </c>
      <c r="P244" s="11">
        <v>0</v>
      </c>
      <c r="Q244" s="11">
        <v>0</v>
      </c>
      <c r="R244" s="11">
        <v>0</v>
      </c>
      <c r="S244" s="11" t="s">
        <v>5708</v>
      </c>
      <c r="T244" s="11">
        <v>5</v>
      </c>
      <c r="U244" s="11">
        <v>65</v>
      </c>
      <c r="V244" s="11">
        <v>0</v>
      </c>
      <c r="W244" s="11">
        <v>1</v>
      </c>
      <c r="X244" s="11">
        <v>0</v>
      </c>
      <c r="Y244" s="11">
        <v>0</v>
      </c>
      <c r="Z244" s="11">
        <v>0</v>
      </c>
      <c r="AA244" s="11">
        <v>0</v>
      </c>
      <c r="AB244" s="11">
        <v>1</v>
      </c>
      <c r="AC244" s="11">
        <v>0</v>
      </c>
      <c r="AD244" s="11" t="s">
        <v>5044</v>
      </c>
      <c r="AE244" s="11" t="s">
        <v>5044</v>
      </c>
      <c r="AF244" s="11" t="s">
        <v>5044</v>
      </c>
      <c r="AG244" s="11">
        <v>0</v>
      </c>
      <c r="AH244" s="11" t="s">
        <v>5044</v>
      </c>
      <c r="AI244" s="11" t="s">
        <v>5044</v>
      </c>
      <c r="AJ244" s="11" t="s">
        <v>5044</v>
      </c>
      <c r="AK244" s="11" t="s">
        <v>5318</v>
      </c>
      <c r="AL244" s="11">
        <v>1</v>
      </c>
      <c r="AM244" s="11">
        <v>0</v>
      </c>
      <c r="AN244" s="11" t="s">
        <v>5318</v>
      </c>
      <c r="AO244" s="11">
        <v>9</v>
      </c>
      <c r="AP244" s="11" t="s">
        <v>5318</v>
      </c>
      <c r="AQ244" s="11" t="s">
        <v>5318</v>
      </c>
    </row>
    <row r="245" spans="1:43" ht="63" customHeight="1" x14ac:dyDescent="0.2">
      <c r="A245" s="10">
        <v>3167</v>
      </c>
      <c r="B245" s="11" t="s">
        <v>7284</v>
      </c>
      <c r="C245" s="11" t="s">
        <v>868</v>
      </c>
      <c r="D245" s="11">
        <v>2010</v>
      </c>
      <c r="E245" s="11" t="s">
        <v>5318</v>
      </c>
      <c r="F245" s="11">
        <v>251</v>
      </c>
      <c r="G245" s="11">
        <v>6</v>
      </c>
      <c r="H245" s="11" t="s">
        <v>6533</v>
      </c>
      <c r="I245" s="11" t="s">
        <v>6516</v>
      </c>
      <c r="J245" s="11" t="s">
        <v>7285</v>
      </c>
      <c r="K245" s="11" t="s">
        <v>870</v>
      </c>
      <c r="L245" s="16" t="s">
        <v>5600</v>
      </c>
      <c r="M245" s="11">
        <v>0</v>
      </c>
      <c r="N245" s="9" t="s">
        <v>5044</v>
      </c>
      <c r="O245" s="9" t="s">
        <v>5044</v>
      </c>
      <c r="P245" s="11">
        <v>0</v>
      </c>
      <c r="Q245" s="11">
        <v>0</v>
      </c>
      <c r="R245" s="11">
        <v>0</v>
      </c>
      <c r="S245" s="11">
        <v>1</v>
      </c>
      <c r="T245" s="11">
        <v>5</v>
      </c>
      <c r="U245" s="11">
        <v>82</v>
      </c>
      <c r="V245" s="11">
        <v>0</v>
      </c>
      <c r="W245" s="11">
        <v>1</v>
      </c>
      <c r="X245" s="11">
        <v>0</v>
      </c>
      <c r="Y245" s="11">
        <v>0</v>
      </c>
      <c r="Z245" s="11">
        <v>0</v>
      </c>
      <c r="AA245" s="11">
        <v>0</v>
      </c>
      <c r="AB245" s="11">
        <v>1</v>
      </c>
      <c r="AC245" s="11">
        <v>1</v>
      </c>
      <c r="AD245" s="11" t="s">
        <v>5044</v>
      </c>
      <c r="AE245" s="11" t="s">
        <v>5044</v>
      </c>
      <c r="AF245" s="11" t="s">
        <v>5044</v>
      </c>
      <c r="AG245" s="11">
        <v>2</v>
      </c>
      <c r="AH245" s="11">
        <v>3</v>
      </c>
      <c r="AI245" s="11">
        <v>0</v>
      </c>
      <c r="AJ245" s="11" t="s">
        <v>5044</v>
      </c>
      <c r="AK245" s="11">
        <v>1</v>
      </c>
      <c r="AL245" s="11">
        <v>0</v>
      </c>
      <c r="AM245" s="11">
        <v>0</v>
      </c>
      <c r="AN245" s="11" t="s">
        <v>5318</v>
      </c>
      <c r="AO245" s="11">
        <v>3</v>
      </c>
      <c r="AP245" s="11" t="s">
        <v>5318</v>
      </c>
      <c r="AQ245" s="11" t="s">
        <v>5318</v>
      </c>
    </row>
    <row r="246" spans="1:43" ht="63" customHeight="1" x14ac:dyDescent="0.2">
      <c r="A246" s="10">
        <v>3183</v>
      </c>
      <c r="B246" s="11" t="s">
        <v>7289</v>
      </c>
      <c r="C246" s="11" t="s">
        <v>874</v>
      </c>
      <c r="D246" s="11">
        <v>2022</v>
      </c>
      <c r="E246" s="11" t="s">
        <v>5318</v>
      </c>
      <c r="F246" s="11">
        <v>109</v>
      </c>
      <c r="G246" s="11">
        <v>6</v>
      </c>
      <c r="H246" s="11" t="s">
        <v>6530</v>
      </c>
      <c r="I246" s="11" t="s">
        <v>6516</v>
      </c>
      <c r="J246" s="11" t="s">
        <v>7290</v>
      </c>
      <c r="K246" s="11" t="s">
        <v>875</v>
      </c>
      <c r="L246" s="16" t="s">
        <v>5602</v>
      </c>
      <c r="M246" s="11">
        <v>0</v>
      </c>
      <c r="N246" s="9" t="s">
        <v>5044</v>
      </c>
      <c r="O246" s="9" t="s">
        <v>5044</v>
      </c>
      <c r="P246" s="11">
        <v>0</v>
      </c>
      <c r="Q246" s="11">
        <v>0</v>
      </c>
      <c r="R246" s="11">
        <v>0</v>
      </c>
      <c r="S246" s="11">
        <v>1</v>
      </c>
      <c r="T246" s="11">
        <v>1</v>
      </c>
      <c r="U246" s="11">
        <v>72</v>
      </c>
      <c r="V246" s="11">
        <v>0</v>
      </c>
      <c r="W246" s="11">
        <v>1</v>
      </c>
      <c r="X246" s="11">
        <v>0</v>
      </c>
      <c r="Y246" s="11">
        <v>0</v>
      </c>
      <c r="Z246" s="11">
        <v>0</v>
      </c>
      <c r="AA246" s="11">
        <v>0</v>
      </c>
      <c r="AB246" s="11">
        <v>1</v>
      </c>
      <c r="AC246" s="11">
        <v>1</v>
      </c>
      <c r="AD246" s="11" t="s">
        <v>5044</v>
      </c>
      <c r="AE246" s="11" t="s">
        <v>5044</v>
      </c>
      <c r="AF246" s="11" t="s">
        <v>5044</v>
      </c>
      <c r="AG246" s="11">
        <v>1</v>
      </c>
      <c r="AH246" s="11">
        <v>0</v>
      </c>
      <c r="AI246" s="11">
        <v>0</v>
      </c>
      <c r="AJ246" s="11" t="s">
        <v>5044</v>
      </c>
      <c r="AK246" s="11" t="s">
        <v>5318</v>
      </c>
      <c r="AL246" s="11">
        <v>0</v>
      </c>
      <c r="AM246" s="11">
        <v>0</v>
      </c>
      <c r="AN246" s="11" t="s">
        <v>5318</v>
      </c>
      <c r="AO246" s="9">
        <v>0</v>
      </c>
      <c r="AP246" s="11" t="s">
        <v>5318</v>
      </c>
      <c r="AQ246" s="11" t="s">
        <v>5318</v>
      </c>
    </row>
    <row r="247" spans="1:43" ht="63" customHeight="1" x14ac:dyDescent="0.2">
      <c r="A247" s="10">
        <v>3184</v>
      </c>
      <c r="B247" s="11" t="s">
        <v>7291</v>
      </c>
      <c r="C247" s="11" t="s">
        <v>876</v>
      </c>
      <c r="D247" s="11">
        <v>2018</v>
      </c>
      <c r="E247" s="11" t="s">
        <v>5318</v>
      </c>
      <c r="F247" s="11">
        <v>319</v>
      </c>
      <c r="G247" s="11">
        <v>3</v>
      </c>
      <c r="H247" s="11" t="s">
        <v>7155</v>
      </c>
      <c r="I247" s="11" t="s">
        <v>6516</v>
      </c>
      <c r="J247" s="11" t="s">
        <v>7292</v>
      </c>
      <c r="K247" s="11" t="s">
        <v>878</v>
      </c>
      <c r="L247" s="16" t="s">
        <v>5603</v>
      </c>
      <c r="M247" s="11">
        <v>0</v>
      </c>
      <c r="N247" s="9" t="s">
        <v>5044</v>
      </c>
      <c r="O247" s="9" t="s">
        <v>5044</v>
      </c>
      <c r="P247" s="11">
        <v>0</v>
      </c>
      <c r="Q247" s="11">
        <v>0</v>
      </c>
      <c r="R247" s="11">
        <v>0</v>
      </c>
      <c r="S247" s="11">
        <v>1</v>
      </c>
      <c r="T247" s="11">
        <v>1</v>
      </c>
      <c r="U247" s="11">
        <v>240</v>
      </c>
      <c r="V247" s="11">
        <v>0</v>
      </c>
      <c r="W247" s="11">
        <v>1</v>
      </c>
      <c r="X247" s="11">
        <v>0</v>
      </c>
      <c r="Y247" s="11">
        <v>0</v>
      </c>
      <c r="Z247" s="11">
        <v>0</v>
      </c>
      <c r="AA247" s="11">
        <v>0</v>
      </c>
      <c r="AB247" s="11">
        <v>1</v>
      </c>
      <c r="AC247" s="11">
        <v>1</v>
      </c>
      <c r="AD247" s="11" t="s">
        <v>5044</v>
      </c>
      <c r="AE247" s="11" t="s">
        <v>5044</v>
      </c>
      <c r="AF247" s="11" t="s">
        <v>5044</v>
      </c>
      <c r="AG247" s="11">
        <v>2</v>
      </c>
      <c r="AH247" s="11">
        <v>2</v>
      </c>
      <c r="AI247" s="11">
        <v>3</v>
      </c>
      <c r="AJ247" s="11" t="s">
        <v>5044</v>
      </c>
      <c r="AK247" s="11" t="s">
        <v>5318</v>
      </c>
      <c r="AL247" s="11">
        <v>0</v>
      </c>
      <c r="AM247" s="11">
        <v>0</v>
      </c>
      <c r="AN247" s="11" t="s">
        <v>5318</v>
      </c>
      <c r="AO247" s="11">
        <v>2</v>
      </c>
      <c r="AP247" s="11" t="s">
        <v>5318</v>
      </c>
      <c r="AQ247" s="11" t="s">
        <v>5318</v>
      </c>
    </row>
    <row r="248" spans="1:43" ht="63" customHeight="1" x14ac:dyDescent="0.2">
      <c r="A248" s="10">
        <v>3192</v>
      </c>
      <c r="B248" s="11" t="s">
        <v>7293</v>
      </c>
      <c r="C248" s="11" t="s">
        <v>879</v>
      </c>
      <c r="D248" s="11">
        <v>2017</v>
      </c>
      <c r="E248" s="11" t="s">
        <v>5318</v>
      </c>
      <c r="F248" s="11">
        <v>79</v>
      </c>
      <c r="G248" s="11" t="s">
        <v>5318</v>
      </c>
      <c r="H248" s="11" t="s">
        <v>7195</v>
      </c>
      <c r="I248" s="11" t="s">
        <v>6516</v>
      </c>
      <c r="J248" s="11" t="s">
        <v>7294</v>
      </c>
      <c r="K248" s="11" t="s">
        <v>880</v>
      </c>
      <c r="L248" s="16" t="s">
        <v>5604</v>
      </c>
      <c r="M248" s="11">
        <v>0</v>
      </c>
      <c r="N248" s="9" t="s">
        <v>5044</v>
      </c>
      <c r="O248" s="9" t="s">
        <v>5044</v>
      </c>
      <c r="P248" s="11">
        <v>0</v>
      </c>
      <c r="Q248" s="11">
        <v>0</v>
      </c>
      <c r="R248" s="11">
        <v>0</v>
      </c>
      <c r="S248" s="11">
        <v>5</v>
      </c>
      <c r="T248" s="11">
        <v>1</v>
      </c>
      <c r="U248" s="11">
        <v>120</v>
      </c>
      <c r="V248" s="11">
        <v>0</v>
      </c>
      <c r="W248" s="11">
        <v>1</v>
      </c>
      <c r="X248" s="11">
        <v>0</v>
      </c>
      <c r="Y248" s="11">
        <v>0</v>
      </c>
      <c r="Z248" s="11">
        <v>0</v>
      </c>
      <c r="AA248" s="11">
        <v>0</v>
      </c>
      <c r="AB248" s="11">
        <v>1</v>
      </c>
      <c r="AC248" s="11">
        <v>1</v>
      </c>
      <c r="AD248" s="11" t="s">
        <v>5044</v>
      </c>
      <c r="AE248" s="11" t="s">
        <v>5044</v>
      </c>
      <c r="AF248" s="11" t="s">
        <v>5044</v>
      </c>
      <c r="AG248" s="11">
        <v>1</v>
      </c>
      <c r="AH248" s="11">
        <v>0</v>
      </c>
      <c r="AI248" s="11">
        <v>0</v>
      </c>
      <c r="AJ248" s="11" t="s">
        <v>5044</v>
      </c>
      <c r="AK248" s="11" t="s">
        <v>5318</v>
      </c>
      <c r="AL248" s="11">
        <v>0</v>
      </c>
      <c r="AM248" s="11">
        <v>0</v>
      </c>
      <c r="AN248" s="11" t="s">
        <v>5318</v>
      </c>
      <c r="AO248" s="9">
        <v>0</v>
      </c>
      <c r="AP248" s="11" t="s">
        <v>5318</v>
      </c>
      <c r="AQ248" s="11" t="s">
        <v>5318</v>
      </c>
    </row>
    <row r="249" spans="1:43" ht="63" customHeight="1" x14ac:dyDescent="0.2">
      <c r="A249" s="10">
        <v>3194</v>
      </c>
      <c r="B249" s="11" t="s">
        <v>7298</v>
      </c>
      <c r="C249" s="11" t="s">
        <v>884</v>
      </c>
      <c r="D249" s="11">
        <v>2022</v>
      </c>
      <c r="E249" s="11" t="s">
        <v>5318</v>
      </c>
      <c r="F249" s="11">
        <v>46</v>
      </c>
      <c r="G249" s="11">
        <v>3</v>
      </c>
      <c r="H249" s="11" t="s">
        <v>6848</v>
      </c>
      <c r="I249" s="11" t="s">
        <v>6516</v>
      </c>
      <c r="J249" s="11" t="s">
        <v>7299</v>
      </c>
      <c r="K249" s="11" t="s">
        <v>885</v>
      </c>
      <c r="L249" s="16" t="s">
        <v>5605</v>
      </c>
      <c r="M249" s="11">
        <v>0</v>
      </c>
      <c r="N249" s="9" t="s">
        <v>5044</v>
      </c>
      <c r="O249" s="9" t="s">
        <v>5044</v>
      </c>
      <c r="P249" s="11">
        <v>0</v>
      </c>
      <c r="Q249" s="11">
        <v>0</v>
      </c>
      <c r="R249" s="11">
        <v>0</v>
      </c>
      <c r="S249" s="11">
        <v>3</v>
      </c>
      <c r="T249" s="11">
        <v>1</v>
      </c>
      <c r="U249" s="11">
        <v>152</v>
      </c>
      <c r="V249" s="11">
        <v>0</v>
      </c>
      <c r="W249" s="11">
        <v>1</v>
      </c>
      <c r="X249" s="11">
        <v>0</v>
      </c>
      <c r="Y249" s="11">
        <v>0</v>
      </c>
      <c r="Z249" s="11">
        <v>0</v>
      </c>
      <c r="AA249" s="11">
        <v>0</v>
      </c>
      <c r="AB249" s="11">
        <v>1</v>
      </c>
      <c r="AC249" s="11">
        <v>1</v>
      </c>
      <c r="AD249" s="11" t="s">
        <v>5044</v>
      </c>
      <c r="AE249" s="11" t="s">
        <v>5044</v>
      </c>
      <c r="AF249" s="11" t="s">
        <v>5044</v>
      </c>
      <c r="AG249" s="11">
        <v>2</v>
      </c>
      <c r="AH249" s="11">
        <v>3</v>
      </c>
      <c r="AI249" s="11">
        <v>0</v>
      </c>
      <c r="AJ249" s="11" t="s">
        <v>5044</v>
      </c>
      <c r="AK249" s="11" t="s">
        <v>5318</v>
      </c>
      <c r="AL249" s="11">
        <v>1</v>
      </c>
      <c r="AM249" s="11">
        <v>0</v>
      </c>
      <c r="AN249" s="11" t="s">
        <v>5318</v>
      </c>
      <c r="AO249" s="11">
        <v>3</v>
      </c>
      <c r="AP249" s="11" t="s">
        <v>5318</v>
      </c>
      <c r="AQ249" s="11" t="s">
        <v>5318</v>
      </c>
    </row>
    <row r="250" spans="1:43" ht="63" customHeight="1" x14ac:dyDescent="0.2">
      <c r="A250" s="10">
        <v>3213</v>
      </c>
      <c r="B250" s="11" t="s">
        <v>7300</v>
      </c>
      <c r="C250" s="11" t="s">
        <v>886</v>
      </c>
      <c r="D250" s="11">
        <v>2016</v>
      </c>
      <c r="E250" s="11" t="s">
        <v>5318</v>
      </c>
      <c r="F250" s="11">
        <v>20</v>
      </c>
      <c r="G250" s="11">
        <v>3</v>
      </c>
      <c r="H250" s="11" t="s">
        <v>6725</v>
      </c>
      <c r="I250" s="11" t="s">
        <v>6516</v>
      </c>
      <c r="J250" s="11" t="s">
        <v>7301</v>
      </c>
      <c r="K250" s="11" t="s">
        <v>887</v>
      </c>
      <c r="L250" s="12" t="s">
        <v>5606</v>
      </c>
      <c r="M250" s="11">
        <v>0</v>
      </c>
      <c r="N250" s="9" t="s">
        <v>5044</v>
      </c>
      <c r="O250" s="9" t="s">
        <v>5044</v>
      </c>
      <c r="P250" s="11">
        <v>0</v>
      </c>
      <c r="Q250" s="11">
        <v>0</v>
      </c>
      <c r="R250" s="11">
        <v>0</v>
      </c>
      <c r="S250" s="11">
        <v>1</v>
      </c>
      <c r="T250" s="11">
        <v>4</v>
      </c>
      <c r="U250" s="11">
        <v>101</v>
      </c>
      <c r="V250" s="11">
        <v>0</v>
      </c>
      <c r="W250" s="11">
        <v>1</v>
      </c>
      <c r="X250" s="11">
        <v>0</v>
      </c>
      <c r="Y250" s="11">
        <v>0</v>
      </c>
      <c r="Z250" s="11">
        <v>0</v>
      </c>
      <c r="AA250" s="11">
        <v>0</v>
      </c>
      <c r="AB250" s="11">
        <v>1</v>
      </c>
      <c r="AC250" s="11">
        <v>1</v>
      </c>
      <c r="AD250" s="11" t="s">
        <v>5044</v>
      </c>
      <c r="AE250" s="11" t="s">
        <v>5044</v>
      </c>
      <c r="AF250" s="11" t="s">
        <v>5044</v>
      </c>
      <c r="AG250" s="11">
        <v>0</v>
      </c>
      <c r="AH250" s="11" t="s">
        <v>5044</v>
      </c>
      <c r="AI250" s="11" t="s">
        <v>5044</v>
      </c>
      <c r="AJ250" s="11" t="s">
        <v>5044</v>
      </c>
      <c r="AK250" s="11" t="s">
        <v>5318</v>
      </c>
      <c r="AL250" s="11">
        <v>1</v>
      </c>
      <c r="AM250" s="11">
        <v>0</v>
      </c>
      <c r="AN250" s="11" t="s">
        <v>5318</v>
      </c>
      <c r="AO250" s="11">
        <v>9</v>
      </c>
      <c r="AP250" s="11" t="s">
        <v>5318</v>
      </c>
      <c r="AQ250" s="11" t="s">
        <v>5318</v>
      </c>
    </row>
    <row r="251" spans="1:43" ht="63" customHeight="1" x14ac:dyDescent="0.2">
      <c r="A251" s="10">
        <v>3230</v>
      </c>
      <c r="B251" s="11" t="s">
        <v>7302</v>
      </c>
      <c r="C251" s="11" t="s">
        <v>888</v>
      </c>
      <c r="D251" s="11">
        <v>2016</v>
      </c>
      <c r="E251" s="11" t="s">
        <v>5318</v>
      </c>
      <c r="F251" s="11">
        <v>33</v>
      </c>
      <c r="G251" s="11">
        <v>6</v>
      </c>
      <c r="H251" s="11" t="s">
        <v>6632</v>
      </c>
      <c r="I251" s="11" t="s">
        <v>6516</v>
      </c>
      <c r="J251" s="11" t="s">
        <v>7303</v>
      </c>
      <c r="K251" s="11" t="s">
        <v>889</v>
      </c>
      <c r="L251" s="12" t="s">
        <v>5607</v>
      </c>
      <c r="M251" s="11">
        <v>0</v>
      </c>
      <c r="N251" s="9" t="s">
        <v>5044</v>
      </c>
      <c r="O251" s="9" t="s">
        <v>5044</v>
      </c>
      <c r="P251" s="11">
        <v>0</v>
      </c>
      <c r="Q251" s="11">
        <v>0</v>
      </c>
      <c r="R251" s="11">
        <v>0</v>
      </c>
      <c r="S251" s="11">
        <v>1</v>
      </c>
      <c r="T251" s="11">
        <v>4</v>
      </c>
      <c r="U251" s="11">
        <v>41</v>
      </c>
      <c r="V251" s="11">
        <v>0</v>
      </c>
      <c r="W251" s="11">
        <v>1</v>
      </c>
      <c r="X251" s="11">
        <v>0</v>
      </c>
      <c r="Y251" s="11">
        <v>0</v>
      </c>
      <c r="Z251" s="11">
        <v>0</v>
      </c>
      <c r="AA251" s="11">
        <v>0</v>
      </c>
      <c r="AB251" s="11">
        <v>1</v>
      </c>
      <c r="AC251" s="11">
        <v>1</v>
      </c>
      <c r="AD251" s="11" t="s">
        <v>5044</v>
      </c>
      <c r="AE251" s="11" t="s">
        <v>5044</v>
      </c>
      <c r="AF251" s="11" t="s">
        <v>5044</v>
      </c>
      <c r="AG251" s="11">
        <v>2</v>
      </c>
      <c r="AH251" s="11">
        <v>3</v>
      </c>
      <c r="AI251" s="11">
        <v>0</v>
      </c>
      <c r="AJ251" s="11" t="s">
        <v>5044</v>
      </c>
      <c r="AK251" s="11" t="s">
        <v>5318</v>
      </c>
      <c r="AL251" s="11">
        <v>0</v>
      </c>
      <c r="AM251" s="11">
        <v>0</v>
      </c>
      <c r="AN251" s="11" t="s">
        <v>5318</v>
      </c>
      <c r="AO251" s="11">
        <v>3</v>
      </c>
      <c r="AP251" s="11" t="s">
        <v>5318</v>
      </c>
      <c r="AQ251" s="11" t="s">
        <v>5318</v>
      </c>
    </row>
    <row r="252" spans="1:43" ht="63" customHeight="1" x14ac:dyDescent="0.2">
      <c r="A252" s="10">
        <v>3238</v>
      </c>
      <c r="B252" s="11" t="s">
        <v>7304</v>
      </c>
      <c r="C252" s="11" t="s">
        <v>890</v>
      </c>
      <c r="D252" s="11">
        <v>2022</v>
      </c>
      <c r="E252" s="11" t="s">
        <v>5318</v>
      </c>
      <c r="F252" s="11">
        <v>50</v>
      </c>
      <c r="G252" s="11">
        <v>3</v>
      </c>
      <c r="H252" s="11" t="s">
        <v>7305</v>
      </c>
      <c r="I252" s="11" t="s">
        <v>6516</v>
      </c>
      <c r="J252" s="11" t="s">
        <v>7306</v>
      </c>
      <c r="K252" s="11" t="s">
        <v>892</v>
      </c>
      <c r="L252" s="12" t="s">
        <v>5608</v>
      </c>
      <c r="M252" s="11">
        <v>0</v>
      </c>
      <c r="N252" s="9" t="s">
        <v>5044</v>
      </c>
      <c r="O252" s="9" t="s">
        <v>5044</v>
      </c>
      <c r="P252" s="11">
        <v>0</v>
      </c>
      <c r="Q252" s="11">
        <v>0</v>
      </c>
      <c r="R252" s="11">
        <v>0</v>
      </c>
      <c r="S252" s="11">
        <v>9</v>
      </c>
      <c r="T252" s="11">
        <v>1</v>
      </c>
      <c r="U252" s="11">
        <v>63</v>
      </c>
      <c r="V252" s="11">
        <v>0</v>
      </c>
      <c r="W252" s="11">
        <v>1</v>
      </c>
      <c r="X252" s="11">
        <v>0</v>
      </c>
      <c r="Y252" s="11">
        <v>0</v>
      </c>
      <c r="Z252" s="11">
        <v>0</v>
      </c>
      <c r="AA252" s="11">
        <v>0</v>
      </c>
      <c r="AB252" s="11">
        <v>1</v>
      </c>
      <c r="AC252" s="11">
        <v>1</v>
      </c>
      <c r="AD252" s="11" t="s">
        <v>5044</v>
      </c>
      <c r="AE252" s="11" t="s">
        <v>5044</v>
      </c>
      <c r="AF252" s="11" t="s">
        <v>5044</v>
      </c>
      <c r="AG252" s="11">
        <v>2</v>
      </c>
      <c r="AH252" s="11">
        <v>3</v>
      </c>
      <c r="AI252" s="11">
        <v>0</v>
      </c>
      <c r="AJ252" s="11" t="s">
        <v>5044</v>
      </c>
      <c r="AK252" s="11">
        <v>1</v>
      </c>
      <c r="AL252" s="11">
        <v>1</v>
      </c>
      <c r="AM252" s="11">
        <v>0</v>
      </c>
      <c r="AN252" s="11" t="s">
        <v>5318</v>
      </c>
      <c r="AO252" s="11">
        <v>3</v>
      </c>
      <c r="AP252" s="11" t="s">
        <v>5318</v>
      </c>
      <c r="AQ252" s="11" t="s">
        <v>5318</v>
      </c>
    </row>
    <row r="253" spans="1:43" ht="63" customHeight="1" x14ac:dyDescent="0.2">
      <c r="A253" s="10">
        <v>3251</v>
      </c>
      <c r="B253" s="11" t="s">
        <v>7307</v>
      </c>
      <c r="C253" s="11" t="s">
        <v>893</v>
      </c>
      <c r="D253" s="11">
        <v>2015</v>
      </c>
      <c r="E253" s="11" t="s">
        <v>5318</v>
      </c>
      <c r="F253" s="11">
        <v>21</v>
      </c>
      <c r="G253" s="11">
        <v>43</v>
      </c>
      <c r="H253" s="11" t="s">
        <v>6657</v>
      </c>
      <c r="I253" s="11" t="s">
        <v>6516</v>
      </c>
      <c r="J253" s="11" t="s">
        <v>7308</v>
      </c>
      <c r="K253" s="11" t="s">
        <v>894</v>
      </c>
      <c r="L253" s="11" t="s">
        <v>5609</v>
      </c>
      <c r="M253" s="11">
        <v>0</v>
      </c>
      <c r="N253" s="9" t="s">
        <v>5044</v>
      </c>
      <c r="O253" s="9" t="s">
        <v>5044</v>
      </c>
      <c r="P253" s="11">
        <v>0</v>
      </c>
      <c r="Q253" s="11">
        <v>0</v>
      </c>
      <c r="R253" s="11">
        <v>0</v>
      </c>
      <c r="S253" s="11">
        <v>1</v>
      </c>
      <c r="T253" s="11">
        <v>1</v>
      </c>
      <c r="U253" s="11">
        <v>35</v>
      </c>
      <c r="V253" s="11">
        <v>0</v>
      </c>
      <c r="W253" s="11">
        <v>1</v>
      </c>
      <c r="X253" s="11">
        <v>0</v>
      </c>
      <c r="Y253" s="11">
        <v>0</v>
      </c>
      <c r="Z253" s="11">
        <v>0</v>
      </c>
      <c r="AA253" s="11">
        <v>0</v>
      </c>
      <c r="AB253" s="11">
        <v>1</v>
      </c>
      <c r="AC253" s="11">
        <v>1</v>
      </c>
      <c r="AD253" s="11" t="s">
        <v>5044</v>
      </c>
      <c r="AE253" s="11" t="s">
        <v>5044</v>
      </c>
      <c r="AF253" s="11" t="s">
        <v>5044</v>
      </c>
      <c r="AG253" s="11">
        <v>2</v>
      </c>
      <c r="AH253" s="11">
        <v>3</v>
      </c>
      <c r="AI253" s="11">
        <v>0</v>
      </c>
      <c r="AJ253" s="11" t="s">
        <v>5044</v>
      </c>
      <c r="AK253" s="11" t="s">
        <v>5610</v>
      </c>
      <c r="AL253" s="11" t="s">
        <v>5044</v>
      </c>
      <c r="AM253" s="11">
        <v>0</v>
      </c>
      <c r="AN253" s="11" t="s">
        <v>5105</v>
      </c>
      <c r="AO253" s="11">
        <v>3</v>
      </c>
      <c r="AP253" s="11" t="s">
        <v>5318</v>
      </c>
      <c r="AQ253" s="11" t="s">
        <v>5318</v>
      </c>
    </row>
    <row r="254" spans="1:43" ht="63" customHeight="1" x14ac:dyDescent="0.2">
      <c r="A254" s="10">
        <v>3254</v>
      </c>
      <c r="B254" s="11" t="s">
        <v>7309</v>
      </c>
      <c r="C254" s="11" t="s">
        <v>895</v>
      </c>
      <c r="D254" s="11">
        <v>2013</v>
      </c>
      <c r="E254" s="11" t="s">
        <v>5318</v>
      </c>
      <c r="F254" s="11">
        <v>112</v>
      </c>
      <c r="G254" s="11">
        <v>3</v>
      </c>
      <c r="H254" s="11" t="s">
        <v>7103</v>
      </c>
      <c r="I254" s="11" t="s">
        <v>6516</v>
      </c>
      <c r="J254" s="11" t="s">
        <v>7310</v>
      </c>
      <c r="K254" s="11" t="s">
        <v>896</v>
      </c>
      <c r="L254" s="11" t="s">
        <v>5044</v>
      </c>
      <c r="M254" s="11">
        <v>0</v>
      </c>
      <c r="N254" s="9" t="s">
        <v>5044</v>
      </c>
      <c r="O254" s="9" t="s">
        <v>5044</v>
      </c>
      <c r="P254" s="11">
        <v>0</v>
      </c>
      <c r="Q254" s="11">
        <v>0</v>
      </c>
      <c r="R254" s="11">
        <v>0</v>
      </c>
      <c r="S254" s="11">
        <v>3</v>
      </c>
      <c r="T254" s="11">
        <v>4</v>
      </c>
      <c r="U254" s="11">
        <v>70</v>
      </c>
      <c r="V254" s="11">
        <v>0</v>
      </c>
      <c r="W254" s="11">
        <v>1</v>
      </c>
      <c r="X254" s="11">
        <v>0</v>
      </c>
      <c r="Y254" s="11">
        <v>0</v>
      </c>
      <c r="Z254" s="11">
        <v>0</v>
      </c>
      <c r="AA254" s="11">
        <v>0</v>
      </c>
      <c r="AB254" s="11">
        <v>1</v>
      </c>
      <c r="AC254" s="11">
        <v>1</v>
      </c>
      <c r="AD254" s="11" t="s">
        <v>5044</v>
      </c>
      <c r="AE254" s="11" t="s">
        <v>5044</v>
      </c>
      <c r="AF254" s="11" t="s">
        <v>5044</v>
      </c>
      <c r="AG254" s="11">
        <v>2</v>
      </c>
      <c r="AH254" s="11">
        <v>3</v>
      </c>
      <c r="AI254" s="11">
        <v>0</v>
      </c>
      <c r="AJ254" s="11" t="s">
        <v>5044</v>
      </c>
      <c r="AK254" s="11" t="s">
        <v>5318</v>
      </c>
      <c r="AL254" s="11">
        <v>1</v>
      </c>
      <c r="AM254" s="11">
        <v>0</v>
      </c>
      <c r="AN254" s="11" t="s">
        <v>5318</v>
      </c>
      <c r="AO254" s="11">
        <v>3</v>
      </c>
      <c r="AP254" s="11" t="s">
        <v>5318</v>
      </c>
      <c r="AQ254" s="11" t="s">
        <v>5318</v>
      </c>
    </row>
    <row r="255" spans="1:43" ht="63" customHeight="1" x14ac:dyDescent="0.2">
      <c r="A255" s="10">
        <v>3258</v>
      </c>
      <c r="B255" s="11" t="s">
        <v>7313</v>
      </c>
      <c r="C255" s="11" t="s">
        <v>899</v>
      </c>
      <c r="D255" s="11">
        <v>2019</v>
      </c>
      <c r="E255" s="11" t="s">
        <v>5318</v>
      </c>
      <c r="F255" s="11">
        <v>270</v>
      </c>
      <c r="G255" s="11">
        <v>5</v>
      </c>
      <c r="H255" s="11" t="s">
        <v>6533</v>
      </c>
      <c r="I255" s="11" t="s">
        <v>6516</v>
      </c>
      <c r="J255" s="11" t="s">
        <v>7314</v>
      </c>
      <c r="K255" s="11" t="s">
        <v>901</v>
      </c>
      <c r="L255" s="16" t="s">
        <v>5612</v>
      </c>
      <c r="M255" s="11">
        <v>0</v>
      </c>
      <c r="N255" s="9" t="s">
        <v>5044</v>
      </c>
      <c r="O255" s="9" t="s">
        <v>5044</v>
      </c>
      <c r="P255" s="11">
        <v>0</v>
      </c>
      <c r="Q255" s="11">
        <v>0</v>
      </c>
      <c r="R255" s="11">
        <v>0</v>
      </c>
      <c r="S255" s="11">
        <v>1</v>
      </c>
      <c r="T255" s="11">
        <v>1</v>
      </c>
      <c r="U255" s="11">
        <v>176</v>
      </c>
      <c r="V255" s="11">
        <v>0</v>
      </c>
      <c r="W255" s="11">
        <v>1</v>
      </c>
      <c r="X255" s="11">
        <v>0</v>
      </c>
      <c r="Y255" s="11">
        <v>0</v>
      </c>
      <c r="Z255" s="11">
        <v>1</v>
      </c>
      <c r="AA255" s="11">
        <v>0</v>
      </c>
      <c r="AB255" s="11">
        <v>1</v>
      </c>
      <c r="AC255" s="11">
        <v>1</v>
      </c>
      <c r="AD255" s="11" t="s">
        <v>5044</v>
      </c>
      <c r="AE255" s="11" t="s">
        <v>5044</v>
      </c>
      <c r="AF255" s="11" t="s">
        <v>5044</v>
      </c>
      <c r="AG255" s="11">
        <v>2</v>
      </c>
      <c r="AH255" s="11">
        <v>2</v>
      </c>
      <c r="AI255" s="11">
        <v>2</v>
      </c>
      <c r="AJ255" s="11">
        <v>0</v>
      </c>
      <c r="AK255" s="11" t="s">
        <v>5318</v>
      </c>
      <c r="AL255" s="11">
        <v>0</v>
      </c>
      <c r="AM255" s="11">
        <v>0</v>
      </c>
      <c r="AN255" s="11" t="s">
        <v>5318</v>
      </c>
      <c r="AO255" s="11">
        <v>2</v>
      </c>
      <c r="AP255" s="11" t="s">
        <v>5318</v>
      </c>
      <c r="AQ255" s="11" t="s">
        <v>5318</v>
      </c>
    </row>
    <row r="256" spans="1:43" ht="63" customHeight="1" x14ac:dyDescent="0.2">
      <c r="A256" s="10">
        <v>3262</v>
      </c>
      <c r="B256" s="11" t="s">
        <v>7317</v>
      </c>
      <c r="C256" s="11" t="s">
        <v>904</v>
      </c>
      <c r="D256" s="11">
        <v>2019</v>
      </c>
      <c r="E256" s="11" t="s">
        <v>5318</v>
      </c>
      <c r="F256" s="11">
        <v>86</v>
      </c>
      <c r="G256" s="11">
        <v>1</v>
      </c>
      <c r="H256" s="11" t="s">
        <v>7318</v>
      </c>
      <c r="I256" s="11" t="s">
        <v>6516</v>
      </c>
      <c r="J256" s="11" t="s">
        <v>7319</v>
      </c>
      <c r="K256" s="11" t="s">
        <v>905</v>
      </c>
      <c r="L256" s="11" t="s">
        <v>5044</v>
      </c>
      <c r="M256" s="11">
        <v>0</v>
      </c>
      <c r="N256" s="9" t="s">
        <v>5044</v>
      </c>
      <c r="O256" s="9" t="s">
        <v>5044</v>
      </c>
      <c r="P256" s="11">
        <v>0</v>
      </c>
      <c r="Q256" s="11">
        <v>0</v>
      </c>
      <c r="R256" s="11">
        <v>0</v>
      </c>
      <c r="S256" s="11">
        <v>1</v>
      </c>
      <c r="T256" s="11">
        <v>1</v>
      </c>
      <c r="U256" s="11">
        <v>80</v>
      </c>
      <c r="V256" s="11">
        <v>1</v>
      </c>
      <c r="W256" s="11">
        <v>0</v>
      </c>
      <c r="X256" s="11">
        <v>0</v>
      </c>
      <c r="Y256" s="11">
        <v>1</v>
      </c>
      <c r="Z256" s="11">
        <v>0</v>
      </c>
      <c r="AA256" s="11">
        <v>0</v>
      </c>
      <c r="AB256" s="11">
        <v>1</v>
      </c>
      <c r="AC256" s="11">
        <v>1</v>
      </c>
      <c r="AD256" s="11">
        <v>2</v>
      </c>
      <c r="AE256" s="11">
        <v>3</v>
      </c>
      <c r="AF256" s="11">
        <v>0</v>
      </c>
      <c r="AG256" s="11" t="s">
        <v>5044</v>
      </c>
      <c r="AH256" s="11" t="s">
        <v>5044</v>
      </c>
      <c r="AI256" s="11" t="s">
        <v>5044</v>
      </c>
      <c r="AJ256" s="11">
        <v>0</v>
      </c>
      <c r="AK256" s="11">
        <v>1</v>
      </c>
      <c r="AL256" s="11" t="s">
        <v>5044</v>
      </c>
      <c r="AM256" s="11">
        <v>0</v>
      </c>
      <c r="AN256" s="11" t="s">
        <v>5105</v>
      </c>
      <c r="AO256" s="11">
        <v>3</v>
      </c>
      <c r="AP256" s="11" t="s">
        <v>5318</v>
      </c>
      <c r="AQ256" s="11" t="s">
        <v>5318</v>
      </c>
    </row>
    <row r="257" spans="1:43" ht="63" customHeight="1" x14ac:dyDescent="0.2">
      <c r="A257" s="10">
        <v>3282</v>
      </c>
      <c r="B257" s="11" t="s">
        <v>7322</v>
      </c>
      <c r="C257" s="11" t="s">
        <v>908</v>
      </c>
      <c r="D257" s="11">
        <v>2016</v>
      </c>
      <c r="E257" s="11" t="s">
        <v>5318</v>
      </c>
      <c r="F257" s="11">
        <v>31</v>
      </c>
      <c r="G257" s="11">
        <v>8</v>
      </c>
      <c r="H257" s="11" t="s">
        <v>6855</v>
      </c>
      <c r="I257" s="11" t="s">
        <v>6516</v>
      </c>
      <c r="J257" s="11" t="s">
        <v>7323</v>
      </c>
      <c r="K257" s="11" t="s">
        <v>909</v>
      </c>
      <c r="L257" s="11" t="s">
        <v>5044</v>
      </c>
      <c r="M257" s="11">
        <v>0</v>
      </c>
      <c r="N257" s="9" t="s">
        <v>5044</v>
      </c>
      <c r="O257" s="9" t="s">
        <v>5044</v>
      </c>
      <c r="P257" s="11">
        <v>0</v>
      </c>
      <c r="Q257" s="11">
        <v>0</v>
      </c>
      <c r="R257" s="11">
        <v>0</v>
      </c>
      <c r="S257" s="11">
        <v>1</v>
      </c>
      <c r="T257" s="11">
        <v>4</v>
      </c>
      <c r="U257" s="11">
        <v>86</v>
      </c>
      <c r="V257" s="11">
        <v>0</v>
      </c>
      <c r="W257" s="11">
        <v>1</v>
      </c>
      <c r="X257" s="11">
        <v>0</v>
      </c>
      <c r="Y257" s="11">
        <v>0</v>
      </c>
      <c r="Z257" s="11">
        <v>0</v>
      </c>
      <c r="AA257" s="11">
        <v>0</v>
      </c>
      <c r="AB257" s="11">
        <v>1</v>
      </c>
      <c r="AC257" s="11">
        <v>1</v>
      </c>
      <c r="AD257" s="11" t="s">
        <v>5044</v>
      </c>
      <c r="AE257" s="11" t="s">
        <v>5044</v>
      </c>
      <c r="AF257" s="11" t="s">
        <v>5044</v>
      </c>
      <c r="AG257" s="11">
        <v>1</v>
      </c>
      <c r="AH257" s="11">
        <v>0</v>
      </c>
      <c r="AI257" s="11">
        <v>0</v>
      </c>
      <c r="AJ257" s="11" t="s">
        <v>5044</v>
      </c>
      <c r="AK257" s="11" t="s">
        <v>5318</v>
      </c>
      <c r="AL257" s="11">
        <v>1</v>
      </c>
      <c r="AM257" s="11">
        <v>0</v>
      </c>
      <c r="AN257" s="11" t="s">
        <v>5318</v>
      </c>
      <c r="AO257" s="9">
        <v>0</v>
      </c>
      <c r="AP257" s="11" t="s">
        <v>5318</v>
      </c>
      <c r="AQ257" s="11" t="s">
        <v>5318</v>
      </c>
    </row>
    <row r="258" spans="1:43" ht="63" customHeight="1" x14ac:dyDescent="0.2">
      <c r="A258" s="10">
        <v>3289</v>
      </c>
      <c r="B258" s="11" t="s">
        <v>7324</v>
      </c>
      <c r="C258" s="11" t="s">
        <v>910</v>
      </c>
      <c r="D258" s="11">
        <v>2014</v>
      </c>
      <c r="E258" s="11" t="s">
        <v>5318</v>
      </c>
      <c r="F258" s="11">
        <v>18</v>
      </c>
      <c r="G258" s="11">
        <v>10</v>
      </c>
      <c r="H258" s="11" t="s">
        <v>7325</v>
      </c>
      <c r="I258" s="11" t="s">
        <v>6516</v>
      </c>
      <c r="J258" s="11" t="s">
        <v>7326</v>
      </c>
      <c r="K258" s="11" t="s">
        <v>912</v>
      </c>
      <c r="L258" s="11" t="s">
        <v>5044</v>
      </c>
      <c r="M258" s="11">
        <v>0</v>
      </c>
      <c r="N258" s="9" t="s">
        <v>5044</v>
      </c>
      <c r="O258" s="9" t="s">
        <v>5044</v>
      </c>
      <c r="P258" s="11">
        <v>0</v>
      </c>
      <c r="Q258" s="11">
        <v>0</v>
      </c>
      <c r="R258" s="11">
        <v>0</v>
      </c>
      <c r="S258" s="11">
        <v>11</v>
      </c>
      <c r="T258" s="11">
        <v>1</v>
      </c>
      <c r="U258" s="11">
        <v>176</v>
      </c>
      <c r="V258" s="11">
        <v>0</v>
      </c>
      <c r="W258" s="11">
        <v>1</v>
      </c>
      <c r="X258" s="11">
        <v>0</v>
      </c>
      <c r="Y258" s="11">
        <v>0</v>
      </c>
      <c r="Z258" s="11">
        <v>0</v>
      </c>
      <c r="AA258" s="11">
        <v>0</v>
      </c>
      <c r="AB258" s="11">
        <v>1</v>
      </c>
      <c r="AC258" s="11">
        <v>1</v>
      </c>
      <c r="AD258" s="11" t="s">
        <v>5044</v>
      </c>
      <c r="AE258" s="11" t="s">
        <v>5044</v>
      </c>
      <c r="AF258" s="11" t="s">
        <v>5044</v>
      </c>
      <c r="AG258" s="11">
        <v>2</v>
      </c>
      <c r="AH258" s="11">
        <v>2</v>
      </c>
      <c r="AI258" s="11">
        <v>2</v>
      </c>
      <c r="AJ258" s="11" t="s">
        <v>5044</v>
      </c>
      <c r="AK258" s="11" t="s">
        <v>5318</v>
      </c>
      <c r="AL258" s="11">
        <v>0</v>
      </c>
      <c r="AM258" s="11">
        <v>0</v>
      </c>
      <c r="AN258" s="11" t="s">
        <v>5318</v>
      </c>
      <c r="AO258" s="11">
        <v>2</v>
      </c>
      <c r="AP258" s="11" t="s">
        <v>5318</v>
      </c>
      <c r="AQ258" s="11" t="s">
        <v>5318</v>
      </c>
    </row>
    <row r="259" spans="1:43" ht="63" customHeight="1" x14ac:dyDescent="0.2">
      <c r="A259" s="10">
        <v>3295</v>
      </c>
      <c r="B259" s="11" t="s">
        <v>7329</v>
      </c>
      <c r="C259" s="11" t="s">
        <v>915</v>
      </c>
      <c r="D259" s="11">
        <v>2014</v>
      </c>
      <c r="E259" s="11" t="s">
        <v>5318</v>
      </c>
      <c r="F259" s="11">
        <v>66</v>
      </c>
      <c r="G259" s="11">
        <v>3</v>
      </c>
      <c r="H259" s="11" t="s">
        <v>7330</v>
      </c>
      <c r="I259" s="11" t="s">
        <v>6516</v>
      </c>
      <c r="J259" s="11" t="s">
        <v>7331</v>
      </c>
      <c r="K259" s="11" t="s">
        <v>917</v>
      </c>
      <c r="L259" s="11" t="s">
        <v>5044</v>
      </c>
      <c r="M259" s="11">
        <v>0</v>
      </c>
      <c r="N259" s="9" t="s">
        <v>5044</v>
      </c>
      <c r="O259" s="9" t="s">
        <v>5044</v>
      </c>
      <c r="P259" s="11">
        <v>0</v>
      </c>
      <c r="Q259" s="11">
        <v>0</v>
      </c>
      <c r="R259" s="11">
        <v>0</v>
      </c>
      <c r="S259" s="11">
        <v>1</v>
      </c>
      <c r="T259" s="11">
        <v>1</v>
      </c>
      <c r="U259" s="11">
        <v>44</v>
      </c>
      <c r="V259" s="11">
        <v>0</v>
      </c>
      <c r="W259" s="11">
        <v>1</v>
      </c>
      <c r="X259" s="11">
        <v>0</v>
      </c>
      <c r="Y259" s="11">
        <v>0</v>
      </c>
      <c r="Z259" s="11">
        <v>0</v>
      </c>
      <c r="AA259" s="11">
        <v>0</v>
      </c>
      <c r="AB259" s="11">
        <v>1</v>
      </c>
      <c r="AC259" s="11">
        <v>1</v>
      </c>
      <c r="AD259" s="11" t="s">
        <v>5044</v>
      </c>
      <c r="AE259" s="11" t="s">
        <v>5044</v>
      </c>
      <c r="AF259" s="11" t="s">
        <v>5044</v>
      </c>
      <c r="AG259" s="11">
        <v>2</v>
      </c>
      <c r="AH259" s="11">
        <v>3</v>
      </c>
      <c r="AI259" s="11">
        <v>0</v>
      </c>
      <c r="AJ259" s="11" t="s">
        <v>5044</v>
      </c>
      <c r="AK259" s="11">
        <v>1</v>
      </c>
      <c r="AL259" s="11">
        <v>0</v>
      </c>
      <c r="AM259" s="11">
        <v>0</v>
      </c>
      <c r="AN259" s="11" t="s">
        <v>5318</v>
      </c>
      <c r="AO259" s="11">
        <v>3</v>
      </c>
      <c r="AP259" s="11" t="s">
        <v>5318</v>
      </c>
      <c r="AQ259" s="11" t="s">
        <v>5318</v>
      </c>
    </row>
    <row r="260" spans="1:43" ht="63" customHeight="1" x14ac:dyDescent="0.2">
      <c r="A260" s="10">
        <v>3304</v>
      </c>
      <c r="B260" s="11" t="s">
        <v>7332</v>
      </c>
      <c r="C260" s="11" t="s">
        <v>918</v>
      </c>
      <c r="D260" s="11">
        <v>2017</v>
      </c>
      <c r="E260" s="11" t="s">
        <v>5318</v>
      </c>
      <c r="F260" s="11">
        <v>390</v>
      </c>
      <c r="G260" s="11">
        <v>10093</v>
      </c>
      <c r="H260" s="11" t="s">
        <v>6349</v>
      </c>
      <c r="I260" s="11" t="s">
        <v>6516</v>
      </c>
      <c r="J260" s="11" t="s">
        <v>7333</v>
      </c>
      <c r="K260" s="11" t="s">
        <v>919</v>
      </c>
      <c r="L260" s="16" t="s">
        <v>5616</v>
      </c>
      <c r="M260" s="11">
        <v>0</v>
      </c>
      <c r="N260" s="9" t="s">
        <v>5044</v>
      </c>
      <c r="O260" s="9" t="s">
        <v>5044</v>
      </c>
      <c r="P260" s="11">
        <v>0</v>
      </c>
      <c r="Q260" s="11">
        <v>0</v>
      </c>
      <c r="R260" s="11">
        <v>0</v>
      </c>
      <c r="S260" s="11">
        <v>1</v>
      </c>
      <c r="T260" s="11">
        <v>1</v>
      </c>
      <c r="U260" s="11">
        <v>148</v>
      </c>
      <c r="V260" s="11">
        <v>1</v>
      </c>
      <c r="W260" s="11">
        <v>0</v>
      </c>
      <c r="X260" s="11">
        <v>0</v>
      </c>
      <c r="Y260" s="11">
        <v>0</v>
      </c>
      <c r="Z260" s="11">
        <v>0</v>
      </c>
      <c r="AA260" s="11">
        <v>0</v>
      </c>
      <c r="AB260" s="11">
        <v>1</v>
      </c>
      <c r="AC260" s="11">
        <v>1</v>
      </c>
      <c r="AD260" s="11">
        <v>2</v>
      </c>
      <c r="AE260" s="11">
        <v>1</v>
      </c>
      <c r="AF260" s="11">
        <v>2</v>
      </c>
      <c r="AG260" s="11" t="s">
        <v>5044</v>
      </c>
      <c r="AH260" s="11" t="s">
        <v>5044</v>
      </c>
      <c r="AI260" s="11" t="s">
        <v>5044</v>
      </c>
      <c r="AJ260" s="11" t="s">
        <v>5044</v>
      </c>
      <c r="AK260" s="11" t="s">
        <v>5318</v>
      </c>
      <c r="AL260" s="11">
        <v>0</v>
      </c>
      <c r="AM260" s="11">
        <v>0</v>
      </c>
      <c r="AN260" s="11" t="s">
        <v>5318</v>
      </c>
      <c r="AO260" s="11">
        <v>1</v>
      </c>
      <c r="AP260" s="11" t="s">
        <v>5318</v>
      </c>
      <c r="AQ260" s="11" t="s">
        <v>5318</v>
      </c>
    </row>
    <row r="261" spans="1:43" ht="63" customHeight="1" x14ac:dyDescent="0.2">
      <c r="A261" s="10">
        <v>3323</v>
      </c>
      <c r="B261" s="11" t="s">
        <v>7334</v>
      </c>
      <c r="C261" s="11" t="s">
        <v>920</v>
      </c>
      <c r="D261" s="11">
        <v>2013</v>
      </c>
      <c r="E261" s="11" t="s">
        <v>5318</v>
      </c>
      <c r="F261" s="11">
        <v>100</v>
      </c>
      <c r="G261" s="11">
        <v>10</v>
      </c>
      <c r="H261" s="11" t="s">
        <v>6530</v>
      </c>
      <c r="I261" s="11" t="s">
        <v>6516</v>
      </c>
      <c r="J261" s="11" t="s">
        <v>7335</v>
      </c>
      <c r="K261" s="11" t="s">
        <v>921</v>
      </c>
      <c r="L261" s="12" t="s">
        <v>5617</v>
      </c>
      <c r="M261" s="11">
        <v>0</v>
      </c>
      <c r="N261" s="9" t="s">
        <v>5044</v>
      </c>
      <c r="O261" s="9" t="s">
        <v>5044</v>
      </c>
      <c r="P261" s="11">
        <v>0</v>
      </c>
      <c r="Q261" s="11">
        <v>0</v>
      </c>
      <c r="R261" s="11">
        <v>0</v>
      </c>
      <c r="S261" s="11">
        <v>1</v>
      </c>
      <c r="T261" s="11">
        <v>1</v>
      </c>
      <c r="U261" s="11">
        <v>74</v>
      </c>
      <c r="V261" s="11">
        <v>0</v>
      </c>
      <c r="W261" s="11">
        <v>1</v>
      </c>
      <c r="X261" s="11">
        <v>0</v>
      </c>
      <c r="Y261" s="11">
        <v>0</v>
      </c>
      <c r="Z261" s="11">
        <v>0</v>
      </c>
      <c r="AA261" s="11">
        <v>0</v>
      </c>
      <c r="AB261" s="11">
        <v>1</v>
      </c>
      <c r="AC261" s="11">
        <v>1</v>
      </c>
      <c r="AD261" s="11" t="s">
        <v>5044</v>
      </c>
      <c r="AE261" s="11" t="s">
        <v>5044</v>
      </c>
      <c r="AF261" s="11" t="s">
        <v>5044</v>
      </c>
      <c r="AG261" s="11">
        <v>1</v>
      </c>
      <c r="AH261" s="11">
        <v>0</v>
      </c>
      <c r="AI261" s="11">
        <v>0</v>
      </c>
      <c r="AJ261" s="11" t="s">
        <v>5044</v>
      </c>
      <c r="AK261" s="11" t="s">
        <v>5318</v>
      </c>
      <c r="AL261" s="11">
        <v>1</v>
      </c>
      <c r="AM261" s="11">
        <v>0</v>
      </c>
      <c r="AN261" s="11" t="s">
        <v>5318</v>
      </c>
      <c r="AO261" s="9">
        <v>0</v>
      </c>
      <c r="AP261" s="11" t="s">
        <v>5318</v>
      </c>
      <c r="AQ261" s="11" t="s">
        <v>5318</v>
      </c>
    </row>
    <row r="262" spans="1:43" ht="63" customHeight="1" x14ac:dyDescent="0.2">
      <c r="A262" s="10">
        <v>3331</v>
      </c>
      <c r="B262" s="11" t="s">
        <v>7340</v>
      </c>
      <c r="C262" s="11" t="s">
        <v>926</v>
      </c>
      <c r="D262" s="11">
        <v>2021</v>
      </c>
      <c r="E262" s="11" t="s">
        <v>5318</v>
      </c>
      <c r="F262" s="11">
        <v>156</v>
      </c>
      <c r="G262" s="11">
        <v>8</v>
      </c>
      <c r="H262" s="11" t="s">
        <v>6676</v>
      </c>
      <c r="I262" s="11" t="s">
        <v>6516</v>
      </c>
      <c r="J262" s="11" t="s">
        <v>7341</v>
      </c>
      <c r="K262" s="11" t="s">
        <v>927</v>
      </c>
      <c r="L262" s="16" t="s">
        <v>5619</v>
      </c>
      <c r="M262" s="11">
        <v>0</v>
      </c>
      <c r="N262" s="9" t="s">
        <v>5044</v>
      </c>
      <c r="O262" s="9" t="s">
        <v>5044</v>
      </c>
      <c r="P262" s="11">
        <v>0</v>
      </c>
      <c r="Q262" s="11">
        <v>0</v>
      </c>
      <c r="R262" s="11">
        <v>0</v>
      </c>
      <c r="S262" s="11">
        <v>1</v>
      </c>
      <c r="T262" s="11">
        <v>1</v>
      </c>
      <c r="U262" s="11">
        <v>80</v>
      </c>
      <c r="V262" s="11">
        <v>1</v>
      </c>
      <c r="W262" s="11">
        <v>1</v>
      </c>
      <c r="X262" s="11">
        <v>0</v>
      </c>
      <c r="Y262" s="11">
        <v>0</v>
      </c>
      <c r="Z262" s="11">
        <v>0</v>
      </c>
      <c r="AA262" s="11">
        <v>0</v>
      </c>
      <c r="AB262" s="11">
        <v>1</v>
      </c>
      <c r="AC262" s="11">
        <v>1</v>
      </c>
      <c r="AD262" s="11">
        <v>2</v>
      </c>
      <c r="AE262" s="11">
        <v>1</v>
      </c>
      <c r="AF262" s="11">
        <v>2</v>
      </c>
      <c r="AG262" s="11">
        <v>2</v>
      </c>
      <c r="AH262" s="11">
        <v>3</v>
      </c>
      <c r="AI262" s="11">
        <v>0</v>
      </c>
      <c r="AJ262" s="11" t="s">
        <v>5044</v>
      </c>
      <c r="AK262" s="11">
        <v>1</v>
      </c>
      <c r="AL262" s="11">
        <v>0</v>
      </c>
      <c r="AM262" s="11">
        <v>0</v>
      </c>
      <c r="AN262" s="11" t="s">
        <v>5318</v>
      </c>
      <c r="AO262" s="11">
        <v>1</v>
      </c>
      <c r="AP262" s="11" t="s">
        <v>5318</v>
      </c>
      <c r="AQ262" s="11" t="s">
        <v>5318</v>
      </c>
    </row>
    <row r="263" spans="1:43" ht="63" customHeight="1" x14ac:dyDescent="0.2">
      <c r="A263" s="10">
        <v>3337</v>
      </c>
      <c r="B263" s="11" t="s">
        <v>7342</v>
      </c>
      <c r="C263" s="11" t="s">
        <v>928</v>
      </c>
      <c r="D263" s="11">
        <v>2016</v>
      </c>
      <c r="E263" s="11" t="s">
        <v>5318</v>
      </c>
      <c r="F263" s="11">
        <v>264</v>
      </c>
      <c r="G263" s="11">
        <v>5</v>
      </c>
      <c r="H263" s="11" t="s">
        <v>6533</v>
      </c>
      <c r="I263" s="11" t="s">
        <v>6516</v>
      </c>
      <c r="J263" s="11" t="s">
        <v>7343</v>
      </c>
      <c r="K263" s="11" t="s">
        <v>930</v>
      </c>
      <c r="L263" s="16" t="s">
        <v>5620</v>
      </c>
      <c r="M263" s="11">
        <v>0</v>
      </c>
      <c r="N263" s="9" t="s">
        <v>5044</v>
      </c>
      <c r="O263" s="9" t="s">
        <v>5044</v>
      </c>
      <c r="P263" s="11">
        <v>0</v>
      </c>
      <c r="Q263" s="11">
        <v>0</v>
      </c>
      <c r="R263" s="11">
        <v>0</v>
      </c>
      <c r="S263" s="11">
        <v>1</v>
      </c>
      <c r="T263" s="11">
        <v>1</v>
      </c>
      <c r="U263" s="11">
        <v>86</v>
      </c>
      <c r="V263" s="11">
        <v>1</v>
      </c>
      <c r="W263" s="11">
        <v>1</v>
      </c>
      <c r="X263" s="11">
        <v>0</v>
      </c>
      <c r="Y263" s="11">
        <v>0</v>
      </c>
      <c r="Z263" s="11">
        <v>0</v>
      </c>
      <c r="AA263" s="11">
        <v>0</v>
      </c>
      <c r="AB263" s="11">
        <v>1</v>
      </c>
      <c r="AC263" s="11">
        <v>1</v>
      </c>
      <c r="AD263" s="11">
        <v>2</v>
      </c>
      <c r="AE263" s="11">
        <v>3</v>
      </c>
      <c r="AF263" s="11">
        <v>0</v>
      </c>
      <c r="AG263" s="11">
        <v>2</v>
      </c>
      <c r="AH263" s="11">
        <v>3</v>
      </c>
      <c r="AI263" s="11">
        <v>0</v>
      </c>
      <c r="AJ263" s="11" t="s">
        <v>5044</v>
      </c>
      <c r="AK263" s="11">
        <v>1</v>
      </c>
      <c r="AL263" s="11">
        <v>1</v>
      </c>
      <c r="AM263" s="11">
        <v>0</v>
      </c>
      <c r="AN263" s="11" t="s">
        <v>5318</v>
      </c>
      <c r="AO263" s="11">
        <v>3</v>
      </c>
      <c r="AP263" s="11" t="s">
        <v>5318</v>
      </c>
      <c r="AQ263" s="11" t="s">
        <v>5318</v>
      </c>
    </row>
    <row r="264" spans="1:43" ht="63" customHeight="1" x14ac:dyDescent="0.2">
      <c r="A264" s="10">
        <v>3343</v>
      </c>
      <c r="B264" s="11" t="s">
        <v>7344</v>
      </c>
      <c r="C264" s="11" t="s">
        <v>931</v>
      </c>
      <c r="D264" s="11">
        <v>2020</v>
      </c>
      <c r="E264" s="11" t="s">
        <v>5318</v>
      </c>
      <c r="F264" s="11">
        <v>107</v>
      </c>
      <c r="G264" s="11">
        <v>8</v>
      </c>
      <c r="H264" s="11" t="s">
        <v>6530</v>
      </c>
      <c r="I264" s="11" t="s">
        <v>6516</v>
      </c>
      <c r="J264" s="11" t="s">
        <v>7345</v>
      </c>
      <c r="K264" s="11" t="s">
        <v>933</v>
      </c>
      <c r="L264" s="16" t="s">
        <v>5621</v>
      </c>
      <c r="M264" s="11">
        <v>0</v>
      </c>
      <c r="N264" s="9" t="s">
        <v>5044</v>
      </c>
      <c r="O264" s="9" t="s">
        <v>5044</v>
      </c>
      <c r="P264" s="11">
        <v>0</v>
      </c>
      <c r="Q264" s="11">
        <v>0</v>
      </c>
      <c r="R264" s="11">
        <v>0</v>
      </c>
      <c r="S264" s="11">
        <v>1</v>
      </c>
      <c r="T264" s="11">
        <v>1</v>
      </c>
      <c r="U264" s="11">
        <v>138</v>
      </c>
      <c r="V264" s="11">
        <v>0</v>
      </c>
      <c r="W264" s="11">
        <v>1</v>
      </c>
      <c r="X264" s="11">
        <v>0</v>
      </c>
      <c r="Y264" s="11">
        <v>0</v>
      </c>
      <c r="Z264" s="11">
        <v>0</v>
      </c>
      <c r="AA264" s="11">
        <v>0</v>
      </c>
      <c r="AB264" s="11">
        <v>1</v>
      </c>
      <c r="AC264" s="11">
        <v>1</v>
      </c>
      <c r="AD264" s="11" t="s">
        <v>5044</v>
      </c>
      <c r="AE264" s="11" t="s">
        <v>5044</v>
      </c>
      <c r="AF264" s="11" t="s">
        <v>5044</v>
      </c>
      <c r="AG264" s="11">
        <v>1</v>
      </c>
      <c r="AH264" s="11">
        <v>0</v>
      </c>
      <c r="AI264" s="11">
        <v>0</v>
      </c>
      <c r="AJ264" s="11" t="s">
        <v>5044</v>
      </c>
      <c r="AK264" s="11" t="s">
        <v>5318</v>
      </c>
      <c r="AL264" s="11">
        <v>1</v>
      </c>
      <c r="AM264" s="11">
        <v>0</v>
      </c>
      <c r="AN264" s="11" t="s">
        <v>5318</v>
      </c>
      <c r="AO264" s="9">
        <v>0</v>
      </c>
      <c r="AP264" s="11" t="s">
        <v>5318</v>
      </c>
      <c r="AQ264" s="11" t="s">
        <v>5318</v>
      </c>
    </row>
    <row r="265" spans="1:43" ht="63" customHeight="1" x14ac:dyDescent="0.2">
      <c r="A265" s="10">
        <v>3350</v>
      </c>
      <c r="B265" s="11" t="s">
        <v>7348</v>
      </c>
      <c r="C265" s="11" t="s">
        <v>936</v>
      </c>
      <c r="D265" s="11">
        <v>2011</v>
      </c>
      <c r="E265" s="11" t="s">
        <v>5318</v>
      </c>
      <c r="F265" s="11">
        <v>59</v>
      </c>
      <c r="G265" s="11">
        <v>2</v>
      </c>
      <c r="H265" s="11" t="s">
        <v>6515</v>
      </c>
      <c r="I265" s="11" t="s">
        <v>6516</v>
      </c>
      <c r="J265" s="11" t="s">
        <v>7349</v>
      </c>
      <c r="K265" s="11" t="s">
        <v>937</v>
      </c>
      <c r="L265" s="11" t="s">
        <v>5044</v>
      </c>
      <c r="M265" s="11">
        <v>0</v>
      </c>
      <c r="N265" s="9" t="s">
        <v>5044</v>
      </c>
      <c r="O265" s="9" t="s">
        <v>5044</v>
      </c>
      <c r="P265" s="11">
        <v>0</v>
      </c>
      <c r="Q265" s="11">
        <v>0</v>
      </c>
      <c r="R265" s="11">
        <v>0</v>
      </c>
      <c r="S265" s="11">
        <v>3</v>
      </c>
      <c r="T265" s="11">
        <v>1</v>
      </c>
      <c r="U265" s="11">
        <v>200</v>
      </c>
      <c r="V265" s="11">
        <v>0</v>
      </c>
      <c r="W265" s="11">
        <v>1</v>
      </c>
      <c r="X265" s="11">
        <v>0</v>
      </c>
      <c r="Y265" s="11">
        <v>0</v>
      </c>
      <c r="Z265" s="11">
        <v>0</v>
      </c>
      <c r="AA265" s="11">
        <v>0</v>
      </c>
      <c r="AB265" s="11">
        <v>1</v>
      </c>
      <c r="AC265" s="11">
        <v>1</v>
      </c>
      <c r="AD265" s="11" t="s">
        <v>5044</v>
      </c>
      <c r="AE265" s="11" t="s">
        <v>5044</v>
      </c>
      <c r="AF265" s="11" t="s">
        <v>5044</v>
      </c>
      <c r="AG265" s="11">
        <v>1</v>
      </c>
      <c r="AH265" s="11">
        <v>0</v>
      </c>
      <c r="AI265" s="11">
        <v>0</v>
      </c>
      <c r="AJ265" s="11" t="s">
        <v>5044</v>
      </c>
      <c r="AK265" s="11" t="s">
        <v>5318</v>
      </c>
      <c r="AL265" s="11">
        <v>1</v>
      </c>
      <c r="AM265" s="11">
        <v>0</v>
      </c>
      <c r="AN265" s="11" t="s">
        <v>5105</v>
      </c>
      <c r="AO265" s="9">
        <v>0</v>
      </c>
      <c r="AP265" s="11" t="s">
        <v>5318</v>
      </c>
      <c r="AQ265" s="11" t="s">
        <v>5318</v>
      </c>
    </row>
    <row r="266" spans="1:43" ht="63" customHeight="1" x14ac:dyDescent="0.2">
      <c r="A266" s="10">
        <v>3374</v>
      </c>
      <c r="B266" s="22" t="s">
        <v>7350</v>
      </c>
      <c r="C266" s="11" t="s">
        <v>938</v>
      </c>
      <c r="D266" s="11">
        <v>2017</v>
      </c>
      <c r="E266" s="11" t="s">
        <v>5318</v>
      </c>
      <c r="F266" s="11">
        <v>17</v>
      </c>
      <c r="G266" s="11">
        <v>1</v>
      </c>
      <c r="H266" s="11" t="s">
        <v>6547</v>
      </c>
      <c r="I266" s="11" t="s">
        <v>6516</v>
      </c>
      <c r="J266" s="11" t="s">
        <v>7351</v>
      </c>
      <c r="K266" s="11" t="s">
        <v>939</v>
      </c>
      <c r="L266" s="16" t="s">
        <v>5623</v>
      </c>
      <c r="M266" s="11">
        <v>0</v>
      </c>
      <c r="N266" s="9" t="s">
        <v>5044</v>
      </c>
      <c r="O266" s="9" t="s">
        <v>5044</v>
      </c>
      <c r="P266" s="11">
        <v>0</v>
      </c>
      <c r="Q266" s="11">
        <v>0</v>
      </c>
      <c r="R266" s="11">
        <v>0</v>
      </c>
      <c r="S266" s="11">
        <v>1</v>
      </c>
      <c r="T266" s="11">
        <v>1</v>
      </c>
      <c r="U266" s="11">
        <v>355</v>
      </c>
      <c r="V266" s="11">
        <v>0</v>
      </c>
      <c r="W266" s="11">
        <v>1</v>
      </c>
      <c r="X266" s="11">
        <v>0</v>
      </c>
      <c r="Y266" s="11">
        <v>0</v>
      </c>
      <c r="Z266" s="11">
        <v>0</v>
      </c>
      <c r="AA266" s="11">
        <v>0</v>
      </c>
      <c r="AB266" s="11">
        <v>1</v>
      </c>
      <c r="AC266" s="11">
        <v>0</v>
      </c>
      <c r="AD266" s="11" t="s">
        <v>5044</v>
      </c>
      <c r="AE266" s="11" t="s">
        <v>5044</v>
      </c>
      <c r="AF266" s="11" t="s">
        <v>5044</v>
      </c>
      <c r="AG266" s="11">
        <v>0</v>
      </c>
      <c r="AH266" s="11" t="s">
        <v>5044</v>
      </c>
      <c r="AI266" s="11" t="s">
        <v>5044</v>
      </c>
      <c r="AJ266" s="11" t="s">
        <v>5044</v>
      </c>
      <c r="AK266" s="11" t="s">
        <v>5318</v>
      </c>
      <c r="AL266" s="11">
        <v>1</v>
      </c>
      <c r="AM266" s="11">
        <v>0</v>
      </c>
      <c r="AN266" s="11" t="s">
        <v>5318</v>
      </c>
      <c r="AO266" s="11">
        <v>9</v>
      </c>
      <c r="AP266" s="11" t="s">
        <v>5318</v>
      </c>
      <c r="AQ266" s="11" t="s">
        <v>5318</v>
      </c>
    </row>
    <row r="267" spans="1:43" ht="63" customHeight="1" x14ac:dyDescent="0.2">
      <c r="A267" s="10">
        <v>3378</v>
      </c>
      <c r="B267" s="11" t="s">
        <v>7352</v>
      </c>
      <c r="C267" s="11" t="s">
        <v>940</v>
      </c>
      <c r="D267" s="11">
        <v>2022</v>
      </c>
      <c r="E267" s="11" t="s">
        <v>5318</v>
      </c>
      <c r="F267" s="11">
        <v>157</v>
      </c>
      <c r="G267" s="11">
        <v>4</v>
      </c>
      <c r="H267" s="11" t="s">
        <v>6676</v>
      </c>
      <c r="I267" s="11" t="s">
        <v>6516</v>
      </c>
      <c r="J267" s="11" t="s">
        <v>7353</v>
      </c>
      <c r="K267" s="11" t="s">
        <v>942</v>
      </c>
      <c r="L267" s="16" t="s">
        <v>5624</v>
      </c>
      <c r="M267" s="11">
        <v>0</v>
      </c>
      <c r="N267" s="9" t="s">
        <v>5044</v>
      </c>
      <c r="O267" s="9" t="s">
        <v>5044</v>
      </c>
      <c r="P267" s="11">
        <v>0</v>
      </c>
      <c r="Q267" s="11">
        <v>0</v>
      </c>
      <c r="R267" s="11">
        <v>0</v>
      </c>
      <c r="S267" s="11">
        <v>1</v>
      </c>
      <c r="T267" s="11">
        <v>1</v>
      </c>
      <c r="U267" s="11">
        <v>253</v>
      </c>
      <c r="V267" s="11">
        <v>0</v>
      </c>
      <c r="W267" s="11">
        <v>1</v>
      </c>
      <c r="X267" s="11">
        <v>0</v>
      </c>
      <c r="Y267" s="11">
        <v>0</v>
      </c>
      <c r="Z267" s="11">
        <v>1</v>
      </c>
      <c r="AA267" s="11">
        <v>0</v>
      </c>
      <c r="AB267" s="11">
        <v>1</v>
      </c>
      <c r="AC267" s="11">
        <v>1</v>
      </c>
      <c r="AD267" s="11" t="s">
        <v>5044</v>
      </c>
      <c r="AE267" s="11" t="s">
        <v>5044</v>
      </c>
      <c r="AF267" s="11" t="s">
        <v>5044</v>
      </c>
      <c r="AG267" s="11">
        <v>0</v>
      </c>
      <c r="AH267" s="11" t="s">
        <v>5044</v>
      </c>
      <c r="AI267" s="11" t="s">
        <v>5044</v>
      </c>
      <c r="AJ267" s="11">
        <v>0</v>
      </c>
      <c r="AK267" s="11" t="s">
        <v>5318</v>
      </c>
      <c r="AL267" s="11">
        <v>1</v>
      </c>
      <c r="AM267" s="11">
        <v>0</v>
      </c>
      <c r="AN267" s="11" t="s">
        <v>5318</v>
      </c>
      <c r="AO267" s="11">
        <v>9</v>
      </c>
      <c r="AP267" s="11" t="s">
        <v>5318</v>
      </c>
      <c r="AQ267" s="11" t="s">
        <v>5318</v>
      </c>
    </row>
    <row r="268" spans="1:43" ht="63" customHeight="1" x14ac:dyDescent="0.2">
      <c r="A268" s="10">
        <v>3390</v>
      </c>
      <c r="B268" s="11" t="s">
        <v>7354</v>
      </c>
      <c r="C268" s="11" t="s">
        <v>943</v>
      </c>
      <c r="D268" s="11">
        <v>2020</v>
      </c>
      <c r="E268" s="11" t="s">
        <v>5318</v>
      </c>
      <c r="F268" s="11">
        <v>63</v>
      </c>
      <c r="G268" s="11">
        <v>5</v>
      </c>
      <c r="H268" s="11" t="s">
        <v>6598</v>
      </c>
      <c r="I268" s="11" t="s">
        <v>6516</v>
      </c>
      <c r="J268" s="11" t="s">
        <v>7355</v>
      </c>
      <c r="K268" s="11" t="s">
        <v>945</v>
      </c>
      <c r="L268" s="16" t="s">
        <v>5625</v>
      </c>
      <c r="M268" s="11">
        <v>0</v>
      </c>
      <c r="N268" s="9" t="s">
        <v>5044</v>
      </c>
      <c r="O268" s="9" t="s">
        <v>5044</v>
      </c>
      <c r="P268" s="11">
        <v>0</v>
      </c>
      <c r="Q268" s="11">
        <v>0</v>
      </c>
      <c r="R268" s="11">
        <v>0</v>
      </c>
      <c r="S268" s="11">
        <v>1</v>
      </c>
      <c r="T268" s="11">
        <v>1</v>
      </c>
      <c r="U268" s="11">
        <v>102</v>
      </c>
      <c r="V268" s="11">
        <v>0</v>
      </c>
      <c r="W268" s="11">
        <v>1</v>
      </c>
      <c r="X268" s="11">
        <v>0</v>
      </c>
      <c r="Y268" s="11">
        <v>0</v>
      </c>
      <c r="Z268" s="11">
        <v>0</v>
      </c>
      <c r="AA268" s="11">
        <v>0</v>
      </c>
      <c r="AB268" s="11">
        <v>1</v>
      </c>
      <c r="AC268" s="11">
        <v>1</v>
      </c>
      <c r="AD268" s="11" t="s">
        <v>5044</v>
      </c>
      <c r="AE268" s="11" t="s">
        <v>5044</v>
      </c>
      <c r="AF268" s="11" t="s">
        <v>5044</v>
      </c>
      <c r="AG268" s="11">
        <v>1</v>
      </c>
      <c r="AH268" s="11">
        <v>0</v>
      </c>
      <c r="AI268" s="11">
        <v>0</v>
      </c>
      <c r="AJ268" s="11" t="s">
        <v>5044</v>
      </c>
      <c r="AK268" s="11" t="s">
        <v>5318</v>
      </c>
      <c r="AL268" s="11">
        <v>0</v>
      </c>
      <c r="AM268" s="11">
        <v>0</v>
      </c>
      <c r="AN268" s="11" t="s">
        <v>5318</v>
      </c>
      <c r="AO268" s="9">
        <v>0</v>
      </c>
      <c r="AP268" s="11" t="s">
        <v>5318</v>
      </c>
      <c r="AQ268" s="11" t="s">
        <v>5318</v>
      </c>
    </row>
    <row r="269" spans="1:43" ht="63" customHeight="1" x14ac:dyDescent="0.2">
      <c r="A269" s="10">
        <v>3399</v>
      </c>
      <c r="B269" s="11" t="s">
        <v>7356</v>
      </c>
      <c r="C269" s="11" t="s">
        <v>946</v>
      </c>
      <c r="D269" s="11">
        <v>2015</v>
      </c>
      <c r="E269" s="11" t="s">
        <v>5318</v>
      </c>
      <c r="F269" s="11">
        <v>26</v>
      </c>
      <c r="G269" s="11">
        <v>8</v>
      </c>
      <c r="H269" s="11" t="s">
        <v>6568</v>
      </c>
      <c r="I269" s="11" t="s">
        <v>6516</v>
      </c>
      <c r="J269" s="11" t="s">
        <v>7357</v>
      </c>
      <c r="K269" s="11" t="s">
        <v>947</v>
      </c>
      <c r="L269" s="11" t="s">
        <v>5044</v>
      </c>
      <c r="M269" s="11">
        <v>0</v>
      </c>
      <c r="N269" s="9" t="s">
        <v>5044</v>
      </c>
      <c r="O269" s="9" t="s">
        <v>5044</v>
      </c>
      <c r="P269" s="11">
        <v>0</v>
      </c>
      <c r="Q269" s="11">
        <v>0</v>
      </c>
      <c r="R269" s="11">
        <v>0</v>
      </c>
      <c r="S269" s="11">
        <v>5</v>
      </c>
      <c r="T269" s="11">
        <v>3</v>
      </c>
      <c r="U269" s="11">
        <v>124</v>
      </c>
      <c r="V269" s="11">
        <v>0</v>
      </c>
      <c r="W269" s="11">
        <v>1</v>
      </c>
      <c r="X269" s="11">
        <v>0</v>
      </c>
      <c r="Y269" s="11">
        <v>0</v>
      </c>
      <c r="Z269" s="11">
        <v>0</v>
      </c>
      <c r="AA269" s="11">
        <v>0</v>
      </c>
      <c r="AB269" s="11">
        <v>1</v>
      </c>
      <c r="AC269" s="11">
        <v>1</v>
      </c>
      <c r="AD269" s="11" t="s">
        <v>5044</v>
      </c>
      <c r="AE269" s="11" t="s">
        <v>5044</v>
      </c>
      <c r="AF269" s="11" t="s">
        <v>5044</v>
      </c>
      <c r="AG269" s="11">
        <v>1</v>
      </c>
      <c r="AH269" s="11">
        <v>0</v>
      </c>
      <c r="AI269" s="11">
        <v>0</v>
      </c>
      <c r="AJ269" s="11" t="s">
        <v>5044</v>
      </c>
      <c r="AK269" s="11" t="s">
        <v>5318</v>
      </c>
      <c r="AL269" s="11">
        <v>1</v>
      </c>
      <c r="AM269" s="11">
        <v>0</v>
      </c>
      <c r="AN269" s="11" t="s">
        <v>5318</v>
      </c>
      <c r="AO269" s="9">
        <v>0</v>
      </c>
      <c r="AP269" s="11" t="s">
        <v>5318</v>
      </c>
      <c r="AQ269" s="11" t="s">
        <v>5318</v>
      </c>
    </row>
    <row r="270" spans="1:43" ht="63" customHeight="1" x14ac:dyDescent="0.2">
      <c r="A270" s="10">
        <v>3410</v>
      </c>
      <c r="B270" s="11" t="s">
        <v>7358</v>
      </c>
      <c r="C270" s="11" t="s">
        <v>948</v>
      </c>
      <c r="D270" s="11">
        <v>2018</v>
      </c>
      <c r="E270" s="11" t="s">
        <v>5318</v>
      </c>
      <c r="F270" s="11">
        <v>33</v>
      </c>
      <c r="G270" s="11">
        <v>1</v>
      </c>
      <c r="H270" s="11" t="s">
        <v>7359</v>
      </c>
      <c r="I270" s="11" t="s">
        <v>6516</v>
      </c>
      <c r="J270" s="11" t="s">
        <v>7360</v>
      </c>
      <c r="K270" s="11" t="s">
        <v>949</v>
      </c>
      <c r="L270" s="16" t="s">
        <v>5626</v>
      </c>
      <c r="M270" s="11">
        <v>0</v>
      </c>
      <c r="N270" s="9" t="s">
        <v>5044</v>
      </c>
      <c r="O270" s="9" t="s">
        <v>5044</v>
      </c>
      <c r="P270" s="11">
        <v>0</v>
      </c>
      <c r="Q270" s="11">
        <v>0</v>
      </c>
      <c r="R270" s="11">
        <v>0</v>
      </c>
      <c r="S270" s="11">
        <v>5</v>
      </c>
      <c r="T270" s="11">
        <v>1</v>
      </c>
      <c r="U270" s="11">
        <v>60</v>
      </c>
      <c r="V270" s="11">
        <v>0</v>
      </c>
      <c r="W270" s="11">
        <v>1</v>
      </c>
      <c r="X270" s="11">
        <v>0</v>
      </c>
      <c r="Y270" s="11">
        <v>0</v>
      </c>
      <c r="Z270" s="11">
        <v>0</v>
      </c>
      <c r="AA270" s="11">
        <v>0</v>
      </c>
      <c r="AB270" s="11">
        <v>1</v>
      </c>
      <c r="AC270" s="11">
        <v>1</v>
      </c>
      <c r="AD270" s="11" t="s">
        <v>5044</v>
      </c>
      <c r="AE270" s="11" t="s">
        <v>5044</v>
      </c>
      <c r="AF270" s="11" t="s">
        <v>5044</v>
      </c>
      <c r="AG270" s="11">
        <v>2</v>
      </c>
      <c r="AH270" s="11">
        <v>3</v>
      </c>
      <c r="AI270" s="11">
        <v>0</v>
      </c>
      <c r="AJ270" s="11" t="s">
        <v>5044</v>
      </c>
      <c r="AK270" s="11">
        <v>1</v>
      </c>
      <c r="AL270" s="11">
        <v>0</v>
      </c>
      <c r="AM270" s="11">
        <v>0</v>
      </c>
      <c r="AN270" s="11" t="s">
        <v>5318</v>
      </c>
      <c r="AO270" s="11">
        <v>3</v>
      </c>
      <c r="AP270" s="11" t="s">
        <v>5318</v>
      </c>
      <c r="AQ270" s="11" t="s">
        <v>5318</v>
      </c>
    </row>
    <row r="271" spans="1:43" ht="63" customHeight="1" x14ac:dyDescent="0.2">
      <c r="A271" s="10">
        <v>3420</v>
      </c>
      <c r="B271" s="11" t="s">
        <v>7361</v>
      </c>
      <c r="C271" s="11" t="s">
        <v>950</v>
      </c>
      <c r="D271" s="11">
        <v>2021</v>
      </c>
      <c r="E271" s="11" t="s">
        <v>5318</v>
      </c>
      <c r="F271" s="11">
        <v>39</v>
      </c>
      <c r="G271" s="11">
        <v>7</v>
      </c>
      <c r="H271" s="11" t="s">
        <v>6582</v>
      </c>
      <c r="I271" s="11" t="s">
        <v>6516</v>
      </c>
      <c r="J271" s="11" t="s">
        <v>7362</v>
      </c>
      <c r="K271" s="11" t="s">
        <v>951</v>
      </c>
      <c r="L271" s="12" t="s">
        <v>5627</v>
      </c>
      <c r="M271" s="11">
        <v>0</v>
      </c>
      <c r="N271" s="9" t="s">
        <v>5044</v>
      </c>
      <c r="O271" s="9" t="s">
        <v>5044</v>
      </c>
      <c r="P271" s="11">
        <v>0</v>
      </c>
      <c r="Q271" s="11">
        <v>0</v>
      </c>
      <c r="R271" s="11">
        <v>0</v>
      </c>
      <c r="S271" s="11">
        <v>3</v>
      </c>
      <c r="T271" s="11">
        <v>2</v>
      </c>
      <c r="U271" s="11">
        <v>201</v>
      </c>
      <c r="V271" s="11">
        <v>0</v>
      </c>
      <c r="W271" s="11">
        <v>1</v>
      </c>
      <c r="X271" s="11">
        <v>0</v>
      </c>
      <c r="Y271" s="11">
        <v>0</v>
      </c>
      <c r="Z271" s="11">
        <v>0</v>
      </c>
      <c r="AA271" s="11">
        <v>0</v>
      </c>
      <c r="AB271" s="11">
        <v>1</v>
      </c>
      <c r="AC271" s="11">
        <v>1</v>
      </c>
      <c r="AD271" s="11" t="s">
        <v>5044</v>
      </c>
      <c r="AE271" s="11" t="s">
        <v>5044</v>
      </c>
      <c r="AF271" s="11" t="s">
        <v>5044</v>
      </c>
      <c r="AG271" s="11">
        <v>1</v>
      </c>
      <c r="AH271" s="11">
        <v>0</v>
      </c>
      <c r="AI271" s="11">
        <v>0</v>
      </c>
      <c r="AJ271" s="11" t="s">
        <v>5044</v>
      </c>
      <c r="AK271" s="11" t="s">
        <v>5318</v>
      </c>
      <c r="AL271" s="11">
        <v>0</v>
      </c>
      <c r="AM271" s="11">
        <v>0</v>
      </c>
      <c r="AN271" s="11" t="s">
        <v>5318</v>
      </c>
      <c r="AO271" s="9">
        <v>0</v>
      </c>
      <c r="AP271" s="11" t="s">
        <v>5318</v>
      </c>
      <c r="AQ271" s="11" t="s">
        <v>5318</v>
      </c>
    </row>
    <row r="272" spans="1:43" ht="63" customHeight="1" x14ac:dyDescent="0.2">
      <c r="A272" s="10">
        <v>3422</v>
      </c>
      <c r="B272" s="11" t="s">
        <v>7363</v>
      </c>
      <c r="C272" s="11" t="s">
        <v>952</v>
      </c>
      <c r="D272" s="11">
        <v>2013</v>
      </c>
      <c r="E272" s="11" t="s">
        <v>5318</v>
      </c>
      <c r="F272" s="11">
        <v>258</v>
      </c>
      <c r="G272" s="11">
        <v>1</v>
      </c>
      <c r="H272" s="11" t="s">
        <v>6533</v>
      </c>
      <c r="I272" s="11" t="s">
        <v>6516</v>
      </c>
      <c r="J272" s="11" t="s">
        <v>7364</v>
      </c>
      <c r="K272" s="11" t="s">
        <v>954</v>
      </c>
      <c r="L272" s="16" t="s">
        <v>5628</v>
      </c>
      <c r="M272" s="11">
        <v>0</v>
      </c>
      <c r="N272" s="9" t="s">
        <v>5044</v>
      </c>
      <c r="O272" s="9" t="s">
        <v>5044</v>
      </c>
      <c r="P272" s="11">
        <v>0</v>
      </c>
      <c r="Q272" s="11">
        <v>0</v>
      </c>
      <c r="R272" s="11">
        <v>0</v>
      </c>
      <c r="S272" s="11">
        <v>1</v>
      </c>
      <c r="T272" s="11">
        <v>1</v>
      </c>
      <c r="U272" s="11">
        <v>157</v>
      </c>
      <c r="V272" s="11">
        <v>0</v>
      </c>
      <c r="W272" s="11">
        <v>1</v>
      </c>
      <c r="X272" s="11">
        <v>0</v>
      </c>
      <c r="Y272" s="11">
        <v>0</v>
      </c>
      <c r="Z272" s="11">
        <v>0</v>
      </c>
      <c r="AA272" s="11">
        <v>0</v>
      </c>
      <c r="AB272" s="11">
        <v>1</v>
      </c>
      <c r="AC272" s="11">
        <v>1</v>
      </c>
      <c r="AD272" s="11" t="s">
        <v>5044</v>
      </c>
      <c r="AE272" s="11" t="s">
        <v>5044</v>
      </c>
      <c r="AF272" s="11" t="s">
        <v>5044</v>
      </c>
      <c r="AG272" s="11">
        <v>1</v>
      </c>
      <c r="AH272" s="11">
        <v>0</v>
      </c>
      <c r="AI272" s="11">
        <v>0</v>
      </c>
      <c r="AJ272" s="11" t="s">
        <v>5044</v>
      </c>
      <c r="AK272" s="11" t="s">
        <v>5318</v>
      </c>
      <c r="AL272" s="11">
        <v>0</v>
      </c>
      <c r="AM272" s="11">
        <v>0</v>
      </c>
      <c r="AN272" s="11" t="s">
        <v>5318</v>
      </c>
      <c r="AO272" s="9">
        <v>0</v>
      </c>
      <c r="AP272" s="11" t="s">
        <v>5318</v>
      </c>
      <c r="AQ272" s="11" t="s">
        <v>5318</v>
      </c>
    </row>
    <row r="273" spans="1:43" ht="63" customHeight="1" x14ac:dyDescent="0.2">
      <c r="A273" s="10">
        <v>3435</v>
      </c>
      <c r="B273" s="11" t="s">
        <v>7368</v>
      </c>
      <c r="C273" s="11" t="s">
        <v>957</v>
      </c>
      <c r="D273" s="11">
        <v>2011</v>
      </c>
      <c r="E273" s="11" t="s">
        <v>5318</v>
      </c>
      <c r="F273" s="11">
        <v>185</v>
      </c>
      <c r="G273" s="11">
        <v>6</v>
      </c>
      <c r="H273" s="11" t="s">
        <v>7152</v>
      </c>
      <c r="I273" s="11" t="s">
        <v>6516</v>
      </c>
      <c r="J273" s="11" t="s">
        <v>7369</v>
      </c>
      <c r="K273" s="11" t="s">
        <v>958</v>
      </c>
      <c r="L273" s="12">
        <v>65812524</v>
      </c>
      <c r="M273" s="11">
        <v>0</v>
      </c>
      <c r="N273" s="9" t="s">
        <v>5044</v>
      </c>
      <c r="O273" s="9" t="s">
        <v>5044</v>
      </c>
      <c r="P273" s="11">
        <v>0</v>
      </c>
      <c r="Q273" s="11">
        <v>0</v>
      </c>
      <c r="R273" s="11">
        <v>0</v>
      </c>
      <c r="S273" s="11">
        <v>3</v>
      </c>
      <c r="T273" s="11">
        <v>2</v>
      </c>
      <c r="U273" s="11">
        <v>150</v>
      </c>
      <c r="V273" s="11">
        <v>0</v>
      </c>
      <c r="W273" s="11">
        <v>1</v>
      </c>
      <c r="X273" s="11">
        <v>0</v>
      </c>
      <c r="Y273" s="11">
        <v>0</v>
      </c>
      <c r="Z273" s="11">
        <v>0</v>
      </c>
      <c r="AA273" s="11">
        <v>0</v>
      </c>
      <c r="AB273" s="11">
        <v>1</v>
      </c>
      <c r="AC273" s="11">
        <v>1</v>
      </c>
      <c r="AD273" s="11" t="s">
        <v>5044</v>
      </c>
      <c r="AE273" s="11" t="s">
        <v>5044</v>
      </c>
      <c r="AF273" s="11" t="s">
        <v>5044</v>
      </c>
      <c r="AG273" s="11">
        <v>1</v>
      </c>
      <c r="AH273" s="11">
        <v>0</v>
      </c>
      <c r="AI273" s="11">
        <v>0</v>
      </c>
      <c r="AJ273" s="11" t="s">
        <v>5044</v>
      </c>
      <c r="AK273" s="11" t="s">
        <v>5318</v>
      </c>
      <c r="AL273" s="11">
        <v>1</v>
      </c>
      <c r="AM273" s="11">
        <v>0</v>
      </c>
      <c r="AN273" s="11" t="s">
        <v>5318</v>
      </c>
      <c r="AO273" s="9">
        <v>0</v>
      </c>
      <c r="AP273" s="11" t="s">
        <v>5318</v>
      </c>
      <c r="AQ273" s="11" t="s">
        <v>5318</v>
      </c>
    </row>
    <row r="274" spans="1:43" ht="63" customHeight="1" x14ac:dyDescent="0.2">
      <c r="A274" s="10">
        <v>3437</v>
      </c>
      <c r="B274" s="11" t="s">
        <v>7370</v>
      </c>
      <c r="C274" s="11" t="s">
        <v>959</v>
      </c>
      <c r="D274" s="11">
        <v>2015</v>
      </c>
      <c r="E274" s="11" t="s">
        <v>5318</v>
      </c>
      <c r="F274" s="11">
        <v>157</v>
      </c>
      <c r="G274" s="11">
        <v>2</v>
      </c>
      <c r="H274" s="11" t="s">
        <v>6553</v>
      </c>
      <c r="I274" s="11" t="s">
        <v>6516</v>
      </c>
      <c r="J274" s="11" t="s">
        <v>7371</v>
      </c>
      <c r="K274" s="11" t="s">
        <v>960</v>
      </c>
      <c r="L274" s="11" t="s">
        <v>5044</v>
      </c>
      <c r="M274" s="11">
        <v>0</v>
      </c>
      <c r="N274" s="9" t="s">
        <v>5044</v>
      </c>
      <c r="O274" s="9" t="s">
        <v>5044</v>
      </c>
      <c r="P274" s="11">
        <v>0</v>
      </c>
      <c r="Q274" s="11">
        <v>0</v>
      </c>
      <c r="R274" s="11">
        <v>0</v>
      </c>
      <c r="S274" s="11">
        <v>9</v>
      </c>
      <c r="T274" s="11">
        <v>1</v>
      </c>
      <c r="U274" s="11">
        <v>121</v>
      </c>
      <c r="V274" s="11">
        <v>0</v>
      </c>
      <c r="W274" s="11">
        <v>1</v>
      </c>
      <c r="X274" s="11">
        <v>0</v>
      </c>
      <c r="Y274" s="11">
        <v>0</v>
      </c>
      <c r="Z274" s="11">
        <v>0</v>
      </c>
      <c r="AA274" s="11">
        <v>0</v>
      </c>
      <c r="AB274" s="11">
        <v>1</v>
      </c>
      <c r="AC274" s="11">
        <v>1</v>
      </c>
      <c r="AD274" s="11" t="s">
        <v>5044</v>
      </c>
      <c r="AE274" s="11" t="s">
        <v>5044</v>
      </c>
      <c r="AF274" s="11" t="s">
        <v>5044</v>
      </c>
      <c r="AG274" s="11">
        <v>2</v>
      </c>
      <c r="AH274" s="11">
        <v>2</v>
      </c>
      <c r="AI274" s="11">
        <v>2</v>
      </c>
      <c r="AJ274" s="11" t="s">
        <v>5044</v>
      </c>
      <c r="AK274" s="11" t="s">
        <v>5318</v>
      </c>
      <c r="AL274" s="11">
        <v>0</v>
      </c>
      <c r="AM274" s="11">
        <v>0</v>
      </c>
      <c r="AN274" s="11" t="s">
        <v>5105</v>
      </c>
      <c r="AO274" s="11">
        <v>2</v>
      </c>
      <c r="AP274" s="11" t="s">
        <v>5318</v>
      </c>
      <c r="AQ274" s="11" t="s">
        <v>5318</v>
      </c>
    </row>
    <row r="275" spans="1:43" ht="63" customHeight="1" x14ac:dyDescent="0.2">
      <c r="A275" s="10">
        <v>3448</v>
      </c>
      <c r="B275" s="11" t="s">
        <v>7372</v>
      </c>
      <c r="C275" s="11" t="s">
        <v>961</v>
      </c>
      <c r="D275" s="11">
        <v>2019</v>
      </c>
      <c r="E275" s="11" t="s">
        <v>5318</v>
      </c>
      <c r="F275" s="11">
        <v>33</v>
      </c>
      <c r="G275" s="11">
        <v>12</v>
      </c>
      <c r="H275" s="11" t="s">
        <v>6624</v>
      </c>
      <c r="I275" s="11" t="s">
        <v>6516</v>
      </c>
      <c r="J275" s="11" t="s">
        <v>7373</v>
      </c>
      <c r="K275" s="11" t="s">
        <v>962</v>
      </c>
      <c r="L275" s="16" t="s">
        <v>5630</v>
      </c>
      <c r="M275" s="11">
        <v>0</v>
      </c>
      <c r="N275" s="9" t="s">
        <v>5044</v>
      </c>
      <c r="O275" s="9" t="s">
        <v>5044</v>
      </c>
      <c r="P275" s="11">
        <v>0</v>
      </c>
      <c r="Q275" s="11">
        <v>0</v>
      </c>
      <c r="R275" s="11">
        <v>0</v>
      </c>
      <c r="S275" s="11">
        <v>1</v>
      </c>
      <c r="T275" s="11">
        <v>1</v>
      </c>
      <c r="U275" s="11">
        <v>204</v>
      </c>
      <c r="V275" s="11">
        <v>1</v>
      </c>
      <c r="W275" s="11">
        <v>0</v>
      </c>
      <c r="X275" s="11">
        <v>0</v>
      </c>
      <c r="Y275" s="11">
        <v>0</v>
      </c>
      <c r="Z275" s="11">
        <v>0</v>
      </c>
      <c r="AA275" s="11">
        <v>0</v>
      </c>
      <c r="AB275" s="11">
        <v>1</v>
      </c>
      <c r="AC275" s="11">
        <v>1</v>
      </c>
      <c r="AD275" s="11">
        <v>1</v>
      </c>
      <c r="AE275" s="11">
        <v>0</v>
      </c>
      <c r="AF275" s="11">
        <v>0</v>
      </c>
      <c r="AG275" s="11" t="s">
        <v>5044</v>
      </c>
      <c r="AH275" s="11" t="s">
        <v>5044</v>
      </c>
      <c r="AI275" s="11" t="s">
        <v>5044</v>
      </c>
      <c r="AJ275" s="11" t="s">
        <v>5044</v>
      </c>
      <c r="AK275" s="11" t="s">
        <v>5318</v>
      </c>
      <c r="AL275" s="11">
        <v>1</v>
      </c>
      <c r="AM275" s="11">
        <v>0</v>
      </c>
      <c r="AN275" s="11" t="s">
        <v>5318</v>
      </c>
      <c r="AO275" s="9">
        <v>0</v>
      </c>
      <c r="AP275" s="11" t="s">
        <v>5318</v>
      </c>
      <c r="AQ275" s="11" t="s">
        <v>5318</v>
      </c>
    </row>
    <row r="276" spans="1:43" ht="63" customHeight="1" x14ac:dyDescent="0.2">
      <c r="A276" s="10">
        <v>3458</v>
      </c>
      <c r="B276" s="11" t="s">
        <v>7376</v>
      </c>
      <c r="C276" s="11" t="s">
        <v>965</v>
      </c>
      <c r="D276" s="11">
        <v>2018</v>
      </c>
      <c r="E276" s="11" t="s">
        <v>5318</v>
      </c>
      <c r="F276" s="11">
        <v>36</v>
      </c>
      <c r="G276" s="11">
        <v>6</v>
      </c>
      <c r="H276" s="11" t="s">
        <v>6582</v>
      </c>
      <c r="I276" s="11" t="s">
        <v>6516</v>
      </c>
      <c r="J276" s="11" t="s">
        <v>7377</v>
      </c>
      <c r="K276" s="11" t="s">
        <v>966</v>
      </c>
      <c r="L276" s="16" t="s">
        <v>5632</v>
      </c>
      <c r="M276" s="11">
        <v>0</v>
      </c>
      <c r="N276" s="9" t="s">
        <v>5044</v>
      </c>
      <c r="O276" s="9" t="s">
        <v>5044</v>
      </c>
      <c r="P276" s="11">
        <v>0</v>
      </c>
      <c r="Q276" s="11">
        <v>0</v>
      </c>
      <c r="R276" s="11">
        <v>0</v>
      </c>
      <c r="S276" s="11">
        <v>3</v>
      </c>
      <c r="T276" s="11">
        <v>1</v>
      </c>
      <c r="U276" s="11">
        <v>127</v>
      </c>
      <c r="V276" s="11">
        <v>0</v>
      </c>
      <c r="W276" s="11">
        <v>1</v>
      </c>
      <c r="X276" s="11">
        <v>0</v>
      </c>
      <c r="Y276" s="11">
        <v>0</v>
      </c>
      <c r="Z276" s="11">
        <v>0</v>
      </c>
      <c r="AA276" s="11">
        <v>0</v>
      </c>
      <c r="AB276" s="11">
        <v>1</v>
      </c>
      <c r="AC276" s="11">
        <v>1</v>
      </c>
      <c r="AD276" s="11" t="s">
        <v>5044</v>
      </c>
      <c r="AE276" s="11" t="s">
        <v>5044</v>
      </c>
      <c r="AF276" s="11" t="s">
        <v>5044</v>
      </c>
      <c r="AG276" s="11">
        <v>2</v>
      </c>
      <c r="AH276" s="11">
        <v>1</v>
      </c>
      <c r="AI276" s="11">
        <v>2</v>
      </c>
      <c r="AJ276" s="11" t="s">
        <v>5044</v>
      </c>
      <c r="AK276" s="11" t="s">
        <v>5318</v>
      </c>
      <c r="AL276" s="11">
        <v>1</v>
      </c>
      <c r="AM276" s="11">
        <v>0</v>
      </c>
      <c r="AN276" s="11" t="s">
        <v>5318</v>
      </c>
      <c r="AO276" s="11">
        <v>1</v>
      </c>
      <c r="AP276" s="11" t="s">
        <v>5318</v>
      </c>
      <c r="AQ276" s="11" t="s">
        <v>5318</v>
      </c>
    </row>
    <row r="277" spans="1:43" ht="63" customHeight="1" x14ac:dyDescent="0.2">
      <c r="A277" s="10">
        <v>3466</v>
      </c>
      <c r="B277" s="11" t="s">
        <v>7378</v>
      </c>
      <c r="C277" s="11" t="s">
        <v>967</v>
      </c>
      <c r="D277" s="11">
        <v>2019</v>
      </c>
      <c r="E277" s="11" t="s">
        <v>5318</v>
      </c>
      <c r="F277" s="11">
        <v>201</v>
      </c>
      <c r="G277" s="11">
        <v>3</v>
      </c>
      <c r="H277" s="11" t="s">
        <v>7152</v>
      </c>
      <c r="I277" s="11" t="s">
        <v>6516</v>
      </c>
      <c r="J277" s="11" t="s">
        <v>7379</v>
      </c>
      <c r="K277" s="11" t="s">
        <v>968</v>
      </c>
      <c r="L277" s="12" t="s">
        <v>5633</v>
      </c>
      <c r="M277" s="11">
        <v>0</v>
      </c>
      <c r="N277" s="9" t="s">
        <v>5044</v>
      </c>
      <c r="O277" s="9" t="s">
        <v>5044</v>
      </c>
      <c r="P277" s="11">
        <v>0</v>
      </c>
      <c r="Q277" s="11">
        <v>0</v>
      </c>
      <c r="R277" s="11">
        <v>0</v>
      </c>
      <c r="S277" s="11">
        <v>3</v>
      </c>
      <c r="T277" s="11">
        <v>2</v>
      </c>
      <c r="U277" s="11">
        <v>61</v>
      </c>
      <c r="V277" s="11">
        <v>0</v>
      </c>
      <c r="W277" s="11">
        <v>1</v>
      </c>
      <c r="X277" s="11">
        <v>0</v>
      </c>
      <c r="Y277" s="11">
        <v>0</v>
      </c>
      <c r="Z277" s="11">
        <v>0</v>
      </c>
      <c r="AA277" s="11">
        <v>0</v>
      </c>
      <c r="AB277" s="11">
        <v>1</v>
      </c>
      <c r="AC277" s="11">
        <v>1</v>
      </c>
      <c r="AD277" s="11" t="s">
        <v>5044</v>
      </c>
      <c r="AE277" s="11" t="s">
        <v>5044</v>
      </c>
      <c r="AF277" s="11" t="s">
        <v>5044</v>
      </c>
      <c r="AG277" s="11">
        <v>2</v>
      </c>
      <c r="AH277" s="11">
        <v>2</v>
      </c>
      <c r="AI277" s="11">
        <v>2</v>
      </c>
      <c r="AJ277" s="11" t="s">
        <v>5044</v>
      </c>
      <c r="AK277" s="11" t="s">
        <v>5318</v>
      </c>
      <c r="AL277" s="11">
        <v>0</v>
      </c>
      <c r="AM277" s="11">
        <v>0</v>
      </c>
      <c r="AN277" s="11" t="s">
        <v>5318</v>
      </c>
      <c r="AO277" s="11">
        <v>2</v>
      </c>
      <c r="AP277" s="11" t="s">
        <v>5318</v>
      </c>
      <c r="AQ277" s="11" t="s">
        <v>5318</v>
      </c>
    </row>
    <row r="278" spans="1:43" ht="63" customHeight="1" x14ac:dyDescent="0.2">
      <c r="A278" s="10">
        <v>3483</v>
      </c>
      <c r="B278" s="11" t="s">
        <v>7380</v>
      </c>
      <c r="C278" s="11" t="s">
        <v>969</v>
      </c>
      <c r="D278" s="11">
        <v>2023</v>
      </c>
      <c r="E278" s="11" t="s">
        <v>5318</v>
      </c>
      <c r="F278" s="11">
        <v>277</v>
      </c>
      <c r="G278" s="11">
        <v>1</v>
      </c>
      <c r="H278" s="11" t="s">
        <v>6533</v>
      </c>
      <c r="I278" s="11" t="s">
        <v>6516</v>
      </c>
      <c r="J278" s="11" t="s">
        <v>7381</v>
      </c>
      <c r="K278" s="11" t="s">
        <v>970</v>
      </c>
      <c r="L278" s="11" t="s">
        <v>5044</v>
      </c>
      <c r="M278" s="11">
        <v>0</v>
      </c>
      <c r="N278" s="9" t="s">
        <v>5044</v>
      </c>
      <c r="O278" s="9" t="s">
        <v>5044</v>
      </c>
      <c r="P278" s="11">
        <v>0</v>
      </c>
      <c r="Q278" s="11">
        <v>0</v>
      </c>
      <c r="R278" s="11">
        <v>0</v>
      </c>
      <c r="S278" s="11">
        <v>1</v>
      </c>
      <c r="T278" s="11">
        <v>1</v>
      </c>
      <c r="U278" s="11">
        <v>232</v>
      </c>
      <c r="V278" s="11">
        <v>0</v>
      </c>
      <c r="W278" s="11">
        <v>1</v>
      </c>
      <c r="X278" s="11">
        <v>0</v>
      </c>
      <c r="Y278" s="11">
        <v>0</v>
      </c>
      <c r="Z278" s="11">
        <v>0</v>
      </c>
      <c r="AA278" s="11">
        <v>0</v>
      </c>
      <c r="AB278" s="11">
        <v>1</v>
      </c>
      <c r="AC278" s="11">
        <v>0</v>
      </c>
      <c r="AD278" s="11" t="s">
        <v>5044</v>
      </c>
      <c r="AE278" s="11" t="s">
        <v>5044</v>
      </c>
      <c r="AF278" s="11" t="s">
        <v>5044</v>
      </c>
      <c r="AG278" s="11">
        <v>0</v>
      </c>
      <c r="AH278" s="11" t="s">
        <v>5044</v>
      </c>
      <c r="AI278" s="11" t="s">
        <v>5044</v>
      </c>
      <c r="AJ278" s="11" t="s">
        <v>5044</v>
      </c>
      <c r="AK278" s="11" t="s">
        <v>5318</v>
      </c>
      <c r="AL278" s="11">
        <v>0</v>
      </c>
      <c r="AM278" s="11">
        <v>0</v>
      </c>
      <c r="AN278" s="11" t="s">
        <v>5318</v>
      </c>
      <c r="AO278" s="11">
        <v>9</v>
      </c>
      <c r="AP278" s="11" t="s">
        <v>5318</v>
      </c>
      <c r="AQ278" s="11" t="s">
        <v>5318</v>
      </c>
    </row>
    <row r="279" spans="1:43" ht="63" customHeight="1" x14ac:dyDescent="0.2">
      <c r="A279" s="10">
        <v>3491</v>
      </c>
      <c r="B279" s="11" t="s">
        <v>7382</v>
      </c>
      <c r="C279" s="11" t="s">
        <v>971</v>
      </c>
      <c r="D279" s="11">
        <v>2010</v>
      </c>
      <c r="E279" s="11" t="s">
        <v>5318</v>
      </c>
      <c r="F279" s="11">
        <v>362</v>
      </c>
      <c r="G279" s="11">
        <v>22</v>
      </c>
      <c r="H279" s="11" t="s">
        <v>7383</v>
      </c>
      <c r="I279" s="11" t="s">
        <v>6516</v>
      </c>
      <c r="J279" s="11" t="s">
        <v>7384</v>
      </c>
      <c r="K279" s="11" t="s">
        <v>973</v>
      </c>
      <c r="L279" s="16" t="s">
        <v>5402</v>
      </c>
      <c r="M279" s="11">
        <v>0</v>
      </c>
      <c r="N279" s="9" t="s">
        <v>5044</v>
      </c>
      <c r="O279" s="9" t="s">
        <v>5044</v>
      </c>
      <c r="P279" s="11">
        <v>0</v>
      </c>
      <c r="Q279" s="11">
        <v>0</v>
      </c>
      <c r="R279" s="11">
        <v>0</v>
      </c>
      <c r="S279" s="11">
        <v>5</v>
      </c>
      <c r="T279" s="11">
        <v>1</v>
      </c>
      <c r="U279" s="11">
        <v>597</v>
      </c>
      <c r="V279" s="11">
        <v>0</v>
      </c>
      <c r="W279" s="11">
        <v>1</v>
      </c>
      <c r="X279" s="11">
        <v>0</v>
      </c>
      <c r="Y279" s="11">
        <v>0</v>
      </c>
      <c r="Z279" s="11">
        <v>0</v>
      </c>
      <c r="AA279" s="11">
        <v>0</v>
      </c>
      <c r="AB279" s="11">
        <v>1</v>
      </c>
      <c r="AC279" s="11">
        <v>1</v>
      </c>
      <c r="AD279" s="11" t="s">
        <v>5044</v>
      </c>
      <c r="AE279" s="11" t="s">
        <v>5044</v>
      </c>
      <c r="AF279" s="11" t="s">
        <v>5044</v>
      </c>
      <c r="AG279" s="11">
        <v>2</v>
      </c>
      <c r="AH279" s="11">
        <v>2</v>
      </c>
      <c r="AI279" s="11">
        <v>2</v>
      </c>
      <c r="AJ279" s="11" t="s">
        <v>5044</v>
      </c>
      <c r="AK279" s="11" t="s">
        <v>5318</v>
      </c>
      <c r="AL279" s="11">
        <v>1</v>
      </c>
      <c r="AM279" s="11">
        <v>0</v>
      </c>
      <c r="AN279" s="11" t="s">
        <v>5318</v>
      </c>
      <c r="AO279" s="11">
        <v>2</v>
      </c>
      <c r="AP279" s="11" t="s">
        <v>5318</v>
      </c>
      <c r="AQ279" s="11" t="s">
        <v>5318</v>
      </c>
    </row>
    <row r="280" spans="1:43" ht="63" customHeight="1" x14ac:dyDescent="0.2">
      <c r="A280" s="10">
        <v>3507</v>
      </c>
      <c r="B280" s="11" t="s">
        <v>7385</v>
      </c>
      <c r="C280" s="11" t="s">
        <v>974</v>
      </c>
      <c r="D280" s="11">
        <v>2022</v>
      </c>
      <c r="E280" s="11" t="s">
        <v>5318</v>
      </c>
      <c r="F280" s="11">
        <v>26</v>
      </c>
      <c r="G280" s="11">
        <v>12</v>
      </c>
      <c r="H280" s="11" t="s">
        <v>6725</v>
      </c>
      <c r="I280" s="11" t="s">
        <v>6516</v>
      </c>
      <c r="J280" s="11" t="s">
        <v>7386</v>
      </c>
      <c r="K280" s="11" t="s">
        <v>975</v>
      </c>
      <c r="L280" s="16" t="s">
        <v>5634</v>
      </c>
      <c r="M280" s="11">
        <v>0</v>
      </c>
      <c r="N280" s="9" t="s">
        <v>5044</v>
      </c>
      <c r="O280" s="9" t="s">
        <v>5044</v>
      </c>
      <c r="P280" s="11">
        <v>0</v>
      </c>
      <c r="Q280" s="11">
        <v>0</v>
      </c>
      <c r="R280" s="11">
        <v>0</v>
      </c>
      <c r="S280" s="11">
        <v>11</v>
      </c>
      <c r="T280" s="11">
        <v>3</v>
      </c>
      <c r="U280" s="11">
        <v>65</v>
      </c>
      <c r="V280" s="11">
        <v>0</v>
      </c>
      <c r="W280" s="11">
        <v>1</v>
      </c>
      <c r="X280" s="11">
        <v>0</v>
      </c>
      <c r="Y280" s="11">
        <v>0</v>
      </c>
      <c r="Z280" s="11">
        <v>0</v>
      </c>
      <c r="AA280" s="11">
        <v>0</v>
      </c>
      <c r="AB280" s="11">
        <v>1</v>
      </c>
      <c r="AC280" s="11">
        <v>1</v>
      </c>
      <c r="AD280" s="11" t="s">
        <v>5044</v>
      </c>
      <c r="AE280" s="11" t="s">
        <v>5044</v>
      </c>
      <c r="AF280" s="11" t="s">
        <v>5044</v>
      </c>
      <c r="AG280" s="11">
        <v>2</v>
      </c>
      <c r="AH280" s="11">
        <v>2</v>
      </c>
      <c r="AI280" s="11">
        <v>2</v>
      </c>
      <c r="AJ280" s="11" t="s">
        <v>5044</v>
      </c>
      <c r="AK280" s="11" t="s">
        <v>5318</v>
      </c>
      <c r="AL280" s="11">
        <v>1</v>
      </c>
      <c r="AM280" s="11">
        <v>0</v>
      </c>
      <c r="AN280" s="11" t="s">
        <v>5318</v>
      </c>
      <c r="AO280" s="11">
        <v>2</v>
      </c>
      <c r="AP280" s="11" t="s">
        <v>5318</v>
      </c>
      <c r="AQ280" s="11" t="s">
        <v>5318</v>
      </c>
    </row>
    <row r="281" spans="1:43" ht="63" customHeight="1" x14ac:dyDescent="0.2">
      <c r="A281" s="10">
        <v>3517</v>
      </c>
      <c r="B281" s="11" t="s">
        <v>7387</v>
      </c>
      <c r="C281" s="11" t="s">
        <v>976</v>
      </c>
      <c r="D281" s="11">
        <v>2012</v>
      </c>
      <c r="E281" s="11" t="s">
        <v>5318</v>
      </c>
      <c r="F281" s="11">
        <v>14</v>
      </c>
      <c r="G281" s="11">
        <v>9</v>
      </c>
      <c r="H281" s="11" t="s">
        <v>6867</v>
      </c>
      <c r="I281" s="11" t="s">
        <v>6516</v>
      </c>
      <c r="J281" s="11" t="s">
        <v>7388</v>
      </c>
      <c r="K281" s="11" t="s">
        <v>977</v>
      </c>
      <c r="L281" s="16" t="s">
        <v>5636</v>
      </c>
      <c r="M281" s="11">
        <v>0</v>
      </c>
      <c r="N281" s="9" t="s">
        <v>5044</v>
      </c>
      <c r="O281" s="9" t="s">
        <v>5044</v>
      </c>
      <c r="P281" s="11">
        <v>0</v>
      </c>
      <c r="Q281" s="11">
        <v>0</v>
      </c>
      <c r="R281" s="11">
        <v>0</v>
      </c>
      <c r="S281" s="11">
        <v>1</v>
      </c>
      <c r="T281" s="11">
        <v>1</v>
      </c>
      <c r="U281" s="11">
        <v>65</v>
      </c>
      <c r="V281" s="11">
        <v>0</v>
      </c>
      <c r="W281" s="11">
        <v>1</v>
      </c>
      <c r="X281" s="11">
        <v>0</v>
      </c>
      <c r="Y281" s="11">
        <v>0</v>
      </c>
      <c r="Z281" s="11">
        <v>0</v>
      </c>
      <c r="AA281" s="11">
        <v>0</v>
      </c>
      <c r="AB281" s="11">
        <v>1</v>
      </c>
      <c r="AC281" s="11">
        <v>1</v>
      </c>
      <c r="AD281" s="11" t="s">
        <v>5044</v>
      </c>
      <c r="AE281" s="11" t="s">
        <v>5044</v>
      </c>
      <c r="AF281" s="11" t="s">
        <v>5044</v>
      </c>
      <c r="AG281" s="11">
        <v>1</v>
      </c>
      <c r="AH281" s="11">
        <v>0</v>
      </c>
      <c r="AI281" s="11">
        <v>0</v>
      </c>
      <c r="AJ281" s="11" t="s">
        <v>5044</v>
      </c>
      <c r="AK281" s="11" t="s">
        <v>5318</v>
      </c>
      <c r="AL281" s="11">
        <v>1</v>
      </c>
      <c r="AM281" s="11">
        <v>0</v>
      </c>
      <c r="AN281" s="11" t="s">
        <v>5318</v>
      </c>
      <c r="AO281" s="9">
        <v>0</v>
      </c>
      <c r="AP281" s="11" t="s">
        <v>5318</v>
      </c>
      <c r="AQ281" s="11" t="s">
        <v>5318</v>
      </c>
    </row>
    <row r="282" spans="1:43" ht="63" customHeight="1" x14ac:dyDescent="0.2">
      <c r="A282" s="10">
        <v>3528</v>
      </c>
      <c r="B282" s="11" t="s">
        <v>7391</v>
      </c>
      <c r="C282" s="11" t="s">
        <v>980</v>
      </c>
      <c r="D282" s="11">
        <v>2018</v>
      </c>
      <c r="E282" s="11" t="s">
        <v>5318</v>
      </c>
      <c r="F282" s="11">
        <v>3</v>
      </c>
      <c r="G282" s="11">
        <v>6</v>
      </c>
      <c r="H282" s="11" t="s">
        <v>6807</v>
      </c>
      <c r="I282" s="11" t="s">
        <v>6516</v>
      </c>
      <c r="J282" s="11" t="s">
        <v>7392</v>
      </c>
      <c r="K282" s="11" t="s">
        <v>981</v>
      </c>
      <c r="L282" s="16" t="s">
        <v>5638</v>
      </c>
      <c r="M282" s="11">
        <v>0</v>
      </c>
      <c r="N282" s="9" t="s">
        <v>5044</v>
      </c>
      <c r="O282" s="9" t="s">
        <v>5044</v>
      </c>
      <c r="P282" s="11">
        <v>0</v>
      </c>
      <c r="Q282" s="11">
        <v>0</v>
      </c>
      <c r="R282" s="11">
        <v>0</v>
      </c>
      <c r="S282" s="11" t="s">
        <v>5708</v>
      </c>
      <c r="T282" s="11">
        <v>1</v>
      </c>
      <c r="U282" s="11">
        <v>88</v>
      </c>
      <c r="V282" s="11">
        <v>0</v>
      </c>
      <c r="W282" s="11">
        <v>1</v>
      </c>
      <c r="X282" s="11">
        <v>0</v>
      </c>
      <c r="Y282" s="11">
        <v>0</v>
      </c>
      <c r="Z282" s="11">
        <v>0</v>
      </c>
      <c r="AA282" s="11">
        <v>0</v>
      </c>
      <c r="AB282" s="11">
        <v>1</v>
      </c>
      <c r="AC282" s="11">
        <v>1</v>
      </c>
      <c r="AD282" s="11" t="s">
        <v>5044</v>
      </c>
      <c r="AE282" s="11" t="s">
        <v>5044</v>
      </c>
      <c r="AF282" s="11" t="s">
        <v>5044</v>
      </c>
      <c r="AG282" s="11">
        <v>2</v>
      </c>
      <c r="AH282" s="11">
        <v>2</v>
      </c>
      <c r="AI282" s="11">
        <v>2</v>
      </c>
      <c r="AJ282" s="11" t="s">
        <v>5044</v>
      </c>
      <c r="AK282" s="11" t="s">
        <v>5318</v>
      </c>
      <c r="AL282" s="11" t="s">
        <v>5044</v>
      </c>
      <c r="AM282" s="11">
        <v>0</v>
      </c>
      <c r="AN282" s="11" t="s">
        <v>5639</v>
      </c>
      <c r="AO282" s="11">
        <v>2</v>
      </c>
      <c r="AP282" s="11" t="s">
        <v>5318</v>
      </c>
      <c r="AQ282" s="11" t="s">
        <v>5318</v>
      </c>
    </row>
    <row r="283" spans="1:43" ht="63" customHeight="1" x14ac:dyDescent="0.2">
      <c r="A283" s="10">
        <v>3531</v>
      </c>
      <c r="B283" s="11" t="s">
        <v>7393</v>
      </c>
      <c r="C283" s="11" t="s">
        <v>982</v>
      </c>
      <c r="D283" s="11">
        <v>2021</v>
      </c>
      <c r="E283" s="11" t="s">
        <v>5318</v>
      </c>
      <c r="F283" s="11">
        <v>28</v>
      </c>
      <c r="G283" s="11">
        <v>9</v>
      </c>
      <c r="H283" s="11" t="s">
        <v>7076</v>
      </c>
      <c r="I283" s="11" t="s">
        <v>6516</v>
      </c>
      <c r="J283" s="11" t="s">
        <v>7394</v>
      </c>
      <c r="K283" s="11" t="s">
        <v>983</v>
      </c>
      <c r="L283" s="12" t="s">
        <v>5640</v>
      </c>
      <c r="M283" s="11">
        <v>0</v>
      </c>
      <c r="N283" s="9" t="s">
        <v>5044</v>
      </c>
      <c r="O283" s="9" t="s">
        <v>5044</v>
      </c>
      <c r="P283" s="11">
        <v>0</v>
      </c>
      <c r="Q283" s="11">
        <v>0</v>
      </c>
      <c r="R283" s="11">
        <v>0</v>
      </c>
      <c r="S283" s="11">
        <v>5</v>
      </c>
      <c r="T283" s="11">
        <v>2</v>
      </c>
      <c r="U283" s="11">
        <v>144</v>
      </c>
      <c r="V283" s="11">
        <v>0</v>
      </c>
      <c r="W283" s="11">
        <v>1</v>
      </c>
      <c r="X283" s="11">
        <v>0</v>
      </c>
      <c r="Y283" s="11">
        <v>0</v>
      </c>
      <c r="Z283" s="11">
        <v>0</v>
      </c>
      <c r="AA283" s="11">
        <v>0</v>
      </c>
      <c r="AB283" s="11">
        <v>1</v>
      </c>
      <c r="AC283" s="11">
        <v>0</v>
      </c>
      <c r="AD283" s="11" t="s">
        <v>5044</v>
      </c>
      <c r="AE283" s="11" t="s">
        <v>5044</v>
      </c>
      <c r="AF283" s="11" t="s">
        <v>5044</v>
      </c>
      <c r="AG283" s="11">
        <v>0</v>
      </c>
      <c r="AH283" s="11" t="s">
        <v>5044</v>
      </c>
      <c r="AI283" s="11" t="s">
        <v>5044</v>
      </c>
      <c r="AJ283" s="11" t="s">
        <v>5044</v>
      </c>
      <c r="AK283" s="11" t="s">
        <v>5318</v>
      </c>
      <c r="AL283" s="11">
        <v>1</v>
      </c>
      <c r="AM283" s="11">
        <v>0</v>
      </c>
      <c r="AN283" s="11" t="s">
        <v>5318</v>
      </c>
      <c r="AO283" s="11">
        <v>9</v>
      </c>
      <c r="AP283" s="11" t="s">
        <v>5318</v>
      </c>
      <c r="AQ283" s="11" t="s">
        <v>5318</v>
      </c>
    </row>
    <row r="284" spans="1:43" ht="63" customHeight="1" x14ac:dyDescent="0.2">
      <c r="A284" s="10">
        <v>3537</v>
      </c>
      <c r="B284" s="11" t="s">
        <v>7395</v>
      </c>
      <c r="C284" s="11" t="s">
        <v>984</v>
      </c>
      <c r="D284" s="11">
        <v>2017</v>
      </c>
      <c r="E284" s="11" t="s">
        <v>5318</v>
      </c>
      <c r="F284" s="11">
        <v>162</v>
      </c>
      <c r="G284" s="11">
        <v>1</v>
      </c>
      <c r="H284" s="11" t="s">
        <v>6553</v>
      </c>
      <c r="I284" s="11" t="s">
        <v>6878</v>
      </c>
      <c r="J284" s="11" t="s">
        <v>7396</v>
      </c>
      <c r="K284" s="11" t="s">
        <v>986</v>
      </c>
      <c r="L284" s="16" t="s">
        <v>5641</v>
      </c>
      <c r="M284" s="11">
        <v>0</v>
      </c>
      <c r="N284" s="9" t="s">
        <v>5044</v>
      </c>
      <c r="O284" s="9" t="s">
        <v>5044</v>
      </c>
      <c r="P284" s="11">
        <v>0</v>
      </c>
      <c r="Q284" s="11">
        <v>0</v>
      </c>
      <c r="R284" s="11">
        <v>0</v>
      </c>
      <c r="S284" s="11">
        <v>1</v>
      </c>
      <c r="T284" s="11">
        <v>1</v>
      </c>
      <c r="U284" s="11">
        <v>18</v>
      </c>
      <c r="V284" s="11">
        <v>0</v>
      </c>
      <c r="W284" s="11">
        <v>1</v>
      </c>
      <c r="X284" s="11">
        <v>0</v>
      </c>
      <c r="Y284" s="11">
        <v>0</v>
      </c>
      <c r="Z284" s="11">
        <v>1</v>
      </c>
      <c r="AA284" s="11">
        <v>0</v>
      </c>
      <c r="AB284" s="11">
        <v>1</v>
      </c>
      <c r="AC284" s="11">
        <v>1</v>
      </c>
      <c r="AD284" s="11" t="s">
        <v>5044</v>
      </c>
      <c r="AE284" s="11" t="s">
        <v>5044</v>
      </c>
      <c r="AF284" s="11" t="s">
        <v>5044</v>
      </c>
      <c r="AG284" s="11">
        <v>0</v>
      </c>
      <c r="AH284" s="11" t="s">
        <v>5044</v>
      </c>
      <c r="AI284" s="11" t="s">
        <v>5044</v>
      </c>
      <c r="AJ284" s="11">
        <v>0</v>
      </c>
      <c r="AK284" s="11" t="s">
        <v>5318</v>
      </c>
      <c r="AL284" s="11">
        <v>0</v>
      </c>
      <c r="AM284" s="11">
        <v>0</v>
      </c>
      <c r="AN284" s="11" t="s">
        <v>5318</v>
      </c>
      <c r="AO284" s="11">
        <v>9</v>
      </c>
      <c r="AP284" s="11" t="s">
        <v>5318</v>
      </c>
      <c r="AQ284" s="11" t="s">
        <v>5318</v>
      </c>
    </row>
    <row r="285" spans="1:43" ht="63" customHeight="1" x14ac:dyDescent="0.2">
      <c r="A285" s="10">
        <v>3552</v>
      </c>
      <c r="B285" s="11" t="s">
        <v>7401</v>
      </c>
      <c r="C285" s="11" t="s">
        <v>991</v>
      </c>
      <c r="D285" s="11">
        <v>2014</v>
      </c>
      <c r="E285" s="11" t="s">
        <v>5318</v>
      </c>
      <c r="F285" s="11">
        <v>312</v>
      </c>
      <c r="G285" s="11">
        <v>2</v>
      </c>
      <c r="H285" s="11" t="s">
        <v>7402</v>
      </c>
      <c r="I285" s="11" t="s">
        <v>6516</v>
      </c>
      <c r="J285" s="11" t="s">
        <v>7403</v>
      </c>
      <c r="K285" s="11" t="s">
        <v>994</v>
      </c>
      <c r="L285" s="16" t="s">
        <v>5471</v>
      </c>
      <c r="M285" s="11">
        <v>0</v>
      </c>
      <c r="N285" s="9" t="s">
        <v>5044</v>
      </c>
      <c r="O285" s="9" t="s">
        <v>5044</v>
      </c>
      <c r="P285" s="11">
        <v>0</v>
      </c>
      <c r="Q285" s="11">
        <v>0</v>
      </c>
      <c r="R285" s="11">
        <v>0</v>
      </c>
      <c r="S285" s="11">
        <v>1</v>
      </c>
      <c r="T285" s="11">
        <v>1</v>
      </c>
      <c r="U285" s="11">
        <v>414</v>
      </c>
      <c r="V285" s="11">
        <v>0</v>
      </c>
      <c r="W285" s="11">
        <v>1</v>
      </c>
      <c r="X285" s="11">
        <v>0</v>
      </c>
      <c r="Y285" s="11">
        <v>0</v>
      </c>
      <c r="Z285" s="11">
        <v>0</v>
      </c>
      <c r="AA285" s="11">
        <v>0</v>
      </c>
      <c r="AB285" s="11">
        <v>1</v>
      </c>
      <c r="AC285" s="11">
        <v>1</v>
      </c>
      <c r="AD285" s="11" t="s">
        <v>5044</v>
      </c>
      <c r="AE285" s="11" t="s">
        <v>5044</v>
      </c>
      <c r="AF285" s="11" t="s">
        <v>5044</v>
      </c>
      <c r="AG285" s="11">
        <v>1</v>
      </c>
      <c r="AH285" s="11">
        <v>0</v>
      </c>
      <c r="AI285" s="11">
        <v>0</v>
      </c>
      <c r="AJ285" s="11" t="s">
        <v>5044</v>
      </c>
      <c r="AK285" s="11" t="s">
        <v>5318</v>
      </c>
      <c r="AL285" s="11">
        <v>1</v>
      </c>
      <c r="AM285" s="11">
        <v>0</v>
      </c>
      <c r="AN285" s="11" t="s">
        <v>5318</v>
      </c>
      <c r="AO285" s="9">
        <v>0</v>
      </c>
      <c r="AP285" s="11" t="s">
        <v>5318</v>
      </c>
      <c r="AQ285" s="11" t="s">
        <v>5318</v>
      </c>
    </row>
    <row r="286" spans="1:43" ht="63" customHeight="1" x14ac:dyDescent="0.2">
      <c r="A286" s="10">
        <v>3560</v>
      </c>
      <c r="B286" s="11" t="s">
        <v>7404</v>
      </c>
      <c r="C286" s="11" t="s">
        <v>995</v>
      </c>
      <c r="D286" s="11">
        <v>2021</v>
      </c>
      <c r="E286" s="11" t="s">
        <v>5318</v>
      </c>
      <c r="F286" s="11">
        <v>23</v>
      </c>
      <c r="G286" s="11">
        <v>12</v>
      </c>
      <c r="H286" s="11" t="s">
        <v>6749</v>
      </c>
      <c r="I286" s="11" t="s">
        <v>6516</v>
      </c>
      <c r="J286" s="11" t="s">
        <v>7405</v>
      </c>
      <c r="K286" s="11" t="s">
        <v>996</v>
      </c>
      <c r="L286" s="12" t="s">
        <v>5644</v>
      </c>
      <c r="M286" s="11">
        <v>0</v>
      </c>
      <c r="N286" s="9" t="s">
        <v>5044</v>
      </c>
      <c r="O286" s="9" t="s">
        <v>5044</v>
      </c>
      <c r="P286" s="11">
        <v>1</v>
      </c>
      <c r="Q286" s="11">
        <v>0</v>
      </c>
      <c r="R286" s="11">
        <v>0</v>
      </c>
      <c r="S286" s="11" t="s">
        <v>5728</v>
      </c>
      <c r="T286" s="11">
        <v>1</v>
      </c>
      <c r="U286" s="11">
        <v>40</v>
      </c>
      <c r="V286" s="11">
        <v>0</v>
      </c>
      <c r="W286" s="11">
        <v>1</v>
      </c>
      <c r="X286" s="11">
        <v>0</v>
      </c>
      <c r="Y286" s="11">
        <v>0</v>
      </c>
      <c r="Z286" s="11">
        <v>1</v>
      </c>
      <c r="AA286" s="11">
        <v>0</v>
      </c>
      <c r="AB286" s="11">
        <v>1</v>
      </c>
      <c r="AC286" s="11">
        <v>1</v>
      </c>
      <c r="AD286" s="11" t="s">
        <v>5044</v>
      </c>
      <c r="AE286" s="11" t="s">
        <v>5044</v>
      </c>
      <c r="AF286" s="11" t="s">
        <v>5044</v>
      </c>
      <c r="AG286" s="11">
        <v>1</v>
      </c>
      <c r="AH286" s="11">
        <v>0</v>
      </c>
      <c r="AI286" s="11">
        <v>0</v>
      </c>
      <c r="AJ286" s="11">
        <v>0</v>
      </c>
      <c r="AK286" s="11" t="s">
        <v>5318</v>
      </c>
      <c r="AL286" s="11" t="s">
        <v>5044</v>
      </c>
      <c r="AM286" s="11">
        <v>0</v>
      </c>
      <c r="AN286" s="11" t="s">
        <v>3714</v>
      </c>
      <c r="AO286" s="9">
        <v>0</v>
      </c>
      <c r="AP286" s="11" t="s">
        <v>5318</v>
      </c>
      <c r="AQ286" s="11" t="s">
        <v>5318</v>
      </c>
    </row>
    <row r="287" spans="1:43" ht="63" customHeight="1" x14ac:dyDescent="0.2">
      <c r="A287" s="10">
        <v>3625</v>
      </c>
      <c r="B287" s="11" t="s">
        <v>7406</v>
      </c>
      <c r="C287" s="11" t="s">
        <v>997</v>
      </c>
      <c r="D287" s="11">
        <v>2016</v>
      </c>
      <c r="E287" s="11" t="s">
        <v>5318</v>
      </c>
      <c r="F287" s="11">
        <v>18</v>
      </c>
      <c r="G287" s="11">
        <v>2</v>
      </c>
      <c r="H287" s="11" t="s">
        <v>6867</v>
      </c>
      <c r="I287" s="11" t="s">
        <v>6516</v>
      </c>
      <c r="J287" s="11" t="s">
        <v>7407</v>
      </c>
      <c r="K287" s="11" t="s">
        <v>998</v>
      </c>
      <c r="L287" s="11" t="s">
        <v>5044</v>
      </c>
      <c r="M287" s="11">
        <v>0</v>
      </c>
      <c r="N287" s="9" t="s">
        <v>5044</v>
      </c>
      <c r="O287" s="9" t="s">
        <v>5044</v>
      </c>
      <c r="P287" s="11">
        <v>0</v>
      </c>
      <c r="Q287" s="11">
        <v>0</v>
      </c>
      <c r="R287" s="11">
        <v>0</v>
      </c>
      <c r="S287" s="11">
        <v>1</v>
      </c>
      <c r="T287" s="11">
        <v>1</v>
      </c>
      <c r="U287" s="11">
        <v>90</v>
      </c>
      <c r="V287" s="11">
        <v>0</v>
      </c>
      <c r="W287" s="11">
        <v>1</v>
      </c>
      <c r="X287" s="11">
        <v>0</v>
      </c>
      <c r="Y287" s="11">
        <v>0</v>
      </c>
      <c r="Z287" s="11">
        <v>0</v>
      </c>
      <c r="AA287" s="11">
        <v>0</v>
      </c>
      <c r="AB287" s="11">
        <v>1</v>
      </c>
      <c r="AC287" s="11">
        <v>1</v>
      </c>
      <c r="AD287" s="11" t="s">
        <v>5044</v>
      </c>
      <c r="AE287" s="11" t="s">
        <v>5044</v>
      </c>
      <c r="AF287" s="11" t="s">
        <v>5044</v>
      </c>
      <c r="AG287" s="11">
        <v>2</v>
      </c>
      <c r="AH287" s="11">
        <v>3</v>
      </c>
      <c r="AI287" s="11">
        <v>0</v>
      </c>
      <c r="AJ287" s="11" t="s">
        <v>5044</v>
      </c>
      <c r="AK287" s="11" t="s">
        <v>5318</v>
      </c>
      <c r="AL287" s="11">
        <v>1</v>
      </c>
      <c r="AM287" s="11">
        <v>0</v>
      </c>
      <c r="AN287" s="11" t="s">
        <v>5318</v>
      </c>
      <c r="AO287" s="11">
        <v>3</v>
      </c>
      <c r="AP287" s="11" t="s">
        <v>5318</v>
      </c>
      <c r="AQ287" s="11" t="s">
        <v>5318</v>
      </c>
    </row>
    <row r="288" spans="1:43" ht="63" customHeight="1" x14ac:dyDescent="0.2">
      <c r="A288" s="10">
        <v>3633</v>
      </c>
      <c r="B288" s="11" t="s">
        <v>7408</v>
      </c>
      <c r="C288" s="11" t="s">
        <v>999</v>
      </c>
      <c r="D288" s="11">
        <v>2021</v>
      </c>
      <c r="E288" s="11" t="s">
        <v>5318</v>
      </c>
      <c r="F288" s="11">
        <v>8</v>
      </c>
      <c r="G288" s="11">
        <v>3</v>
      </c>
      <c r="H288" s="11" t="s">
        <v>7409</v>
      </c>
      <c r="I288" s="11" t="s">
        <v>6516</v>
      </c>
      <c r="J288" s="11" t="s">
        <v>7410</v>
      </c>
      <c r="K288" s="11" t="s">
        <v>1000</v>
      </c>
      <c r="L288" s="11" t="s">
        <v>5044</v>
      </c>
      <c r="M288" s="11">
        <v>0</v>
      </c>
      <c r="N288" s="9" t="s">
        <v>5044</v>
      </c>
      <c r="O288" s="9" t="s">
        <v>5044</v>
      </c>
      <c r="P288" s="11">
        <v>0</v>
      </c>
      <c r="Q288" s="11">
        <v>0</v>
      </c>
      <c r="R288" s="11">
        <v>0</v>
      </c>
      <c r="S288" s="11">
        <v>3</v>
      </c>
      <c r="T288" s="11">
        <v>4</v>
      </c>
      <c r="U288" s="11">
        <v>96</v>
      </c>
      <c r="V288" s="11">
        <v>0</v>
      </c>
      <c r="W288" s="11">
        <v>1</v>
      </c>
      <c r="X288" s="11">
        <v>0</v>
      </c>
      <c r="Y288" s="11">
        <v>0</v>
      </c>
      <c r="Z288" s="11">
        <v>0</v>
      </c>
      <c r="AA288" s="11">
        <v>0</v>
      </c>
      <c r="AB288" s="11">
        <v>1</v>
      </c>
      <c r="AC288" s="11">
        <v>0</v>
      </c>
      <c r="AD288" s="11" t="s">
        <v>5044</v>
      </c>
      <c r="AE288" s="11" t="s">
        <v>5044</v>
      </c>
      <c r="AF288" s="11" t="s">
        <v>5044</v>
      </c>
      <c r="AG288" s="11">
        <v>0</v>
      </c>
      <c r="AH288" s="11" t="s">
        <v>5044</v>
      </c>
      <c r="AI288" s="11" t="s">
        <v>5044</v>
      </c>
      <c r="AJ288" s="11" t="s">
        <v>5044</v>
      </c>
      <c r="AK288" s="11" t="s">
        <v>5318</v>
      </c>
      <c r="AL288" s="11">
        <v>1</v>
      </c>
      <c r="AM288" s="11">
        <v>0</v>
      </c>
      <c r="AN288" s="11" t="s">
        <v>5318</v>
      </c>
      <c r="AO288" s="11">
        <v>9</v>
      </c>
      <c r="AP288" s="11" t="s">
        <v>5318</v>
      </c>
      <c r="AQ288" s="11" t="s">
        <v>5318</v>
      </c>
    </row>
    <row r="289" spans="1:43" ht="63" customHeight="1" x14ac:dyDescent="0.2">
      <c r="A289" s="10">
        <v>3701</v>
      </c>
      <c r="B289" s="11" t="s">
        <v>7415</v>
      </c>
      <c r="C289" s="11" t="s">
        <v>1005</v>
      </c>
      <c r="D289" s="11">
        <v>2019</v>
      </c>
      <c r="E289" s="11" t="s">
        <v>5318</v>
      </c>
      <c r="F289" s="11">
        <v>17</v>
      </c>
      <c r="G289" s="11">
        <v>1</v>
      </c>
      <c r="H289" s="11" t="s">
        <v>6609</v>
      </c>
      <c r="I289" s="11" t="s">
        <v>6516</v>
      </c>
      <c r="J289" s="11" t="s">
        <v>7416</v>
      </c>
      <c r="K289" s="11" t="s">
        <v>1006</v>
      </c>
      <c r="L289" s="16" t="s">
        <v>5648</v>
      </c>
      <c r="M289" s="11">
        <v>0</v>
      </c>
      <c r="N289" s="9" t="s">
        <v>5044</v>
      </c>
      <c r="O289" s="9" t="s">
        <v>5044</v>
      </c>
      <c r="P289" s="11">
        <v>0</v>
      </c>
      <c r="Q289" s="11">
        <v>0</v>
      </c>
      <c r="R289" s="11">
        <v>0</v>
      </c>
      <c r="S289" s="11" t="s">
        <v>5728</v>
      </c>
      <c r="T289" s="11">
        <v>1</v>
      </c>
      <c r="U289" s="11">
        <v>198</v>
      </c>
      <c r="V289" s="11">
        <v>0</v>
      </c>
      <c r="W289" s="11">
        <v>1</v>
      </c>
      <c r="X289" s="11">
        <v>0</v>
      </c>
      <c r="Y289" s="11">
        <v>0</v>
      </c>
      <c r="Z289" s="11">
        <v>0</v>
      </c>
      <c r="AA289" s="11">
        <v>0</v>
      </c>
      <c r="AB289" s="11">
        <v>1</v>
      </c>
      <c r="AC289" s="11">
        <v>1</v>
      </c>
      <c r="AD289" s="11" t="s">
        <v>5044</v>
      </c>
      <c r="AE289" s="11" t="s">
        <v>5044</v>
      </c>
      <c r="AF289" s="11" t="s">
        <v>5044</v>
      </c>
      <c r="AG289" s="11">
        <v>2</v>
      </c>
      <c r="AH289" s="11">
        <v>1</v>
      </c>
      <c r="AI289" s="11">
        <v>2</v>
      </c>
      <c r="AJ289" s="11" t="s">
        <v>5044</v>
      </c>
      <c r="AK289" s="11" t="s">
        <v>5318</v>
      </c>
      <c r="AL289" s="11">
        <v>0</v>
      </c>
      <c r="AM289" s="11">
        <v>0</v>
      </c>
      <c r="AN289" s="11" t="s">
        <v>5318</v>
      </c>
      <c r="AO289" s="11">
        <v>1</v>
      </c>
      <c r="AP289" s="11" t="s">
        <v>5318</v>
      </c>
      <c r="AQ289" s="11" t="s">
        <v>5318</v>
      </c>
    </row>
    <row r="290" spans="1:43" ht="63" customHeight="1" x14ac:dyDescent="0.2">
      <c r="A290" s="10">
        <v>3704</v>
      </c>
      <c r="B290" s="11" t="s">
        <v>7417</v>
      </c>
      <c r="C290" s="11" t="s">
        <v>1007</v>
      </c>
      <c r="D290" s="11">
        <v>2011</v>
      </c>
      <c r="E290" s="11" t="s">
        <v>5318</v>
      </c>
      <c r="F290" s="11">
        <v>253</v>
      </c>
      <c r="G290" s="11">
        <v>6</v>
      </c>
      <c r="H290" s="11" t="s">
        <v>6533</v>
      </c>
      <c r="I290" s="11" t="s">
        <v>6516</v>
      </c>
      <c r="J290" s="11" t="s">
        <v>7418</v>
      </c>
      <c r="K290" s="11" t="s">
        <v>1009</v>
      </c>
      <c r="L290" s="16" t="s">
        <v>5649</v>
      </c>
      <c r="M290" s="11">
        <v>0</v>
      </c>
      <c r="N290" s="9" t="s">
        <v>5044</v>
      </c>
      <c r="O290" s="9" t="s">
        <v>5044</v>
      </c>
      <c r="P290" s="11">
        <v>0</v>
      </c>
      <c r="Q290" s="11">
        <v>0</v>
      </c>
      <c r="R290" s="11">
        <v>0</v>
      </c>
      <c r="S290" s="11">
        <v>1</v>
      </c>
      <c r="T290" s="11">
        <v>1</v>
      </c>
      <c r="U290" s="11">
        <v>152</v>
      </c>
      <c r="V290" s="11">
        <v>0</v>
      </c>
      <c r="W290" s="11">
        <v>1</v>
      </c>
      <c r="X290" s="11">
        <v>0</v>
      </c>
      <c r="Y290" s="11">
        <v>0</v>
      </c>
      <c r="Z290" s="11">
        <v>0</v>
      </c>
      <c r="AA290" s="11">
        <v>0</v>
      </c>
      <c r="AB290" s="11">
        <v>1</v>
      </c>
      <c r="AC290" s="11">
        <v>1</v>
      </c>
      <c r="AD290" s="11" t="s">
        <v>5044</v>
      </c>
      <c r="AE290" s="11" t="s">
        <v>5044</v>
      </c>
      <c r="AF290" s="11" t="s">
        <v>5044</v>
      </c>
      <c r="AG290" s="11">
        <v>1</v>
      </c>
      <c r="AH290" s="11">
        <v>0</v>
      </c>
      <c r="AI290" s="11">
        <v>0</v>
      </c>
      <c r="AJ290" s="11" t="s">
        <v>5044</v>
      </c>
      <c r="AK290" s="11" t="s">
        <v>5318</v>
      </c>
      <c r="AL290" s="11">
        <v>1</v>
      </c>
      <c r="AM290" s="11">
        <v>0</v>
      </c>
      <c r="AN290" s="11" t="s">
        <v>5318</v>
      </c>
      <c r="AO290" s="9">
        <v>0</v>
      </c>
      <c r="AP290" s="11" t="s">
        <v>5318</v>
      </c>
      <c r="AQ290" s="11" t="s">
        <v>5318</v>
      </c>
    </row>
    <row r="291" spans="1:43" ht="63" customHeight="1" x14ac:dyDescent="0.2">
      <c r="A291" s="10">
        <v>3705</v>
      </c>
      <c r="B291" s="11" t="s">
        <v>7419</v>
      </c>
      <c r="C291" s="11" t="s">
        <v>1010</v>
      </c>
      <c r="D291" s="11">
        <v>2014</v>
      </c>
      <c r="E291" s="11" t="s">
        <v>5318</v>
      </c>
      <c r="F291" s="11">
        <v>101</v>
      </c>
      <c r="G291" s="11">
        <v>3</v>
      </c>
      <c r="H291" s="11" t="s">
        <v>6530</v>
      </c>
      <c r="I291" s="11" t="s">
        <v>6516</v>
      </c>
      <c r="J291" s="11" t="s">
        <v>7420</v>
      </c>
      <c r="K291" s="11" t="s">
        <v>1011</v>
      </c>
      <c r="L291" s="16" t="s">
        <v>5650</v>
      </c>
      <c r="M291" s="11">
        <v>0</v>
      </c>
      <c r="N291" s="9" t="s">
        <v>5044</v>
      </c>
      <c r="O291" s="9" t="s">
        <v>5044</v>
      </c>
      <c r="P291" s="11">
        <v>0</v>
      </c>
      <c r="Q291" s="11">
        <v>0</v>
      </c>
      <c r="R291" s="11">
        <v>0</v>
      </c>
      <c r="S291" s="11">
        <v>1</v>
      </c>
      <c r="T291" s="11">
        <v>1</v>
      </c>
      <c r="U291" s="11">
        <v>130</v>
      </c>
      <c r="V291" s="11">
        <v>0</v>
      </c>
      <c r="W291" s="11">
        <v>1</v>
      </c>
      <c r="X291" s="11">
        <v>0</v>
      </c>
      <c r="Y291" s="11">
        <v>0</v>
      </c>
      <c r="Z291" s="11">
        <v>0</v>
      </c>
      <c r="AA291" s="11">
        <v>0</v>
      </c>
      <c r="AB291" s="11">
        <v>1</v>
      </c>
      <c r="AC291" s="11">
        <v>1</v>
      </c>
      <c r="AD291" s="11" t="s">
        <v>5044</v>
      </c>
      <c r="AE291" s="11" t="s">
        <v>5044</v>
      </c>
      <c r="AF291" s="11" t="s">
        <v>5044</v>
      </c>
      <c r="AG291" s="11">
        <v>1</v>
      </c>
      <c r="AH291" s="11">
        <v>0</v>
      </c>
      <c r="AI291" s="11">
        <v>0</v>
      </c>
      <c r="AJ291" s="11" t="s">
        <v>5044</v>
      </c>
      <c r="AK291" s="11" t="s">
        <v>5318</v>
      </c>
      <c r="AL291" s="11">
        <v>0</v>
      </c>
      <c r="AM291" s="11">
        <v>0</v>
      </c>
      <c r="AN291" s="11" t="s">
        <v>5318</v>
      </c>
      <c r="AO291" s="9">
        <v>0</v>
      </c>
      <c r="AP291" s="11" t="s">
        <v>5318</v>
      </c>
      <c r="AQ291" s="11" t="s">
        <v>5318</v>
      </c>
    </row>
    <row r="292" spans="1:43" ht="63" customHeight="1" x14ac:dyDescent="0.2">
      <c r="A292" s="10">
        <v>3706</v>
      </c>
      <c r="B292" s="11" t="s">
        <v>7421</v>
      </c>
      <c r="C292" s="11" t="s">
        <v>1012</v>
      </c>
      <c r="D292" s="11">
        <v>2020</v>
      </c>
      <c r="E292" s="11" t="s">
        <v>5318</v>
      </c>
      <c r="F292" s="11">
        <v>22</v>
      </c>
      <c r="G292" s="11">
        <v>7</v>
      </c>
      <c r="H292" s="11" t="s">
        <v>6867</v>
      </c>
      <c r="I292" s="11" t="s">
        <v>6516</v>
      </c>
      <c r="J292" s="11" t="s">
        <v>7422</v>
      </c>
      <c r="K292" s="11" t="s">
        <v>1013</v>
      </c>
      <c r="L292" s="16" t="s">
        <v>5651</v>
      </c>
      <c r="M292" s="11">
        <v>0</v>
      </c>
      <c r="N292" s="9" t="s">
        <v>5044</v>
      </c>
      <c r="O292" s="9" t="s">
        <v>5044</v>
      </c>
      <c r="P292" s="11">
        <v>0</v>
      </c>
      <c r="Q292" s="11">
        <v>0</v>
      </c>
      <c r="R292" s="11">
        <v>0</v>
      </c>
      <c r="S292" s="11">
        <v>1</v>
      </c>
      <c r="T292" s="11">
        <v>1</v>
      </c>
      <c r="U292" s="11">
        <v>102</v>
      </c>
      <c r="V292" s="11">
        <v>0</v>
      </c>
      <c r="W292" s="11">
        <v>1</v>
      </c>
      <c r="X292" s="11">
        <v>0</v>
      </c>
      <c r="Y292" s="11">
        <v>0</v>
      </c>
      <c r="Z292" s="11">
        <v>0</v>
      </c>
      <c r="AA292" s="11">
        <v>0</v>
      </c>
      <c r="AB292" s="11">
        <v>1</v>
      </c>
      <c r="AC292" s="11">
        <v>1</v>
      </c>
      <c r="AD292" s="11" t="s">
        <v>5044</v>
      </c>
      <c r="AE292" s="11" t="s">
        <v>5044</v>
      </c>
      <c r="AF292" s="11" t="s">
        <v>5044</v>
      </c>
      <c r="AG292" s="11">
        <v>2</v>
      </c>
      <c r="AH292" s="11">
        <v>3</v>
      </c>
      <c r="AI292" s="11">
        <v>0</v>
      </c>
      <c r="AJ292" s="11" t="s">
        <v>5044</v>
      </c>
      <c r="AK292" s="11">
        <v>1</v>
      </c>
      <c r="AL292" s="11">
        <v>1</v>
      </c>
      <c r="AM292" s="11">
        <v>0</v>
      </c>
      <c r="AN292" s="11" t="s">
        <v>5318</v>
      </c>
      <c r="AO292" s="11">
        <v>3</v>
      </c>
      <c r="AP292" s="11" t="s">
        <v>5318</v>
      </c>
      <c r="AQ292" s="11" t="s">
        <v>5318</v>
      </c>
    </row>
    <row r="293" spans="1:43" ht="63" customHeight="1" x14ac:dyDescent="0.2">
      <c r="A293" s="10">
        <v>3718</v>
      </c>
      <c r="B293" s="11" t="s">
        <v>7423</v>
      </c>
      <c r="C293" s="11" t="s">
        <v>1014</v>
      </c>
      <c r="D293" s="11">
        <v>2019</v>
      </c>
      <c r="E293" s="11" t="s">
        <v>5318</v>
      </c>
      <c r="F293" s="11">
        <v>126</v>
      </c>
      <c r="G293" s="11">
        <v>10</v>
      </c>
      <c r="H293" s="11" t="s">
        <v>7111</v>
      </c>
      <c r="I293" s="11" t="s">
        <v>6516</v>
      </c>
      <c r="J293" s="11" t="s">
        <v>7424</v>
      </c>
      <c r="K293" s="11" t="s">
        <v>1016</v>
      </c>
      <c r="L293" s="12" t="s">
        <v>5652</v>
      </c>
      <c r="M293" s="11">
        <v>0</v>
      </c>
      <c r="N293" s="9" t="s">
        <v>5044</v>
      </c>
      <c r="O293" s="9" t="s">
        <v>5044</v>
      </c>
      <c r="P293" s="11">
        <v>0</v>
      </c>
      <c r="Q293" s="11">
        <v>0</v>
      </c>
      <c r="R293" s="11">
        <v>0</v>
      </c>
      <c r="S293" s="11">
        <v>5</v>
      </c>
      <c r="T293" s="11">
        <v>1</v>
      </c>
      <c r="U293" s="11">
        <v>207</v>
      </c>
      <c r="V293" s="11">
        <v>0</v>
      </c>
      <c r="W293" s="11">
        <v>1</v>
      </c>
      <c r="X293" s="11">
        <v>0</v>
      </c>
      <c r="Y293" s="11">
        <v>0</v>
      </c>
      <c r="Z293" s="11">
        <v>0</v>
      </c>
      <c r="AA293" s="11">
        <v>0</v>
      </c>
      <c r="AB293" s="11">
        <v>1</v>
      </c>
      <c r="AC293" s="11">
        <v>1</v>
      </c>
      <c r="AD293" s="11" t="s">
        <v>5044</v>
      </c>
      <c r="AE293" s="11" t="s">
        <v>5044</v>
      </c>
      <c r="AF293" s="11" t="s">
        <v>5044</v>
      </c>
      <c r="AG293" s="11">
        <v>2</v>
      </c>
      <c r="AH293" s="11">
        <v>2</v>
      </c>
      <c r="AI293" s="11">
        <v>2</v>
      </c>
      <c r="AJ293" s="11" t="s">
        <v>5044</v>
      </c>
      <c r="AK293" s="11" t="s">
        <v>5318</v>
      </c>
      <c r="AL293" s="11">
        <v>1</v>
      </c>
      <c r="AM293" s="11">
        <v>0</v>
      </c>
      <c r="AN293" s="11" t="s">
        <v>5318</v>
      </c>
      <c r="AO293" s="11">
        <v>2</v>
      </c>
      <c r="AP293" s="11" t="s">
        <v>5318</v>
      </c>
      <c r="AQ293" s="11" t="s">
        <v>5318</v>
      </c>
    </row>
    <row r="294" spans="1:43" ht="63" customHeight="1" x14ac:dyDescent="0.2">
      <c r="A294" s="10">
        <v>3719</v>
      </c>
      <c r="B294" s="11" t="s">
        <v>7425</v>
      </c>
      <c r="C294" s="11" t="s">
        <v>1017</v>
      </c>
      <c r="D294" s="11">
        <v>2013</v>
      </c>
      <c r="E294" s="11" t="s">
        <v>5318</v>
      </c>
      <c r="F294" s="11">
        <v>171</v>
      </c>
      <c r="G294" s="11">
        <v>1</v>
      </c>
      <c r="H294" s="11" t="s">
        <v>7426</v>
      </c>
      <c r="I294" s="11" t="s">
        <v>6516</v>
      </c>
      <c r="J294" s="11" t="s">
        <v>7427</v>
      </c>
      <c r="K294" s="11" t="s">
        <v>1018</v>
      </c>
      <c r="L294" s="11" t="s">
        <v>5044</v>
      </c>
      <c r="M294" s="11">
        <v>0</v>
      </c>
      <c r="N294" s="9" t="s">
        <v>5044</v>
      </c>
      <c r="O294" s="9" t="s">
        <v>5044</v>
      </c>
      <c r="P294" s="11">
        <v>0</v>
      </c>
      <c r="Q294" s="11">
        <v>0</v>
      </c>
      <c r="R294" s="11">
        <v>0</v>
      </c>
      <c r="S294" s="11">
        <v>5</v>
      </c>
      <c r="T294" s="11">
        <v>1</v>
      </c>
      <c r="U294" s="11">
        <v>293</v>
      </c>
      <c r="V294" s="11">
        <v>0</v>
      </c>
      <c r="W294" s="11">
        <v>1</v>
      </c>
      <c r="X294" s="11">
        <v>0</v>
      </c>
      <c r="Y294" s="11">
        <v>0</v>
      </c>
      <c r="Z294" s="11">
        <v>0</v>
      </c>
      <c r="AA294" s="11">
        <v>0</v>
      </c>
      <c r="AB294" s="11">
        <v>1</v>
      </c>
      <c r="AC294" s="11">
        <v>1</v>
      </c>
      <c r="AD294" s="11" t="s">
        <v>5044</v>
      </c>
      <c r="AE294" s="11" t="s">
        <v>5044</v>
      </c>
      <c r="AF294" s="11" t="s">
        <v>5044</v>
      </c>
      <c r="AG294" s="11">
        <v>2</v>
      </c>
      <c r="AH294" s="11">
        <v>3</v>
      </c>
      <c r="AI294" s="11">
        <v>0</v>
      </c>
      <c r="AJ294" s="11" t="s">
        <v>5044</v>
      </c>
      <c r="AK294" s="11">
        <v>1</v>
      </c>
      <c r="AL294" s="11">
        <v>1</v>
      </c>
      <c r="AM294" s="11">
        <v>0</v>
      </c>
      <c r="AN294" s="11" t="s">
        <v>5105</v>
      </c>
      <c r="AO294" s="11">
        <v>3</v>
      </c>
      <c r="AP294" s="11" t="s">
        <v>5318</v>
      </c>
      <c r="AQ294" s="11" t="s">
        <v>5318</v>
      </c>
    </row>
    <row r="295" spans="1:43" ht="63" customHeight="1" x14ac:dyDescent="0.2">
      <c r="A295" s="10">
        <v>3728</v>
      </c>
      <c r="B295" s="11" t="s">
        <v>7428</v>
      </c>
      <c r="C295" s="11" t="s">
        <v>1019</v>
      </c>
      <c r="D295" s="11">
        <v>2022</v>
      </c>
      <c r="E295" s="11" t="s">
        <v>5318</v>
      </c>
      <c r="F295" s="11">
        <v>22</v>
      </c>
      <c r="G295" s="11">
        <v>1</v>
      </c>
      <c r="H295" s="11" t="s">
        <v>7082</v>
      </c>
      <c r="I295" s="11" t="s">
        <v>6516</v>
      </c>
      <c r="J295" s="11" t="s">
        <v>7429</v>
      </c>
      <c r="K295" s="11" t="s">
        <v>1020</v>
      </c>
      <c r="L295" s="16" t="s">
        <v>5653</v>
      </c>
      <c r="M295" s="11">
        <v>0</v>
      </c>
      <c r="N295" s="9" t="s">
        <v>5044</v>
      </c>
      <c r="O295" s="9" t="s">
        <v>5044</v>
      </c>
      <c r="P295" s="11">
        <v>0</v>
      </c>
      <c r="Q295" s="11">
        <v>0</v>
      </c>
      <c r="R295" s="11">
        <v>0</v>
      </c>
      <c r="S295" s="11">
        <v>1</v>
      </c>
      <c r="T295" s="11">
        <v>6</v>
      </c>
      <c r="U295" s="11">
        <v>56</v>
      </c>
      <c r="V295" s="11">
        <v>0</v>
      </c>
      <c r="W295" s="11">
        <v>1</v>
      </c>
      <c r="X295" s="11">
        <v>0</v>
      </c>
      <c r="Y295" s="11">
        <v>0</v>
      </c>
      <c r="Z295" s="11">
        <v>0</v>
      </c>
      <c r="AA295" s="11">
        <v>0</v>
      </c>
      <c r="AB295" s="11">
        <v>1</v>
      </c>
      <c r="AC295" s="11">
        <v>1</v>
      </c>
      <c r="AD295" s="11" t="s">
        <v>5044</v>
      </c>
      <c r="AE295" s="11" t="s">
        <v>5044</v>
      </c>
      <c r="AF295" s="11" t="s">
        <v>5044</v>
      </c>
      <c r="AG295" s="11">
        <v>1</v>
      </c>
      <c r="AH295" s="11">
        <v>0</v>
      </c>
      <c r="AI295" s="11">
        <v>0</v>
      </c>
      <c r="AJ295" s="11" t="s">
        <v>5044</v>
      </c>
      <c r="AK295" s="11" t="s">
        <v>5318</v>
      </c>
      <c r="AL295" s="11">
        <v>0</v>
      </c>
      <c r="AM295" s="11">
        <v>0</v>
      </c>
      <c r="AN295" s="11" t="s">
        <v>5318</v>
      </c>
      <c r="AO295" s="9">
        <v>0</v>
      </c>
      <c r="AP295" s="11" t="s">
        <v>5318</v>
      </c>
      <c r="AQ295" s="11" t="s">
        <v>5318</v>
      </c>
    </row>
    <row r="296" spans="1:43" ht="63" customHeight="1" x14ac:dyDescent="0.2">
      <c r="A296" s="10">
        <v>3752</v>
      </c>
      <c r="B296" s="11" t="s">
        <v>7430</v>
      </c>
      <c r="C296" s="11" t="s">
        <v>1021</v>
      </c>
      <c r="D296" s="11">
        <v>2020</v>
      </c>
      <c r="E296" s="11" t="s">
        <v>5318</v>
      </c>
      <c r="F296" s="11">
        <v>126</v>
      </c>
      <c r="G296" s="11">
        <v>5</v>
      </c>
      <c r="H296" s="11" t="s">
        <v>7103</v>
      </c>
      <c r="I296" s="11" t="s">
        <v>6516</v>
      </c>
      <c r="J296" s="11" t="s">
        <v>7431</v>
      </c>
      <c r="K296" s="11" t="s">
        <v>1022</v>
      </c>
      <c r="L296" s="11" t="s">
        <v>5044</v>
      </c>
      <c r="M296" s="11">
        <v>0</v>
      </c>
      <c r="N296" s="9" t="s">
        <v>5044</v>
      </c>
      <c r="O296" s="9" t="s">
        <v>5044</v>
      </c>
      <c r="P296" s="11">
        <v>0</v>
      </c>
      <c r="Q296" s="11">
        <v>0</v>
      </c>
      <c r="R296" s="11">
        <v>0</v>
      </c>
      <c r="S296" s="11">
        <v>3</v>
      </c>
      <c r="T296" s="11">
        <v>4</v>
      </c>
      <c r="U296" s="11">
        <v>110</v>
      </c>
      <c r="V296" s="11">
        <v>0</v>
      </c>
      <c r="W296" s="11">
        <v>1</v>
      </c>
      <c r="X296" s="11">
        <v>0</v>
      </c>
      <c r="Y296" s="11">
        <v>0</v>
      </c>
      <c r="Z296" s="11">
        <v>0</v>
      </c>
      <c r="AA296" s="11">
        <v>0</v>
      </c>
      <c r="AB296" s="11">
        <v>1</v>
      </c>
      <c r="AC296" s="11">
        <v>1</v>
      </c>
      <c r="AD296" s="11" t="s">
        <v>5044</v>
      </c>
      <c r="AE296" s="11" t="s">
        <v>5044</v>
      </c>
      <c r="AF296" s="11" t="s">
        <v>5044</v>
      </c>
      <c r="AG296" s="11">
        <v>1</v>
      </c>
      <c r="AH296" s="11">
        <v>0</v>
      </c>
      <c r="AI296" s="11">
        <v>0</v>
      </c>
      <c r="AJ296" s="11" t="s">
        <v>5044</v>
      </c>
      <c r="AK296" s="11" t="s">
        <v>5318</v>
      </c>
      <c r="AL296" s="11">
        <v>1</v>
      </c>
      <c r="AM296" s="11">
        <v>0</v>
      </c>
      <c r="AN296" s="11" t="s">
        <v>5318</v>
      </c>
      <c r="AO296" s="9">
        <v>0</v>
      </c>
      <c r="AP296" s="11" t="s">
        <v>5318</v>
      </c>
      <c r="AQ296" s="11" t="s">
        <v>5318</v>
      </c>
    </row>
    <row r="297" spans="1:43" ht="63" customHeight="1" x14ac:dyDescent="0.2">
      <c r="A297" s="10">
        <v>3763</v>
      </c>
      <c r="B297" s="11" t="s">
        <v>7432</v>
      </c>
      <c r="C297" s="11" t="s">
        <v>1023</v>
      </c>
      <c r="D297" s="11">
        <v>2018</v>
      </c>
      <c r="E297" s="11" t="s">
        <v>5318</v>
      </c>
      <c r="F297" s="11">
        <v>32</v>
      </c>
      <c r="G297" s="11">
        <v>6</v>
      </c>
      <c r="H297" s="11" t="s">
        <v>7433</v>
      </c>
      <c r="I297" s="11" t="s">
        <v>6516</v>
      </c>
      <c r="J297" s="11" t="s">
        <v>7434</v>
      </c>
      <c r="K297" s="11" t="s">
        <v>1024</v>
      </c>
      <c r="L297" s="11" t="s">
        <v>5044</v>
      </c>
      <c r="M297" s="11">
        <v>0</v>
      </c>
      <c r="N297" s="9" t="s">
        <v>5044</v>
      </c>
      <c r="O297" s="9" t="s">
        <v>5044</v>
      </c>
      <c r="P297" s="11">
        <v>0</v>
      </c>
      <c r="Q297" s="11">
        <v>0</v>
      </c>
      <c r="R297" s="11">
        <v>0</v>
      </c>
      <c r="S297" s="11">
        <v>1</v>
      </c>
      <c r="T297" s="11">
        <v>4</v>
      </c>
      <c r="U297" s="11">
        <v>160</v>
      </c>
      <c r="V297" s="11">
        <v>1</v>
      </c>
      <c r="W297" s="11">
        <v>0</v>
      </c>
      <c r="X297" s="11">
        <v>0</v>
      </c>
      <c r="Y297" s="11">
        <v>0</v>
      </c>
      <c r="Z297" s="11">
        <v>0</v>
      </c>
      <c r="AA297" s="11">
        <v>0</v>
      </c>
      <c r="AB297" s="11">
        <v>1</v>
      </c>
      <c r="AC297" s="11">
        <v>1</v>
      </c>
      <c r="AD297" s="11">
        <v>1</v>
      </c>
      <c r="AE297" s="11">
        <v>0</v>
      </c>
      <c r="AF297" s="11">
        <v>0</v>
      </c>
      <c r="AG297" s="11" t="s">
        <v>5044</v>
      </c>
      <c r="AH297" s="11" t="s">
        <v>5044</v>
      </c>
      <c r="AI297" s="11" t="s">
        <v>5044</v>
      </c>
      <c r="AJ297" s="11" t="s">
        <v>5044</v>
      </c>
      <c r="AK297" s="11" t="s">
        <v>5318</v>
      </c>
      <c r="AL297" s="11">
        <v>1</v>
      </c>
      <c r="AM297" s="11">
        <v>0</v>
      </c>
      <c r="AN297" s="11" t="s">
        <v>5318</v>
      </c>
      <c r="AO297" s="9">
        <v>0</v>
      </c>
      <c r="AP297" s="11" t="s">
        <v>5318</v>
      </c>
      <c r="AQ297" s="11" t="s">
        <v>5318</v>
      </c>
    </row>
    <row r="298" spans="1:43" ht="63" customHeight="1" x14ac:dyDescent="0.2">
      <c r="A298" s="10">
        <v>3765</v>
      </c>
      <c r="B298" s="11" t="s">
        <v>7435</v>
      </c>
      <c r="C298" s="11" t="s">
        <v>1025</v>
      </c>
      <c r="D298" s="11">
        <v>2021</v>
      </c>
      <c r="E298" s="11" t="s">
        <v>5318</v>
      </c>
      <c r="F298" s="11">
        <v>27</v>
      </c>
      <c r="G298" s="11">
        <v>4</v>
      </c>
      <c r="H298" s="11" t="s">
        <v>6657</v>
      </c>
      <c r="I298" s="11" t="s">
        <v>6516</v>
      </c>
      <c r="J298" s="11" t="s">
        <v>7436</v>
      </c>
      <c r="K298" s="11" t="s">
        <v>1026</v>
      </c>
      <c r="L298" s="11" t="s">
        <v>5044</v>
      </c>
      <c r="M298" s="11">
        <v>0</v>
      </c>
      <c r="N298" s="9" t="s">
        <v>5044</v>
      </c>
      <c r="O298" s="9" t="s">
        <v>5044</v>
      </c>
      <c r="P298" s="11">
        <v>0</v>
      </c>
      <c r="Q298" s="11">
        <v>0</v>
      </c>
      <c r="R298" s="11">
        <v>0</v>
      </c>
      <c r="S298" s="11">
        <v>9</v>
      </c>
      <c r="T298" s="11">
        <v>4</v>
      </c>
      <c r="U298" s="11">
        <v>110</v>
      </c>
      <c r="V298" s="11">
        <v>0</v>
      </c>
      <c r="W298" s="11">
        <v>1</v>
      </c>
      <c r="X298" s="11">
        <v>0</v>
      </c>
      <c r="Y298" s="11">
        <v>0</v>
      </c>
      <c r="Z298" s="11">
        <v>0</v>
      </c>
      <c r="AA298" s="11">
        <v>0</v>
      </c>
      <c r="AB298" s="11">
        <v>1</v>
      </c>
      <c r="AC298" s="11">
        <v>1</v>
      </c>
      <c r="AD298" s="11" t="s">
        <v>5044</v>
      </c>
      <c r="AE298" s="11" t="s">
        <v>5044</v>
      </c>
      <c r="AF298" s="11" t="s">
        <v>5044</v>
      </c>
      <c r="AG298" s="11">
        <v>2</v>
      </c>
      <c r="AH298" s="11">
        <v>2</v>
      </c>
      <c r="AI298" s="11">
        <v>3</v>
      </c>
      <c r="AJ298" s="11" t="s">
        <v>5044</v>
      </c>
      <c r="AK298" s="11" t="s">
        <v>5318</v>
      </c>
      <c r="AL298" s="11">
        <v>0</v>
      </c>
      <c r="AM298" s="11">
        <v>0</v>
      </c>
      <c r="AN298" s="11" t="s">
        <v>5318</v>
      </c>
      <c r="AO298" s="11">
        <v>2</v>
      </c>
      <c r="AP298" s="11" t="s">
        <v>5318</v>
      </c>
      <c r="AQ298" s="11" t="s">
        <v>5318</v>
      </c>
    </row>
    <row r="299" spans="1:43" ht="63" customHeight="1" x14ac:dyDescent="0.2">
      <c r="A299" s="10">
        <v>3780</v>
      </c>
      <c r="B299" s="11" t="s">
        <v>7437</v>
      </c>
      <c r="C299" s="11" t="s">
        <v>1027</v>
      </c>
      <c r="D299" s="11">
        <v>2017</v>
      </c>
      <c r="E299" s="11" t="s">
        <v>5318</v>
      </c>
      <c r="F299" s="11">
        <v>265</v>
      </c>
      <c r="G299" s="11">
        <v>5</v>
      </c>
      <c r="H299" s="11" t="s">
        <v>6533</v>
      </c>
      <c r="I299" s="11" t="s">
        <v>6516</v>
      </c>
      <c r="J299" s="11" t="s">
        <v>7438</v>
      </c>
      <c r="K299" s="11" t="s">
        <v>1029</v>
      </c>
      <c r="L299" s="11" t="s">
        <v>5468</v>
      </c>
      <c r="M299" s="11">
        <v>0</v>
      </c>
      <c r="N299" s="9" t="s">
        <v>5044</v>
      </c>
      <c r="O299" s="9" t="s">
        <v>5044</v>
      </c>
      <c r="P299" s="11">
        <v>0</v>
      </c>
      <c r="Q299" s="11">
        <v>0</v>
      </c>
      <c r="R299" s="11">
        <v>0</v>
      </c>
      <c r="S299" s="11">
        <v>1</v>
      </c>
      <c r="T299" s="11">
        <v>5</v>
      </c>
      <c r="U299" s="11">
        <v>41</v>
      </c>
      <c r="V299" s="11">
        <v>0</v>
      </c>
      <c r="W299" s="11">
        <v>1</v>
      </c>
      <c r="X299" s="11">
        <v>0</v>
      </c>
      <c r="Y299" s="11">
        <v>0</v>
      </c>
      <c r="Z299" s="11">
        <v>0</v>
      </c>
      <c r="AA299" s="11">
        <v>0</v>
      </c>
      <c r="AB299" s="11">
        <v>1</v>
      </c>
      <c r="AC299" s="11">
        <v>0</v>
      </c>
      <c r="AD299" s="11" t="s">
        <v>5044</v>
      </c>
      <c r="AE299" s="11" t="s">
        <v>5044</v>
      </c>
      <c r="AF299" s="11" t="s">
        <v>5044</v>
      </c>
      <c r="AG299" s="11">
        <v>0</v>
      </c>
      <c r="AH299" s="11" t="s">
        <v>5044</v>
      </c>
      <c r="AI299" s="11" t="s">
        <v>5044</v>
      </c>
      <c r="AJ299" s="11" t="s">
        <v>5044</v>
      </c>
      <c r="AK299" s="11" t="s">
        <v>5318</v>
      </c>
      <c r="AL299" s="11">
        <v>1</v>
      </c>
      <c r="AM299" s="11">
        <v>0</v>
      </c>
      <c r="AN299" s="11" t="s">
        <v>5318</v>
      </c>
      <c r="AO299" s="11">
        <v>9</v>
      </c>
      <c r="AP299" s="11" t="s">
        <v>5318</v>
      </c>
      <c r="AQ299" s="11" t="s">
        <v>5318</v>
      </c>
    </row>
    <row r="300" spans="1:43" ht="63" customHeight="1" x14ac:dyDescent="0.2">
      <c r="A300" s="10">
        <v>3797</v>
      </c>
      <c r="B300" s="11" t="s">
        <v>7439</v>
      </c>
      <c r="C300" s="11" t="s">
        <v>1030</v>
      </c>
      <c r="D300" s="11">
        <v>2020</v>
      </c>
      <c r="E300" s="11" t="s">
        <v>5318</v>
      </c>
      <c r="F300" s="11">
        <v>405</v>
      </c>
      <c r="G300" s="11">
        <v>4</v>
      </c>
      <c r="H300" s="11" t="s">
        <v>7023</v>
      </c>
      <c r="I300" s="11" t="s">
        <v>6516</v>
      </c>
      <c r="J300" s="11" t="s">
        <v>7440</v>
      </c>
      <c r="K300" s="11" t="s">
        <v>1032</v>
      </c>
      <c r="L300" s="11" t="s">
        <v>5440</v>
      </c>
      <c r="M300" s="11">
        <v>0</v>
      </c>
      <c r="N300" s="9" t="s">
        <v>5044</v>
      </c>
      <c r="O300" s="9" t="s">
        <v>5044</v>
      </c>
      <c r="P300" s="11">
        <v>1</v>
      </c>
      <c r="Q300" s="11">
        <v>0</v>
      </c>
      <c r="R300" s="11">
        <v>0</v>
      </c>
      <c r="S300" s="11">
        <v>1</v>
      </c>
      <c r="T300" s="11">
        <v>1</v>
      </c>
      <c r="U300" s="11">
        <v>100</v>
      </c>
      <c r="V300" s="11">
        <v>0</v>
      </c>
      <c r="W300" s="11">
        <v>1</v>
      </c>
      <c r="X300" s="11">
        <v>0</v>
      </c>
      <c r="Y300" s="11">
        <v>0</v>
      </c>
      <c r="Z300" s="11">
        <v>1</v>
      </c>
      <c r="AA300" s="11">
        <v>0</v>
      </c>
      <c r="AB300" s="11">
        <v>1</v>
      </c>
      <c r="AC300" s="11">
        <v>1</v>
      </c>
      <c r="AD300" s="11" t="s">
        <v>5044</v>
      </c>
      <c r="AE300" s="11" t="s">
        <v>5044</v>
      </c>
      <c r="AF300" s="11" t="s">
        <v>5044</v>
      </c>
      <c r="AG300" s="11">
        <v>1</v>
      </c>
      <c r="AH300" s="11">
        <v>0</v>
      </c>
      <c r="AI300" s="11">
        <v>0</v>
      </c>
      <c r="AJ300" s="11">
        <v>0</v>
      </c>
      <c r="AK300" s="11" t="s">
        <v>5318</v>
      </c>
      <c r="AL300" s="11" t="s">
        <v>5044</v>
      </c>
      <c r="AM300" s="11">
        <v>0</v>
      </c>
      <c r="AN300" s="11" t="s">
        <v>5318</v>
      </c>
      <c r="AO300" s="9">
        <v>0</v>
      </c>
      <c r="AP300" s="11" t="s">
        <v>5318</v>
      </c>
      <c r="AQ300" s="11" t="s">
        <v>5318</v>
      </c>
    </row>
    <row r="301" spans="1:43" ht="63" customHeight="1" x14ac:dyDescent="0.2">
      <c r="A301" s="10">
        <v>3801</v>
      </c>
      <c r="B301" s="11" t="s">
        <v>7443</v>
      </c>
      <c r="C301" s="11" t="s">
        <v>1035</v>
      </c>
      <c r="D301" s="11">
        <v>2016</v>
      </c>
      <c r="E301" s="11" t="s">
        <v>5318</v>
      </c>
      <c r="F301" s="11">
        <v>20</v>
      </c>
      <c r="G301" s="11" t="s">
        <v>5318</v>
      </c>
      <c r="H301" s="11" t="s">
        <v>7444</v>
      </c>
      <c r="I301" s="11" t="s">
        <v>6516</v>
      </c>
      <c r="J301" s="11" t="s">
        <v>5318</v>
      </c>
      <c r="K301" s="11" t="s">
        <v>1036</v>
      </c>
      <c r="L301" s="11" t="s">
        <v>5470</v>
      </c>
      <c r="M301" s="11">
        <v>0</v>
      </c>
      <c r="N301" s="9" t="s">
        <v>5044</v>
      </c>
      <c r="O301" s="9" t="s">
        <v>5044</v>
      </c>
      <c r="P301" s="11">
        <v>1</v>
      </c>
      <c r="Q301" s="11">
        <v>0</v>
      </c>
      <c r="R301" s="11">
        <v>0</v>
      </c>
      <c r="S301" s="11">
        <v>1</v>
      </c>
      <c r="T301" s="11">
        <v>1</v>
      </c>
      <c r="U301" s="11">
        <v>20</v>
      </c>
      <c r="V301" s="11">
        <v>0</v>
      </c>
      <c r="W301" s="11">
        <v>1</v>
      </c>
      <c r="X301" s="11">
        <v>0</v>
      </c>
      <c r="Y301" s="11">
        <v>0</v>
      </c>
      <c r="Z301" s="11">
        <v>1</v>
      </c>
      <c r="AA301" s="11">
        <v>0</v>
      </c>
      <c r="AB301" s="11">
        <v>1</v>
      </c>
      <c r="AC301" s="11">
        <v>1</v>
      </c>
      <c r="AD301" s="11" t="s">
        <v>5044</v>
      </c>
      <c r="AE301" s="11" t="s">
        <v>5044</v>
      </c>
      <c r="AF301" s="11" t="s">
        <v>5044</v>
      </c>
      <c r="AG301" s="11">
        <v>1</v>
      </c>
      <c r="AH301" s="11">
        <v>0</v>
      </c>
      <c r="AI301" s="11">
        <v>0</v>
      </c>
      <c r="AJ301" s="11">
        <v>0</v>
      </c>
      <c r="AK301" s="11" t="s">
        <v>5318</v>
      </c>
      <c r="AL301" s="11" t="s">
        <v>5044</v>
      </c>
      <c r="AM301" s="11">
        <v>0</v>
      </c>
      <c r="AN301" s="11" t="s">
        <v>7445</v>
      </c>
      <c r="AO301" s="9">
        <v>0</v>
      </c>
      <c r="AP301" s="11" t="s">
        <v>5318</v>
      </c>
      <c r="AQ301" s="11" t="s">
        <v>5318</v>
      </c>
    </row>
    <row r="302" spans="1:43" ht="63" customHeight="1" x14ac:dyDescent="0.2">
      <c r="A302" s="10">
        <v>3818</v>
      </c>
      <c r="B302" s="11" t="s">
        <v>7448</v>
      </c>
      <c r="C302" s="11" t="s">
        <v>1039</v>
      </c>
      <c r="D302" s="11">
        <v>2022</v>
      </c>
      <c r="E302" s="11" t="s">
        <v>5318</v>
      </c>
      <c r="F302" s="11">
        <v>26</v>
      </c>
      <c r="G302" s="11">
        <v>1</v>
      </c>
      <c r="H302" s="11" t="s">
        <v>6725</v>
      </c>
      <c r="I302" s="11" t="s">
        <v>6516</v>
      </c>
      <c r="J302" s="11" t="s">
        <v>7449</v>
      </c>
      <c r="K302" s="11" t="s">
        <v>1040</v>
      </c>
      <c r="L302" s="11" t="s">
        <v>5472</v>
      </c>
      <c r="M302" s="11">
        <v>0</v>
      </c>
      <c r="N302" s="9" t="s">
        <v>5044</v>
      </c>
      <c r="O302" s="9" t="s">
        <v>5044</v>
      </c>
      <c r="P302" s="11">
        <v>0</v>
      </c>
      <c r="Q302" s="11">
        <v>0</v>
      </c>
      <c r="R302" s="11">
        <v>0</v>
      </c>
      <c r="S302" s="11">
        <v>1</v>
      </c>
      <c r="T302" s="11">
        <v>4</v>
      </c>
      <c r="U302" s="11">
        <v>120</v>
      </c>
      <c r="V302" s="11">
        <v>0</v>
      </c>
      <c r="W302" s="11">
        <v>1</v>
      </c>
      <c r="X302" s="11">
        <v>0</v>
      </c>
      <c r="Y302" s="11">
        <v>0</v>
      </c>
      <c r="Z302" s="11">
        <v>0</v>
      </c>
      <c r="AA302" s="11">
        <v>0</v>
      </c>
      <c r="AB302" s="11">
        <v>1</v>
      </c>
      <c r="AC302" s="11">
        <v>1</v>
      </c>
      <c r="AD302" s="11" t="s">
        <v>5044</v>
      </c>
      <c r="AE302" s="11" t="s">
        <v>5044</v>
      </c>
      <c r="AF302" s="11" t="s">
        <v>5044</v>
      </c>
      <c r="AG302" s="11">
        <v>2</v>
      </c>
      <c r="AH302" s="11">
        <v>3</v>
      </c>
      <c r="AI302" s="11">
        <v>0</v>
      </c>
      <c r="AJ302" s="11" t="s">
        <v>5044</v>
      </c>
      <c r="AK302" s="11" t="s">
        <v>5318</v>
      </c>
      <c r="AL302" s="11">
        <v>1</v>
      </c>
      <c r="AM302" s="11">
        <v>0</v>
      </c>
      <c r="AN302" s="11" t="s">
        <v>5318</v>
      </c>
      <c r="AO302" s="11">
        <v>3</v>
      </c>
      <c r="AP302" s="11" t="s">
        <v>5318</v>
      </c>
      <c r="AQ302" s="11" t="s">
        <v>5318</v>
      </c>
    </row>
    <row r="303" spans="1:43" ht="63" customHeight="1" x14ac:dyDescent="0.2">
      <c r="A303" s="10">
        <v>3820</v>
      </c>
      <c r="B303" s="11" t="s">
        <v>7450</v>
      </c>
      <c r="C303" s="11" t="s">
        <v>1041</v>
      </c>
      <c r="D303" s="11">
        <v>2014</v>
      </c>
      <c r="E303" s="11" t="s">
        <v>5318</v>
      </c>
      <c r="F303" s="11">
        <v>42</v>
      </c>
      <c r="G303" s="11">
        <v>2</v>
      </c>
      <c r="H303" s="11" t="s">
        <v>7451</v>
      </c>
      <c r="I303" s="11" t="s">
        <v>6516</v>
      </c>
      <c r="J303" s="11" t="s">
        <v>7452</v>
      </c>
      <c r="K303" s="11" t="s">
        <v>1044</v>
      </c>
      <c r="L303" s="11" t="s">
        <v>5044</v>
      </c>
      <c r="M303" s="11">
        <v>0</v>
      </c>
      <c r="N303" s="9" t="s">
        <v>5044</v>
      </c>
      <c r="O303" s="9" t="s">
        <v>5044</v>
      </c>
      <c r="P303" s="11">
        <v>0</v>
      </c>
      <c r="Q303" s="11">
        <v>0</v>
      </c>
      <c r="R303" s="11">
        <v>0</v>
      </c>
      <c r="S303" s="11">
        <v>3</v>
      </c>
      <c r="T303" s="11">
        <v>4</v>
      </c>
      <c r="U303" s="11">
        <v>70</v>
      </c>
      <c r="V303" s="11">
        <v>0</v>
      </c>
      <c r="W303" s="11">
        <v>1</v>
      </c>
      <c r="X303" s="11">
        <v>0</v>
      </c>
      <c r="Y303" s="11">
        <v>0</v>
      </c>
      <c r="Z303" s="11">
        <v>0</v>
      </c>
      <c r="AA303" s="11">
        <v>0</v>
      </c>
      <c r="AB303" s="11">
        <v>0</v>
      </c>
      <c r="AC303" s="11">
        <v>1</v>
      </c>
      <c r="AD303" s="11" t="s">
        <v>5044</v>
      </c>
      <c r="AE303" s="11" t="s">
        <v>5044</v>
      </c>
      <c r="AF303" s="11" t="s">
        <v>5044</v>
      </c>
      <c r="AG303" s="11">
        <v>1</v>
      </c>
      <c r="AH303" s="11">
        <v>0</v>
      </c>
      <c r="AI303" s="11">
        <v>0</v>
      </c>
      <c r="AJ303" s="11" t="s">
        <v>5044</v>
      </c>
      <c r="AK303" s="11" t="s">
        <v>5318</v>
      </c>
      <c r="AL303" s="11" t="s">
        <v>5044</v>
      </c>
      <c r="AM303" s="11">
        <v>0</v>
      </c>
      <c r="AN303" s="11" t="s">
        <v>5318</v>
      </c>
      <c r="AO303" s="9">
        <v>0</v>
      </c>
      <c r="AP303" s="11" t="s">
        <v>5318</v>
      </c>
      <c r="AQ303" s="11" t="s">
        <v>5318</v>
      </c>
    </row>
    <row r="304" spans="1:43" ht="63" customHeight="1" x14ac:dyDescent="0.2">
      <c r="A304" s="10">
        <v>3837</v>
      </c>
      <c r="B304" s="11" t="s">
        <v>7455</v>
      </c>
      <c r="C304" s="11" t="s">
        <v>1047</v>
      </c>
      <c r="D304" s="11">
        <v>2018</v>
      </c>
      <c r="E304" s="11" t="s">
        <v>5318</v>
      </c>
      <c r="F304" s="11">
        <v>268</v>
      </c>
      <c r="G304" s="11">
        <v>5</v>
      </c>
      <c r="H304" s="11" t="s">
        <v>6533</v>
      </c>
      <c r="I304" s="11" t="s">
        <v>6878</v>
      </c>
      <c r="J304" s="11" t="s">
        <v>7456</v>
      </c>
      <c r="K304" s="11" t="s">
        <v>1049</v>
      </c>
      <c r="L304" s="11" t="s">
        <v>5474</v>
      </c>
      <c r="M304" s="11">
        <v>0</v>
      </c>
      <c r="N304" s="9" t="s">
        <v>5044</v>
      </c>
      <c r="O304" s="9" t="s">
        <v>5044</v>
      </c>
      <c r="P304" s="11">
        <v>0</v>
      </c>
      <c r="Q304" s="11">
        <v>0</v>
      </c>
      <c r="R304" s="11">
        <v>0</v>
      </c>
      <c r="S304" s="11">
        <v>1</v>
      </c>
      <c r="T304" s="11">
        <v>1</v>
      </c>
      <c r="U304" s="11">
        <v>66</v>
      </c>
      <c r="V304" s="11">
        <v>0</v>
      </c>
      <c r="W304" s="11">
        <v>1</v>
      </c>
      <c r="X304" s="11">
        <v>0</v>
      </c>
      <c r="Y304" s="11">
        <v>0</v>
      </c>
      <c r="Z304" s="11">
        <v>1</v>
      </c>
      <c r="AA304" s="11">
        <v>0</v>
      </c>
      <c r="AB304" s="11">
        <v>1</v>
      </c>
      <c r="AC304" s="11">
        <v>1</v>
      </c>
      <c r="AD304" s="11" t="s">
        <v>5044</v>
      </c>
      <c r="AE304" s="11" t="s">
        <v>5044</v>
      </c>
      <c r="AF304" s="11" t="s">
        <v>5044</v>
      </c>
      <c r="AG304" s="11">
        <v>2</v>
      </c>
      <c r="AH304" s="11">
        <v>3</v>
      </c>
      <c r="AI304" s="11">
        <v>0</v>
      </c>
      <c r="AJ304" s="11">
        <v>0</v>
      </c>
      <c r="AK304" s="11">
        <v>2</v>
      </c>
      <c r="AL304" s="11">
        <v>1</v>
      </c>
      <c r="AM304" s="11">
        <v>0</v>
      </c>
      <c r="AN304" s="11" t="s">
        <v>5318</v>
      </c>
      <c r="AO304" s="11">
        <v>3</v>
      </c>
      <c r="AP304" s="11" t="s">
        <v>5318</v>
      </c>
      <c r="AQ304" s="11" t="s">
        <v>5318</v>
      </c>
    </row>
    <row r="305" spans="1:43" ht="63" customHeight="1" x14ac:dyDescent="0.2">
      <c r="A305" s="10">
        <v>3844</v>
      </c>
      <c r="B305" s="11" t="s">
        <v>7457</v>
      </c>
      <c r="C305" s="11" t="s">
        <v>1050</v>
      </c>
      <c r="D305" s="11">
        <v>2012</v>
      </c>
      <c r="E305" s="11" t="s">
        <v>5318</v>
      </c>
      <c r="F305" s="11">
        <v>136</v>
      </c>
      <c r="G305" s="11">
        <v>2</v>
      </c>
      <c r="H305" s="11" t="s">
        <v>7458</v>
      </c>
      <c r="I305" s="11" t="s">
        <v>6516</v>
      </c>
      <c r="J305" s="11" t="s">
        <v>7459</v>
      </c>
      <c r="K305" s="11" t="s">
        <v>1051</v>
      </c>
      <c r="L305" s="11" t="s">
        <v>5044</v>
      </c>
      <c r="M305" s="11">
        <v>0</v>
      </c>
      <c r="N305" s="9" t="s">
        <v>5044</v>
      </c>
      <c r="O305" s="9" t="s">
        <v>5044</v>
      </c>
      <c r="P305" s="11">
        <v>0</v>
      </c>
      <c r="Q305" s="11">
        <v>0</v>
      </c>
      <c r="R305" s="11">
        <v>0</v>
      </c>
      <c r="S305" s="11">
        <v>1</v>
      </c>
      <c r="T305" s="11">
        <v>1</v>
      </c>
      <c r="U305" s="11">
        <v>333</v>
      </c>
      <c r="V305" s="11">
        <v>0</v>
      </c>
      <c r="W305" s="11">
        <v>1</v>
      </c>
      <c r="X305" s="11">
        <v>0</v>
      </c>
      <c r="Y305" s="11">
        <v>0</v>
      </c>
      <c r="Z305" s="11">
        <v>0</v>
      </c>
      <c r="AA305" s="11">
        <v>0</v>
      </c>
      <c r="AB305" s="11">
        <v>1</v>
      </c>
      <c r="AC305" s="11">
        <v>0</v>
      </c>
      <c r="AD305" s="11" t="s">
        <v>5044</v>
      </c>
      <c r="AE305" s="11" t="s">
        <v>5044</v>
      </c>
      <c r="AF305" s="11" t="s">
        <v>5044</v>
      </c>
      <c r="AG305" s="11">
        <v>0</v>
      </c>
      <c r="AH305" s="11" t="s">
        <v>5044</v>
      </c>
      <c r="AI305" s="11" t="s">
        <v>5044</v>
      </c>
      <c r="AJ305" s="11" t="s">
        <v>5044</v>
      </c>
      <c r="AK305" s="11" t="s">
        <v>5318</v>
      </c>
      <c r="AL305" s="11">
        <v>0</v>
      </c>
      <c r="AM305" s="11">
        <v>0</v>
      </c>
      <c r="AN305" s="11" t="s">
        <v>5318</v>
      </c>
      <c r="AO305" s="11">
        <v>9</v>
      </c>
      <c r="AP305" s="11" t="s">
        <v>5318</v>
      </c>
      <c r="AQ305" s="11" t="s">
        <v>5318</v>
      </c>
    </row>
    <row r="306" spans="1:43" ht="63" customHeight="1" x14ac:dyDescent="0.2">
      <c r="A306" s="10">
        <v>3847</v>
      </c>
      <c r="B306" s="11" t="s">
        <v>7460</v>
      </c>
      <c r="C306" s="11" t="s">
        <v>1052</v>
      </c>
      <c r="D306" s="11">
        <v>2017</v>
      </c>
      <c r="E306" s="11" t="s">
        <v>5318</v>
      </c>
      <c r="F306" s="11">
        <v>24</v>
      </c>
      <c r="G306" s="11">
        <v>11</v>
      </c>
      <c r="H306" s="11" t="s">
        <v>6621</v>
      </c>
      <c r="I306" s="11" t="s">
        <v>6516</v>
      </c>
      <c r="J306" s="11" t="s">
        <v>7461</v>
      </c>
      <c r="K306" s="11" t="s">
        <v>1053</v>
      </c>
      <c r="L306" s="11" t="s">
        <v>5476</v>
      </c>
      <c r="M306" s="11">
        <v>0</v>
      </c>
      <c r="N306" s="9" t="s">
        <v>5044</v>
      </c>
      <c r="O306" s="9" t="s">
        <v>5044</v>
      </c>
      <c r="P306" s="11">
        <v>0</v>
      </c>
      <c r="Q306" s="11">
        <v>0</v>
      </c>
      <c r="R306" s="11">
        <v>0</v>
      </c>
      <c r="S306" s="11">
        <v>1</v>
      </c>
      <c r="T306" s="11">
        <v>1</v>
      </c>
      <c r="U306" s="11">
        <v>102</v>
      </c>
      <c r="V306" s="11">
        <v>1</v>
      </c>
      <c r="W306" s="11">
        <v>0</v>
      </c>
      <c r="X306" s="11">
        <v>0</v>
      </c>
      <c r="Y306" s="11">
        <v>0</v>
      </c>
      <c r="Z306" s="11">
        <v>0</v>
      </c>
      <c r="AA306" s="11">
        <v>0</v>
      </c>
      <c r="AB306" s="11">
        <v>1</v>
      </c>
      <c r="AC306" s="11">
        <v>1</v>
      </c>
      <c r="AD306" s="11">
        <v>2</v>
      </c>
      <c r="AE306" s="11">
        <v>3</v>
      </c>
      <c r="AF306" s="11">
        <v>0</v>
      </c>
      <c r="AG306" s="11" t="s">
        <v>5044</v>
      </c>
      <c r="AH306" s="11" t="s">
        <v>5044</v>
      </c>
      <c r="AI306" s="11" t="s">
        <v>5044</v>
      </c>
      <c r="AJ306" s="11" t="s">
        <v>5044</v>
      </c>
      <c r="AK306" s="11" t="s">
        <v>5318</v>
      </c>
      <c r="AL306" s="11">
        <v>0</v>
      </c>
      <c r="AM306" s="11">
        <v>0</v>
      </c>
      <c r="AN306" s="11" t="s">
        <v>5318</v>
      </c>
      <c r="AO306" s="11">
        <v>3</v>
      </c>
      <c r="AP306" s="11" t="s">
        <v>5318</v>
      </c>
      <c r="AQ306" s="11" t="s">
        <v>5318</v>
      </c>
    </row>
    <row r="307" spans="1:43" ht="63" customHeight="1" x14ac:dyDescent="0.2">
      <c r="A307" s="10">
        <v>3856</v>
      </c>
      <c r="B307" s="11" t="s">
        <v>7462</v>
      </c>
      <c r="C307" s="11" t="s">
        <v>1054</v>
      </c>
      <c r="D307" s="11">
        <v>2017</v>
      </c>
      <c r="E307" s="11" t="s">
        <v>5318</v>
      </c>
      <c r="F307" s="11">
        <v>27</v>
      </c>
      <c r="G307" s="11">
        <v>3</v>
      </c>
      <c r="H307" s="11" t="s">
        <v>6482</v>
      </c>
      <c r="I307" s="11" t="s">
        <v>6516</v>
      </c>
      <c r="J307" s="11" t="s">
        <v>7463</v>
      </c>
      <c r="K307" s="11" t="s">
        <v>1055</v>
      </c>
      <c r="L307" s="11" t="s">
        <v>5044</v>
      </c>
      <c r="M307" s="11">
        <v>0</v>
      </c>
      <c r="N307" s="9" t="s">
        <v>5044</v>
      </c>
      <c r="O307" s="9" t="s">
        <v>5044</v>
      </c>
      <c r="P307" s="11">
        <v>0</v>
      </c>
      <c r="Q307" s="11">
        <v>0</v>
      </c>
      <c r="R307" s="11">
        <v>0</v>
      </c>
      <c r="S307" s="11">
        <v>1</v>
      </c>
      <c r="T307" s="11">
        <v>1</v>
      </c>
      <c r="U307" s="11">
        <v>130</v>
      </c>
      <c r="V307" s="11">
        <v>0</v>
      </c>
      <c r="W307" s="11">
        <v>1</v>
      </c>
      <c r="X307" s="11">
        <v>0</v>
      </c>
      <c r="Y307" s="11">
        <v>0</v>
      </c>
      <c r="Z307" s="11">
        <v>0</v>
      </c>
      <c r="AA307" s="11">
        <v>0</v>
      </c>
      <c r="AB307" s="11">
        <v>1</v>
      </c>
      <c r="AC307" s="11">
        <v>1</v>
      </c>
      <c r="AD307" s="11" t="s">
        <v>5044</v>
      </c>
      <c r="AE307" s="11" t="s">
        <v>5044</v>
      </c>
      <c r="AF307" s="11" t="s">
        <v>5044</v>
      </c>
      <c r="AG307" s="11">
        <v>2</v>
      </c>
      <c r="AH307" s="11">
        <v>3</v>
      </c>
      <c r="AI307" s="11">
        <v>0</v>
      </c>
      <c r="AJ307" s="11" t="s">
        <v>5044</v>
      </c>
      <c r="AK307" s="11" t="s">
        <v>5318</v>
      </c>
      <c r="AL307" s="11" t="s">
        <v>5044</v>
      </c>
      <c r="AM307" s="11">
        <v>0</v>
      </c>
      <c r="AN307" s="11" t="s">
        <v>5318</v>
      </c>
      <c r="AO307" s="11">
        <v>3</v>
      </c>
      <c r="AP307" s="11" t="s">
        <v>5318</v>
      </c>
      <c r="AQ307" s="11" t="s">
        <v>5318</v>
      </c>
    </row>
    <row r="308" spans="1:43" ht="63" customHeight="1" x14ac:dyDescent="0.2">
      <c r="A308" s="10">
        <v>3878</v>
      </c>
      <c r="B308" s="11" t="s">
        <v>7466</v>
      </c>
      <c r="C308" s="11" t="s">
        <v>1058</v>
      </c>
      <c r="D308" s="11">
        <v>2021</v>
      </c>
      <c r="E308" s="11" t="s">
        <v>5318</v>
      </c>
      <c r="F308" s="11">
        <v>35</v>
      </c>
      <c r="G308" s="11">
        <v>6</v>
      </c>
      <c r="H308" s="11" t="s">
        <v>6692</v>
      </c>
      <c r="I308" s="11" t="s">
        <v>6516</v>
      </c>
      <c r="J308" s="11" t="s">
        <v>7467</v>
      </c>
      <c r="K308" s="11" t="s">
        <v>1059</v>
      </c>
      <c r="L308" s="11" t="s">
        <v>5044</v>
      </c>
      <c r="M308" s="11">
        <v>0</v>
      </c>
      <c r="N308" s="9" t="s">
        <v>5044</v>
      </c>
      <c r="O308" s="9" t="s">
        <v>5044</v>
      </c>
      <c r="P308" s="11">
        <v>0</v>
      </c>
      <c r="Q308" s="11">
        <v>0</v>
      </c>
      <c r="R308" s="11">
        <v>0</v>
      </c>
      <c r="S308" s="11">
        <v>3</v>
      </c>
      <c r="T308" s="11">
        <v>1</v>
      </c>
      <c r="U308" s="11">
        <v>112</v>
      </c>
      <c r="V308" s="11">
        <v>1</v>
      </c>
      <c r="W308" s="11">
        <v>0</v>
      </c>
      <c r="X308" s="11">
        <v>0</v>
      </c>
      <c r="Y308" s="11">
        <v>0</v>
      </c>
      <c r="Z308" s="11">
        <v>0</v>
      </c>
      <c r="AA308" s="11">
        <v>0</v>
      </c>
      <c r="AB308" s="11">
        <v>1</v>
      </c>
      <c r="AC308" s="11">
        <v>1</v>
      </c>
      <c r="AD308" s="11">
        <v>1</v>
      </c>
      <c r="AE308" s="11">
        <v>0</v>
      </c>
      <c r="AF308" s="11">
        <v>0</v>
      </c>
      <c r="AG308" s="11" t="s">
        <v>5044</v>
      </c>
      <c r="AH308" s="11" t="s">
        <v>5044</v>
      </c>
      <c r="AI308" s="11" t="s">
        <v>5044</v>
      </c>
      <c r="AJ308" s="11" t="s">
        <v>5044</v>
      </c>
      <c r="AK308" s="11" t="s">
        <v>5318</v>
      </c>
      <c r="AL308" s="11" t="s">
        <v>5044</v>
      </c>
      <c r="AM308" s="11">
        <v>0</v>
      </c>
      <c r="AN308" s="11" t="s">
        <v>5478</v>
      </c>
      <c r="AO308" s="9">
        <v>0</v>
      </c>
      <c r="AP308" s="11" t="s">
        <v>5318</v>
      </c>
      <c r="AQ308" s="11" t="s">
        <v>5318</v>
      </c>
    </row>
    <row r="309" spans="1:43" ht="63" customHeight="1" x14ac:dyDescent="0.2">
      <c r="A309" s="10">
        <v>3891</v>
      </c>
      <c r="B309" s="11" t="s">
        <v>7468</v>
      </c>
      <c r="C309" s="11" t="s">
        <v>1060</v>
      </c>
      <c r="D309" s="11">
        <v>2018</v>
      </c>
      <c r="E309" s="11" t="s">
        <v>5318</v>
      </c>
      <c r="F309" s="11">
        <v>42</v>
      </c>
      <c r="G309" s="11">
        <v>5</v>
      </c>
      <c r="H309" s="11" t="s">
        <v>6745</v>
      </c>
      <c r="I309" s="11" t="s">
        <v>6516</v>
      </c>
      <c r="J309" s="11" t="s">
        <v>7469</v>
      </c>
      <c r="K309" s="11" t="s">
        <v>1061</v>
      </c>
      <c r="L309" s="11" t="s">
        <v>5479</v>
      </c>
      <c r="M309" s="11">
        <v>0</v>
      </c>
      <c r="N309" s="9" t="s">
        <v>5044</v>
      </c>
      <c r="O309" s="9" t="s">
        <v>5044</v>
      </c>
      <c r="P309" s="11">
        <v>0</v>
      </c>
      <c r="Q309" s="11">
        <v>0</v>
      </c>
      <c r="R309" s="11">
        <v>0</v>
      </c>
      <c r="S309" s="11">
        <v>1</v>
      </c>
      <c r="T309" s="11">
        <v>1</v>
      </c>
      <c r="U309" s="11">
        <v>352</v>
      </c>
      <c r="V309" s="11">
        <v>1</v>
      </c>
      <c r="W309" s="11">
        <v>0</v>
      </c>
      <c r="X309" s="11">
        <v>0</v>
      </c>
      <c r="Y309" s="11">
        <v>0</v>
      </c>
      <c r="Z309" s="11">
        <v>0</v>
      </c>
      <c r="AA309" s="11">
        <v>0</v>
      </c>
      <c r="AB309" s="11">
        <v>0</v>
      </c>
      <c r="AC309" s="11">
        <v>1</v>
      </c>
      <c r="AD309" s="11">
        <v>2</v>
      </c>
      <c r="AE309" s="11">
        <v>3</v>
      </c>
      <c r="AF309" s="11">
        <v>0</v>
      </c>
      <c r="AG309" s="11" t="s">
        <v>5044</v>
      </c>
      <c r="AH309" s="11" t="s">
        <v>5044</v>
      </c>
      <c r="AI309" s="11" t="s">
        <v>5044</v>
      </c>
      <c r="AJ309" s="11" t="s">
        <v>5044</v>
      </c>
      <c r="AK309" s="11" t="s">
        <v>5480</v>
      </c>
      <c r="AL309" s="11">
        <v>0</v>
      </c>
      <c r="AM309" s="11">
        <v>0</v>
      </c>
      <c r="AN309" s="11" t="s">
        <v>5318</v>
      </c>
      <c r="AO309" s="11">
        <v>3</v>
      </c>
      <c r="AP309" s="11" t="s">
        <v>5318</v>
      </c>
      <c r="AQ309" s="11" t="s">
        <v>5318</v>
      </c>
    </row>
    <row r="310" spans="1:43" ht="63" customHeight="1" x14ac:dyDescent="0.2">
      <c r="A310" s="10">
        <v>3894</v>
      </c>
      <c r="B310" s="11" t="s">
        <v>7470</v>
      </c>
      <c r="C310" s="11" t="s">
        <v>1062</v>
      </c>
      <c r="D310" s="11">
        <v>2017</v>
      </c>
      <c r="E310" s="11" t="s">
        <v>5318</v>
      </c>
      <c r="F310" s="11">
        <v>2</v>
      </c>
      <c r="G310" s="11">
        <v>11</v>
      </c>
      <c r="H310" s="11" t="s">
        <v>6807</v>
      </c>
      <c r="I310" s="11" t="s">
        <v>6516</v>
      </c>
      <c r="J310" s="11" t="s">
        <v>7471</v>
      </c>
      <c r="K310" s="11" t="s">
        <v>1063</v>
      </c>
      <c r="L310" s="11" t="s">
        <v>5481</v>
      </c>
      <c r="M310" s="11">
        <v>0</v>
      </c>
      <c r="N310" s="9" t="s">
        <v>5044</v>
      </c>
      <c r="O310" s="9" t="s">
        <v>5044</v>
      </c>
      <c r="P310" s="11">
        <v>0</v>
      </c>
      <c r="Q310" s="11">
        <v>0</v>
      </c>
      <c r="R310" s="11">
        <v>0</v>
      </c>
      <c r="S310" s="11">
        <v>1</v>
      </c>
      <c r="T310" s="11">
        <v>1</v>
      </c>
      <c r="U310" s="11">
        <v>143</v>
      </c>
      <c r="V310" s="11">
        <v>0</v>
      </c>
      <c r="W310" s="11">
        <v>1</v>
      </c>
      <c r="X310" s="11">
        <v>0</v>
      </c>
      <c r="Y310" s="11">
        <v>0</v>
      </c>
      <c r="Z310" s="11">
        <v>0</v>
      </c>
      <c r="AA310" s="11">
        <v>0</v>
      </c>
      <c r="AB310" s="11">
        <v>1</v>
      </c>
      <c r="AC310" s="11">
        <v>1</v>
      </c>
      <c r="AD310" s="11" t="s">
        <v>5044</v>
      </c>
      <c r="AE310" s="11" t="s">
        <v>5044</v>
      </c>
      <c r="AF310" s="11" t="s">
        <v>5044</v>
      </c>
      <c r="AG310" s="11">
        <v>2</v>
      </c>
      <c r="AH310" s="11">
        <v>1</v>
      </c>
      <c r="AI310" s="11">
        <v>2</v>
      </c>
      <c r="AJ310" s="11" t="s">
        <v>5044</v>
      </c>
      <c r="AK310" s="11" t="s">
        <v>5318</v>
      </c>
      <c r="AL310" s="11">
        <v>0</v>
      </c>
      <c r="AM310" s="11">
        <v>0</v>
      </c>
      <c r="AN310" s="11" t="s">
        <v>5318</v>
      </c>
      <c r="AO310" s="11">
        <v>1</v>
      </c>
      <c r="AP310" s="11" t="s">
        <v>5318</v>
      </c>
      <c r="AQ310" s="11" t="s">
        <v>5318</v>
      </c>
    </row>
    <row r="311" spans="1:43" ht="63" customHeight="1" x14ac:dyDescent="0.2">
      <c r="A311" s="10">
        <v>3941</v>
      </c>
      <c r="B311" s="11" t="s">
        <v>7472</v>
      </c>
      <c r="C311" s="11" t="s">
        <v>1064</v>
      </c>
      <c r="D311" s="11">
        <v>2019</v>
      </c>
      <c r="E311" s="11" t="s">
        <v>5318</v>
      </c>
      <c r="F311" s="11">
        <v>123</v>
      </c>
      <c r="G311" s="11">
        <v>4</v>
      </c>
      <c r="H311" s="11" t="s">
        <v>7103</v>
      </c>
      <c r="I311" s="11" t="s">
        <v>6516</v>
      </c>
      <c r="J311" s="11" t="s">
        <v>7473</v>
      </c>
      <c r="K311" s="11" t="s">
        <v>1065</v>
      </c>
      <c r="L311" s="11" t="s">
        <v>5482</v>
      </c>
      <c r="M311" s="11">
        <v>0</v>
      </c>
      <c r="N311" s="9" t="s">
        <v>5044</v>
      </c>
      <c r="O311" s="9" t="s">
        <v>5044</v>
      </c>
      <c r="P311" s="11">
        <v>0</v>
      </c>
      <c r="Q311" s="11">
        <v>0</v>
      </c>
      <c r="R311" s="11">
        <v>0</v>
      </c>
      <c r="S311" s="11">
        <v>3</v>
      </c>
      <c r="T311" s="11">
        <v>2</v>
      </c>
      <c r="U311" s="11">
        <v>184</v>
      </c>
      <c r="V311" s="11">
        <v>1</v>
      </c>
      <c r="W311" s="11">
        <v>0</v>
      </c>
      <c r="X311" s="11">
        <v>0</v>
      </c>
      <c r="Y311" s="11">
        <v>0</v>
      </c>
      <c r="Z311" s="11">
        <v>0</v>
      </c>
      <c r="AA311" s="11">
        <v>0</v>
      </c>
      <c r="AB311" s="11">
        <v>1</v>
      </c>
      <c r="AC311" s="11">
        <v>1</v>
      </c>
      <c r="AD311" s="11">
        <v>2</v>
      </c>
      <c r="AE311" s="11">
        <v>3</v>
      </c>
      <c r="AF311" s="11">
        <v>0</v>
      </c>
      <c r="AG311" s="11" t="s">
        <v>5044</v>
      </c>
      <c r="AH311" s="11" t="s">
        <v>5044</v>
      </c>
      <c r="AI311" s="11" t="s">
        <v>5044</v>
      </c>
      <c r="AJ311" s="11" t="s">
        <v>5044</v>
      </c>
      <c r="AK311" s="11" t="s">
        <v>5318</v>
      </c>
      <c r="AL311" s="11">
        <v>0</v>
      </c>
      <c r="AM311" s="11">
        <v>0</v>
      </c>
      <c r="AN311" s="11" t="s">
        <v>5318</v>
      </c>
      <c r="AO311" s="11">
        <v>3</v>
      </c>
      <c r="AP311" s="11" t="s">
        <v>5318</v>
      </c>
      <c r="AQ311" s="11" t="s">
        <v>5318</v>
      </c>
    </row>
    <row r="312" spans="1:43" ht="63" customHeight="1" x14ac:dyDescent="0.2">
      <c r="A312" s="10">
        <v>3943</v>
      </c>
      <c r="B312" s="11" t="s">
        <v>7474</v>
      </c>
      <c r="C312" s="11" t="s">
        <v>1066</v>
      </c>
      <c r="D312" s="11">
        <v>2015</v>
      </c>
      <c r="E312" s="11" t="s">
        <v>5318</v>
      </c>
      <c r="F312" s="11">
        <v>61</v>
      </c>
      <c r="G312" s="11">
        <v>2</v>
      </c>
      <c r="H312" s="11" t="s">
        <v>7475</v>
      </c>
      <c r="I312" s="11" t="s">
        <v>6516</v>
      </c>
      <c r="J312" s="11" t="s">
        <v>7476</v>
      </c>
      <c r="K312" s="11" t="s">
        <v>1067</v>
      </c>
      <c r="L312" s="11" t="s">
        <v>5483</v>
      </c>
      <c r="M312" s="11">
        <v>0</v>
      </c>
      <c r="N312" s="9" t="s">
        <v>5044</v>
      </c>
      <c r="O312" s="9" t="s">
        <v>5044</v>
      </c>
      <c r="P312" s="11">
        <v>0</v>
      </c>
      <c r="Q312" s="11">
        <v>0</v>
      </c>
      <c r="R312" s="11">
        <v>0</v>
      </c>
      <c r="S312" s="11">
        <v>1</v>
      </c>
      <c r="T312" s="11">
        <v>5</v>
      </c>
      <c r="U312" s="11">
        <v>120</v>
      </c>
      <c r="V312" s="11">
        <v>0</v>
      </c>
      <c r="W312" s="11">
        <v>1</v>
      </c>
      <c r="X312" s="11">
        <v>0</v>
      </c>
      <c r="Y312" s="11">
        <v>0</v>
      </c>
      <c r="Z312" s="11">
        <v>0</v>
      </c>
      <c r="AA312" s="11">
        <v>0</v>
      </c>
      <c r="AB312" s="11">
        <v>1</v>
      </c>
      <c r="AC312" s="11">
        <v>1</v>
      </c>
      <c r="AD312" s="11" t="s">
        <v>5044</v>
      </c>
      <c r="AE312" s="11" t="s">
        <v>5044</v>
      </c>
      <c r="AF312" s="11" t="s">
        <v>5044</v>
      </c>
      <c r="AG312" s="11">
        <v>1</v>
      </c>
      <c r="AH312" s="11">
        <v>0</v>
      </c>
      <c r="AI312" s="11">
        <v>0</v>
      </c>
      <c r="AJ312" s="11" t="s">
        <v>5044</v>
      </c>
      <c r="AK312" s="11" t="s">
        <v>5318</v>
      </c>
      <c r="AL312" s="11">
        <v>0</v>
      </c>
      <c r="AM312" s="11">
        <v>0</v>
      </c>
      <c r="AN312" s="11" t="s">
        <v>5318</v>
      </c>
      <c r="AO312" s="9">
        <v>0</v>
      </c>
      <c r="AP312" s="11" t="s">
        <v>5318</v>
      </c>
      <c r="AQ312" s="11" t="s">
        <v>5318</v>
      </c>
    </row>
    <row r="313" spans="1:43" ht="63" customHeight="1" x14ac:dyDescent="0.2">
      <c r="A313" s="10">
        <v>3944</v>
      </c>
      <c r="B313" s="11" t="s">
        <v>7477</v>
      </c>
      <c r="C313" s="11" t="s">
        <v>1068</v>
      </c>
      <c r="D313" s="11">
        <v>2022</v>
      </c>
      <c r="E313" s="11" t="s">
        <v>5318</v>
      </c>
      <c r="F313" s="11">
        <v>275</v>
      </c>
      <c r="G313" s="11">
        <v>2</v>
      </c>
      <c r="H313" s="11" t="s">
        <v>6533</v>
      </c>
      <c r="I313" s="11" t="s">
        <v>6516</v>
      </c>
      <c r="J313" s="11" t="s">
        <v>7478</v>
      </c>
      <c r="K313" s="11" t="s">
        <v>1069</v>
      </c>
      <c r="L313" s="11" t="s">
        <v>5484</v>
      </c>
      <c r="M313" s="11">
        <v>0</v>
      </c>
      <c r="N313" s="9" t="s">
        <v>5044</v>
      </c>
      <c r="O313" s="9" t="s">
        <v>5044</v>
      </c>
      <c r="P313" s="11">
        <v>0</v>
      </c>
      <c r="Q313" s="11">
        <v>0</v>
      </c>
      <c r="R313" s="11">
        <v>0</v>
      </c>
      <c r="S313" s="11">
        <v>1</v>
      </c>
      <c r="T313" s="11">
        <v>1</v>
      </c>
      <c r="U313" s="11">
        <v>94</v>
      </c>
      <c r="V313" s="11">
        <v>0</v>
      </c>
      <c r="W313" s="11">
        <v>1</v>
      </c>
      <c r="X313" s="11">
        <v>0</v>
      </c>
      <c r="Y313" s="11">
        <v>0</v>
      </c>
      <c r="Z313" s="11">
        <v>0</v>
      </c>
      <c r="AA313" s="11">
        <v>0</v>
      </c>
      <c r="AB313" s="11">
        <v>1</v>
      </c>
      <c r="AC313" s="11">
        <v>1</v>
      </c>
      <c r="AD313" s="11" t="s">
        <v>5044</v>
      </c>
      <c r="AE313" s="11" t="s">
        <v>5044</v>
      </c>
      <c r="AF313" s="11" t="s">
        <v>5044</v>
      </c>
      <c r="AG313" s="11">
        <v>1</v>
      </c>
      <c r="AH313" s="11">
        <v>0</v>
      </c>
      <c r="AI313" s="11">
        <v>0</v>
      </c>
      <c r="AJ313" s="11" t="s">
        <v>5044</v>
      </c>
      <c r="AK313" s="11" t="s">
        <v>5318</v>
      </c>
      <c r="AL313" s="11">
        <v>0</v>
      </c>
      <c r="AM313" s="11">
        <v>0</v>
      </c>
      <c r="AN313" s="11" t="s">
        <v>5318</v>
      </c>
      <c r="AO313" s="9">
        <v>0</v>
      </c>
      <c r="AP313" s="11" t="s">
        <v>5318</v>
      </c>
      <c r="AQ313" s="11" t="s">
        <v>5318</v>
      </c>
    </row>
    <row r="314" spans="1:43" ht="63" customHeight="1" x14ac:dyDescent="0.2">
      <c r="A314" s="10">
        <v>3945</v>
      </c>
      <c r="B314" s="11" t="s">
        <v>7479</v>
      </c>
      <c r="C314" s="11" t="s">
        <v>1070</v>
      </c>
      <c r="D314" s="11">
        <v>2020</v>
      </c>
      <c r="E314" s="11" t="s">
        <v>5318</v>
      </c>
      <c r="F314" s="11">
        <v>83</v>
      </c>
      <c r="G314" s="11" t="s">
        <v>5318</v>
      </c>
      <c r="H314" s="11" t="s">
        <v>7001</v>
      </c>
      <c r="I314" s="11" t="s">
        <v>6516</v>
      </c>
      <c r="J314" s="11" t="s">
        <v>7480</v>
      </c>
      <c r="K314" s="11" t="s">
        <v>1071</v>
      </c>
      <c r="L314" s="11" t="s">
        <v>5485</v>
      </c>
      <c r="M314" s="11">
        <v>0</v>
      </c>
      <c r="N314" s="9" t="s">
        <v>5044</v>
      </c>
      <c r="O314" s="9" t="s">
        <v>5044</v>
      </c>
      <c r="P314" s="11">
        <v>0</v>
      </c>
      <c r="Q314" s="11">
        <v>0</v>
      </c>
      <c r="R314" s="11">
        <v>0</v>
      </c>
      <c r="S314" s="11">
        <v>1</v>
      </c>
      <c r="T314" s="11">
        <v>1</v>
      </c>
      <c r="U314" s="11">
        <v>68</v>
      </c>
      <c r="V314" s="11">
        <v>0</v>
      </c>
      <c r="W314" s="11">
        <v>1</v>
      </c>
      <c r="X314" s="11">
        <v>0</v>
      </c>
      <c r="Y314" s="11">
        <v>0</v>
      </c>
      <c r="Z314" s="11">
        <v>0</v>
      </c>
      <c r="AA314" s="11">
        <v>0</v>
      </c>
      <c r="AB314" s="11">
        <v>1</v>
      </c>
      <c r="AC314" s="11">
        <v>1</v>
      </c>
      <c r="AD314" s="11" t="s">
        <v>5044</v>
      </c>
      <c r="AE314" s="11" t="s">
        <v>5044</v>
      </c>
      <c r="AF314" s="11" t="s">
        <v>5044</v>
      </c>
      <c r="AG314" s="11">
        <v>1</v>
      </c>
      <c r="AH314" s="11">
        <v>0</v>
      </c>
      <c r="AI314" s="11">
        <v>0</v>
      </c>
      <c r="AJ314" s="11" t="s">
        <v>5044</v>
      </c>
      <c r="AK314" s="11" t="s">
        <v>5318</v>
      </c>
      <c r="AL314" s="11">
        <v>0</v>
      </c>
      <c r="AM314" s="11">
        <v>0</v>
      </c>
      <c r="AN314" s="11" t="s">
        <v>5318</v>
      </c>
      <c r="AO314" s="9">
        <v>0</v>
      </c>
      <c r="AP314" s="11" t="s">
        <v>5318</v>
      </c>
      <c r="AQ314" s="11" t="s">
        <v>5318</v>
      </c>
    </row>
    <row r="315" spans="1:43" ht="63" customHeight="1" x14ac:dyDescent="0.2">
      <c r="A315" s="10">
        <v>3949</v>
      </c>
      <c r="B315" s="11" t="s">
        <v>7481</v>
      </c>
      <c r="C315" s="11" t="s">
        <v>1072</v>
      </c>
      <c r="D315" s="11">
        <v>2020</v>
      </c>
      <c r="E315" s="11" t="s">
        <v>5318</v>
      </c>
      <c r="F315" s="11">
        <v>30</v>
      </c>
      <c r="G315" s="11">
        <v>11</v>
      </c>
      <c r="H315" s="11" t="s">
        <v>6482</v>
      </c>
      <c r="I315" s="11" t="s">
        <v>6516</v>
      </c>
      <c r="J315" s="11" t="s">
        <v>7482</v>
      </c>
      <c r="K315" s="11" t="s">
        <v>1073</v>
      </c>
      <c r="L315" s="11" t="s">
        <v>5044</v>
      </c>
      <c r="M315" s="11">
        <v>0</v>
      </c>
      <c r="N315" s="9" t="s">
        <v>5044</v>
      </c>
      <c r="O315" s="9" t="s">
        <v>5044</v>
      </c>
      <c r="P315" s="11">
        <v>0</v>
      </c>
      <c r="Q315" s="11">
        <v>0</v>
      </c>
      <c r="R315" s="11">
        <v>0</v>
      </c>
      <c r="S315" s="11">
        <v>1</v>
      </c>
      <c r="T315" s="11">
        <v>1</v>
      </c>
      <c r="U315" s="11">
        <v>190</v>
      </c>
      <c r="V315" s="11">
        <v>0</v>
      </c>
      <c r="W315" s="11">
        <v>1</v>
      </c>
      <c r="X315" s="11">
        <v>0</v>
      </c>
      <c r="Y315" s="11">
        <v>0</v>
      </c>
      <c r="Z315" s="11">
        <v>0</v>
      </c>
      <c r="AA315" s="11">
        <v>0</v>
      </c>
      <c r="AB315" s="11">
        <v>1</v>
      </c>
      <c r="AC315" s="11">
        <v>1</v>
      </c>
      <c r="AD315" s="11" t="s">
        <v>5044</v>
      </c>
      <c r="AE315" s="11" t="s">
        <v>5044</v>
      </c>
      <c r="AF315" s="11" t="s">
        <v>5044</v>
      </c>
      <c r="AG315" s="11">
        <v>2</v>
      </c>
      <c r="AH315" s="11">
        <v>3</v>
      </c>
      <c r="AI315" s="11">
        <v>0</v>
      </c>
      <c r="AJ315" s="11" t="s">
        <v>5044</v>
      </c>
      <c r="AK315" s="11" t="s">
        <v>5318</v>
      </c>
      <c r="AL315" s="11">
        <v>1</v>
      </c>
      <c r="AM315" s="11">
        <v>0</v>
      </c>
      <c r="AN315" s="11" t="s">
        <v>5318</v>
      </c>
      <c r="AO315" s="11">
        <v>3</v>
      </c>
      <c r="AP315" s="11" t="s">
        <v>5318</v>
      </c>
      <c r="AQ315" s="11" t="s">
        <v>5318</v>
      </c>
    </row>
    <row r="316" spans="1:43" ht="63" customHeight="1" x14ac:dyDescent="0.2">
      <c r="A316" s="10">
        <v>3950</v>
      </c>
      <c r="B316" s="11" t="s">
        <v>7483</v>
      </c>
      <c r="C316" s="11" t="s">
        <v>1074</v>
      </c>
      <c r="D316" s="11">
        <v>2021</v>
      </c>
      <c r="E316" s="11" t="s">
        <v>5318</v>
      </c>
      <c r="F316" s="11">
        <v>35</v>
      </c>
      <c r="G316" s="11">
        <v>7</v>
      </c>
      <c r="H316" s="11" t="s">
        <v>6624</v>
      </c>
      <c r="I316" s="11" t="s">
        <v>6516</v>
      </c>
      <c r="J316" s="11" t="s">
        <v>7484</v>
      </c>
      <c r="K316" s="11" t="s">
        <v>1075</v>
      </c>
      <c r="L316" s="11" t="s">
        <v>5486</v>
      </c>
      <c r="M316" s="11">
        <v>0</v>
      </c>
      <c r="N316" s="9" t="s">
        <v>5044</v>
      </c>
      <c r="O316" s="9" t="s">
        <v>5044</v>
      </c>
      <c r="P316" s="11">
        <v>0</v>
      </c>
      <c r="Q316" s="11">
        <v>0</v>
      </c>
      <c r="R316" s="11">
        <v>0</v>
      </c>
      <c r="S316" s="11">
        <v>1</v>
      </c>
      <c r="T316" s="11">
        <v>1</v>
      </c>
      <c r="U316" s="11">
        <v>150</v>
      </c>
      <c r="V316" s="11">
        <v>0</v>
      </c>
      <c r="W316" s="11">
        <v>1</v>
      </c>
      <c r="X316" s="11">
        <v>0</v>
      </c>
      <c r="Y316" s="11">
        <v>0</v>
      </c>
      <c r="Z316" s="11">
        <v>0</v>
      </c>
      <c r="AA316" s="11">
        <v>0</v>
      </c>
      <c r="AB316" s="11">
        <v>1</v>
      </c>
      <c r="AC316" s="11">
        <v>0</v>
      </c>
      <c r="AD316" s="11" t="s">
        <v>5044</v>
      </c>
      <c r="AE316" s="11" t="s">
        <v>5044</v>
      </c>
      <c r="AF316" s="11" t="s">
        <v>5044</v>
      </c>
      <c r="AG316" s="11">
        <v>0</v>
      </c>
      <c r="AH316" s="11" t="s">
        <v>5044</v>
      </c>
      <c r="AI316" s="11" t="s">
        <v>5044</v>
      </c>
      <c r="AJ316" s="11" t="s">
        <v>5044</v>
      </c>
      <c r="AK316" s="11" t="s">
        <v>5318</v>
      </c>
      <c r="AL316" s="11">
        <v>1</v>
      </c>
      <c r="AM316" s="11">
        <v>0</v>
      </c>
      <c r="AN316" s="11" t="s">
        <v>5318</v>
      </c>
      <c r="AO316" s="11">
        <v>9</v>
      </c>
      <c r="AP316" s="11" t="s">
        <v>5318</v>
      </c>
      <c r="AQ316" s="11" t="s">
        <v>5318</v>
      </c>
    </row>
    <row r="317" spans="1:43" ht="63" customHeight="1" x14ac:dyDescent="0.2">
      <c r="A317" s="10">
        <v>3951</v>
      </c>
      <c r="B317" s="11" t="s">
        <v>7485</v>
      </c>
      <c r="C317" s="11" t="s">
        <v>1076</v>
      </c>
      <c r="D317" s="11">
        <v>2022</v>
      </c>
      <c r="E317" s="11" t="s">
        <v>5318</v>
      </c>
      <c r="F317" s="11">
        <v>26</v>
      </c>
      <c r="G317" s="11">
        <v>2</v>
      </c>
      <c r="H317" s="11" t="s">
        <v>7486</v>
      </c>
      <c r="I317" s="11" t="s">
        <v>6516</v>
      </c>
      <c r="J317" s="11" t="s">
        <v>7487</v>
      </c>
      <c r="K317" s="11" t="s">
        <v>1078</v>
      </c>
      <c r="L317" s="11" t="s">
        <v>5487</v>
      </c>
      <c r="M317" s="11">
        <v>0</v>
      </c>
      <c r="N317" s="9" t="s">
        <v>5044</v>
      </c>
      <c r="O317" s="9" t="s">
        <v>5044</v>
      </c>
      <c r="P317" s="11">
        <v>0</v>
      </c>
      <c r="Q317" s="11">
        <v>0</v>
      </c>
      <c r="R317" s="11">
        <v>0</v>
      </c>
      <c r="S317" s="11">
        <v>1</v>
      </c>
      <c r="T317" s="11">
        <v>1</v>
      </c>
      <c r="U317" s="11">
        <v>110</v>
      </c>
      <c r="V317" s="11">
        <v>0</v>
      </c>
      <c r="W317" s="11">
        <v>1</v>
      </c>
      <c r="X317" s="11">
        <v>0</v>
      </c>
      <c r="Y317" s="11">
        <v>0</v>
      </c>
      <c r="Z317" s="11">
        <v>0</v>
      </c>
      <c r="AA317" s="11">
        <v>0</v>
      </c>
      <c r="AB317" s="11">
        <v>0</v>
      </c>
      <c r="AC317" s="11">
        <v>1</v>
      </c>
      <c r="AD317" s="11" t="s">
        <v>5044</v>
      </c>
      <c r="AE317" s="11" t="s">
        <v>5044</v>
      </c>
      <c r="AF317" s="11" t="s">
        <v>5044</v>
      </c>
      <c r="AG317" s="11">
        <v>2</v>
      </c>
      <c r="AH317" s="11">
        <v>3</v>
      </c>
      <c r="AI317" s="11">
        <v>0</v>
      </c>
      <c r="AJ317" s="11" t="s">
        <v>5044</v>
      </c>
      <c r="AK317" s="11" t="s">
        <v>5318</v>
      </c>
      <c r="AL317" s="11">
        <v>1</v>
      </c>
      <c r="AM317" s="11">
        <v>0</v>
      </c>
      <c r="AN317" s="11" t="s">
        <v>5318</v>
      </c>
      <c r="AO317" s="11">
        <v>3</v>
      </c>
      <c r="AP317" s="11" t="s">
        <v>5318</v>
      </c>
      <c r="AQ317" s="11" t="s">
        <v>5318</v>
      </c>
    </row>
    <row r="318" spans="1:43" ht="63" customHeight="1" x14ac:dyDescent="0.2">
      <c r="A318" s="10">
        <v>3953</v>
      </c>
      <c r="B318" s="11" t="s">
        <v>7488</v>
      </c>
      <c r="C318" s="11" t="s">
        <v>1079</v>
      </c>
      <c r="D318" s="11">
        <v>2020</v>
      </c>
      <c r="E318" s="11" t="s">
        <v>5318</v>
      </c>
      <c r="F318" s="11">
        <v>24</v>
      </c>
      <c r="G318" s="11">
        <v>1</v>
      </c>
      <c r="H318" s="11" t="s">
        <v>7486</v>
      </c>
      <c r="I318" s="11" t="s">
        <v>6516</v>
      </c>
      <c r="J318" s="11" t="s">
        <v>7489</v>
      </c>
      <c r="K318" s="11" t="s">
        <v>1080</v>
      </c>
      <c r="L318" s="11" t="s">
        <v>5044</v>
      </c>
      <c r="M318" s="11">
        <v>0</v>
      </c>
      <c r="N318" s="9" t="s">
        <v>5044</v>
      </c>
      <c r="O318" s="9" t="s">
        <v>5044</v>
      </c>
      <c r="P318" s="11">
        <v>0</v>
      </c>
      <c r="Q318" s="11">
        <v>0</v>
      </c>
      <c r="R318" s="11">
        <v>0</v>
      </c>
      <c r="S318" s="11">
        <v>1</v>
      </c>
      <c r="T318" s="11">
        <v>1</v>
      </c>
      <c r="U318" s="11">
        <v>100</v>
      </c>
      <c r="V318" s="11">
        <v>0</v>
      </c>
      <c r="W318" s="11">
        <v>1</v>
      </c>
      <c r="X318" s="11">
        <v>0</v>
      </c>
      <c r="Y318" s="11">
        <v>0</v>
      </c>
      <c r="Z318" s="11">
        <v>0</v>
      </c>
      <c r="AA318" s="11">
        <v>0</v>
      </c>
      <c r="AB318" s="11">
        <v>1</v>
      </c>
      <c r="AC318" s="11">
        <v>0</v>
      </c>
      <c r="AD318" s="11" t="s">
        <v>5044</v>
      </c>
      <c r="AE318" s="11" t="s">
        <v>5044</v>
      </c>
      <c r="AF318" s="11" t="s">
        <v>5044</v>
      </c>
      <c r="AG318" s="11">
        <v>0</v>
      </c>
      <c r="AH318" s="11" t="s">
        <v>5044</v>
      </c>
      <c r="AI318" s="11" t="s">
        <v>5044</v>
      </c>
      <c r="AJ318" s="11" t="s">
        <v>5044</v>
      </c>
      <c r="AK318" s="11" t="s">
        <v>5318</v>
      </c>
      <c r="AL318" s="11">
        <v>1</v>
      </c>
      <c r="AM318" s="11">
        <v>0</v>
      </c>
      <c r="AN318" s="11" t="s">
        <v>5318</v>
      </c>
      <c r="AO318" s="11">
        <v>9</v>
      </c>
      <c r="AP318" s="11" t="s">
        <v>5318</v>
      </c>
      <c r="AQ318" s="11" t="s">
        <v>5318</v>
      </c>
    </row>
    <row r="319" spans="1:43" ht="63" customHeight="1" x14ac:dyDescent="0.2">
      <c r="A319" s="10">
        <v>3960</v>
      </c>
      <c r="B319" s="11" t="s">
        <v>7490</v>
      </c>
      <c r="C319" s="11" t="s">
        <v>1081</v>
      </c>
      <c r="D319" s="11">
        <v>2022</v>
      </c>
      <c r="E319" s="11" t="s">
        <v>5318</v>
      </c>
      <c r="F319" s="11">
        <v>77</v>
      </c>
      <c r="G319" s="11">
        <v>4</v>
      </c>
      <c r="H319" s="11" t="s">
        <v>7491</v>
      </c>
      <c r="I319" s="11" t="s">
        <v>6516</v>
      </c>
      <c r="J319" s="11" t="s">
        <v>7492</v>
      </c>
      <c r="K319" s="11" t="s">
        <v>1084</v>
      </c>
      <c r="L319" s="11" t="s">
        <v>5044</v>
      </c>
      <c r="M319" s="11">
        <v>0</v>
      </c>
      <c r="N319" s="9" t="s">
        <v>5044</v>
      </c>
      <c r="O319" s="9" t="s">
        <v>5044</v>
      </c>
      <c r="P319" s="11">
        <v>1</v>
      </c>
      <c r="Q319" s="11">
        <v>0</v>
      </c>
      <c r="R319" s="11">
        <v>0</v>
      </c>
      <c r="S319" s="11">
        <v>9</v>
      </c>
      <c r="T319" s="11">
        <v>5</v>
      </c>
      <c r="U319" s="11">
        <v>51</v>
      </c>
      <c r="V319" s="11">
        <v>0</v>
      </c>
      <c r="W319" s="11">
        <v>1</v>
      </c>
      <c r="X319" s="11">
        <v>0</v>
      </c>
      <c r="Y319" s="11">
        <v>0</v>
      </c>
      <c r="Z319" s="11">
        <v>0</v>
      </c>
      <c r="AA319" s="11">
        <v>0</v>
      </c>
      <c r="AB319" s="11">
        <v>1</v>
      </c>
      <c r="AC319" s="11">
        <v>1</v>
      </c>
      <c r="AD319" s="11" t="s">
        <v>5044</v>
      </c>
      <c r="AE319" s="11" t="s">
        <v>5044</v>
      </c>
      <c r="AF319" s="11" t="s">
        <v>5044</v>
      </c>
      <c r="AG319" s="11">
        <v>1</v>
      </c>
      <c r="AH319" s="11">
        <v>0</v>
      </c>
      <c r="AI319" s="11">
        <v>0</v>
      </c>
      <c r="AJ319" s="11" t="s">
        <v>5044</v>
      </c>
      <c r="AK319" s="11" t="s">
        <v>5318</v>
      </c>
      <c r="AL319" s="11" t="s">
        <v>5044</v>
      </c>
      <c r="AM319" s="11">
        <v>0</v>
      </c>
      <c r="AN319" s="11" t="s">
        <v>5318</v>
      </c>
      <c r="AO319" s="9">
        <v>0</v>
      </c>
      <c r="AP319" s="11" t="s">
        <v>5318</v>
      </c>
      <c r="AQ319" s="11" t="s">
        <v>5318</v>
      </c>
    </row>
    <row r="320" spans="1:43" ht="63" customHeight="1" x14ac:dyDescent="0.2">
      <c r="A320" s="10">
        <v>3995</v>
      </c>
      <c r="B320" s="11" t="s">
        <v>7498</v>
      </c>
      <c r="C320" s="11" t="s">
        <v>1089</v>
      </c>
      <c r="D320" s="11">
        <v>2020</v>
      </c>
      <c r="E320" s="11" t="s">
        <v>5318</v>
      </c>
      <c r="F320" s="11">
        <v>24</v>
      </c>
      <c r="G320" s="11">
        <v>61</v>
      </c>
      <c r="H320" s="11" t="s">
        <v>6708</v>
      </c>
      <c r="I320" s="11" t="s">
        <v>6516</v>
      </c>
      <c r="J320" s="11" t="s">
        <v>7499</v>
      </c>
      <c r="K320" s="11" t="s">
        <v>1090</v>
      </c>
      <c r="L320" s="11" t="s">
        <v>5491</v>
      </c>
      <c r="M320" s="11">
        <v>0</v>
      </c>
      <c r="N320" s="9" t="s">
        <v>5044</v>
      </c>
      <c r="O320" s="9" t="s">
        <v>5044</v>
      </c>
      <c r="P320" s="11">
        <v>0</v>
      </c>
      <c r="Q320" s="11">
        <v>0</v>
      </c>
      <c r="R320" s="11">
        <v>0</v>
      </c>
      <c r="S320" s="11">
        <v>3</v>
      </c>
      <c r="T320" s="11">
        <v>1</v>
      </c>
      <c r="U320" s="11">
        <v>202</v>
      </c>
      <c r="V320" s="11">
        <v>0</v>
      </c>
      <c r="W320" s="11">
        <v>1</v>
      </c>
      <c r="X320" s="11">
        <v>0</v>
      </c>
      <c r="Y320" s="11">
        <v>0</v>
      </c>
      <c r="Z320" s="11">
        <v>0</v>
      </c>
      <c r="AA320" s="11">
        <v>0</v>
      </c>
      <c r="AB320" s="11">
        <v>1</v>
      </c>
      <c r="AC320" s="11">
        <v>1</v>
      </c>
      <c r="AD320" s="11" t="s">
        <v>5044</v>
      </c>
      <c r="AE320" s="11" t="s">
        <v>5044</v>
      </c>
      <c r="AF320" s="11" t="s">
        <v>5044</v>
      </c>
      <c r="AG320" s="11">
        <v>2</v>
      </c>
      <c r="AH320" s="11">
        <v>3</v>
      </c>
      <c r="AI320" s="11">
        <v>0</v>
      </c>
      <c r="AJ320" s="11" t="s">
        <v>5044</v>
      </c>
      <c r="AK320" s="11" t="s">
        <v>5318</v>
      </c>
      <c r="AL320" s="11">
        <v>0</v>
      </c>
      <c r="AM320" s="11">
        <v>0</v>
      </c>
      <c r="AN320" s="11" t="s">
        <v>5318</v>
      </c>
      <c r="AO320" s="11">
        <v>3</v>
      </c>
      <c r="AP320" s="11" t="s">
        <v>5318</v>
      </c>
      <c r="AQ320" s="11" t="s">
        <v>5318</v>
      </c>
    </row>
    <row r="321" spans="1:43" ht="63" customHeight="1" x14ac:dyDescent="0.2">
      <c r="A321" s="10">
        <v>4026</v>
      </c>
      <c r="B321" s="11" t="s">
        <v>7500</v>
      </c>
      <c r="C321" s="11" t="s">
        <v>1091</v>
      </c>
      <c r="D321" s="11">
        <v>2006</v>
      </c>
      <c r="E321" s="11" t="s">
        <v>5318</v>
      </c>
      <c r="F321" s="11">
        <v>244</v>
      </c>
      <c r="G321" s="11">
        <v>6</v>
      </c>
      <c r="H321" s="11" t="s">
        <v>6533</v>
      </c>
      <c r="I321" s="11" t="s">
        <v>6516</v>
      </c>
      <c r="J321" s="11" t="s">
        <v>7501</v>
      </c>
      <c r="K321" s="11" t="s">
        <v>1093</v>
      </c>
      <c r="L321" s="11" t="s">
        <v>5044</v>
      </c>
      <c r="M321" s="11">
        <v>0</v>
      </c>
      <c r="N321" s="9" t="s">
        <v>5044</v>
      </c>
      <c r="O321" s="9" t="s">
        <v>5044</v>
      </c>
      <c r="P321" s="11">
        <v>0</v>
      </c>
      <c r="Q321" s="11">
        <v>0</v>
      </c>
      <c r="R321" s="11">
        <v>0</v>
      </c>
      <c r="S321" s="11">
        <v>1</v>
      </c>
      <c r="T321" s="11">
        <v>1</v>
      </c>
      <c r="U321" s="11">
        <v>73</v>
      </c>
      <c r="V321" s="11">
        <v>0</v>
      </c>
      <c r="W321" s="11">
        <v>1</v>
      </c>
      <c r="X321" s="11">
        <v>0</v>
      </c>
      <c r="Y321" s="11">
        <v>0</v>
      </c>
      <c r="Z321" s="11">
        <v>0</v>
      </c>
      <c r="AA321" s="11">
        <v>0</v>
      </c>
      <c r="AB321" s="11">
        <v>1</v>
      </c>
      <c r="AC321" s="11">
        <v>1</v>
      </c>
      <c r="AD321" s="11" t="s">
        <v>5044</v>
      </c>
      <c r="AE321" s="11" t="s">
        <v>5044</v>
      </c>
      <c r="AF321" s="11" t="s">
        <v>5044</v>
      </c>
      <c r="AG321" s="11">
        <v>2</v>
      </c>
      <c r="AH321" s="11">
        <v>2</v>
      </c>
      <c r="AI321" s="11">
        <v>2</v>
      </c>
      <c r="AJ321" s="11" t="s">
        <v>5044</v>
      </c>
      <c r="AK321" s="11" t="s">
        <v>5318</v>
      </c>
      <c r="AL321" s="11">
        <v>0</v>
      </c>
      <c r="AM321" s="11">
        <v>0</v>
      </c>
      <c r="AN321" s="11" t="s">
        <v>5318</v>
      </c>
      <c r="AO321" s="11">
        <v>2</v>
      </c>
      <c r="AP321" s="11" t="s">
        <v>5318</v>
      </c>
      <c r="AQ321" s="11" t="s">
        <v>5318</v>
      </c>
    </row>
    <row r="322" spans="1:43" ht="63" customHeight="1" x14ac:dyDescent="0.2">
      <c r="A322" s="10">
        <v>4028</v>
      </c>
      <c r="B322" s="11" t="s">
        <v>7502</v>
      </c>
      <c r="C322" s="11" t="s">
        <v>1094</v>
      </c>
      <c r="D322" s="11">
        <v>2010</v>
      </c>
      <c r="E322" s="11" t="s">
        <v>5318</v>
      </c>
      <c r="F322" s="11">
        <v>252</v>
      </c>
      <c r="G322" s="11">
        <v>5</v>
      </c>
      <c r="H322" s="11" t="s">
        <v>6533</v>
      </c>
      <c r="I322" s="11" t="s">
        <v>6878</v>
      </c>
      <c r="J322" s="11" t="s">
        <v>7503</v>
      </c>
      <c r="K322" s="11" t="s">
        <v>1096</v>
      </c>
      <c r="L322" s="11" t="s">
        <v>5044</v>
      </c>
      <c r="M322" s="11">
        <v>0</v>
      </c>
      <c r="N322" s="9" t="s">
        <v>5044</v>
      </c>
      <c r="O322" s="9" t="s">
        <v>5044</v>
      </c>
      <c r="P322" s="11">
        <v>0</v>
      </c>
      <c r="Q322" s="11">
        <v>0</v>
      </c>
      <c r="R322" s="11">
        <v>0</v>
      </c>
      <c r="S322" s="11">
        <v>1</v>
      </c>
      <c r="T322" s="11">
        <v>1</v>
      </c>
      <c r="U322" s="11">
        <v>115</v>
      </c>
      <c r="V322" s="11">
        <v>0</v>
      </c>
      <c r="W322" s="11">
        <v>1</v>
      </c>
      <c r="X322" s="11">
        <v>0</v>
      </c>
      <c r="Y322" s="11">
        <v>0</v>
      </c>
      <c r="Z322" s="11">
        <v>0</v>
      </c>
      <c r="AA322" s="11">
        <v>0</v>
      </c>
      <c r="AB322" s="11">
        <v>1</v>
      </c>
      <c r="AC322" s="11">
        <v>1</v>
      </c>
      <c r="AD322" s="11" t="s">
        <v>5044</v>
      </c>
      <c r="AE322" s="11" t="s">
        <v>5044</v>
      </c>
      <c r="AF322" s="11" t="s">
        <v>5044</v>
      </c>
      <c r="AG322" s="11">
        <v>1</v>
      </c>
      <c r="AH322" s="11">
        <v>0</v>
      </c>
      <c r="AI322" s="11">
        <v>0</v>
      </c>
      <c r="AJ322" s="11" t="s">
        <v>5044</v>
      </c>
      <c r="AK322" s="11" t="s">
        <v>5318</v>
      </c>
      <c r="AL322" s="11">
        <v>1</v>
      </c>
      <c r="AM322" s="11">
        <v>0</v>
      </c>
      <c r="AN322" s="11" t="s">
        <v>5318</v>
      </c>
      <c r="AO322" s="9">
        <v>0</v>
      </c>
      <c r="AP322" s="11" t="s">
        <v>5318</v>
      </c>
      <c r="AQ322" s="11" t="s">
        <v>5318</v>
      </c>
    </row>
    <row r="323" spans="1:43" ht="63" customHeight="1" x14ac:dyDescent="0.2">
      <c r="A323" s="10">
        <v>4042</v>
      </c>
      <c r="B323" s="11" t="s">
        <v>7504</v>
      </c>
      <c r="C323" s="11" t="s">
        <v>1097</v>
      </c>
      <c r="D323" s="11">
        <v>2018</v>
      </c>
      <c r="E323" s="11" t="s">
        <v>5318</v>
      </c>
      <c r="F323" s="11">
        <v>3</v>
      </c>
      <c r="G323" s="11">
        <v>4</v>
      </c>
      <c r="H323" s="11" t="s">
        <v>6807</v>
      </c>
      <c r="I323" s="11" t="s">
        <v>6516</v>
      </c>
      <c r="J323" s="11" t="s">
        <v>7505</v>
      </c>
      <c r="K323" s="11" t="s">
        <v>1098</v>
      </c>
      <c r="L323" s="11" t="s">
        <v>5492</v>
      </c>
      <c r="M323" s="11">
        <v>0</v>
      </c>
      <c r="N323" s="9" t="s">
        <v>5044</v>
      </c>
      <c r="O323" s="9" t="s">
        <v>5044</v>
      </c>
      <c r="P323" s="11">
        <v>0</v>
      </c>
      <c r="Q323" s="11">
        <v>0</v>
      </c>
      <c r="R323" s="11">
        <v>0</v>
      </c>
      <c r="S323" s="11">
        <v>1</v>
      </c>
      <c r="T323" s="11">
        <v>1</v>
      </c>
      <c r="U323" s="11">
        <v>280</v>
      </c>
      <c r="V323" s="11">
        <v>0</v>
      </c>
      <c r="W323" s="11">
        <v>1</v>
      </c>
      <c r="X323" s="11">
        <v>0</v>
      </c>
      <c r="Y323" s="11">
        <v>0</v>
      </c>
      <c r="Z323" s="11">
        <v>0</v>
      </c>
      <c r="AA323" s="11">
        <v>0</v>
      </c>
      <c r="AB323" s="11">
        <v>1</v>
      </c>
      <c r="AC323" s="11">
        <v>1</v>
      </c>
      <c r="AD323" s="11" t="s">
        <v>5044</v>
      </c>
      <c r="AE323" s="11" t="s">
        <v>5044</v>
      </c>
      <c r="AF323" s="11" t="s">
        <v>5044</v>
      </c>
      <c r="AG323" s="11">
        <v>1</v>
      </c>
      <c r="AH323" s="11">
        <v>0</v>
      </c>
      <c r="AI323" s="11">
        <v>0</v>
      </c>
      <c r="AJ323" s="11" t="s">
        <v>5044</v>
      </c>
      <c r="AK323" s="11" t="s">
        <v>5318</v>
      </c>
      <c r="AL323" s="11">
        <v>0</v>
      </c>
      <c r="AM323" s="11">
        <v>0</v>
      </c>
      <c r="AN323" s="11" t="s">
        <v>5318</v>
      </c>
      <c r="AO323" s="9">
        <v>0</v>
      </c>
      <c r="AP323" s="11" t="s">
        <v>5318</v>
      </c>
      <c r="AQ323" s="11" t="s">
        <v>5318</v>
      </c>
    </row>
    <row r="324" spans="1:43" ht="63" customHeight="1" x14ac:dyDescent="0.2">
      <c r="A324" s="10">
        <v>4046</v>
      </c>
      <c r="B324" s="11" t="s">
        <v>7506</v>
      </c>
      <c r="C324" s="11" t="s">
        <v>1099</v>
      </c>
      <c r="D324" s="11">
        <v>2013</v>
      </c>
      <c r="E324" s="11" t="s">
        <v>5318</v>
      </c>
      <c r="F324" s="11">
        <v>258</v>
      </c>
      <c r="G324" s="11">
        <v>5</v>
      </c>
      <c r="H324" s="11" t="s">
        <v>6533</v>
      </c>
      <c r="I324" s="11" t="s">
        <v>6516</v>
      </c>
      <c r="J324" s="11" t="s">
        <v>7507</v>
      </c>
      <c r="K324" s="11" t="s">
        <v>1100</v>
      </c>
      <c r="L324" s="11" t="s">
        <v>5044</v>
      </c>
      <c r="M324" s="11">
        <v>0</v>
      </c>
      <c r="N324" s="9" t="s">
        <v>5044</v>
      </c>
      <c r="O324" s="9" t="s">
        <v>5044</v>
      </c>
      <c r="P324" s="11">
        <v>0</v>
      </c>
      <c r="Q324" s="11">
        <v>0</v>
      </c>
      <c r="R324" s="11">
        <v>0</v>
      </c>
      <c r="S324" s="11">
        <v>1</v>
      </c>
      <c r="T324" s="11">
        <v>1</v>
      </c>
      <c r="U324" s="11">
        <v>217</v>
      </c>
      <c r="V324" s="11">
        <v>0</v>
      </c>
      <c r="W324" s="11">
        <v>1</v>
      </c>
      <c r="X324" s="11">
        <v>0</v>
      </c>
      <c r="Y324" s="11">
        <v>0</v>
      </c>
      <c r="Z324" s="11">
        <v>0</v>
      </c>
      <c r="AA324" s="11">
        <v>0</v>
      </c>
      <c r="AB324" s="11">
        <v>1</v>
      </c>
      <c r="AC324" s="11">
        <v>1</v>
      </c>
      <c r="AD324" s="11" t="s">
        <v>5044</v>
      </c>
      <c r="AE324" s="11" t="s">
        <v>5044</v>
      </c>
      <c r="AF324" s="11" t="s">
        <v>5044</v>
      </c>
      <c r="AG324" s="11">
        <v>2</v>
      </c>
      <c r="AH324" s="11">
        <v>3</v>
      </c>
      <c r="AI324" s="11">
        <v>0</v>
      </c>
      <c r="AJ324" s="11" t="s">
        <v>5044</v>
      </c>
      <c r="AK324" s="11">
        <v>1</v>
      </c>
      <c r="AL324" s="11">
        <v>0</v>
      </c>
      <c r="AM324" s="11">
        <v>0</v>
      </c>
      <c r="AN324" s="11" t="s">
        <v>5318</v>
      </c>
      <c r="AO324" s="11">
        <v>3</v>
      </c>
      <c r="AP324" s="11" t="s">
        <v>5318</v>
      </c>
      <c r="AQ324" s="11" t="s">
        <v>5318</v>
      </c>
    </row>
    <row r="325" spans="1:43" ht="63" customHeight="1" x14ac:dyDescent="0.2">
      <c r="A325" s="10">
        <v>4049</v>
      </c>
      <c r="B325" s="11" t="s">
        <v>7508</v>
      </c>
      <c r="C325" s="11" t="s">
        <v>1101</v>
      </c>
      <c r="D325" s="11">
        <v>2011</v>
      </c>
      <c r="E325" s="11" t="s">
        <v>5318</v>
      </c>
      <c r="F325" s="11">
        <v>253</v>
      </c>
      <c r="G325" s="11">
        <v>5</v>
      </c>
      <c r="H325" s="11" t="s">
        <v>6533</v>
      </c>
      <c r="I325" s="11" t="s">
        <v>6516</v>
      </c>
      <c r="J325" s="11" t="s">
        <v>7509</v>
      </c>
      <c r="K325" s="11" t="s">
        <v>1102</v>
      </c>
      <c r="L325" s="11" t="s">
        <v>5493</v>
      </c>
      <c r="M325" s="11">
        <v>0</v>
      </c>
      <c r="N325" s="9" t="s">
        <v>5044</v>
      </c>
      <c r="O325" s="9" t="s">
        <v>5044</v>
      </c>
      <c r="P325" s="11">
        <v>0</v>
      </c>
      <c r="Q325" s="11">
        <v>0</v>
      </c>
      <c r="R325" s="11">
        <v>0</v>
      </c>
      <c r="S325" s="11">
        <v>1</v>
      </c>
      <c r="T325" s="11">
        <v>1</v>
      </c>
      <c r="U325" s="11">
        <v>158</v>
      </c>
      <c r="V325" s="11">
        <v>0</v>
      </c>
      <c r="W325" s="11">
        <v>1</v>
      </c>
      <c r="X325" s="11">
        <v>0</v>
      </c>
      <c r="Y325" s="11">
        <v>0</v>
      </c>
      <c r="Z325" s="11">
        <v>0</v>
      </c>
      <c r="AA325" s="11">
        <v>0</v>
      </c>
      <c r="AB325" s="11">
        <v>1</v>
      </c>
      <c r="AC325" s="11">
        <v>1</v>
      </c>
      <c r="AD325" s="11" t="s">
        <v>5044</v>
      </c>
      <c r="AE325" s="11" t="s">
        <v>5044</v>
      </c>
      <c r="AF325" s="11" t="s">
        <v>5044</v>
      </c>
      <c r="AG325" s="11">
        <v>2</v>
      </c>
      <c r="AH325" s="11">
        <v>3</v>
      </c>
      <c r="AI325" s="11">
        <v>0</v>
      </c>
      <c r="AJ325" s="11" t="s">
        <v>5044</v>
      </c>
      <c r="AK325" s="11" t="s">
        <v>5318</v>
      </c>
      <c r="AL325" s="11">
        <v>1</v>
      </c>
      <c r="AM325" s="11">
        <v>0</v>
      </c>
      <c r="AN325" s="11" t="s">
        <v>5318</v>
      </c>
      <c r="AO325" s="11">
        <v>3</v>
      </c>
      <c r="AP325" s="11" t="s">
        <v>5318</v>
      </c>
      <c r="AQ325" s="11" t="s">
        <v>5318</v>
      </c>
    </row>
    <row r="326" spans="1:43" ht="63" customHeight="1" x14ac:dyDescent="0.2">
      <c r="A326" s="10">
        <v>4050</v>
      </c>
      <c r="B326" s="11" t="s">
        <v>7510</v>
      </c>
      <c r="C326" s="11" t="s">
        <v>1103</v>
      </c>
      <c r="D326" s="11">
        <v>2007</v>
      </c>
      <c r="E326" s="11" t="s">
        <v>5318</v>
      </c>
      <c r="F326" s="11">
        <v>94</v>
      </c>
      <c r="G326" s="11">
        <v>3</v>
      </c>
      <c r="H326" s="11" t="s">
        <v>6530</v>
      </c>
      <c r="I326" s="11" t="s">
        <v>6516</v>
      </c>
      <c r="J326" s="11" t="s">
        <v>7511</v>
      </c>
      <c r="K326" s="11" t="s">
        <v>1104</v>
      </c>
      <c r="L326" s="11" t="s">
        <v>5044</v>
      </c>
      <c r="M326" s="11">
        <v>0</v>
      </c>
      <c r="N326" s="9" t="s">
        <v>5044</v>
      </c>
      <c r="O326" s="9" t="s">
        <v>5044</v>
      </c>
      <c r="P326" s="11">
        <v>0</v>
      </c>
      <c r="Q326" s="11">
        <v>0</v>
      </c>
      <c r="R326" s="11">
        <v>0</v>
      </c>
      <c r="S326" s="11">
        <v>1</v>
      </c>
      <c r="T326" s="11">
        <v>1</v>
      </c>
      <c r="U326" s="11">
        <v>200</v>
      </c>
      <c r="V326" s="11">
        <v>1</v>
      </c>
      <c r="W326" s="11">
        <v>0</v>
      </c>
      <c r="X326" s="11">
        <v>0</v>
      </c>
      <c r="Y326" s="11">
        <v>0</v>
      </c>
      <c r="Z326" s="11">
        <v>0</v>
      </c>
      <c r="AA326" s="11">
        <v>0</v>
      </c>
      <c r="AB326" s="11">
        <v>1</v>
      </c>
      <c r="AC326" s="11">
        <v>1</v>
      </c>
      <c r="AD326" s="11">
        <v>2</v>
      </c>
      <c r="AE326" s="11">
        <v>3</v>
      </c>
      <c r="AF326" s="11">
        <v>0</v>
      </c>
      <c r="AG326" s="11" t="s">
        <v>5044</v>
      </c>
      <c r="AH326" s="11" t="s">
        <v>5044</v>
      </c>
      <c r="AI326" s="11" t="s">
        <v>5044</v>
      </c>
      <c r="AJ326" s="11" t="s">
        <v>5044</v>
      </c>
      <c r="AK326" s="11" t="s">
        <v>6504</v>
      </c>
      <c r="AL326" s="11">
        <v>0</v>
      </c>
      <c r="AM326" s="11">
        <v>0</v>
      </c>
      <c r="AN326" s="11" t="s">
        <v>5318</v>
      </c>
      <c r="AO326" s="11">
        <v>3</v>
      </c>
      <c r="AP326" s="11" t="s">
        <v>5318</v>
      </c>
      <c r="AQ326" s="11" t="s">
        <v>5318</v>
      </c>
    </row>
    <row r="327" spans="1:43" ht="63" customHeight="1" x14ac:dyDescent="0.2">
      <c r="A327" s="10">
        <v>4067</v>
      </c>
      <c r="B327" s="11" t="s">
        <v>7512</v>
      </c>
      <c r="C327" s="11" t="s">
        <v>1105</v>
      </c>
      <c r="D327" s="11">
        <v>2016</v>
      </c>
      <c r="E327" s="11" t="s">
        <v>5318</v>
      </c>
      <c r="F327" s="11">
        <v>264</v>
      </c>
      <c r="G327" s="11">
        <v>5</v>
      </c>
      <c r="H327" s="11" t="s">
        <v>6533</v>
      </c>
      <c r="I327" s="11" t="s">
        <v>6516</v>
      </c>
      <c r="J327" s="11" t="s">
        <v>7513</v>
      </c>
      <c r="K327" s="11" t="s">
        <v>1106</v>
      </c>
      <c r="L327" s="11" t="s">
        <v>5044</v>
      </c>
      <c r="M327" s="11">
        <v>0</v>
      </c>
      <c r="N327" s="9" t="s">
        <v>5044</v>
      </c>
      <c r="O327" s="9" t="s">
        <v>5044</v>
      </c>
      <c r="P327" s="11">
        <v>0</v>
      </c>
      <c r="Q327" s="11">
        <v>0</v>
      </c>
      <c r="R327" s="11">
        <v>0</v>
      </c>
      <c r="S327" s="11">
        <v>1</v>
      </c>
      <c r="T327" s="11">
        <v>1</v>
      </c>
      <c r="U327" s="11">
        <v>212</v>
      </c>
      <c r="V327" s="11">
        <v>1</v>
      </c>
      <c r="W327" s="11">
        <v>0</v>
      </c>
      <c r="X327" s="11">
        <v>0</v>
      </c>
      <c r="Y327" s="11">
        <v>0</v>
      </c>
      <c r="Z327" s="11">
        <v>1</v>
      </c>
      <c r="AA327" s="11">
        <v>0</v>
      </c>
      <c r="AB327" s="11">
        <v>1</v>
      </c>
      <c r="AC327" s="11">
        <v>1</v>
      </c>
      <c r="AD327" s="11">
        <v>2</v>
      </c>
      <c r="AE327" s="11">
        <v>2</v>
      </c>
      <c r="AF327" s="11">
        <v>2</v>
      </c>
      <c r="AG327" s="11" t="s">
        <v>5044</v>
      </c>
      <c r="AH327" s="11" t="s">
        <v>5044</v>
      </c>
      <c r="AI327" s="11" t="s">
        <v>5044</v>
      </c>
      <c r="AJ327" s="11">
        <v>0</v>
      </c>
      <c r="AK327" s="11" t="s">
        <v>5318</v>
      </c>
      <c r="AL327" s="11">
        <v>1</v>
      </c>
      <c r="AM327" s="11">
        <v>0</v>
      </c>
      <c r="AN327" s="11" t="s">
        <v>5318</v>
      </c>
      <c r="AO327" s="11">
        <v>2</v>
      </c>
      <c r="AP327" s="11" t="s">
        <v>5318</v>
      </c>
      <c r="AQ327" s="11" t="s">
        <v>5318</v>
      </c>
    </row>
    <row r="328" spans="1:43" ht="63" customHeight="1" x14ac:dyDescent="0.2">
      <c r="A328" s="10">
        <v>4103</v>
      </c>
      <c r="B328" s="11" t="s">
        <v>7514</v>
      </c>
      <c r="C328" s="11" t="s">
        <v>1107</v>
      </c>
      <c r="D328" s="11">
        <v>2021</v>
      </c>
      <c r="E328" s="11" t="s">
        <v>5318</v>
      </c>
      <c r="F328" s="11">
        <v>10</v>
      </c>
      <c r="G328" s="11">
        <v>9</v>
      </c>
      <c r="H328" s="11" t="s">
        <v>7515</v>
      </c>
      <c r="I328" s="11" t="s">
        <v>6516</v>
      </c>
      <c r="J328" s="11" t="s">
        <v>7516</v>
      </c>
      <c r="K328" s="11" t="s">
        <v>1108</v>
      </c>
      <c r="L328" s="11" t="s">
        <v>5494</v>
      </c>
      <c r="M328" s="11">
        <v>0</v>
      </c>
      <c r="N328" s="9" t="s">
        <v>5044</v>
      </c>
      <c r="O328" s="9" t="s">
        <v>5044</v>
      </c>
      <c r="P328" s="11">
        <v>0</v>
      </c>
      <c r="Q328" s="11">
        <v>0</v>
      </c>
      <c r="R328" s="11">
        <v>0</v>
      </c>
      <c r="S328" s="11">
        <v>9</v>
      </c>
      <c r="T328" s="11">
        <v>4</v>
      </c>
      <c r="U328" s="11">
        <v>42</v>
      </c>
      <c r="V328" s="11">
        <v>0</v>
      </c>
      <c r="W328" s="11">
        <v>1</v>
      </c>
      <c r="X328" s="11">
        <v>0</v>
      </c>
      <c r="Y328" s="11">
        <v>0</v>
      </c>
      <c r="Z328" s="11">
        <v>0</v>
      </c>
      <c r="AA328" s="11">
        <v>0</v>
      </c>
      <c r="AB328" s="11">
        <v>1</v>
      </c>
      <c r="AC328" s="11">
        <v>0</v>
      </c>
      <c r="AD328" s="11" t="s">
        <v>5044</v>
      </c>
      <c r="AE328" s="11" t="s">
        <v>5044</v>
      </c>
      <c r="AF328" s="11" t="s">
        <v>5044</v>
      </c>
      <c r="AG328" s="11">
        <v>0</v>
      </c>
      <c r="AH328" s="11" t="s">
        <v>5044</v>
      </c>
      <c r="AI328" s="11" t="s">
        <v>5044</v>
      </c>
      <c r="AJ328" s="11" t="s">
        <v>5044</v>
      </c>
      <c r="AK328" s="11" t="s">
        <v>5318</v>
      </c>
      <c r="AL328" s="11">
        <v>1</v>
      </c>
      <c r="AM328" s="11">
        <v>0</v>
      </c>
      <c r="AN328" s="11" t="s">
        <v>5318</v>
      </c>
      <c r="AO328" s="11">
        <v>9</v>
      </c>
      <c r="AP328" s="11" t="s">
        <v>5318</v>
      </c>
      <c r="AQ328" s="11" t="s">
        <v>5318</v>
      </c>
    </row>
    <row r="329" spans="1:43" ht="63" customHeight="1" x14ac:dyDescent="0.2">
      <c r="A329" s="10">
        <v>4105</v>
      </c>
      <c r="B329" s="11" t="s">
        <v>7517</v>
      </c>
      <c r="C329" s="11" t="s">
        <v>1109</v>
      </c>
      <c r="D329" s="11">
        <v>2022</v>
      </c>
      <c r="E329" s="11" t="s">
        <v>5318</v>
      </c>
      <c r="F329" s="11">
        <v>107</v>
      </c>
      <c r="G329" s="11" t="s">
        <v>5318</v>
      </c>
      <c r="H329" s="11" t="s">
        <v>7001</v>
      </c>
      <c r="I329" s="11" t="s">
        <v>6516</v>
      </c>
      <c r="J329" s="11" t="s">
        <v>7518</v>
      </c>
      <c r="K329" s="11" t="s">
        <v>1110</v>
      </c>
      <c r="L329" s="11" t="s">
        <v>5495</v>
      </c>
      <c r="M329" s="11">
        <v>0</v>
      </c>
      <c r="N329" s="9" t="s">
        <v>5044</v>
      </c>
      <c r="O329" s="9" t="s">
        <v>5044</v>
      </c>
      <c r="P329" s="11">
        <v>0</v>
      </c>
      <c r="Q329" s="11">
        <v>0</v>
      </c>
      <c r="R329" s="11">
        <v>0</v>
      </c>
      <c r="S329" s="11">
        <v>1</v>
      </c>
      <c r="T329" s="11">
        <v>4</v>
      </c>
      <c r="U329" s="11">
        <v>258</v>
      </c>
      <c r="V329" s="11">
        <v>1</v>
      </c>
      <c r="W329" s="11">
        <v>0</v>
      </c>
      <c r="X329" s="11">
        <v>0</v>
      </c>
      <c r="Y329" s="11">
        <v>0</v>
      </c>
      <c r="Z329" s="11">
        <v>0</v>
      </c>
      <c r="AA329" s="11">
        <v>0</v>
      </c>
      <c r="AB329" s="11">
        <v>1</v>
      </c>
      <c r="AC329" s="11">
        <v>0</v>
      </c>
      <c r="AD329" s="11">
        <v>0</v>
      </c>
      <c r="AE329" s="11" t="s">
        <v>5044</v>
      </c>
      <c r="AF329" s="11" t="s">
        <v>5044</v>
      </c>
      <c r="AG329" s="11" t="s">
        <v>5044</v>
      </c>
      <c r="AH329" s="11" t="s">
        <v>5044</v>
      </c>
      <c r="AI329" s="11" t="s">
        <v>5044</v>
      </c>
      <c r="AJ329" s="11" t="s">
        <v>5044</v>
      </c>
      <c r="AK329" s="11" t="s">
        <v>5318</v>
      </c>
      <c r="AL329" s="11" t="s">
        <v>5044</v>
      </c>
      <c r="AM329" s="11">
        <v>0</v>
      </c>
      <c r="AN329" s="11" t="s">
        <v>5105</v>
      </c>
      <c r="AO329" s="11">
        <v>9</v>
      </c>
      <c r="AP329" s="11" t="s">
        <v>5318</v>
      </c>
      <c r="AQ329" s="11" t="s">
        <v>5318</v>
      </c>
    </row>
    <row r="330" spans="1:43" ht="63" customHeight="1" x14ac:dyDescent="0.2">
      <c r="A330" s="10">
        <v>4110</v>
      </c>
      <c r="B330" s="11" t="s">
        <v>7519</v>
      </c>
      <c r="C330" s="11" t="s">
        <v>1111</v>
      </c>
      <c r="D330" s="11">
        <v>2016</v>
      </c>
      <c r="E330" s="11" t="s">
        <v>5318</v>
      </c>
      <c r="F330" s="11">
        <v>87</v>
      </c>
      <c r="G330" s="11" t="s">
        <v>5318</v>
      </c>
      <c r="H330" s="11" t="s">
        <v>6926</v>
      </c>
      <c r="I330" s="11" t="s">
        <v>6516</v>
      </c>
      <c r="J330" s="11" t="s">
        <v>7520</v>
      </c>
      <c r="K330" s="11" t="s">
        <v>1112</v>
      </c>
      <c r="L330" s="11" t="s">
        <v>5044</v>
      </c>
      <c r="M330" s="11">
        <v>0</v>
      </c>
      <c r="N330" s="9" t="s">
        <v>5044</v>
      </c>
      <c r="O330" s="9" t="s">
        <v>5044</v>
      </c>
      <c r="P330" s="11">
        <v>0</v>
      </c>
      <c r="Q330" s="11">
        <v>0</v>
      </c>
      <c r="R330" s="11">
        <v>0</v>
      </c>
      <c r="S330" s="11">
        <v>3</v>
      </c>
      <c r="T330" s="11">
        <v>4</v>
      </c>
      <c r="U330" s="11">
        <v>120</v>
      </c>
      <c r="V330" s="11">
        <v>0</v>
      </c>
      <c r="W330" s="11">
        <v>1</v>
      </c>
      <c r="X330" s="11">
        <v>0</v>
      </c>
      <c r="Y330" s="11">
        <v>0</v>
      </c>
      <c r="Z330" s="11">
        <v>0</v>
      </c>
      <c r="AA330" s="11">
        <v>0</v>
      </c>
      <c r="AB330" s="11">
        <v>0</v>
      </c>
      <c r="AC330" s="11">
        <v>1</v>
      </c>
      <c r="AD330" s="11" t="s">
        <v>5044</v>
      </c>
      <c r="AE330" s="11" t="s">
        <v>5044</v>
      </c>
      <c r="AF330" s="11" t="s">
        <v>5044</v>
      </c>
      <c r="AG330" s="11">
        <v>1</v>
      </c>
      <c r="AH330" s="11">
        <v>0</v>
      </c>
      <c r="AI330" s="11">
        <v>0</v>
      </c>
      <c r="AJ330" s="11" t="s">
        <v>5044</v>
      </c>
      <c r="AK330" s="11" t="s">
        <v>5318</v>
      </c>
      <c r="AL330" s="11" t="s">
        <v>5044</v>
      </c>
      <c r="AM330" s="11">
        <v>0</v>
      </c>
      <c r="AN330" s="11" t="s">
        <v>5105</v>
      </c>
      <c r="AO330" s="9">
        <v>0</v>
      </c>
      <c r="AP330" s="11" t="s">
        <v>5318</v>
      </c>
      <c r="AQ330" s="11" t="s">
        <v>5318</v>
      </c>
    </row>
    <row r="331" spans="1:43" ht="63" customHeight="1" x14ac:dyDescent="0.2">
      <c r="A331" s="10">
        <v>4171</v>
      </c>
      <c r="B331" s="11" t="s">
        <v>7525</v>
      </c>
      <c r="C331" s="11" t="s">
        <v>1117</v>
      </c>
      <c r="D331" s="11">
        <v>2016</v>
      </c>
      <c r="E331" s="11" t="s">
        <v>5318</v>
      </c>
      <c r="F331" s="11">
        <v>30</v>
      </c>
      <c r="G331" s="11">
        <v>1</v>
      </c>
      <c r="H331" s="11" t="s">
        <v>7526</v>
      </c>
      <c r="I331" s="11" t="s">
        <v>6516</v>
      </c>
      <c r="J331" s="11" t="s">
        <v>7527</v>
      </c>
      <c r="K331" s="11" t="s">
        <v>1119</v>
      </c>
      <c r="L331" s="11" t="s">
        <v>5497</v>
      </c>
      <c r="M331" s="11">
        <v>0</v>
      </c>
      <c r="N331" s="9" t="s">
        <v>5044</v>
      </c>
      <c r="O331" s="9" t="s">
        <v>5044</v>
      </c>
      <c r="P331" s="11">
        <v>1</v>
      </c>
      <c r="Q331" s="11">
        <v>0</v>
      </c>
      <c r="R331" s="11">
        <v>0</v>
      </c>
      <c r="S331" s="11">
        <v>9</v>
      </c>
      <c r="T331" s="11">
        <v>1</v>
      </c>
      <c r="U331" s="11">
        <v>50</v>
      </c>
      <c r="V331" s="11">
        <v>0</v>
      </c>
      <c r="W331" s="11">
        <v>1</v>
      </c>
      <c r="X331" s="11">
        <v>0</v>
      </c>
      <c r="Y331" s="11">
        <v>0</v>
      </c>
      <c r="Z331" s="11">
        <v>0</v>
      </c>
      <c r="AA331" s="11">
        <v>0</v>
      </c>
      <c r="AB331" s="11">
        <v>1</v>
      </c>
      <c r="AC331" s="11">
        <v>0</v>
      </c>
      <c r="AD331" s="11" t="s">
        <v>5044</v>
      </c>
      <c r="AE331" s="11" t="s">
        <v>5044</v>
      </c>
      <c r="AF331" s="11" t="s">
        <v>5044</v>
      </c>
      <c r="AG331" s="11">
        <v>0</v>
      </c>
      <c r="AH331" s="11" t="s">
        <v>5044</v>
      </c>
      <c r="AI331" s="11" t="s">
        <v>5044</v>
      </c>
      <c r="AJ331" s="11" t="s">
        <v>5044</v>
      </c>
      <c r="AK331" s="11" t="s">
        <v>5318</v>
      </c>
      <c r="AL331" s="11" t="s">
        <v>5044</v>
      </c>
      <c r="AM331" s="11">
        <v>0</v>
      </c>
      <c r="AN331" s="11" t="s">
        <v>5318</v>
      </c>
      <c r="AO331" s="11">
        <v>9</v>
      </c>
      <c r="AP331" s="11" t="s">
        <v>5318</v>
      </c>
      <c r="AQ331" s="11" t="s">
        <v>5318</v>
      </c>
    </row>
    <row r="332" spans="1:43" ht="63" customHeight="1" x14ac:dyDescent="0.2">
      <c r="A332" s="10">
        <v>4213</v>
      </c>
      <c r="B332" s="11" t="s">
        <v>7530</v>
      </c>
      <c r="C332" s="11" t="s">
        <v>1122</v>
      </c>
      <c r="D332" s="11">
        <v>2013</v>
      </c>
      <c r="E332" s="11" t="s">
        <v>5318</v>
      </c>
      <c r="F332" s="11">
        <v>27</v>
      </c>
      <c r="G332" s="11">
        <v>8</v>
      </c>
      <c r="H332" s="11" t="s">
        <v>6692</v>
      </c>
      <c r="I332" s="11" t="s">
        <v>6516</v>
      </c>
      <c r="J332" s="11" t="s">
        <v>7531</v>
      </c>
      <c r="K332" s="11" t="s">
        <v>1123</v>
      </c>
      <c r="L332" s="11" t="s">
        <v>5044</v>
      </c>
      <c r="M332" s="11">
        <v>0</v>
      </c>
      <c r="N332" s="9" t="s">
        <v>5044</v>
      </c>
      <c r="O332" s="9" t="s">
        <v>5044</v>
      </c>
      <c r="P332" s="11">
        <v>0</v>
      </c>
      <c r="Q332" s="11">
        <v>0</v>
      </c>
      <c r="R332" s="11">
        <v>0</v>
      </c>
      <c r="S332" s="11">
        <v>3</v>
      </c>
      <c r="T332" s="11">
        <v>1</v>
      </c>
      <c r="U332" s="11">
        <v>132</v>
      </c>
      <c r="V332" s="11">
        <v>0</v>
      </c>
      <c r="W332" s="11">
        <v>1</v>
      </c>
      <c r="X332" s="11">
        <v>0</v>
      </c>
      <c r="Y332" s="11">
        <v>0</v>
      </c>
      <c r="Z332" s="11">
        <v>0</v>
      </c>
      <c r="AA332" s="11">
        <v>0</v>
      </c>
      <c r="AB332" s="11">
        <v>0</v>
      </c>
      <c r="AC332" s="11">
        <v>1</v>
      </c>
      <c r="AD332" s="11" t="s">
        <v>5044</v>
      </c>
      <c r="AE332" s="11" t="s">
        <v>5044</v>
      </c>
      <c r="AF332" s="11" t="s">
        <v>5044</v>
      </c>
      <c r="AG332" s="11">
        <v>2</v>
      </c>
      <c r="AH332" s="11">
        <v>3</v>
      </c>
      <c r="AI332" s="11">
        <v>0</v>
      </c>
      <c r="AJ332" s="11" t="s">
        <v>5044</v>
      </c>
      <c r="AK332" s="11">
        <v>1</v>
      </c>
      <c r="AL332" s="11" t="s">
        <v>5044</v>
      </c>
      <c r="AM332" s="11">
        <v>0</v>
      </c>
      <c r="AN332" s="11" t="s">
        <v>5105</v>
      </c>
      <c r="AO332" s="11">
        <v>3</v>
      </c>
      <c r="AP332" s="11" t="s">
        <v>5318</v>
      </c>
      <c r="AQ332" s="11" t="s">
        <v>5318</v>
      </c>
    </row>
    <row r="333" spans="1:43" ht="63" customHeight="1" x14ac:dyDescent="0.2">
      <c r="A333" s="10">
        <v>4236</v>
      </c>
      <c r="B333" s="11" t="s">
        <v>7535</v>
      </c>
      <c r="C333" s="11" t="s">
        <v>1127</v>
      </c>
      <c r="D333" s="11">
        <v>2016</v>
      </c>
      <c r="E333" s="11" t="s">
        <v>5318</v>
      </c>
      <c r="F333" s="11">
        <v>46</v>
      </c>
      <c r="G333" s="11">
        <v>3</v>
      </c>
      <c r="H333" s="11" t="s">
        <v>7264</v>
      </c>
      <c r="I333" s="11" t="s">
        <v>6516</v>
      </c>
      <c r="J333" s="11" t="s">
        <v>7536</v>
      </c>
      <c r="K333" s="11" t="s">
        <v>1128</v>
      </c>
      <c r="L333" s="11" t="s">
        <v>5657</v>
      </c>
      <c r="M333" s="11">
        <v>0</v>
      </c>
      <c r="N333" s="9" t="s">
        <v>5044</v>
      </c>
      <c r="O333" s="9" t="s">
        <v>5044</v>
      </c>
      <c r="P333" s="11">
        <v>0</v>
      </c>
      <c r="Q333" s="11">
        <v>0</v>
      </c>
      <c r="R333" s="11">
        <v>0</v>
      </c>
      <c r="S333" s="11">
        <v>1</v>
      </c>
      <c r="T333" s="11">
        <v>1</v>
      </c>
      <c r="U333" s="11">
        <v>59</v>
      </c>
      <c r="V333" s="11">
        <v>0</v>
      </c>
      <c r="W333" s="11">
        <v>1</v>
      </c>
      <c r="X333" s="11">
        <v>0</v>
      </c>
      <c r="Y333" s="11">
        <v>0</v>
      </c>
      <c r="Z333" s="11">
        <v>0</v>
      </c>
      <c r="AA333" s="11">
        <v>0</v>
      </c>
      <c r="AB333" s="11">
        <v>1</v>
      </c>
      <c r="AC333" s="11">
        <v>1</v>
      </c>
      <c r="AD333" s="11" t="s">
        <v>5044</v>
      </c>
      <c r="AE333" s="11" t="s">
        <v>5044</v>
      </c>
      <c r="AF333" s="11" t="s">
        <v>5044</v>
      </c>
      <c r="AG333" s="11">
        <v>0</v>
      </c>
      <c r="AH333" s="11" t="s">
        <v>5044</v>
      </c>
      <c r="AI333" s="11" t="s">
        <v>5044</v>
      </c>
      <c r="AJ333" s="11" t="s">
        <v>5044</v>
      </c>
      <c r="AK333" s="11" t="s">
        <v>5318</v>
      </c>
      <c r="AL333" s="11">
        <v>0</v>
      </c>
      <c r="AM333" s="11">
        <v>0</v>
      </c>
      <c r="AN333" s="11" t="s">
        <v>5318</v>
      </c>
      <c r="AO333" s="11">
        <v>9</v>
      </c>
      <c r="AP333" s="11" t="s">
        <v>5318</v>
      </c>
      <c r="AQ333" s="11" t="s">
        <v>5318</v>
      </c>
    </row>
    <row r="334" spans="1:43" ht="63" customHeight="1" x14ac:dyDescent="0.2">
      <c r="A334" s="10">
        <v>4253</v>
      </c>
      <c r="B334" s="11" t="s">
        <v>7537</v>
      </c>
      <c r="C334" s="11" t="s">
        <v>1129</v>
      </c>
      <c r="D334" s="11">
        <v>2015</v>
      </c>
      <c r="E334" s="11" t="s">
        <v>5318</v>
      </c>
      <c r="F334" s="11">
        <v>33</v>
      </c>
      <c r="G334" s="11">
        <v>3</v>
      </c>
      <c r="H334" s="11" t="s">
        <v>6582</v>
      </c>
      <c r="I334" s="11" t="s">
        <v>6516</v>
      </c>
      <c r="J334" s="11" t="s">
        <v>7538</v>
      </c>
      <c r="K334" s="11" t="s">
        <v>1130</v>
      </c>
      <c r="L334" s="11" t="s">
        <v>5044</v>
      </c>
      <c r="M334" s="11">
        <v>0</v>
      </c>
      <c r="N334" s="9" t="s">
        <v>5044</v>
      </c>
      <c r="O334" s="9" t="s">
        <v>5044</v>
      </c>
      <c r="P334" s="11">
        <v>0</v>
      </c>
      <c r="Q334" s="11">
        <v>0</v>
      </c>
      <c r="R334" s="11">
        <v>0</v>
      </c>
      <c r="S334" s="11">
        <v>3</v>
      </c>
      <c r="T334" s="11">
        <v>4</v>
      </c>
      <c r="U334" s="11">
        <v>35</v>
      </c>
      <c r="V334" s="11">
        <v>0</v>
      </c>
      <c r="W334" s="11">
        <v>1</v>
      </c>
      <c r="X334" s="11">
        <v>0</v>
      </c>
      <c r="Y334" s="11">
        <v>0</v>
      </c>
      <c r="Z334" s="11">
        <v>0</v>
      </c>
      <c r="AA334" s="11">
        <v>0</v>
      </c>
      <c r="AB334" s="11">
        <v>0</v>
      </c>
      <c r="AC334" s="11">
        <v>1</v>
      </c>
      <c r="AD334" s="11" t="s">
        <v>5044</v>
      </c>
      <c r="AE334" s="11" t="s">
        <v>5044</v>
      </c>
      <c r="AF334" s="11" t="s">
        <v>5044</v>
      </c>
      <c r="AG334" s="11">
        <v>2</v>
      </c>
      <c r="AH334" s="11">
        <v>2</v>
      </c>
      <c r="AI334" s="11">
        <v>2</v>
      </c>
      <c r="AJ334" s="11" t="s">
        <v>5044</v>
      </c>
      <c r="AK334" s="11" t="s">
        <v>5318</v>
      </c>
      <c r="AL334" s="11" t="s">
        <v>5044</v>
      </c>
      <c r="AM334" s="11">
        <v>0</v>
      </c>
      <c r="AN334" s="11" t="s">
        <v>6293</v>
      </c>
      <c r="AO334" s="11">
        <v>2</v>
      </c>
      <c r="AP334" s="11" t="s">
        <v>5318</v>
      </c>
      <c r="AQ334" s="11" t="s">
        <v>5318</v>
      </c>
    </row>
    <row r="335" spans="1:43" ht="63" customHeight="1" x14ac:dyDescent="0.2">
      <c r="A335" s="10">
        <v>4254</v>
      </c>
      <c r="B335" s="11" t="s">
        <v>7539</v>
      </c>
      <c r="C335" s="11" t="s">
        <v>1131</v>
      </c>
      <c r="D335" s="11">
        <v>2020</v>
      </c>
      <c r="E335" s="11" t="s">
        <v>5318</v>
      </c>
      <c r="F335" s="11">
        <v>9</v>
      </c>
      <c r="G335" s="11">
        <v>10</v>
      </c>
      <c r="H335" s="11" t="s">
        <v>7280</v>
      </c>
      <c r="I335" s="11" t="s">
        <v>6516</v>
      </c>
      <c r="J335" s="11" t="s">
        <v>7540</v>
      </c>
      <c r="K335" s="11" t="s">
        <v>1132</v>
      </c>
      <c r="L335" s="11" t="s">
        <v>5658</v>
      </c>
      <c r="M335" s="11">
        <v>0</v>
      </c>
      <c r="N335" s="9" t="s">
        <v>5044</v>
      </c>
      <c r="O335" s="9" t="s">
        <v>5044</v>
      </c>
      <c r="P335" s="11">
        <v>0</v>
      </c>
      <c r="Q335" s="11">
        <v>0</v>
      </c>
      <c r="R335" s="11">
        <v>0</v>
      </c>
      <c r="S335" s="11">
        <v>1</v>
      </c>
      <c r="T335" s="11">
        <v>4</v>
      </c>
      <c r="U335" s="11">
        <v>58</v>
      </c>
      <c r="V335" s="11">
        <v>0</v>
      </c>
      <c r="W335" s="11">
        <v>1</v>
      </c>
      <c r="X335" s="11">
        <v>0</v>
      </c>
      <c r="Y335" s="11">
        <v>0</v>
      </c>
      <c r="Z335" s="11">
        <v>0</v>
      </c>
      <c r="AA335" s="11">
        <v>0</v>
      </c>
      <c r="AB335" s="11">
        <v>1</v>
      </c>
      <c r="AC335" s="11">
        <v>1</v>
      </c>
      <c r="AD335" s="11" t="s">
        <v>5044</v>
      </c>
      <c r="AE335" s="11" t="s">
        <v>5044</v>
      </c>
      <c r="AF335" s="11" t="s">
        <v>5044</v>
      </c>
      <c r="AG335" s="11">
        <v>2</v>
      </c>
      <c r="AH335" s="11">
        <v>2</v>
      </c>
      <c r="AI335" s="11">
        <v>2</v>
      </c>
      <c r="AJ335" s="11" t="s">
        <v>5044</v>
      </c>
      <c r="AK335" s="11" t="s">
        <v>5318</v>
      </c>
      <c r="AL335" s="11">
        <v>1</v>
      </c>
      <c r="AM335" s="11">
        <v>0</v>
      </c>
      <c r="AN335" s="11" t="s">
        <v>5318</v>
      </c>
      <c r="AO335" s="11">
        <v>2</v>
      </c>
      <c r="AP335" s="11" t="s">
        <v>5318</v>
      </c>
      <c r="AQ335" s="11" t="s">
        <v>5318</v>
      </c>
    </row>
    <row r="336" spans="1:43" ht="63" customHeight="1" x14ac:dyDescent="0.2">
      <c r="A336" s="10">
        <v>4265</v>
      </c>
      <c r="B336" s="11" t="s">
        <v>7545</v>
      </c>
      <c r="C336" s="11" t="s">
        <v>1137</v>
      </c>
      <c r="D336" s="11">
        <v>2022</v>
      </c>
      <c r="E336" s="11" t="s">
        <v>5318</v>
      </c>
      <c r="F336" s="11">
        <v>234</v>
      </c>
      <c r="G336" s="11">
        <v>3</v>
      </c>
      <c r="H336" s="11" t="s">
        <v>6377</v>
      </c>
      <c r="I336" s="11" t="s">
        <v>6516</v>
      </c>
      <c r="J336" s="11" t="s">
        <v>7546</v>
      </c>
      <c r="K336" s="11" t="s">
        <v>1138</v>
      </c>
      <c r="L336" s="11" t="s">
        <v>5661</v>
      </c>
      <c r="M336" s="11">
        <v>0</v>
      </c>
      <c r="N336" s="9" t="s">
        <v>5044</v>
      </c>
      <c r="O336" s="9" t="s">
        <v>5044</v>
      </c>
      <c r="P336" s="11">
        <v>0</v>
      </c>
      <c r="Q336" s="11">
        <v>0</v>
      </c>
      <c r="R336" s="11">
        <v>0</v>
      </c>
      <c r="S336" s="11">
        <v>9</v>
      </c>
      <c r="T336" s="11">
        <v>4</v>
      </c>
      <c r="U336" s="11">
        <v>196</v>
      </c>
      <c r="V336" s="11">
        <v>0</v>
      </c>
      <c r="W336" s="11">
        <v>1</v>
      </c>
      <c r="X336" s="11">
        <v>0</v>
      </c>
      <c r="Y336" s="11">
        <v>0</v>
      </c>
      <c r="Z336" s="11">
        <v>0</v>
      </c>
      <c r="AA336" s="11">
        <v>0</v>
      </c>
      <c r="AB336" s="11">
        <v>1</v>
      </c>
      <c r="AC336" s="11">
        <v>1</v>
      </c>
      <c r="AD336" s="11" t="s">
        <v>5044</v>
      </c>
      <c r="AE336" s="11" t="s">
        <v>5044</v>
      </c>
      <c r="AF336" s="11" t="s">
        <v>5044</v>
      </c>
      <c r="AG336" s="11">
        <v>2</v>
      </c>
      <c r="AH336" s="11">
        <v>2</v>
      </c>
      <c r="AI336" s="11">
        <v>2</v>
      </c>
      <c r="AJ336" s="11" t="s">
        <v>5044</v>
      </c>
      <c r="AK336" s="11" t="s">
        <v>5318</v>
      </c>
      <c r="AL336" s="11">
        <v>0</v>
      </c>
      <c r="AM336" s="11">
        <v>0</v>
      </c>
      <c r="AN336" s="11" t="s">
        <v>5318</v>
      </c>
      <c r="AO336" s="11">
        <v>2</v>
      </c>
      <c r="AP336" s="11" t="s">
        <v>5318</v>
      </c>
      <c r="AQ336" s="11" t="s">
        <v>5318</v>
      </c>
    </row>
    <row r="337" spans="1:43" ht="63" customHeight="1" x14ac:dyDescent="0.2">
      <c r="A337" s="10">
        <v>4278</v>
      </c>
      <c r="B337" s="11" t="s">
        <v>7551</v>
      </c>
      <c r="C337" s="11" t="s">
        <v>1143</v>
      </c>
      <c r="D337" s="11">
        <v>2023</v>
      </c>
      <c r="E337" s="11" t="s">
        <v>5318</v>
      </c>
      <c r="F337" s="11">
        <v>278</v>
      </c>
      <c r="G337" s="11">
        <v>1</v>
      </c>
      <c r="H337" s="11" t="s">
        <v>6533</v>
      </c>
      <c r="I337" s="11" t="s">
        <v>6516</v>
      </c>
      <c r="J337" s="11" t="s">
        <v>7552</v>
      </c>
      <c r="K337" s="11" t="s">
        <v>1145</v>
      </c>
      <c r="L337" s="11" t="s">
        <v>5664</v>
      </c>
      <c r="M337" s="11">
        <v>0</v>
      </c>
      <c r="N337" s="9" t="s">
        <v>5044</v>
      </c>
      <c r="O337" s="9" t="s">
        <v>5044</v>
      </c>
      <c r="P337" s="11">
        <v>0</v>
      </c>
      <c r="Q337" s="11">
        <v>0</v>
      </c>
      <c r="R337" s="11">
        <v>0</v>
      </c>
      <c r="S337" s="11">
        <v>1</v>
      </c>
      <c r="T337" s="11">
        <v>4</v>
      </c>
      <c r="U337" s="11">
        <v>320</v>
      </c>
      <c r="V337" s="11">
        <v>0</v>
      </c>
      <c r="W337" s="11">
        <v>1</v>
      </c>
      <c r="X337" s="11">
        <v>0</v>
      </c>
      <c r="Y337" s="11">
        <v>0</v>
      </c>
      <c r="Z337" s="11">
        <v>0</v>
      </c>
      <c r="AA337" s="11">
        <v>0</v>
      </c>
      <c r="AB337" s="11">
        <v>1</v>
      </c>
      <c r="AC337" s="11">
        <v>0</v>
      </c>
      <c r="AD337" s="11" t="s">
        <v>5044</v>
      </c>
      <c r="AE337" s="11" t="s">
        <v>5044</v>
      </c>
      <c r="AF337" s="11" t="s">
        <v>5044</v>
      </c>
      <c r="AG337" s="11">
        <v>0</v>
      </c>
      <c r="AH337" s="11" t="s">
        <v>5044</v>
      </c>
      <c r="AI337" s="11" t="s">
        <v>5044</v>
      </c>
      <c r="AJ337" s="11" t="s">
        <v>5044</v>
      </c>
      <c r="AK337" s="11" t="s">
        <v>5318</v>
      </c>
      <c r="AL337" s="11">
        <v>0</v>
      </c>
      <c r="AM337" s="11">
        <v>0</v>
      </c>
      <c r="AN337" s="11" t="s">
        <v>5318</v>
      </c>
      <c r="AO337" s="11">
        <v>9</v>
      </c>
      <c r="AP337" s="11" t="s">
        <v>5318</v>
      </c>
      <c r="AQ337" s="11" t="s">
        <v>5318</v>
      </c>
    </row>
    <row r="338" spans="1:43" ht="63" customHeight="1" x14ac:dyDescent="0.2">
      <c r="A338" s="10">
        <v>4279</v>
      </c>
      <c r="B338" s="11" t="s">
        <v>7553</v>
      </c>
      <c r="C338" s="11" t="s">
        <v>1146</v>
      </c>
      <c r="D338" s="11">
        <v>2016</v>
      </c>
      <c r="E338" s="11" t="s">
        <v>5318</v>
      </c>
      <c r="F338" s="11">
        <v>23</v>
      </c>
      <c r="G338" s="11">
        <v>2</v>
      </c>
      <c r="H338" s="11" t="s">
        <v>6742</v>
      </c>
      <c r="I338" s="11" t="s">
        <v>6516</v>
      </c>
      <c r="J338" s="11" t="s">
        <v>7554</v>
      </c>
      <c r="K338" s="11" t="s">
        <v>1147</v>
      </c>
      <c r="L338" s="11" t="s">
        <v>5665</v>
      </c>
      <c r="M338" s="11">
        <v>0</v>
      </c>
      <c r="N338" s="9" t="s">
        <v>5044</v>
      </c>
      <c r="O338" s="9" t="s">
        <v>5044</v>
      </c>
      <c r="P338" s="11">
        <v>0</v>
      </c>
      <c r="Q338" s="11">
        <v>0</v>
      </c>
      <c r="R338" s="11">
        <v>0</v>
      </c>
      <c r="S338" s="11">
        <v>1</v>
      </c>
      <c r="T338" s="11">
        <v>4</v>
      </c>
      <c r="U338" s="11">
        <v>108</v>
      </c>
      <c r="V338" s="11">
        <v>0</v>
      </c>
      <c r="W338" s="11">
        <v>1</v>
      </c>
      <c r="X338" s="11">
        <v>0</v>
      </c>
      <c r="Y338" s="11">
        <v>0</v>
      </c>
      <c r="Z338" s="11">
        <v>0</v>
      </c>
      <c r="AA338" s="11">
        <v>0</v>
      </c>
      <c r="AB338" s="11">
        <v>0</v>
      </c>
      <c r="AC338" s="11">
        <v>1</v>
      </c>
      <c r="AD338" s="11" t="s">
        <v>5044</v>
      </c>
      <c r="AE338" s="11" t="s">
        <v>5044</v>
      </c>
      <c r="AF338" s="11" t="s">
        <v>5044</v>
      </c>
      <c r="AG338" s="11">
        <v>2</v>
      </c>
      <c r="AH338" s="11">
        <v>1</v>
      </c>
      <c r="AI338" s="11">
        <v>2</v>
      </c>
      <c r="AJ338" s="11" t="s">
        <v>5044</v>
      </c>
      <c r="AK338" s="11" t="s">
        <v>5318</v>
      </c>
      <c r="AL338" s="11">
        <v>0</v>
      </c>
      <c r="AM338" s="11">
        <v>0</v>
      </c>
      <c r="AN338" s="11" t="s">
        <v>5318</v>
      </c>
      <c r="AO338" s="11">
        <v>1</v>
      </c>
      <c r="AP338" s="11" t="s">
        <v>5318</v>
      </c>
      <c r="AQ338" s="11" t="s">
        <v>5318</v>
      </c>
    </row>
    <row r="339" spans="1:43" ht="63" customHeight="1" x14ac:dyDescent="0.2">
      <c r="A339" s="10">
        <v>4281</v>
      </c>
      <c r="B339" s="11" t="s">
        <v>7555</v>
      </c>
      <c r="C339" s="11" t="s">
        <v>1148</v>
      </c>
      <c r="D339" s="11">
        <v>2012</v>
      </c>
      <c r="E339" s="11" t="s">
        <v>5318</v>
      </c>
      <c r="F339" s="11">
        <v>99</v>
      </c>
      <c r="G339" s="11">
        <v>9</v>
      </c>
      <c r="H339" s="11" t="s">
        <v>6530</v>
      </c>
      <c r="I339" s="11" t="s">
        <v>6516</v>
      </c>
      <c r="J339" s="11" t="s">
        <v>7556</v>
      </c>
      <c r="K339" s="11" t="s">
        <v>1149</v>
      </c>
      <c r="L339" s="11" t="s">
        <v>5663</v>
      </c>
      <c r="M339" s="11">
        <v>0</v>
      </c>
      <c r="N339" s="9" t="s">
        <v>5044</v>
      </c>
      <c r="O339" s="9" t="s">
        <v>5044</v>
      </c>
      <c r="P339" s="11">
        <v>0</v>
      </c>
      <c r="Q339" s="11">
        <v>0</v>
      </c>
      <c r="R339" s="11">
        <v>0</v>
      </c>
      <c r="S339" s="11">
        <v>1</v>
      </c>
      <c r="T339" s="11">
        <v>4</v>
      </c>
      <c r="U339" s="11">
        <v>71</v>
      </c>
      <c r="V339" s="11">
        <v>0</v>
      </c>
      <c r="W339" s="11">
        <v>1</v>
      </c>
      <c r="X339" s="11">
        <v>0</v>
      </c>
      <c r="Y339" s="11">
        <v>0</v>
      </c>
      <c r="Z339" s="11">
        <v>0</v>
      </c>
      <c r="AA339" s="11">
        <v>0</v>
      </c>
      <c r="AB339" s="11">
        <v>1</v>
      </c>
      <c r="AC339" s="11">
        <v>1</v>
      </c>
      <c r="AD339" s="11" t="s">
        <v>5044</v>
      </c>
      <c r="AE339" s="11" t="s">
        <v>5044</v>
      </c>
      <c r="AF339" s="11" t="s">
        <v>5044</v>
      </c>
      <c r="AG339" s="11">
        <v>2</v>
      </c>
      <c r="AH339" s="11">
        <v>2</v>
      </c>
      <c r="AI339" s="11">
        <v>2</v>
      </c>
      <c r="AJ339" s="11" t="s">
        <v>5044</v>
      </c>
      <c r="AK339" s="11" t="s">
        <v>5318</v>
      </c>
      <c r="AL339" s="11">
        <v>0</v>
      </c>
      <c r="AM339" s="11">
        <v>0</v>
      </c>
      <c r="AN339" s="11" t="s">
        <v>5318</v>
      </c>
      <c r="AO339" s="11">
        <v>2</v>
      </c>
      <c r="AP339" s="11" t="s">
        <v>5318</v>
      </c>
      <c r="AQ339" s="11" t="s">
        <v>5318</v>
      </c>
    </row>
    <row r="340" spans="1:43" ht="63" customHeight="1" x14ac:dyDescent="0.2">
      <c r="A340" s="10">
        <v>4292</v>
      </c>
      <c r="B340" s="11" t="s">
        <v>7557</v>
      </c>
      <c r="C340" s="11" t="s">
        <v>1150</v>
      </c>
      <c r="D340" s="11">
        <v>2020</v>
      </c>
      <c r="E340" s="11" t="s">
        <v>5318</v>
      </c>
      <c r="F340" s="11">
        <v>10</v>
      </c>
      <c r="G340" s="11">
        <v>12</v>
      </c>
      <c r="H340" s="11" t="s">
        <v>6519</v>
      </c>
      <c r="I340" s="11" t="s">
        <v>6516</v>
      </c>
      <c r="J340" s="11" t="s">
        <v>7558</v>
      </c>
      <c r="K340" s="11" t="s">
        <v>1151</v>
      </c>
      <c r="L340" s="11" t="s">
        <v>5666</v>
      </c>
      <c r="M340" s="11">
        <v>0</v>
      </c>
      <c r="N340" s="9" t="s">
        <v>5044</v>
      </c>
      <c r="O340" s="9" t="s">
        <v>5044</v>
      </c>
      <c r="P340" s="11">
        <v>0</v>
      </c>
      <c r="Q340" s="11">
        <v>0</v>
      </c>
      <c r="R340" s="11">
        <v>0</v>
      </c>
      <c r="S340" s="11">
        <v>9</v>
      </c>
      <c r="T340" s="11">
        <v>4</v>
      </c>
      <c r="U340" s="11">
        <v>80</v>
      </c>
      <c r="V340" s="11">
        <v>0</v>
      </c>
      <c r="W340" s="11">
        <v>1</v>
      </c>
      <c r="X340" s="11">
        <v>0</v>
      </c>
      <c r="Y340" s="11">
        <v>0</v>
      </c>
      <c r="Z340" s="11">
        <v>0</v>
      </c>
      <c r="AA340" s="11">
        <v>0</v>
      </c>
      <c r="AB340" s="11">
        <v>1</v>
      </c>
      <c r="AC340" s="11">
        <v>1</v>
      </c>
      <c r="AD340" s="11" t="s">
        <v>5044</v>
      </c>
      <c r="AE340" s="11" t="s">
        <v>5044</v>
      </c>
      <c r="AF340" s="11" t="s">
        <v>5044</v>
      </c>
      <c r="AG340" s="11">
        <v>2</v>
      </c>
      <c r="AH340" s="11">
        <v>3</v>
      </c>
      <c r="AI340" s="11">
        <v>0</v>
      </c>
      <c r="AJ340" s="11" t="s">
        <v>5044</v>
      </c>
      <c r="AK340" s="11" t="s">
        <v>5318</v>
      </c>
      <c r="AL340" s="11">
        <v>1</v>
      </c>
      <c r="AM340" s="11">
        <v>0</v>
      </c>
      <c r="AN340" s="11" t="s">
        <v>5318</v>
      </c>
      <c r="AO340" s="11">
        <v>3</v>
      </c>
      <c r="AP340" s="11" t="s">
        <v>5318</v>
      </c>
      <c r="AQ340" s="11" t="s">
        <v>5318</v>
      </c>
    </row>
    <row r="341" spans="1:43" ht="63" customHeight="1" x14ac:dyDescent="0.2">
      <c r="A341" s="10">
        <v>4297</v>
      </c>
      <c r="B341" s="11" t="s">
        <v>7559</v>
      </c>
      <c r="C341" s="11" t="s">
        <v>1152</v>
      </c>
      <c r="D341" s="11">
        <v>2017</v>
      </c>
      <c r="E341" s="11" t="s">
        <v>5318</v>
      </c>
      <c r="F341" s="11">
        <v>104</v>
      </c>
      <c r="G341" s="11">
        <v>13</v>
      </c>
      <c r="H341" s="11" t="s">
        <v>6530</v>
      </c>
      <c r="I341" s="11" t="s">
        <v>6516</v>
      </c>
      <c r="J341" s="11" t="s">
        <v>7560</v>
      </c>
      <c r="K341" s="11" t="s">
        <v>1153</v>
      </c>
      <c r="L341" s="11" t="s">
        <v>5667</v>
      </c>
      <c r="M341" s="11">
        <v>0</v>
      </c>
      <c r="N341" s="9" t="s">
        <v>5044</v>
      </c>
      <c r="O341" s="9" t="s">
        <v>5044</v>
      </c>
      <c r="P341" s="11">
        <v>0</v>
      </c>
      <c r="Q341" s="11">
        <v>0</v>
      </c>
      <c r="R341" s="11">
        <v>0</v>
      </c>
      <c r="S341" s="11">
        <v>1</v>
      </c>
      <c r="T341" s="11">
        <v>4</v>
      </c>
      <c r="U341" s="11">
        <v>245</v>
      </c>
      <c r="V341" s="11">
        <v>0</v>
      </c>
      <c r="W341" s="11">
        <v>1</v>
      </c>
      <c r="X341" s="11">
        <v>0</v>
      </c>
      <c r="Y341" s="11">
        <v>0</v>
      </c>
      <c r="Z341" s="11">
        <v>0</v>
      </c>
      <c r="AA341" s="11">
        <v>0</v>
      </c>
      <c r="AB341" s="11">
        <v>0</v>
      </c>
      <c r="AC341" s="11">
        <v>1</v>
      </c>
      <c r="AD341" s="11" t="s">
        <v>5044</v>
      </c>
      <c r="AE341" s="11" t="s">
        <v>5044</v>
      </c>
      <c r="AF341" s="11" t="s">
        <v>5044</v>
      </c>
      <c r="AG341" s="11">
        <v>2</v>
      </c>
      <c r="AH341" s="11">
        <v>3</v>
      </c>
      <c r="AI341" s="11">
        <v>0</v>
      </c>
      <c r="AJ341" s="11" t="s">
        <v>5044</v>
      </c>
      <c r="AK341" s="11" t="s">
        <v>5318</v>
      </c>
      <c r="AL341" s="11">
        <v>0</v>
      </c>
      <c r="AM341" s="11">
        <v>0</v>
      </c>
      <c r="AN341" s="11" t="s">
        <v>5318</v>
      </c>
      <c r="AO341" s="11">
        <v>3</v>
      </c>
      <c r="AP341" s="11" t="s">
        <v>5318</v>
      </c>
      <c r="AQ341" s="11" t="s">
        <v>5318</v>
      </c>
    </row>
    <row r="342" spans="1:43" ht="63" customHeight="1" x14ac:dyDescent="0.2">
      <c r="A342" s="10">
        <v>4303</v>
      </c>
      <c r="B342" s="11" t="s">
        <v>7561</v>
      </c>
      <c r="C342" s="11" t="s">
        <v>1154</v>
      </c>
      <c r="D342" s="11">
        <v>2020</v>
      </c>
      <c r="E342" s="11" t="s">
        <v>5318</v>
      </c>
      <c r="F342" s="11">
        <v>12</v>
      </c>
      <c r="G342" s="11">
        <v>8</v>
      </c>
      <c r="H342" s="11" t="s">
        <v>6739</v>
      </c>
      <c r="I342" s="11" t="s">
        <v>6516</v>
      </c>
      <c r="J342" s="11" t="s">
        <v>7562</v>
      </c>
      <c r="K342" s="11" t="s">
        <v>1155</v>
      </c>
      <c r="L342" s="11" t="s">
        <v>5668</v>
      </c>
      <c r="M342" s="11">
        <v>0</v>
      </c>
      <c r="N342" s="9" t="s">
        <v>5044</v>
      </c>
      <c r="O342" s="9" t="s">
        <v>5044</v>
      </c>
      <c r="P342" s="11">
        <v>0</v>
      </c>
      <c r="Q342" s="11">
        <v>0</v>
      </c>
      <c r="R342" s="11">
        <v>0</v>
      </c>
      <c r="S342" s="11">
        <v>1</v>
      </c>
      <c r="T342" s="11">
        <v>4</v>
      </c>
      <c r="U342" s="11">
        <v>52</v>
      </c>
      <c r="V342" s="11">
        <v>0</v>
      </c>
      <c r="W342" s="11">
        <v>1</v>
      </c>
      <c r="X342" s="11">
        <v>0</v>
      </c>
      <c r="Y342" s="11">
        <v>0</v>
      </c>
      <c r="Z342" s="11">
        <v>0</v>
      </c>
      <c r="AA342" s="11">
        <v>0</v>
      </c>
      <c r="AB342" s="11">
        <v>1</v>
      </c>
      <c r="AC342" s="11">
        <v>1</v>
      </c>
      <c r="AD342" s="11" t="s">
        <v>5044</v>
      </c>
      <c r="AE342" s="11" t="s">
        <v>5044</v>
      </c>
      <c r="AF342" s="11" t="s">
        <v>5044</v>
      </c>
      <c r="AG342" s="11">
        <v>2</v>
      </c>
      <c r="AH342" s="11">
        <v>3</v>
      </c>
      <c r="AI342" s="11">
        <v>0</v>
      </c>
      <c r="AJ342" s="11" t="s">
        <v>5044</v>
      </c>
      <c r="AK342" s="11">
        <v>1</v>
      </c>
      <c r="AL342" s="11">
        <v>0</v>
      </c>
      <c r="AM342" s="11">
        <v>0</v>
      </c>
      <c r="AN342" s="11" t="s">
        <v>5318</v>
      </c>
      <c r="AO342" s="11">
        <v>3</v>
      </c>
      <c r="AP342" s="11" t="s">
        <v>5318</v>
      </c>
      <c r="AQ342" s="11" t="s">
        <v>5318</v>
      </c>
    </row>
    <row r="343" spans="1:43" ht="63" customHeight="1" x14ac:dyDescent="0.2">
      <c r="A343" s="10">
        <v>4306</v>
      </c>
      <c r="B343" s="11" t="s">
        <v>7563</v>
      </c>
      <c r="C343" s="11" t="s">
        <v>1156</v>
      </c>
      <c r="D343" s="11">
        <v>2021</v>
      </c>
      <c r="E343" s="11" t="s">
        <v>5318</v>
      </c>
      <c r="F343" s="11">
        <v>108</v>
      </c>
      <c r="G343" s="11">
        <v>9</v>
      </c>
      <c r="H343" s="11" t="s">
        <v>6530</v>
      </c>
      <c r="I343" s="11" t="s">
        <v>6516</v>
      </c>
      <c r="J343" s="11" t="s">
        <v>7564</v>
      </c>
      <c r="K343" s="11" t="s">
        <v>1157</v>
      </c>
      <c r="L343" s="11" t="s">
        <v>5669</v>
      </c>
      <c r="M343" s="11">
        <v>0</v>
      </c>
      <c r="N343" s="9" t="s">
        <v>5044</v>
      </c>
      <c r="O343" s="9" t="s">
        <v>5044</v>
      </c>
      <c r="P343" s="11">
        <v>0</v>
      </c>
      <c r="Q343" s="11">
        <v>0</v>
      </c>
      <c r="R343" s="11">
        <v>0</v>
      </c>
      <c r="S343" s="11">
        <v>1</v>
      </c>
      <c r="T343" s="11">
        <v>4</v>
      </c>
      <c r="U343" s="11">
        <v>256</v>
      </c>
      <c r="V343" s="11">
        <v>0</v>
      </c>
      <c r="W343" s="11">
        <v>1</v>
      </c>
      <c r="X343" s="11">
        <v>0</v>
      </c>
      <c r="Y343" s="11">
        <v>0</v>
      </c>
      <c r="Z343" s="11">
        <v>0</v>
      </c>
      <c r="AA343" s="11">
        <v>0</v>
      </c>
      <c r="AB343" s="11">
        <v>1</v>
      </c>
      <c r="AC343" s="11">
        <v>1</v>
      </c>
      <c r="AD343" s="11" t="s">
        <v>5044</v>
      </c>
      <c r="AE343" s="11" t="s">
        <v>5044</v>
      </c>
      <c r="AF343" s="11" t="s">
        <v>5044</v>
      </c>
      <c r="AG343" s="11">
        <v>2</v>
      </c>
      <c r="AH343" s="11">
        <v>3</v>
      </c>
      <c r="AI343" s="11">
        <v>0</v>
      </c>
      <c r="AJ343" s="11" t="s">
        <v>5044</v>
      </c>
      <c r="AK343" s="11">
        <v>1</v>
      </c>
      <c r="AL343" s="11" t="s">
        <v>5044</v>
      </c>
      <c r="AM343" s="11">
        <v>0</v>
      </c>
      <c r="AN343" s="11" t="s">
        <v>5318</v>
      </c>
      <c r="AO343" s="11">
        <v>3</v>
      </c>
      <c r="AP343" s="11" t="s">
        <v>5318</v>
      </c>
      <c r="AQ343" s="11" t="s">
        <v>5318</v>
      </c>
    </row>
    <row r="344" spans="1:43" ht="63" customHeight="1" x14ac:dyDescent="0.2">
      <c r="A344" s="10">
        <v>4321</v>
      </c>
      <c r="B344" s="11" t="s">
        <v>7565</v>
      </c>
      <c r="C344" s="11" t="s">
        <v>1158</v>
      </c>
      <c r="D344" s="11">
        <v>2013</v>
      </c>
      <c r="E344" s="11" t="s">
        <v>5318</v>
      </c>
      <c r="F344" s="11">
        <v>189</v>
      </c>
      <c r="G344" s="11">
        <v>2</v>
      </c>
      <c r="H344" s="11" t="s">
        <v>7152</v>
      </c>
      <c r="I344" s="11" t="s">
        <v>6516</v>
      </c>
      <c r="J344" s="11" t="s">
        <v>7566</v>
      </c>
      <c r="K344" s="11" t="s">
        <v>1159</v>
      </c>
      <c r="L344" s="11" t="s">
        <v>5411</v>
      </c>
      <c r="M344" s="11">
        <v>0</v>
      </c>
      <c r="N344" s="9" t="s">
        <v>5044</v>
      </c>
      <c r="O344" s="9" t="s">
        <v>5044</v>
      </c>
      <c r="P344" s="11">
        <v>1</v>
      </c>
      <c r="Q344" s="11">
        <v>0</v>
      </c>
      <c r="R344" s="11">
        <v>0</v>
      </c>
      <c r="S344" s="11">
        <v>3</v>
      </c>
      <c r="T344" s="11">
        <v>2</v>
      </c>
      <c r="U344" s="11">
        <v>40</v>
      </c>
      <c r="V344" s="11">
        <v>1</v>
      </c>
      <c r="W344" s="11">
        <v>0</v>
      </c>
      <c r="X344" s="11">
        <v>0</v>
      </c>
      <c r="Y344" s="11">
        <v>0</v>
      </c>
      <c r="Z344" s="11">
        <v>0</v>
      </c>
      <c r="AA344" s="11">
        <v>0</v>
      </c>
      <c r="AB344" s="11">
        <v>1</v>
      </c>
      <c r="AC344" s="11">
        <v>1</v>
      </c>
      <c r="AD344" s="11">
        <v>2</v>
      </c>
      <c r="AE344" s="11">
        <v>1</v>
      </c>
      <c r="AF344" s="11">
        <v>1</v>
      </c>
      <c r="AG344" s="11" t="s">
        <v>5044</v>
      </c>
      <c r="AH344" s="11" t="s">
        <v>5044</v>
      </c>
      <c r="AI344" s="11" t="s">
        <v>5044</v>
      </c>
      <c r="AJ344" s="11" t="s">
        <v>5044</v>
      </c>
      <c r="AK344" s="11" t="s">
        <v>5318</v>
      </c>
      <c r="AL344" s="11" t="s">
        <v>5044</v>
      </c>
      <c r="AM344" s="11">
        <v>0</v>
      </c>
      <c r="AN344" s="11" t="s">
        <v>3714</v>
      </c>
      <c r="AO344" s="11">
        <v>1</v>
      </c>
      <c r="AP344" s="11" t="s">
        <v>5318</v>
      </c>
      <c r="AQ344" s="11" t="s">
        <v>5318</v>
      </c>
    </row>
    <row r="345" spans="1:43" ht="63" customHeight="1" x14ac:dyDescent="0.2">
      <c r="A345" s="10">
        <v>4342</v>
      </c>
      <c r="B345" s="11" t="s">
        <v>7567</v>
      </c>
      <c r="C345" s="11" t="s">
        <v>1160</v>
      </c>
      <c r="D345" s="11">
        <v>2007</v>
      </c>
      <c r="E345" s="11" t="s">
        <v>5318</v>
      </c>
      <c r="F345" s="11">
        <v>110</v>
      </c>
      <c r="G345" s="11" t="s">
        <v>7568</v>
      </c>
      <c r="H345" s="11" t="s">
        <v>6831</v>
      </c>
      <c r="I345" s="11" t="s">
        <v>6516</v>
      </c>
      <c r="J345" s="11" t="s">
        <v>7569</v>
      </c>
      <c r="K345" s="11" t="s">
        <v>1161</v>
      </c>
      <c r="L345" s="11" t="s">
        <v>5670</v>
      </c>
      <c r="M345" s="11">
        <v>0</v>
      </c>
      <c r="N345" s="9" t="s">
        <v>5044</v>
      </c>
      <c r="O345" s="9" t="s">
        <v>5044</v>
      </c>
      <c r="P345" s="11">
        <v>0</v>
      </c>
      <c r="Q345" s="11">
        <v>0</v>
      </c>
      <c r="R345" s="11">
        <v>0</v>
      </c>
      <c r="S345" s="11">
        <v>5</v>
      </c>
      <c r="T345" s="11">
        <v>1</v>
      </c>
      <c r="U345" s="11">
        <v>60</v>
      </c>
      <c r="V345" s="11">
        <v>0</v>
      </c>
      <c r="W345" s="11">
        <v>1</v>
      </c>
      <c r="X345" s="11">
        <v>0</v>
      </c>
      <c r="Y345" s="11">
        <v>0</v>
      </c>
      <c r="Z345" s="11">
        <v>0</v>
      </c>
      <c r="AA345" s="11">
        <v>0</v>
      </c>
      <c r="AB345" s="11">
        <v>1</v>
      </c>
      <c r="AC345" s="11">
        <v>0</v>
      </c>
      <c r="AD345" s="11" t="s">
        <v>5044</v>
      </c>
      <c r="AE345" s="11" t="s">
        <v>5044</v>
      </c>
      <c r="AF345" s="11" t="s">
        <v>5044</v>
      </c>
      <c r="AG345" s="11">
        <v>0</v>
      </c>
      <c r="AH345" s="11" t="s">
        <v>5044</v>
      </c>
      <c r="AI345" s="11" t="s">
        <v>5044</v>
      </c>
      <c r="AJ345" s="11" t="s">
        <v>5044</v>
      </c>
      <c r="AK345" s="11" t="s">
        <v>5318</v>
      </c>
      <c r="AL345" s="11">
        <v>1</v>
      </c>
      <c r="AM345" s="11">
        <v>0</v>
      </c>
      <c r="AN345" s="11" t="s">
        <v>7570</v>
      </c>
      <c r="AO345" s="11">
        <v>9</v>
      </c>
      <c r="AP345" s="11" t="s">
        <v>5318</v>
      </c>
      <c r="AQ345" s="11" t="s">
        <v>5318</v>
      </c>
    </row>
    <row r="346" spans="1:43" ht="63" customHeight="1" x14ac:dyDescent="0.2">
      <c r="A346" s="10">
        <v>4370</v>
      </c>
      <c r="B346" s="11" t="s">
        <v>7573</v>
      </c>
      <c r="C346" s="11" t="s">
        <v>1164</v>
      </c>
      <c r="D346" s="11">
        <v>2018</v>
      </c>
      <c r="E346" s="11" t="s">
        <v>5318</v>
      </c>
      <c r="F346" s="11">
        <v>102</v>
      </c>
      <c r="G346" s="11">
        <v>4</v>
      </c>
      <c r="H346" s="11" t="s">
        <v>7574</v>
      </c>
      <c r="I346" s="11" t="s">
        <v>6516</v>
      </c>
      <c r="J346" s="11" t="s">
        <v>7575</v>
      </c>
      <c r="K346" s="11" t="s">
        <v>1166</v>
      </c>
      <c r="L346" s="11" t="s">
        <v>5686</v>
      </c>
      <c r="M346" s="11">
        <v>0</v>
      </c>
      <c r="N346" s="9" t="s">
        <v>5044</v>
      </c>
      <c r="O346" s="9" t="s">
        <v>5044</v>
      </c>
      <c r="P346" s="11">
        <v>0</v>
      </c>
      <c r="Q346" s="11">
        <v>0</v>
      </c>
      <c r="R346" s="11">
        <v>0</v>
      </c>
      <c r="S346" s="11">
        <v>1</v>
      </c>
      <c r="T346" s="11">
        <v>4</v>
      </c>
      <c r="U346" s="11">
        <v>80</v>
      </c>
      <c r="V346" s="11">
        <v>0</v>
      </c>
      <c r="W346" s="11">
        <v>1</v>
      </c>
      <c r="X346" s="11">
        <v>0</v>
      </c>
      <c r="Y346" s="11">
        <v>0</v>
      </c>
      <c r="Z346" s="11">
        <v>0</v>
      </c>
      <c r="AA346" s="11">
        <v>0</v>
      </c>
      <c r="AB346" s="11">
        <v>1</v>
      </c>
      <c r="AC346" s="11">
        <v>1</v>
      </c>
      <c r="AD346" s="11" t="s">
        <v>5044</v>
      </c>
      <c r="AE346" s="11" t="s">
        <v>5044</v>
      </c>
      <c r="AF346" s="11" t="s">
        <v>5044</v>
      </c>
      <c r="AG346" s="11">
        <v>1</v>
      </c>
      <c r="AH346" s="11">
        <v>0</v>
      </c>
      <c r="AI346" s="11">
        <v>0</v>
      </c>
      <c r="AJ346" s="11" t="s">
        <v>5044</v>
      </c>
      <c r="AK346" s="11" t="s">
        <v>5318</v>
      </c>
      <c r="AL346" s="11">
        <v>0</v>
      </c>
      <c r="AM346" s="11">
        <v>0</v>
      </c>
      <c r="AN346" s="11" t="s">
        <v>5318</v>
      </c>
      <c r="AO346" s="9">
        <v>0</v>
      </c>
      <c r="AP346" s="11" t="s">
        <v>5318</v>
      </c>
      <c r="AQ346" s="11" t="s">
        <v>5318</v>
      </c>
    </row>
    <row r="347" spans="1:43" ht="63" customHeight="1" x14ac:dyDescent="0.2">
      <c r="A347" s="10">
        <v>4379</v>
      </c>
      <c r="B347" s="11" t="s">
        <v>7576</v>
      </c>
      <c r="C347" s="11" t="s">
        <v>1167</v>
      </c>
      <c r="D347" s="11">
        <v>2012</v>
      </c>
      <c r="E347" s="11" t="s">
        <v>5318</v>
      </c>
      <c r="F347" s="11">
        <v>163</v>
      </c>
      <c r="G347" s="11">
        <v>1</v>
      </c>
      <c r="H347" s="11" t="s">
        <v>7426</v>
      </c>
      <c r="I347" s="11" t="s">
        <v>6516</v>
      </c>
      <c r="J347" s="11" t="s">
        <v>7577</v>
      </c>
      <c r="K347" s="11" t="s">
        <v>1168</v>
      </c>
      <c r="L347" s="11" t="s">
        <v>5687</v>
      </c>
      <c r="M347" s="11">
        <v>0</v>
      </c>
      <c r="N347" s="9" t="s">
        <v>5044</v>
      </c>
      <c r="O347" s="9" t="s">
        <v>5044</v>
      </c>
      <c r="P347" s="11">
        <v>0</v>
      </c>
      <c r="Q347" s="11">
        <v>0</v>
      </c>
      <c r="R347" s="11">
        <v>0</v>
      </c>
      <c r="S347" s="11">
        <v>5</v>
      </c>
      <c r="T347" s="11">
        <v>1</v>
      </c>
      <c r="U347" s="11">
        <v>120</v>
      </c>
      <c r="V347" s="11">
        <v>0</v>
      </c>
      <c r="W347" s="11">
        <v>1</v>
      </c>
      <c r="X347" s="11">
        <v>0</v>
      </c>
      <c r="Y347" s="11">
        <v>0</v>
      </c>
      <c r="Z347" s="11">
        <v>0</v>
      </c>
      <c r="AA347" s="11">
        <v>0</v>
      </c>
      <c r="AB347" s="11">
        <v>1</v>
      </c>
      <c r="AC347" s="11">
        <v>1</v>
      </c>
      <c r="AD347" s="11" t="s">
        <v>5044</v>
      </c>
      <c r="AE347" s="11" t="s">
        <v>5044</v>
      </c>
      <c r="AF347" s="11" t="s">
        <v>5044</v>
      </c>
      <c r="AG347" s="11">
        <v>2</v>
      </c>
      <c r="AH347" s="11">
        <v>3</v>
      </c>
      <c r="AI347" s="11">
        <v>0</v>
      </c>
      <c r="AJ347" s="11" t="s">
        <v>5044</v>
      </c>
      <c r="AK347" s="11" t="s">
        <v>5318</v>
      </c>
      <c r="AL347" s="11" t="s">
        <v>5044</v>
      </c>
      <c r="AM347" s="11">
        <v>0</v>
      </c>
      <c r="AN347" s="11" t="s">
        <v>5105</v>
      </c>
      <c r="AO347" s="11">
        <v>3</v>
      </c>
      <c r="AP347" s="11" t="s">
        <v>5318</v>
      </c>
      <c r="AQ347" s="11" t="s">
        <v>5318</v>
      </c>
    </row>
    <row r="348" spans="1:43" ht="63" customHeight="1" x14ac:dyDescent="0.2">
      <c r="A348" s="10">
        <v>4394</v>
      </c>
      <c r="B348" s="11" t="s">
        <v>7580</v>
      </c>
      <c r="C348" s="11" t="s">
        <v>1171</v>
      </c>
      <c r="D348" s="11">
        <v>2017</v>
      </c>
      <c r="E348" s="11" t="s">
        <v>5318</v>
      </c>
      <c r="F348" s="11">
        <v>104</v>
      </c>
      <c r="G348" s="11">
        <v>11</v>
      </c>
      <c r="H348" s="11" t="s">
        <v>6530</v>
      </c>
      <c r="I348" s="11" t="s">
        <v>6516</v>
      </c>
      <c r="J348" s="11" t="s">
        <v>7581</v>
      </c>
      <c r="K348" s="11" t="s">
        <v>1172</v>
      </c>
      <c r="L348" s="11" t="s">
        <v>5689</v>
      </c>
      <c r="M348" s="11">
        <v>0</v>
      </c>
      <c r="N348" s="9" t="s">
        <v>5044</v>
      </c>
      <c r="O348" s="9" t="s">
        <v>5044</v>
      </c>
      <c r="P348" s="11">
        <v>0</v>
      </c>
      <c r="Q348" s="11">
        <v>0</v>
      </c>
      <c r="R348" s="11">
        <v>0</v>
      </c>
      <c r="S348" s="11">
        <v>1</v>
      </c>
      <c r="T348" s="11">
        <v>4</v>
      </c>
      <c r="U348" s="11">
        <v>64</v>
      </c>
      <c r="V348" s="11">
        <v>0</v>
      </c>
      <c r="W348" s="11">
        <v>1</v>
      </c>
      <c r="X348" s="11">
        <v>0</v>
      </c>
      <c r="Y348" s="11">
        <v>0</v>
      </c>
      <c r="Z348" s="11">
        <v>0</v>
      </c>
      <c r="AA348" s="11">
        <v>0</v>
      </c>
      <c r="AB348" s="11">
        <v>1</v>
      </c>
      <c r="AC348" s="11">
        <v>1</v>
      </c>
      <c r="AD348" s="11" t="s">
        <v>5044</v>
      </c>
      <c r="AE348" s="11" t="s">
        <v>5044</v>
      </c>
      <c r="AF348" s="11" t="s">
        <v>5044</v>
      </c>
      <c r="AG348" s="11">
        <v>2</v>
      </c>
      <c r="AH348" s="11">
        <v>3</v>
      </c>
      <c r="AI348" s="11">
        <v>0</v>
      </c>
      <c r="AJ348" s="11" t="s">
        <v>5044</v>
      </c>
      <c r="AK348" s="11">
        <v>1</v>
      </c>
      <c r="AL348" s="11">
        <v>1</v>
      </c>
      <c r="AM348" s="11">
        <v>0</v>
      </c>
      <c r="AN348" s="11" t="s">
        <v>5318</v>
      </c>
      <c r="AO348" s="11">
        <v>3</v>
      </c>
      <c r="AP348" s="11" t="s">
        <v>5318</v>
      </c>
      <c r="AQ348" s="11" t="s">
        <v>5318</v>
      </c>
    </row>
    <row r="349" spans="1:43" ht="63" customHeight="1" x14ac:dyDescent="0.2">
      <c r="A349" s="10">
        <v>4397</v>
      </c>
      <c r="B349" s="11" t="s">
        <v>7582</v>
      </c>
      <c r="C349" s="11" t="s">
        <v>1173</v>
      </c>
      <c r="D349" s="11">
        <v>2023</v>
      </c>
      <c r="E349" s="11" t="s">
        <v>5318</v>
      </c>
      <c r="F349" s="11">
        <v>36</v>
      </c>
      <c r="G349" s="11">
        <v>1</v>
      </c>
      <c r="H349" s="11" t="s">
        <v>7583</v>
      </c>
      <c r="I349" s="11" t="s">
        <v>6516</v>
      </c>
      <c r="J349" s="11" t="s">
        <v>7584</v>
      </c>
      <c r="K349" s="11" t="s">
        <v>1174</v>
      </c>
      <c r="L349" s="11" t="s">
        <v>5044</v>
      </c>
      <c r="M349" s="11">
        <v>0</v>
      </c>
      <c r="N349" s="9" t="s">
        <v>5044</v>
      </c>
      <c r="O349" s="9" t="s">
        <v>5044</v>
      </c>
      <c r="P349" s="11">
        <v>0</v>
      </c>
      <c r="Q349" s="11">
        <v>0</v>
      </c>
      <c r="R349" s="11">
        <v>0</v>
      </c>
      <c r="S349" s="11">
        <v>3</v>
      </c>
      <c r="T349" s="11">
        <v>1</v>
      </c>
      <c r="U349" s="11">
        <v>172</v>
      </c>
      <c r="V349" s="11">
        <v>0</v>
      </c>
      <c r="W349" s="11">
        <v>1</v>
      </c>
      <c r="X349" s="11">
        <v>0</v>
      </c>
      <c r="Y349" s="11">
        <v>0</v>
      </c>
      <c r="Z349" s="11">
        <v>0</v>
      </c>
      <c r="AA349" s="11">
        <v>0</v>
      </c>
      <c r="AB349" s="11">
        <v>1</v>
      </c>
      <c r="AC349" s="11">
        <v>0</v>
      </c>
      <c r="AD349" s="11" t="s">
        <v>5044</v>
      </c>
      <c r="AE349" s="11" t="s">
        <v>5044</v>
      </c>
      <c r="AF349" s="11" t="s">
        <v>5044</v>
      </c>
      <c r="AG349" s="11">
        <v>0</v>
      </c>
      <c r="AH349" s="11" t="s">
        <v>5044</v>
      </c>
      <c r="AI349" s="11" t="s">
        <v>5044</v>
      </c>
      <c r="AJ349" s="11" t="s">
        <v>5044</v>
      </c>
      <c r="AK349" s="11" t="s">
        <v>5318</v>
      </c>
      <c r="AL349" s="11">
        <v>1</v>
      </c>
      <c r="AM349" s="11">
        <v>0</v>
      </c>
      <c r="AN349" s="11" t="s">
        <v>5318</v>
      </c>
      <c r="AO349" s="11">
        <v>9</v>
      </c>
      <c r="AP349" s="11" t="s">
        <v>5318</v>
      </c>
      <c r="AQ349" s="11" t="s">
        <v>5318</v>
      </c>
    </row>
    <row r="350" spans="1:43" ht="63" customHeight="1" x14ac:dyDescent="0.2">
      <c r="A350" s="10">
        <v>4402</v>
      </c>
      <c r="B350" s="11" t="s">
        <v>7585</v>
      </c>
      <c r="C350" s="11" t="s">
        <v>1175</v>
      </c>
      <c r="D350" s="11">
        <v>2020</v>
      </c>
      <c r="E350" s="11" t="s">
        <v>5318</v>
      </c>
      <c r="F350" s="11">
        <v>16</v>
      </c>
      <c r="G350" s="11">
        <v>10</v>
      </c>
      <c r="H350" s="11" t="s">
        <v>7533</v>
      </c>
      <c r="I350" s="11" t="s">
        <v>6516</v>
      </c>
      <c r="J350" s="11" t="s">
        <v>7586</v>
      </c>
      <c r="K350" s="11" t="s">
        <v>1176</v>
      </c>
      <c r="L350" s="11" t="s">
        <v>5690</v>
      </c>
      <c r="M350" s="11">
        <v>0</v>
      </c>
      <c r="N350" s="9" t="s">
        <v>5044</v>
      </c>
      <c r="O350" s="9" t="s">
        <v>5044</v>
      </c>
      <c r="P350" s="11">
        <v>0</v>
      </c>
      <c r="Q350" s="11">
        <v>0</v>
      </c>
      <c r="R350" s="11">
        <v>0</v>
      </c>
      <c r="S350" s="11">
        <v>1</v>
      </c>
      <c r="T350" s="11">
        <v>3</v>
      </c>
      <c r="U350" s="11">
        <v>36</v>
      </c>
      <c r="V350" s="11">
        <v>1</v>
      </c>
      <c r="W350" s="11">
        <v>0</v>
      </c>
      <c r="X350" s="11">
        <v>0</v>
      </c>
      <c r="Y350" s="11">
        <v>0</v>
      </c>
      <c r="Z350" s="11">
        <v>0</v>
      </c>
      <c r="AA350" s="11">
        <v>0</v>
      </c>
      <c r="AB350" s="11">
        <v>1</v>
      </c>
      <c r="AC350" s="11">
        <v>1</v>
      </c>
      <c r="AD350" s="11">
        <v>1</v>
      </c>
      <c r="AE350" s="11">
        <v>0</v>
      </c>
      <c r="AF350" s="11">
        <v>0</v>
      </c>
      <c r="AG350" s="11" t="s">
        <v>5044</v>
      </c>
      <c r="AH350" s="11" t="s">
        <v>5044</v>
      </c>
      <c r="AI350" s="11" t="s">
        <v>5044</v>
      </c>
      <c r="AJ350" s="11" t="s">
        <v>5044</v>
      </c>
      <c r="AK350" s="11" t="s">
        <v>5318</v>
      </c>
      <c r="AL350" s="11">
        <v>0</v>
      </c>
      <c r="AM350" s="11">
        <v>0</v>
      </c>
      <c r="AN350" s="11" t="s">
        <v>5318</v>
      </c>
      <c r="AO350" s="9">
        <v>0</v>
      </c>
      <c r="AP350" s="11" t="s">
        <v>5318</v>
      </c>
      <c r="AQ350" s="11" t="s">
        <v>5318</v>
      </c>
    </row>
    <row r="351" spans="1:43" ht="63" customHeight="1" x14ac:dyDescent="0.2">
      <c r="A351" s="10">
        <v>4405</v>
      </c>
      <c r="B351" s="11" t="s">
        <v>7587</v>
      </c>
      <c r="C351" s="11" t="s">
        <v>1177</v>
      </c>
      <c r="D351" s="11">
        <v>2018</v>
      </c>
      <c r="E351" s="11" t="s">
        <v>5318</v>
      </c>
      <c r="F351" s="11">
        <v>50</v>
      </c>
      <c r="G351" s="11">
        <v>6</v>
      </c>
      <c r="H351" s="11" t="s">
        <v>7588</v>
      </c>
      <c r="I351" s="11" t="s">
        <v>6516</v>
      </c>
      <c r="J351" s="11" t="s">
        <v>7589</v>
      </c>
      <c r="K351" s="11" t="s">
        <v>1178</v>
      </c>
      <c r="L351" s="11" t="s">
        <v>5691</v>
      </c>
      <c r="M351" s="11">
        <v>0</v>
      </c>
      <c r="N351" s="9" t="s">
        <v>5044</v>
      </c>
      <c r="O351" s="9" t="s">
        <v>5044</v>
      </c>
      <c r="P351" s="11">
        <v>0</v>
      </c>
      <c r="Q351" s="11">
        <v>0</v>
      </c>
      <c r="R351" s="11">
        <v>0</v>
      </c>
      <c r="S351" s="11">
        <v>1</v>
      </c>
      <c r="T351" s="11">
        <v>1</v>
      </c>
      <c r="U351" s="11">
        <v>29</v>
      </c>
      <c r="V351" s="11">
        <v>1</v>
      </c>
      <c r="W351" s="11">
        <v>0</v>
      </c>
      <c r="X351" s="11">
        <v>0</v>
      </c>
      <c r="Y351" s="11">
        <v>0</v>
      </c>
      <c r="Z351" s="11">
        <v>0</v>
      </c>
      <c r="AA351" s="11">
        <v>0</v>
      </c>
      <c r="AB351" s="11">
        <v>1</v>
      </c>
      <c r="AC351" s="11">
        <v>1</v>
      </c>
      <c r="AD351" s="11">
        <v>2</v>
      </c>
      <c r="AE351" s="11">
        <v>2</v>
      </c>
      <c r="AF351" s="11">
        <v>2</v>
      </c>
      <c r="AG351" s="11" t="s">
        <v>5044</v>
      </c>
      <c r="AH351" s="11" t="s">
        <v>5044</v>
      </c>
      <c r="AI351" s="11" t="s">
        <v>5044</v>
      </c>
      <c r="AJ351" s="11" t="s">
        <v>5044</v>
      </c>
      <c r="AK351" s="11" t="s">
        <v>5318</v>
      </c>
      <c r="AL351" s="11">
        <v>0</v>
      </c>
      <c r="AM351" s="11">
        <v>0</v>
      </c>
      <c r="AN351" s="11" t="s">
        <v>5318</v>
      </c>
      <c r="AO351" s="11">
        <v>2</v>
      </c>
      <c r="AP351" s="11" t="s">
        <v>5318</v>
      </c>
      <c r="AQ351" s="11" t="s">
        <v>5318</v>
      </c>
    </row>
    <row r="352" spans="1:43" ht="63" customHeight="1" x14ac:dyDescent="0.2">
      <c r="A352" s="10">
        <v>4411</v>
      </c>
      <c r="B352" s="11" t="s">
        <v>7590</v>
      </c>
      <c r="C352" s="11" t="s">
        <v>1179</v>
      </c>
      <c r="D352" s="11">
        <v>2022</v>
      </c>
      <c r="E352" s="11" t="s">
        <v>5318</v>
      </c>
      <c r="F352" s="11">
        <v>106</v>
      </c>
      <c r="G352" s="11">
        <v>12</v>
      </c>
      <c r="H352" s="11" t="s">
        <v>7574</v>
      </c>
      <c r="I352" s="11" t="s">
        <v>6516</v>
      </c>
      <c r="J352" s="11" t="s">
        <v>7591</v>
      </c>
      <c r="K352" s="11" t="s">
        <v>1181</v>
      </c>
      <c r="L352" s="11" t="s">
        <v>5692</v>
      </c>
      <c r="M352" s="11">
        <v>0</v>
      </c>
      <c r="N352" s="9" t="s">
        <v>5044</v>
      </c>
      <c r="O352" s="9" t="s">
        <v>5044</v>
      </c>
      <c r="P352" s="11">
        <v>0</v>
      </c>
      <c r="Q352" s="11">
        <v>0</v>
      </c>
      <c r="R352" s="11">
        <v>0</v>
      </c>
      <c r="S352" s="11">
        <v>1</v>
      </c>
      <c r="T352" s="11">
        <v>1</v>
      </c>
      <c r="U352" s="11">
        <v>58</v>
      </c>
      <c r="V352" s="11">
        <v>0</v>
      </c>
      <c r="W352" s="11">
        <v>1</v>
      </c>
      <c r="X352" s="11">
        <v>0</v>
      </c>
      <c r="Y352" s="11">
        <v>0</v>
      </c>
      <c r="Z352" s="11">
        <v>0</v>
      </c>
      <c r="AA352" s="11">
        <v>0</v>
      </c>
      <c r="AB352" s="11">
        <v>1</v>
      </c>
      <c r="AC352" s="11">
        <v>1</v>
      </c>
      <c r="AD352" s="11" t="s">
        <v>5044</v>
      </c>
      <c r="AE352" s="11" t="s">
        <v>5044</v>
      </c>
      <c r="AF352" s="11" t="s">
        <v>5044</v>
      </c>
      <c r="AG352" s="11">
        <v>2</v>
      </c>
      <c r="AH352" s="11">
        <v>3</v>
      </c>
      <c r="AI352" s="11">
        <v>0</v>
      </c>
      <c r="AJ352" s="11" t="s">
        <v>5044</v>
      </c>
      <c r="AK352" s="11" t="s">
        <v>5318</v>
      </c>
      <c r="AL352" s="11">
        <v>1</v>
      </c>
      <c r="AM352" s="11">
        <v>0</v>
      </c>
      <c r="AN352" s="11" t="s">
        <v>5318</v>
      </c>
      <c r="AO352" s="11">
        <v>3</v>
      </c>
      <c r="AP352" s="11" t="s">
        <v>5318</v>
      </c>
      <c r="AQ352" s="11" t="s">
        <v>5318</v>
      </c>
    </row>
    <row r="353" spans="1:43" ht="63" customHeight="1" x14ac:dyDescent="0.2">
      <c r="A353" s="10">
        <v>4430</v>
      </c>
      <c r="B353" s="11" t="s">
        <v>7594</v>
      </c>
      <c r="C353" s="11" t="s">
        <v>1184</v>
      </c>
      <c r="D353" s="11">
        <v>2020</v>
      </c>
      <c r="E353" s="11" t="s">
        <v>5318</v>
      </c>
      <c r="F353" s="11">
        <v>30</v>
      </c>
      <c r="G353" s="11">
        <v>3</v>
      </c>
      <c r="H353" s="11" t="s">
        <v>7595</v>
      </c>
      <c r="I353" s="11" t="s">
        <v>6516</v>
      </c>
      <c r="J353" s="11" t="s">
        <v>7596</v>
      </c>
      <c r="K353" s="11" t="s">
        <v>1186</v>
      </c>
      <c r="L353" s="11" t="s">
        <v>5044</v>
      </c>
      <c r="M353" s="11">
        <v>0</v>
      </c>
      <c r="N353" s="9" t="s">
        <v>5044</v>
      </c>
      <c r="O353" s="9" t="s">
        <v>5044</v>
      </c>
      <c r="P353" s="11">
        <v>0</v>
      </c>
      <c r="Q353" s="11">
        <v>0</v>
      </c>
      <c r="R353" s="11">
        <v>0</v>
      </c>
      <c r="S353" s="11">
        <v>3</v>
      </c>
      <c r="T353" s="11">
        <v>1</v>
      </c>
      <c r="U353" s="11">
        <v>105</v>
      </c>
      <c r="V353" s="11">
        <v>0</v>
      </c>
      <c r="W353" s="11">
        <v>1</v>
      </c>
      <c r="X353" s="11">
        <v>0</v>
      </c>
      <c r="Y353" s="11">
        <v>0</v>
      </c>
      <c r="Z353" s="11">
        <v>0</v>
      </c>
      <c r="AA353" s="11">
        <v>0</v>
      </c>
      <c r="AB353" s="11">
        <v>1</v>
      </c>
      <c r="AC353" s="11">
        <v>1</v>
      </c>
      <c r="AD353" s="11" t="s">
        <v>5044</v>
      </c>
      <c r="AE353" s="11" t="s">
        <v>5044</v>
      </c>
      <c r="AF353" s="11" t="s">
        <v>5044</v>
      </c>
      <c r="AG353" s="11">
        <v>2</v>
      </c>
      <c r="AH353" s="11">
        <v>3</v>
      </c>
      <c r="AI353" s="11">
        <v>0</v>
      </c>
      <c r="AJ353" s="11" t="s">
        <v>5044</v>
      </c>
      <c r="AK353" s="11">
        <v>2</v>
      </c>
      <c r="AL353" s="11" t="s">
        <v>5044</v>
      </c>
      <c r="AM353" s="11">
        <v>0</v>
      </c>
      <c r="AN353" s="11" t="s">
        <v>5105</v>
      </c>
      <c r="AO353" s="11">
        <v>3</v>
      </c>
      <c r="AP353" s="11" t="s">
        <v>5318</v>
      </c>
      <c r="AQ353" s="11" t="s">
        <v>5318</v>
      </c>
    </row>
    <row r="354" spans="1:43" ht="63" customHeight="1" x14ac:dyDescent="0.2">
      <c r="A354" s="10">
        <v>4431</v>
      </c>
      <c r="B354" s="11" t="s">
        <v>7597</v>
      </c>
      <c r="C354" s="11" t="s">
        <v>1187</v>
      </c>
      <c r="D354" s="11">
        <v>2020</v>
      </c>
      <c r="E354" s="11" t="s">
        <v>5318</v>
      </c>
      <c r="F354" s="11">
        <v>17</v>
      </c>
      <c r="G354" s="11">
        <v>3</v>
      </c>
      <c r="H354" s="11" t="s">
        <v>7598</v>
      </c>
      <c r="I354" s="11" t="s">
        <v>6516</v>
      </c>
      <c r="J354" s="11" t="s">
        <v>7599</v>
      </c>
      <c r="K354" s="11" t="s">
        <v>1189</v>
      </c>
      <c r="L354" s="11" t="s">
        <v>5044</v>
      </c>
      <c r="M354" s="11">
        <v>0</v>
      </c>
      <c r="N354" s="9" t="s">
        <v>5044</v>
      </c>
      <c r="O354" s="9" t="s">
        <v>5044</v>
      </c>
      <c r="P354" s="11">
        <v>0</v>
      </c>
      <c r="Q354" s="11">
        <v>0</v>
      </c>
      <c r="R354" s="11">
        <v>0</v>
      </c>
      <c r="S354" s="11">
        <v>3</v>
      </c>
      <c r="T354" s="11">
        <v>1</v>
      </c>
      <c r="U354" s="11">
        <v>105</v>
      </c>
      <c r="V354" s="11">
        <v>0</v>
      </c>
      <c r="W354" s="11">
        <v>1</v>
      </c>
      <c r="X354" s="11">
        <v>0</v>
      </c>
      <c r="Y354" s="11">
        <v>0</v>
      </c>
      <c r="Z354" s="11">
        <v>0</v>
      </c>
      <c r="AA354" s="11">
        <v>0</v>
      </c>
      <c r="AB354" s="11">
        <v>1</v>
      </c>
      <c r="AC354" s="11">
        <v>1</v>
      </c>
      <c r="AD354" s="11" t="s">
        <v>5044</v>
      </c>
      <c r="AE354" s="11" t="s">
        <v>5044</v>
      </c>
      <c r="AF354" s="11" t="s">
        <v>5044</v>
      </c>
      <c r="AG354" s="11">
        <v>2</v>
      </c>
      <c r="AH354" s="11">
        <v>3</v>
      </c>
      <c r="AI354" s="11">
        <v>0</v>
      </c>
      <c r="AJ354" s="11" t="s">
        <v>5044</v>
      </c>
      <c r="AK354" s="11">
        <v>1</v>
      </c>
      <c r="AL354" s="11" t="s">
        <v>5044</v>
      </c>
      <c r="AM354" s="11">
        <v>0</v>
      </c>
      <c r="AN354" s="11" t="s">
        <v>5105</v>
      </c>
      <c r="AO354" s="11">
        <v>3</v>
      </c>
      <c r="AP354" s="11" t="s">
        <v>5318</v>
      </c>
      <c r="AQ354" s="11" t="s">
        <v>5318</v>
      </c>
    </row>
    <row r="355" spans="1:43" ht="63" customHeight="1" x14ac:dyDescent="0.2">
      <c r="A355" s="10">
        <v>4478</v>
      </c>
      <c r="B355" s="11" t="s">
        <v>7609</v>
      </c>
      <c r="C355" s="11" t="s">
        <v>1199</v>
      </c>
      <c r="D355" s="11">
        <v>2019</v>
      </c>
      <c r="E355" s="11" t="s">
        <v>5318</v>
      </c>
      <c r="F355" s="11">
        <v>62</v>
      </c>
      <c r="G355" s="11">
        <v>9</v>
      </c>
      <c r="H355" s="11" t="s">
        <v>6598</v>
      </c>
      <c r="I355" s="11" t="s">
        <v>6516</v>
      </c>
      <c r="J355" s="11" t="s">
        <v>7610</v>
      </c>
      <c r="K355" s="11" t="s">
        <v>1200</v>
      </c>
      <c r="L355" s="11" t="s">
        <v>5698</v>
      </c>
      <c r="M355" s="11">
        <v>0</v>
      </c>
      <c r="N355" s="9" t="s">
        <v>5044</v>
      </c>
      <c r="O355" s="9" t="s">
        <v>5044</v>
      </c>
      <c r="P355" s="11">
        <v>0</v>
      </c>
      <c r="Q355" s="11">
        <v>0</v>
      </c>
      <c r="R355" s="11">
        <v>0</v>
      </c>
      <c r="S355" s="11">
        <v>9</v>
      </c>
      <c r="T355" s="11">
        <v>1</v>
      </c>
      <c r="U355" s="11">
        <v>151</v>
      </c>
      <c r="V355" s="11">
        <v>1</v>
      </c>
      <c r="W355" s="11">
        <v>0</v>
      </c>
      <c r="X355" s="11">
        <v>0</v>
      </c>
      <c r="Y355" s="11">
        <v>0</v>
      </c>
      <c r="Z355" s="11">
        <v>0</v>
      </c>
      <c r="AA355" s="11">
        <v>0</v>
      </c>
      <c r="AB355" s="11">
        <v>1</v>
      </c>
      <c r="AC355" s="11">
        <v>1</v>
      </c>
      <c r="AD355" s="11">
        <v>1</v>
      </c>
      <c r="AE355" s="11">
        <v>0</v>
      </c>
      <c r="AF355" s="11">
        <v>0</v>
      </c>
      <c r="AG355" s="11" t="s">
        <v>5044</v>
      </c>
      <c r="AH355" s="11" t="s">
        <v>5044</v>
      </c>
      <c r="AI355" s="11" t="s">
        <v>5044</v>
      </c>
      <c r="AJ355" s="11" t="s">
        <v>5044</v>
      </c>
      <c r="AK355" s="11" t="s">
        <v>5318</v>
      </c>
      <c r="AL355" s="11">
        <v>1</v>
      </c>
      <c r="AM355" s="11">
        <v>0</v>
      </c>
      <c r="AN355" s="11" t="s">
        <v>5318</v>
      </c>
      <c r="AO355" s="9">
        <v>0</v>
      </c>
      <c r="AP355" s="11" t="s">
        <v>5318</v>
      </c>
      <c r="AQ355" s="11" t="s">
        <v>5318</v>
      </c>
    </row>
    <row r="356" spans="1:43" ht="63" customHeight="1" x14ac:dyDescent="0.2">
      <c r="A356" s="10">
        <v>4482</v>
      </c>
      <c r="B356" s="11" t="s">
        <v>7611</v>
      </c>
      <c r="C356" s="11" t="s">
        <v>1201</v>
      </c>
      <c r="D356" s="11">
        <v>2021</v>
      </c>
      <c r="E356" s="11" t="s">
        <v>5318</v>
      </c>
      <c r="F356" s="11">
        <v>31</v>
      </c>
      <c r="G356" s="11">
        <v>7</v>
      </c>
      <c r="H356" s="11" t="s">
        <v>6482</v>
      </c>
      <c r="I356" s="11" t="s">
        <v>6516</v>
      </c>
      <c r="J356" s="11" t="s">
        <v>7612</v>
      </c>
      <c r="K356" s="11" t="s">
        <v>1202</v>
      </c>
      <c r="L356" s="11" t="s">
        <v>5044</v>
      </c>
      <c r="M356" s="11">
        <v>0</v>
      </c>
      <c r="N356" s="9" t="s">
        <v>5044</v>
      </c>
      <c r="O356" s="9" t="s">
        <v>5044</v>
      </c>
      <c r="P356" s="11">
        <v>0</v>
      </c>
      <c r="Q356" s="11">
        <v>0</v>
      </c>
      <c r="R356" s="11">
        <v>0</v>
      </c>
      <c r="S356" s="11">
        <v>1</v>
      </c>
      <c r="T356" s="11">
        <v>4</v>
      </c>
      <c r="U356" s="11">
        <v>60</v>
      </c>
      <c r="V356" s="11">
        <v>0</v>
      </c>
      <c r="W356" s="11">
        <v>1</v>
      </c>
      <c r="X356" s="11">
        <v>0</v>
      </c>
      <c r="Y356" s="11">
        <v>0</v>
      </c>
      <c r="Z356" s="11">
        <v>0</v>
      </c>
      <c r="AA356" s="11">
        <v>0</v>
      </c>
      <c r="AB356" s="11">
        <v>0</v>
      </c>
      <c r="AC356" s="11">
        <v>1</v>
      </c>
      <c r="AD356" s="11" t="s">
        <v>5044</v>
      </c>
      <c r="AE356" s="11" t="s">
        <v>5044</v>
      </c>
      <c r="AF356" s="11" t="s">
        <v>5044</v>
      </c>
      <c r="AG356" s="11">
        <v>1</v>
      </c>
      <c r="AH356" s="11">
        <v>0</v>
      </c>
      <c r="AI356" s="11">
        <v>0</v>
      </c>
      <c r="AJ356" s="11" t="s">
        <v>5044</v>
      </c>
      <c r="AK356" s="11" t="s">
        <v>5318</v>
      </c>
      <c r="AL356" s="11">
        <v>1</v>
      </c>
      <c r="AM356" s="11">
        <v>0</v>
      </c>
      <c r="AN356" s="11" t="s">
        <v>5318</v>
      </c>
      <c r="AO356" s="9">
        <v>0</v>
      </c>
      <c r="AP356" s="11" t="s">
        <v>5318</v>
      </c>
      <c r="AQ356" s="11" t="s">
        <v>5318</v>
      </c>
    </row>
    <row r="357" spans="1:43" ht="63" customHeight="1" x14ac:dyDescent="0.2">
      <c r="A357" s="10">
        <v>4506</v>
      </c>
      <c r="B357" s="11" t="s">
        <v>7615</v>
      </c>
      <c r="C357" s="11" t="s">
        <v>1205</v>
      </c>
      <c r="D357" s="11">
        <v>2019</v>
      </c>
      <c r="E357" s="11" t="s">
        <v>5318</v>
      </c>
      <c r="F357" s="11">
        <v>53</v>
      </c>
      <c r="G357" s="11">
        <v>4</v>
      </c>
      <c r="H357" s="11" t="s">
        <v>6972</v>
      </c>
      <c r="I357" s="11" t="s">
        <v>6516</v>
      </c>
      <c r="J357" s="11" t="s">
        <v>7616</v>
      </c>
      <c r="K357" s="11" t="s">
        <v>1207</v>
      </c>
      <c r="L357" s="11" t="s">
        <v>5700</v>
      </c>
      <c r="M357" s="11">
        <v>0</v>
      </c>
      <c r="N357" s="9" t="s">
        <v>5044</v>
      </c>
      <c r="O357" s="9" t="s">
        <v>5044</v>
      </c>
      <c r="P357" s="11">
        <v>0</v>
      </c>
      <c r="Q357" s="11">
        <v>0</v>
      </c>
      <c r="R357" s="11">
        <v>0</v>
      </c>
      <c r="S357" s="11">
        <v>3</v>
      </c>
      <c r="T357" s="11">
        <v>1</v>
      </c>
      <c r="U357" s="11">
        <v>344</v>
      </c>
      <c r="V357" s="11">
        <v>0</v>
      </c>
      <c r="W357" s="11">
        <v>1</v>
      </c>
      <c r="X357" s="11">
        <v>0</v>
      </c>
      <c r="Y357" s="11">
        <v>0</v>
      </c>
      <c r="Z357" s="11">
        <v>0</v>
      </c>
      <c r="AA357" s="11">
        <v>0</v>
      </c>
      <c r="AB357" s="11">
        <v>1</v>
      </c>
      <c r="AC357" s="11">
        <v>0</v>
      </c>
      <c r="AD357" s="11" t="s">
        <v>5044</v>
      </c>
      <c r="AE357" s="11" t="s">
        <v>5044</v>
      </c>
      <c r="AF357" s="11" t="s">
        <v>5044</v>
      </c>
      <c r="AG357" s="11">
        <v>0</v>
      </c>
      <c r="AH357" s="11" t="s">
        <v>5044</v>
      </c>
      <c r="AI357" s="11" t="s">
        <v>5044</v>
      </c>
      <c r="AJ357" s="11" t="s">
        <v>5044</v>
      </c>
      <c r="AK357" s="11" t="s">
        <v>5318</v>
      </c>
      <c r="AL357" s="11">
        <v>0</v>
      </c>
      <c r="AM357" s="11">
        <v>0</v>
      </c>
      <c r="AN357" s="11" t="s">
        <v>5318</v>
      </c>
      <c r="AO357" s="11">
        <v>9</v>
      </c>
      <c r="AP357" s="11" t="s">
        <v>5318</v>
      </c>
      <c r="AQ357" s="11" t="s">
        <v>5318</v>
      </c>
    </row>
    <row r="358" spans="1:43" ht="63" customHeight="1" x14ac:dyDescent="0.2">
      <c r="A358" s="10">
        <v>4522</v>
      </c>
      <c r="B358" s="11" t="s">
        <v>7617</v>
      </c>
      <c r="C358" s="11" t="s">
        <v>1208</v>
      </c>
      <c r="D358" s="11">
        <v>2021</v>
      </c>
      <c r="E358" s="11" t="s">
        <v>5318</v>
      </c>
      <c r="F358" s="11">
        <v>28</v>
      </c>
      <c r="G358" s="11">
        <v>1</v>
      </c>
      <c r="H358" s="11" t="s">
        <v>6621</v>
      </c>
      <c r="I358" s="11" t="s">
        <v>6516</v>
      </c>
      <c r="J358" s="11" t="s">
        <v>7618</v>
      </c>
      <c r="K358" s="11" t="s">
        <v>1209</v>
      </c>
      <c r="L358" s="11" t="s">
        <v>5711</v>
      </c>
      <c r="M358" s="11">
        <v>0</v>
      </c>
      <c r="N358" s="9" t="s">
        <v>5044</v>
      </c>
      <c r="O358" s="9" t="s">
        <v>5044</v>
      </c>
      <c r="P358" s="11">
        <v>0</v>
      </c>
      <c r="Q358" s="11">
        <v>0</v>
      </c>
      <c r="R358" s="11">
        <v>0</v>
      </c>
      <c r="S358" s="11">
        <v>1</v>
      </c>
      <c r="T358" s="11">
        <v>4</v>
      </c>
      <c r="U358" s="11">
        <v>94</v>
      </c>
      <c r="V358" s="11">
        <v>0</v>
      </c>
      <c r="W358" s="11">
        <v>1</v>
      </c>
      <c r="X358" s="11">
        <v>0</v>
      </c>
      <c r="Y358" s="11">
        <v>0</v>
      </c>
      <c r="Z358" s="11">
        <v>0</v>
      </c>
      <c r="AA358" s="11">
        <v>0</v>
      </c>
      <c r="AB358" s="11">
        <v>0</v>
      </c>
      <c r="AC358" s="11">
        <v>1</v>
      </c>
      <c r="AD358" s="11" t="s">
        <v>5044</v>
      </c>
      <c r="AE358" s="11" t="s">
        <v>5044</v>
      </c>
      <c r="AF358" s="11" t="s">
        <v>5044</v>
      </c>
      <c r="AG358" s="11">
        <v>2</v>
      </c>
      <c r="AH358" s="11">
        <v>1</v>
      </c>
      <c r="AI358" s="11">
        <v>2</v>
      </c>
      <c r="AJ358" s="11" t="s">
        <v>5044</v>
      </c>
      <c r="AK358" s="11" t="s">
        <v>5318</v>
      </c>
      <c r="AL358" s="11">
        <v>0</v>
      </c>
      <c r="AM358" s="11">
        <v>0</v>
      </c>
      <c r="AN358" s="11" t="s">
        <v>5318</v>
      </c>
      <c r="AO358" s="11">
        <v>1</v>
      </c>
      <c r="AP358" s="11" t="s">
        <v>5318</v>
      </c>
      <c r="AQ358" s="11" t="s">
        <v>5318</v>
      </c>
    </row>
    <row r="359" spans="1:43" ht="63" customHeight="1" x14ac:dyDescent="0.2">
      <c r="A359" s="10">
        <v>4536</v>
      </c>
      <c r="B359" s="11" t="s">
        <v>7619</v>
      </c>
      <c r="C359" s="11" t="s">
        <v>1210</v>
      </c>
      <c r="D359" s="11">
        <v>2022</v>
      </c>
      <c r="E359" s="11" t="s">
        <v>5318</v>
      </c>
      <c r="F359" s="11">
        <v>275</v>
      </c>
      <c r="G359" s="11">
        <v>3</v>
      </c>
      <c r="H359" s="11" t="s">
        <v>6533</v>
      </c>
      <c r="I359" s="11" t="s">
        <v>6516</v>
      </c>
      <c r="J359" s="11" t="s">
        <v>7620</v>
      </c>
      <c r="K359" s="11" t="s">
        <v>1211</v>
      </c>
      <c r="L359" s="11" t="s">
        <v>5712</v>
      </c>
      <c r="M359" s="11">
        <v>0</v>
      </c>
      <c r="N359" s="9" t="s">
        <v>5044</v>
      </c>
      <c r="O359" s="9" t="s">
        <v>5044</v>
      </c>
      <c r="P359" s="11">
        <v>0</v>
      </c>
      <c r="Q359" s="11">
        <v>0</v>
      </c>
      <c r="R359" s="11">
        <v>0</v>
      </c>
      <c r="S359" s="11">
        <v>1</v>
      </c>
      <c r="T359" s="11">
        <v>1</v>
      </c>
      <c r="U359" s="11">
        <v>761</v>
      </c>
      <c r="V359" s="11">
        <v>0</v>
      </c>
      <c r="W359" s="11">
        <v>1</v>
      </c>
      <c r="X359" s="11">
        <v>0</v>
      </c>
      <c r="Y359" s="11">
        <v>0</v>
      </c>
      <c r="Z359" s="11">
        <v>1</v>
      </c>
      <c r="AA359" s="11">
        <v>0</v>
      </c>
      <c r="AB359" s="11">
        <v>1</v>
      </c>
      <c r="AC359" s="11">
        <v>1</v>
      </c>
      <c r="AD359" s="11" t="s">
        <v>5044</v>
      </c>
      <c r="AE359" s="11" t="s">
        <v>5044</v>
      </c>
      <c r="AF359" s="11" t="s">
        <v>5044</v>
      </c>
      <c r="AG359" s="11">
        <v>1</v>
      </c>
      <c r="AH359" s="11">
        <v>0</v>
      </c>
      <c r="AI359" s="11">
        <v>0</v>
      </c>
      <c r="AJ359" s="11">
        <v>0</v>
      </c>
      <c r="AK359" s="11" t="s">
        <v>5318</v>
      </c>
      <c r="AL359" s="11">
        <v>0</v>
      </c>
      <c r="AM359" s="11">
        <v>0</v>
      </c>
      <c r="AN359" s="11" t="s">
        <v>5318</v>
      </c>
      <c r="AO359" s="9">
        <v>0</v>
      </c>
      <c r="AP359" s="11" t="s">
        <v>5318</v>
      </c>
      <c r="AQ359" s="11" t="s">
        <v>5318</v>
      </c>
    </row>
    <row r="360" spans="1:43" ht="63" customHeight="1" x14ac:dyDescent="0.2">
      <c r="A360" s="10">
        <v>4537</v>
      </c>
      <c r="B360" s="11" t="s">
        <v>7621</v>
      </c>
      <c r="C360" s="11" t="s">
        <v>1212</v>
      </c>
      <c r="D360" s="11">
        <v>2020</v>
      </c>
      <c r="E360" s="11" t="s">
        <v>5318</v>
      </c>
      <c r="F360" s="11">
        <v>18</v>
      </c>
      <c r="G360" s="11">
        <v>2</v>
      </c>
      <c r="H360" s="11" t="s">
        <v>7622</v>
      </c>
      <c r="I360" s="11" t="s">
        <v>6516</v>
      </c>
      <c r="J360" s="11" t="s">
        <v>7623</v>
      </c>
      <c r="K360" s="11" t="s">
        <v>1214</v>
      </c>
      <c r="L360" s="11" t="s">
        <v>5044</v>
      </c>
      <c r="M360" s="11">
        <v>0</v>
      </c>
      <c r="N360" s="9" t="s">
        <v>5044</v>
      </c>
      <c r="O360" s="9" t="s">
        <v>5044</v>
      </c>
      <c r="P360" s="11">
        <v>0</v>
      </c>
      <c r="Q360" s="11">
        <v>0</v>
      </c>
      <c r="R360" s="11">
        <v>0</v>
      </c>
      <c r="S360" s="11">
        <v>3</v>
      </c>
      <c r="T360" s="11">
        <v>6</v>
      </c>
      <c r="U360" s="11">
        <v>68</v>
      </c>
      <c r="V360" s="11">
        <v>0</v>
      </c>
      <c r="W360" s="11">
        <v>1</v>
      </c>
      <c r="X360" s="11">
        <v>0</v>
      </c>
      <c r="Y360" s="11">
        <v>0</v>
      </c>
      <c r="Z360" s="11">
        <v>0</v>
      </c>
      <c r="AA360" s="11">
        <v>0</v>
      </c>
      <c r="AB360" s="11">
        <v>1</v>
      </c>
      <c r="AC360" s="11">
        <v>1</v>
      </c>
      <c r="AD360" s="11" t="s">
        <v>5044</v>
      </c>
      <c r="AE360" s="11" t="s">
        <v>5044</v>
      </c>
      <c r="AF360" s="11" t="s">
        <v>5044</v>
      </c>
      <c r="AG360" s="11">
        <v>1</v>
      </c>
      <c r="AH360" s="11">
        <v>0</v>
      </c>
      <c r="AI360" s="11">
        <v>0</v>
      </c>
      <c r="AJ360" s="11" t="s">
        <v>5044</v>
      </c>
      <c r="AK360" s="11" t="s">
        <v>5318</v>
      </c>
      <c r="AL360" s="11">
        <v>1</v>
      </c>
      <c r="AM360" s="11">
        <v>0</v>
      </c>
      <c r="AN360" s="11" t="s">
        <v>5318</v>
      </c>
      <c r="AO360" s="9">
        <v>0</v>
      </c>
      <c r="AP360" s="11" t="s">
        <v>5318</v>
      </c>
      <c r="AQ360" s="11" t="s">
        <v>5318</v>
      </c>
    </row>
    <row r="361" spans="1:43" ht="63" customHeight="1" x14ac:dyDescent="0.2">
      <c r="A361" s="10">
        <v>4538</v>
      </c>
      <c r="B361" s="11" t="s">
        <v>7624</v>
      </c>
      <c r="C361" s="11" t="s">
        <v>1215</v>
      </c>
      <c r="D361" s="11">
        <v>2021</v>
      </c>
      <c r="E361" s="11" t="s">
        <v>5318</v>
      </c>
      <c r="F361" s="11">
        <v>35</v>
      </c>
      <c r="G361" s="11">
        <v>8</v>
      </c>
      <c r="H361" s="11" t="s">
        <v>6624</v>
      </c>
      <c r="I361" s="11" t="s">
        <v>6516</v>
      </c>
      <c r="J361" s="11" t="s">
        <v>7625</v>
      </c>
      <c r="K361" s="11" t="s">
        <v>1216</v>
      </c>
      <c r="L361" s="11" t="s">
        <v>5713</v>
      </c>
      <c r="M361" s="11">
        <v>0</v>
      </c>
      <c r="N361" s="9" t="s">
        <v>5044</v>
      </c>
      <c r="O361" s="9" t="s">
        <v>5044</v>
      </c>
      <c r="P361" s="11">
        <v>0</v>
      </c>
      <c r="Q361" s="11">
        <v>0</v>
      </c>
      <c r="R361" s="11">
        <v>0</v>
      </c>
      <c r="S361" s="11">
        <v>1</v>
      </c>
      <c r="T361" s="11">
        <v>1</v>
      </c>
      <c r="U361" s="11">
        <v>101</v>
      </c>
      <c r="V361" s="11">
        <v>0</v>
      </c>
      <c r="W361" s="11">
        <v>1</v>
      </c>
      <c r="X361" s="11">
        <v>0</v>
      </c>
      <c r="Y361" s="11">
        <v>0</v>
      </c>
      <c r="Z361" s="11">
        <v>0</v>
      </c>
      <c r="AA361" s="11">
        <v>0</v>
      </c>
      <c r="AB361" s="11">
        <v>1</v>
      </c>
      <c r="AC361" s="11">
        <v>1</v>
      </c>
      <c r="AD361" s="11" t="s">
        <v>5044</v>
      </c>
      <c r="AE361" s="11" t="s">
        <v>5044</v>
      </c>
      <c r="AF361" s="11" t="s">
        <v>5044</v>
      </c>
      <c r="AG361" s="11">
        <v>1</v>
      </c>
      <c r="AH361" s="11">
        <v>0</v>
      </c>
      <c r="AI361" s="11">
        <v>0</v>
      </c>
      <c r="AJ361" s="11" t="s">
        <v>5044</v>
      </c>
      <c r="AK361" s="11" t="s">
        <v>5318</v>
      </c>
      <c r="AL361" s="11">
        <v>1</v>
      </c>
      <c r="AM361" s="11">
        <v>0</v>
      </c>
      <c r="AN361" s="11" t="s">
        <v>5318</v>
      </c>
      <c r="AO361" s="9">
        <v>0</v>
      </c>
      <c r="AP361" s="11" t="s">
        <v>5318</v>
      </c>
      <c r="AQ361" s="11" t="s">
        <v>5318</v>
      </c>
    </row>
    <row r="362" spans="1:43" ht="63" customHeight="1" x14ac:dyDescent="0.2">
      <c r="A362" s="10">
        <v>4541</v>
      </c>
      <c r="B362" s="11" t="s">
        <v>7626</v>
      </c>
      <c r="C362" s="11" t="s">
        <v>1217</v>
      </c>
      <c r="D362" s="11">
        <v>2018</v>
      </c>
      <c r="E362" s="11" t="s">
        <v>5318</v>
      </c>
      <c r="F362" s="11">
        <v>20</v>
      </c>
      <c r="G362" s="11">
        <v>1</v>
      </c>
      <c r="H362" s="11" t="s">
        <v>6749</v>
      </c>
      <c r="I362" s="11" t="s">
        <v>6516</v>
      </c>
      <c r="J362" s="11" t="s">
        <v>7627</v>
      </c>
      <c r="K362" s="11" t="s">
        <v>1218</v>
      </c>
      <c r="L362" s="11" t="s">
        <v>5714</v>
      </c>
      <c r="M362" s="11">
        <v>0</v>
      </c>
      <c r="N362" s="9" t="s">
        <v>5044</v>
      </c>
      <c r="O362" s="9" t="s">
        <v>5044</v>
      </c>
      <c r="P362" s="11">
        <v>0</v>
      </c>
      <c r="Q362" s="11">
        <v>0</v>
      </c>
      <c r="R362" s="11">
        <v>0</v>
      </c>
      <c r="S362" s="11">
        <v>1</v>
      </c>
      <c r="T362" s="11">
        <v>1</v>
      </c>
      <c r="U362" s="11">
        <v>122</v>
      </c>
      <c r="V362" s="11">
        <v>1</v>
      </c>
      <c r="W362" s="11">
        <v>1</v>
      </c>
      <c r="X362" s="11">
        <v>0</v>
      </c>
      <c r="Y362" s="11">
        <v>0</v>
      </c>
      <c r="Z362" s="11">
        <v>0</v>
      </c>
      <c r="AA362" s="11">
        <v>0</v>
      </c>
      <c r="AB362" s="11">
        <v>1</v>
      </c>
      <c r="AC362" s="11">
        <v>1</v>
      </c>
      <c r="AD362" s="11">
        <v>2</v>
      </c>
      <c r="AE362" s="11">
        <v>1</v>
      </c>
      <c r="AF362" s="11">
        <v>1</v>
      </c>
      <c r="AG362" s="11">
        <v>2</v>
      </c>
      <c r="AH362" s="11">
        <v>3</v>
      </c>
      <c r="AI362" s="11">
        <v>0</v>
      </c>
      <c r="AJ362" s="11" t="s">
        <v>5044</v>
      </c>
      <c r="AK362" s="11" t="s">
        <v>5318</v>
      </c>
      <c r="AL362" s="11">
        <v>0</v>
      </c>
      <c r="AM362" s="11">
        <v>0</v>
      </c>
      <c r="AN362" s="11" t="s">
        <v>5318</v>
      </c>
      <c r="AO362" s="11">
        <v>1</v>
      </c>
      <c r="AP362" s="11" t="s">
        <v>5318</v>
      </c>
      <c r="AQ362" s="11" t="s">
        <v>5318</v>
      </c>
    </row>
    <row r="363" spans="1:43" ht="63" customHeight="1" x14ac:dyDescent="0.2">
      <c r="A363" s="10">
        <v>4591</v>
      </c>
      <c r="B363" s="11" t="s">
        <v>7628</v>
      </c>
      <c r="C363" s="11" t="s">
        <v>1219</v>
      </c>
      <c r="D363" s="11">
        <v>2013</v>
      </c>
      <c r="E363" s="11" t="s">
        <v>5318</v>
      </c>
      <c r="F363" s="11">
        <v>471</v>
      </c>
      <c r="G363" s="11">
        <v>9</v>
      </c>
      <c r="H363" s="11" t="s">
        <v>7119</v>
      </c>
      <c r="I363" s="11" t="s">
        <v>6878</v>
      </c>
      <c r="J363" s="11" t="s">
        <v>7629</v>
      </c>
      <c r="K363" s="11" t="s">
        <v>1220</v>
      </c>
      <c r="L363" s="11" t="s">
        <v>5044</v>
      </c>
      <c r="M363" s="11">
        <v>0</v>
      </c>
      <c r="N363" s="9" t="s">
        <v>5044</v>
      </c>
      <c r="O363" s="9" t="s">
        <v>5044</v>
      </c>
      <c r="P363" s="11">
        <v>1</v>
      </c>
      <c r="Q363" s="11">
        <v>0</v>
      </c>
      <c r="R363" s="11">
        <v>0</v>
      </c>
      <c r="S363" s="11">
        <v>4</v>
      </c>
      <c r="T363" s="11">
        <v>1</v>
      </c>
      <c r="U363" s="11">
        <v>33</v>
      </c>
      <c r="V363" s="11">
        <v>0</v>
      </c>
      <c r="W363" s="11">
        <v>1</v>
      </c>
      <c r="X363" s="11">
        <v>0</v>
      </c>
      <c r="Y363" s="11">
        <v>0</v>
      </c>
      <c r="Z363" s="11">
        <v>0</v>
      </c>
      <c r="AA363" s="11">
        <v>0</v>
      </c>
      <c r="AB363" s="11">
        <v>1</v>
      </c>
      <c r="AC363" s="11">
        <v>1</v>
      </c>
      <c r="AD363" s="11" t="s">
        <v>5044</v>
      </c>
      <c r="AE363" s="11" t="s">
        <v>5044</v>
      </c>
      <c r="AF363" s="11" t="s">
        <v>5044</v>
      </c>
      <c r="AG363" s="11">
        <v>2</v>
      </c>
      <c r="AH363" s="11">
        <v>3</v>
      </c>
      <c r="AI363" s="11">
        <v>0</v>
      </c>
      <c r="AJ363" s="11" t="s">
        <v>5044</v>
      </c>
      <c r="AK363" s="11" t="s">
        <v>5318</v>
      </c>
      <c r="AL363" s="11">
        <v>0</v>
      </c>
      <c r="AM363" s="11">
        <v>0</v>
      </c>
      <c r="AN363" s="11" t="s">
        <v>5318</v>
      </c>
      <c r="AO363" s="11">
        <v>3</v>
      </c>
      <c r="AP363" s="11" t="s">
        <v>5318</v>
      </c>
      <c r="AQ363" s="11" t="s">
        <v>5318</v>
      </c>
    </row>
    <row r="364" spans="1:43" ht="63" customHeight="1" x14ac:dyDescent="0.2">
      <c r="A364" s="10">
        <v>4616</v>
      </c>
      <c r="B364" s="11" t="s">
        <v>7634</v>
      </c>
      <c r="C364" s="11" t="s">
        <v>1225</v>
      </c>
      <c r="D364" s="11">
        <v>2016</v>
      </c>
      <c r="E364" s="11" t="s">
        <v>5318</v>
      </c>
      <c r="F364" s="11">
        <v>159</v>
      </c>
      <c r="G364" s="11">
        <v>5</v>
      </c>
      <c r="H364" s="11" t="s">
        <v>6553</v>
      </c>
      <c r="I364" s="11" t="s">
        <v>6516</v>
      </c>
      <c r="J364" s="11" t="s">
        <v>7635</v>
      </c>
      <c r="K364" s="11" t="s">
        <v>1227</v>
      </c>
      <c r="L364" s="11" t="s">
        <v>5717</v>
      </c>
      <c r="M364" s="11">
        <v>0</v>
      </c>
      <c r="N364" s="9" t="s">
        <v>5044</v>
      </c>
      <c r="O364" s="9" t="s">
        <v>5044</v>
      </c>
      <c r="P364" s="11">
        <v>0</v>
      </c>
      <c r="Q364" s="11">
        <v>0</v>
      </c>
      <c r="R364" s="11">
        <v>0</v>
      </c>
      <c r="S364" s="11">
        <v>1</v>
      </c>
      <c r="T364" s="11">
        <v>4</v>
      </c>
      <c r="U364" s="11">
        <v>224</v>
      </c>
      <c r="V364" s="11">
        <v>0</v>
      </c>
      <c r="W364" s="11">
        <v>1</v>
      </c>
      <c r="X364" s="11">
        <v>0</v>
      </c>
      <c r="Y364" s="11">
        <v>0</v>
      </c>
      <c r="Z364" s="11">
        <v>0</v>
      </c>
      <c r="AA364" s="11">
        <v>0</v>
      </c>
      <c r="AB364" s="11">
        <v>1</v>
      </c>
      <c r="AC364" s="11">
        <v>1</v>
      </c>
      <c r="AD364" s="11" t="s">
        <v>5044</v>
      </c>
      <c r="AE364" s="11" t="s">
        <v>5044</v>
      </c>
      <c r="AF364" s="11" t="s">
        <v>5044</v>
      </c>
      <c r="AG364" s="11">
        <v>1</v>
      </c>
      <c r="AH364" s="11">
        <v>0</v>
      </c>
      <c r="AI364" s="11">
        <v>0</v>
      </c>
      <c r="AJ364" s="11" t="s">
        <v>5044</v>
      </c>
      <c r="AK364" s="11" t="s">
        <v>5318</v>
      </c>
      <c r="AL364" s="11">
        <v>0</v>
      </c>
      <c r="AM364" s="11">
        <v>0</v>
      </c>
      <c r="AN364" s="11" t="s">
        <v>5318</v>
      </c>
      <c r="AO364" s="9">
        <v>0</v>
      </c>
      <c r="AP364" s="11" t="s">
        <v>5318</v>
      </c>
      <c r="AQ364" s="11" t="s">
        <v>5318</v>
      </c>
    </row>
    <row r="365" spans="1:43" ht="63" customHeight="1" x14ac:dyDescent="0.2">
      <c r="A365" s="10">
        <v>4631</v>
      </c>
      <c r="B365" s="11" t="s">
        <v>7636</v>
      </c>
      <c r="C365" s="11" t="s">
        <v>1228</v>
      </c>
      <c r="D365" s="11">
        <v>2020</v>
      </c>
      <c r="E365" s="11" t="s">
        <v>5318</v>
      </c>
      <c r="F365" s="11">
        <v>44</v>
      </c>
      <c r="G365" s="11">
        <v>5</v>
      </c>
      <c r="H365" s="11" t="s">
        <v>6525</v>
      </c>
      <c r="I365" s="11" t="s">
        <v>6516</v>
      </c>
      <c r="J365" s="11" t="s">
        <v>7637</v>
      </c>
      <c r="K365" s="11" t="s">
        <v>1229</v>
      </c>
      <c r="L365" s="11" t="s">
        <v>5718</v>
      </c>
      <c r="M365" s="11">
        <v>0</v>
      </c>
      <c r="N365" s="9" t="s">
        <v>5044</v>
      </c>
      <c r="O365" s="9" t="s">
        <v>5044</v>
      </c>
      <c r="P365" s="11">
        <v>0</v>
      </c>
      <c r="Q365" s="11">
        <v>0</v>
      </c>
      <c r="R365" s="11">
        <v>0</v>
      </c>
      <c r="S365" s="11" t="s">
        <v>5708</v>
      </c>
      <c r="T365" s="11">
        <v>4</v>
      </c>
      <c r="U365" s="11">
        <v>208</v>
      </c>
      <c r="V365" s="11">
        <v>0</v>
      </c>
      <c r="W365" s="11">
        <v>1</v>
      </c>
      <c r="X365" s="11">
        <v>0</v>
      </c>
      <c r="Y365" s="11">
        <v>0</v>
      </c>
      <c r="Z365" s="11">
        <v>0</v>
      </c>
      <c r="AA365" s="11">
        <v>0</v>
      </c>
      <c r="AB365" s="11">
        <v>1</v>
      </c>
      <c r="AC365" s="11">
        <v>1</v>
      </c>
      <c r="AD365" s="11" t="s">
        <v>5044</v>
      </c>
      <c r="AE365" s="11" t="s">
        <v>5044</v>
      </c>
      <c r="AF365" s="11" t="s">
        <v>5044</v>
      </c>
      <c r="AG365" s="11">
        <v>1</v>
      </c>
      <c r="AH365" s="11">
        <v>0</v>
      </c>
      <c r="AI365" s="11">
        <v>0</v>
      </c>
      <c r="AJ365" s="11" t="s">
        <v>5044</v>
      </c>
      <c r="AK365" s="11" t="s">
        <v>5318</v>
      </c>
      <c r="AL365" s="11">
        <v>1</v>
      </c>
      <c r="AM365" s="11">
        <v>0</v>
      </c>
      <c r="AN365" s="11" t="s">
        <v>5318</v>
      </c>
      <c r="AO365" s="9">
        <v>0</v>
      </c>
      <c r="AP365" s="11" t="s">
        <v>5318</v>
      </c>
      <c r="AQ365" s="11" t="s">
        <v>5318</v>
      </c>
    </row>
    <row r="366" spans="1:43" ht="63" customHeight="1" x14ac:dyDescent="0.2">
      <c r="A366" s="10">
        <v>4640</v>
      </c>
      <c r="B366" s="11" t="s">
        <v>7638</v>
      </c>
      <c r="C366" s="11" t="s">
        <v>1230</v>
      </c>
      <c r="D366" s="11">
        <v>2021</v>
      </c>
      <c r="E366" s="11" t="s">
        <v>5318</v>
      </c>
      <c r="F366" s="11">
        <v>156</v>
      </c>
      <c r="G366" s="11">
        <v>10</v>
      </c>
      <c r="H366" s="11" t="s">
        <v>6676</v>
      </c>
      <c r="I366" s="11" t="s">
        <v>6516</v>
      </c>
      <c r="J366" s="11" t="s">
        <v>7639</v>
      </c>
      <c r="K366" s="11" t="s">
        <v>1231</v>
      </c>
      <c r="L366" s="11" t="s">
        <v>5719</v>
      </c>
      <c r="M366" s="11">
        <v>0</v>
      </c>
      <c r="N366" s="9" t="s">
        <v>5044</v>
      </c>
      <c r="O366" s="9" t="s">
        <v>5044</v>
      </c>
      <c r="P366" s="11">
        <v>0</v>
      </c>
      <c r="Q366" s="11">
        <v>0</v>
      </c>
      <c r="R366" s="11">
        <v>0</v>
      </c>
      <c r="S366" s="11">
        <v>1</v>
      </c>
      <c r="T366" s="11">
        <v>4</v>
      </c>
      <c r="U366" s="11">
        <v>241</v>
      </c>
      <c r="V366" s="11">
        <v>1</v>
      </c>
      <c r="W366" s="11">
        <v>1</v>
      </c>
      <c r="X366" s="11">
        <v>0</v>
      </c>
      <c r="Y366" s="11">
        <v>0</v>
      </c>
      <c r="Z366" s="11">
        <v>0</v>
      </c>
      <c r="AA366" s="11">
        <v>0</v>
      </c>
      <c r="AB366" s="11">
        <v>1</v>
      </c>
      <c r="AC366" s="11">
        <v>1</v>
      </c>
      <c r="AD366" s="11">
        <v>2</v>
      </c>
      <c r="AE366" s="11">
        <v>1</v>
      </c>
      <c r="AF366" s="11">
        <v>1</v>
      </c>
      <c r="AG366" s="11">
        <v>2</v>
      </c>
      <c r="AH366" s="11">
        <v>1</v>
      </c>
      <c r="AI366" s="11">
        <v>1</v>
      </c>
      <c r="AJ366" s="11" t="s">
        <v>5044</v>
      </c>
      <c r="AK366" s="11" t="s">
        <v>5318</v>
      </c>
      <c r="AL366" s="11">
        <v>0</v>
      </c>
      <c r="AM366" s="11">
        <v>0</v>
      </c>
      <c r="AN366" s="11" t="s">
        <v>5318</v>
      </c>
      <c r="AO366" s="11">
        <v>1</v>
      </c>
      <c r="AP366" s="11" t="s">
        <v>5318</v>
      </c>
      <c r="AQ366" s="11" t="s">
        <v>5318</v>
      </c>
    </row>
    <row r="367" spans="1:43" ht="63" customHeight="1" x14ac:dyDescent="0.2">
      <c r="A367" s="10">
        <v>4641</v>
      </c>
      <c r="B367" s="11" t="s">
        <v>7640</v>
      </c>
      <c r="C367" s="11" t="s">
        <v>1232</v>
      </c>
      <c r="D367" s="11">
        <v>2020</v>
      </c>
      <c r="E367" s="11" t="s">
        <v>5318</v>
      </c>
      <c r="F367" s="11">
        <v>11</v>
      </c>
      <c r="G367" s="11">
        <v>25</v>
      </c>
      <c r="H367" s="11" t="s">
        <v>7641</v>
      </c>
      <c r="I367" s="11" t="s">
        <v>6516</v>
      </c>
      <c r="J367" s="11" t="s">
        <v>7642</v>
      </c>
      <c r="K367" s="11" t="s">
        <v>1233</v>
      </c>
      <c r="L367" s="11" t="s">
        <v>5720</v>
      </c>
      <c r="M367" s="11">
        <v>0</v>
      </c>
      <c r="N367" s="9" t="s">
        <v>5044</v>
      </c>
      <c r="O367" s="9" t="s">
        <v>5044</v>
      </c>
      <c r="P367" s="11">
        <v>0</v>
      </c>
      <c r="Q367" s="11">
        <v>0</v>
      </c>
      <c r="R367" s="11">
        <v>0</v>
      </c>
      <c r="S367" s="11">
        <v>1</v>
      </c>
      <c r="T367" s="11">
        <v>4</v>
      </c>
      <c r="U367" s="11">
        <v>100</v>
      </c>
      <c r="V367" s="11">
        <v>0</v>
      </c>
      <c r="W367" s="11">
        <v>1</v>
      </c>
      <c r="X367" s="11">
        <v>0</v>
      </c>
      <c r="Y367" s="11">
        <v>0</v>
      </c>
      <c r="Z367" s="11">
        <v>0</v>
      </c>
      <c r="AA367" s="11">
        <v>0</v>
      </c>
      <c r="AB367" s="11">
        <v>1</v>
      </c>
      <c r="AC367" s="11">
        <v>1</v>
      </c>
      <c r="AD367" s="11" t="s">
        <v>5044</v>
      </c>
      <c r="AE367" s="11" t="s">
        <v>5044</v>
      </c>
      <c r="AF367" s="11" t="s">
        <v>5044</v>
      </c>
      <c r="AG367" s="11">
        <v>2</v>
      </c>
      <c r="AH367" s="11">
        <v>1</v>
      </c>
      <c r="AI367" s="11">
        <v>2</v>
      </c>
      <c r="AJ367" s="11" t="s">
        <v>5044</v>
      </c>
      <c r="AK367" s="11" t="s">
        <v>5318</v>
      </c>
      <c r="AL367" s="11">
        <v>1</v>
      </c>
      <c r="AM367" s="11">
        <v>0</v>
      </c>
      <c r="AN367" s="11" t="s">
        <v>5318</v>
      </c>
      <c r="AO367" s="11">
        <v>1</v>
      </c>
      <c r="AP367" s="11" t="s">
        <v>5318</v>
      </c>
      <c r="AQ367" s="11" t="s">
        <v>5318</v>
      </c>
    </row>
    <row r="368" spans="1:43" ht="63" customHeight="1" x14ac:dyDescent="0.2">
      <c r="A368" s="10">
        <v>4651</v>
      </c>
      <c r="B368" s="11" t="s">
        <v>7645</v>
      </c>
      <c r="C368" s="11" t="s">
        <v>1236</v>
      </c>
      <c r="D368" s="11">
        <v>2019</v>
      </c>
      <c r="E368" s="11" t="s">
        <v>5318</v>
      </c>
      <c r="F368" s="11">
        <v>32</v>
      </c>
      <c r="G368" s="11">
        <v>5</v>
      </c>
      <c r="H368" s="11" t="s">
        <v>7646</v>
      </c>
      <c r="I368" s="11" t="s">
        <v>6516</v>
      </c>
      <c r="J368" s="11" t="s">
        <v>7647</v>
      </c>
      <c r="K368" s="11" t="s">
        <v>1238</v>
      </c>
      <c r="L368" s="11" t="s">
        <v>5044</v>
      </c>
      <c r="M368" s="11">
        <v>0</v>
      </c>
      <c r="N368" s="9" t="s">
        <v>5044</v>
      </c>
      <c r="O368" s="9" t="s">
        <v>5044</v>
      </c>
      <c r="P368" s="11">
        <v>0</v>
      </c>
      <c r="Q368" s="11">
        <v>0</v>
      </c>
      <c r="R368" s="11">
        <v>0</v>
      </c>
      <c r="S368" s="11">
        <v>1</v>
      </c>
      <c r="T368" s="11">
        <v>4</v>
      </c>
      <c r="U368" s="11">
        <v>67</v>
      </c>
      <c r="V368" s="11">
        <v>0</v>
      </c>
      <c r="W368" s="11">
        <v>1</v>
      </c>
      <c r="X368" s="11">
        <v>0</v>
      </c>
      <c r="Y368" s="11">
        <v>0</v>
      </c>
      <c r="Z368" s="11">
        <v>0</v>
      </c>
      <c r="AA368" s="11">
        <v>0</v>
      </c>
      <c r="AB368" s="11">
        <v>1</v>
      </c>
      <c r="AC368" s="11">
        <v>1</v>
      </c>
      <c r="AD368" s="11" t="s">
        <v>5044</v>
      </c>
      <c r="AE368" s="11" t="s">
        <v>5044</v>
      </c>
      <c r="AF368" s="11" t="s">
        <v>5044</v>
      </c>
      <c r="AG368" s="11">
        <v>2</v>
      </c>
      <c r="AH368" s="11">
        <v>1</v>
      </c>
      <c r="AI368" s="11">
        <v>1</v>
      </c>
      <c r="AJ368" s="11" t="s">
        <v>5044</v>
      </c>
      <c r="AK368" s="11" t="s">
        <v>5318</v>
      </c>
      <c r="AL368" s="11">
        <v>1</v>
      </c>
      <c r="AM368" s="11">
        <v>0</v>
      </c>
      <c r="AN368" s="11" t="s">
        <v>5318</v>
      </c>
      <c r="AO368" s="11">
        <v>1</v>
      </c>
      <c r="AP368" s="11" t="s">
        <v>5318</v>
      </c>
      <c r="AQ368" s="11" t="s">
        <v>5318</v>
      </c>
    </row>
    <row r="369" spans="1:43" ht="63" customHeight="1" x14ac:dyDescent="0.2">
      <c r="A369" s="10">
        <v>4663</v>
      </c>
      <c r="B369" s="11" t="s">
        <v>7648</v>
      </c>
      <c r="C369" s="11" t="s">
        <v>1239</v>
      </c>
      <c r="D369" s="11">
        <v>2017</v>
      </c>
      <c r="E369" s="11" t="s">
        <v>5318</v>
      </c>
      <c r="F369" s="11">
        <v>24</v>
      </c>
      <c r="G369" s="11">
        <v>2</v>
      </c>
      <c r="H369" s="11" t="s">
        <v>6621</v>
      </c>
      <c r="I369" s="11" t="s">
        <v>6516</v>
      </c>
      <c r="J369" s="11" t="s">
        <v>7649</v>
      </c>
      <c r="K369" s="11" t="s">
        <v>1240</v>
      </c>
      <c r="L369" s="11" t="s">
        <v>5721</v>
      </c>
      <c r="M369" s="11">
        <v>0</v>
      </c>
      <c r="N369" s="9" t="s">
        <v>5044</v>
      </c>
      <c r="O369" s="9" t="s">
        <v>5044</v>
      </c>
      <c r="P369" s="11">
        <v>0</v>
      </c>
      <c r="Q369" s="11">
        <v>0</v>
      </c>
      <c r="R369" s="11">
        <v>0</v>
      </c>
      <c r="S369" s="11">
        <v>1</v>
      </c>
      <c r="T369" s="11">
        <v>4</v>
      </c>
      <c r="U369" s="11">
        <v>56</v>
      </c>
      <c r="V369" s="11">
        <v>0</v>
      </c>
      <c r="W369" s="11">
        <v>1</v>
      </c>
      <c r="X369" s="11">
        <v>0</v>
      </c>
      <c r="Y369" s="11">
        <v>0</v>
      </c>
      <c r="Z369" s="11">
        <v>0</v>
      </c>
      <c r="AA369" s="11">
        <v>0</v>
      </c>
      <c r="AB369" s="11">
        <v>1</v>
      </c>
      <c r="AC369" s="11">
        <v>1</v>
      </c>
      <c r="AD369" s="11" t="s">
        <v>5044</v>
      </c>
      <c r="AE369" s="11" t="s">
        <v>5044</v>
      </c>
      <c r="AF369" s="11" t="s">
        <v>5044</v>
      </c>
      <c r="AG369" s="11">
        <v>2</v>
      </c>
      <c r="AH369" s="11">
        <v>3</v>
      </c>
      <c r="AI369" s="11">
        <v>0</v>
      </c>
      <c r="AJ369" s="11" t="s">
        <v>5044</v>
      </c>
      <c r="AK369" s="11">
        <v>1</v>
      </c>
      <c r="AL369" s="11">
        <v>1</v>
      </c>
      <c r="AM369" s="11">
        <v>0</v>
      </c>
      <c r="AN369" s="11" t="s">
        <v>5318</v>
      </c>
      <c r="AO369" s="11">
        <v>3</v>
      </c>
      <c r="AP369" s="11" t="s">
        <v>5318</v>
      </c>
      <c r="AQ369" s="11" t="s">
        <v>5318</v>
      </c>
    </row>
    <row r="370" spans="1:43" ht="63" customHeight="1" x14ac:dyDescent="0.2">
      <c r="A370" s="10">
        <v>4668</v>
      </c>
      <c r="B370" s="11" t="s">
        <v>7650</v>
      </c>
      <c r="C370" s="11" t="s">
        <v>1241</v>
      </c>
      <c r="D370" s="11">
        <v>2023</v>
      </c>
      <c r="E370" s="11" t="s">
        <v>5318</v>
      </c>
      <c r="F370" s="11">
        <v>13</v>
      </c>
      <c r="G370" s="11">
        <v>1</v>
      </c>
      <c r="H370" s="11" t="s">
        <v>6645</v>
      </c>
      <c r="I370" s="11" t="s">
        <v>6516</v>
      </c>
      <c r="J370" s="11" t="s">
        <v>7651</v>
      </c>
      <c r="K370" s="11" t="s">
        <v>1242</v>
      </c>
      <c r="L370" s="11" t="s">
        <v>5722</v>
      </c>
      <c r="M370" s="11">
        <v>0</v>
      </c>
      <c r="N370" s="9" t="s">
        <v>5044</v>
      </c>
      <c r="O370" s="9" t="s">
        <v>5044</v>
      </c>
      <c r="P370" s="11">
        <v>0</v>
      </c>
      <c r="Q370" s="11">
        <v>0</v>
      </c>
      <c r="R370" s="11">
        <v>0</v>
      </c>
      <c r="S370" s="11">
        <v>9</v>
      </c>
      <c r="T370" s="11">
        <v>4</v>
      </c>
      <c r="U370" s="11">
        <v>40</v>
      </c>
      <c r="V370" s="11">
        <v>0</v>
      </c>
      <c r="W370" s="11">
        <v>1</v>
      </c>
      <c r="X370" s="11">
        <v>0</v>
      </c>
      <c r="Y370" s="11">
        <v>0</v>
      </c>
      <c r="Z370" s="11">
        <v>0</v>
      </c>
      <c r="AA370" s="11">
        <v>0</v>
      </c>
      <c r="AB370" s="11">
        <v>1</v>
      </c>
      <c r="AC370" s="11">
        <v>1</v>
      </c>
      <c r="AD370" s="11" t="s">
        <v>5044</v>
      </c>
      <c r="AE370" s="11" t="s">
        <v>5044</v>
      </c>
      <c r="AF370" s="11" t="s">
        <v>5044</v>
      </c>
      <c r="AG370" s="11">
        <v>2</v>
      </c>
      <c r="AH370" s="11">
        <v>1</v>
      </c>
      <c r="AI370" s="11">
        <v>1</v>
      </c>
      <c r="AJ370" s="11" t="s">
        <v>5044</v>
      </c>
      <c r="AK370" s="11" t="s">
        <v>5318</v>
      </c>
      <c r="AL370" s="11">
        <v>1</v>
      </c>
      <c r="AM370" s="11">
        <v>0</v>
      </c>
      <c r="AN370" s="11" t="s">
        <v>5318</v>
      </c>
      <c r="AO370" s="11">
        <v>1</v>
      </c>
      <c r="AP370" s="11" t="s">
        <v>5318</v>
      </c>
      <c r="AQ370" s="11" t="s">
        <v>5318</v>
      </c>
    </row>
    <row r="371" spans="1:43" ht="63" customHeight="1" x14ac:dyDescent="0.2">
      <c r="A371" s="10">
        <v>4702</v>
      </c>
      <c r="B371" s="11" t="s">
        <v>7652</v>
      </c>
      <c r="C371" s="11" t="s">
        <v>1243</v>
      </c>
      <c r="D371" s="11">
        <v>2022</v>
      </c>
      <c r="E371" s="11" t="s">
        <v>5318</v>
      </c>
      <c r="F371" s="11">
        <v>26</v>
      </c>
      <c r="G371" s="11">
        <v>34</v>
      </c>
      <c r="H371" s="11" t="s">
        <v>6708</v>
      </c>
      <c r="I371" s="11" t="s">
        <v>6516</v>
      </c>
      <c r="J371" s="11" t="s">
        <v>7653</v>
      </c>
      <c r="K371" s="11" t="s">
        <v>1244</v>
      </c>
      <c r="L371" s="11" t="s">
        <v>5723</v>
      </c>
      <c r="M371" s="11">
        <v>0</v>
      </c>
      <c r="N371" s="9" t="s">
        <v>5044</v>
      </c>
      <c r="O371" s="9" t="s">
        <v>5044</v>
      </c>
      <c r="P371" s="11">
        <v>0</v>
      </c>
      <c r="Q371" s="11">
        <v>0</v>
      </c>
      <c r="R371" s="11">
        <v>0</v>
      </c>
      <c r="S371" s="11">
        <v>1</v>
      </c>
      <c r="T371" s="11">
        <v>1</v>
      </c>
      <c r="U371" s="11">
        <v>802</v>
      </c>
      <c r="V371" s="11">
        <v>0</v>
      </c>
      <c r="W371" s="11">
        <v>1</v>
      </c>
      <c r="X371" s="11">
        <v>0</v>
      </c>
      <c r="Y371" s="11">
        <v>0</v>
      </c>
      <c r="Z371" s="11">
        <v>0</v>
      </c>
      <c r="AA371" s="11">
        <v>0</v>
      </c>
      <c r="AB371" s="11">
        <v>1</v>
      </c>
      <c r="AC371" s="11">
        <v>1</v>
      </c>
      <c r="AD371" s="11" t="s">
        <v>5044</v>
      </c>
      <c r="AE371" s="11" t="s">
        <v>5044</v>
      </c>
      <c r="AF371" s="11" t="s">
        <v>5044</v>
      </c>
      <c r="AG371" s="11">
        <v>1</v>
      </c>
      <c r="AH371" s="11">
        <v>0</v>
      </c>
      <c r="AI371" s="11">
        <v>0</v>
      </c>
      <c r="AJ371" s="11" t="s">
        <v>5044</v>
      </c>
      <c r="AK371" s="11" t="s">
        <v>5318</v>
      </c>
      <c r="AL371" s="11">
        <v>0</v>
      </c>
      <c r="AM371" s="11">
        <v>0</v>
      </c>
      <c r="AN371" s="11" t="s">
        <v>5318</v>
      </c>
      <c r="AO371" s="9">
        <v>0</v>
      </c>
      <c r="AP371" s="11" t="s">
        <v>5318</v>
      </c>
      <c r="AQ371" s="11" t="s">
        <v>5318</v>
      </c>
    </row>
    <row r="372" spans="1:43" ht="63" customHeight="1" x14ac:dyDescent="0.2">
      <c r="A372" s="7">
        <v>4734</v>
      </c>
      <c r="B372" s="7" t="s">
        <v>1249</v>
      </c>
      <c r="C372" s="7" t="s">
        <v>1250</v>
      </c>
      <c r="D372" s="7" t="s">
        <v>41</v>
      </c>
      <c r="F372" s="7" t="s">
        <v>458</v>
      </c>
      <c r="G372" s="7" t="s">
        <v>37</v>
      </c>
      <c r="H372" s="7" t="s">
        <v>540</v>
      </c>
      <c r="I372" s="7" t="s">
        <v>13</v>
      </c>
      <c r="J372" s="7" t="s">
        <v>1251</v>
      </c>
      <c r="K372" s="7" t="s">
        <v>1252</v>
      </c>
      <c r="L372" s="7" t="s">
        <v>5725</v>
      </c>
      <c r="M372" s="7">
        <v>0</v>
      </c>
      <c r="N372" s="9" t="s">
        <v>5044</v>
      </c>
      <c r="O372" s="9" t="s">
        <v>5044</v>
      </c>
      <c r="P372" s="7">
        <v>0</v>
      </c>
      <c r="Q372" s="7">
        <v>0</v>
      </c>
      <c r="R372" s="7">
        <v>0</v>
      </c>
      <c r="S372" s="7">
        <v>3</v>
      </c>
      <c r="T372" s="7">
        <v>4</v>
      </c>
      <c r="U372" s="7">
        <v>110</v>
      </c>
      <c r="V372" s="7">
        <v>0</v>
      </c>
      <c r="W372" s="7">
        <v>1</v>
      </c>
      <c r="X372" s="7">
        <v>0</v>
      </c>
      <c r="Y372" s="7">
        <v>0</v>
      </c>
      <c r="Z372" s="7">
        <v>0</v>
      </c>
      <c r="AA372" s="7">
        <v>0</v>
      </c>
      <c r="AB372" s="7">
        <v>1</v>
      </c>
      <c r="AC372" s="7">
        <v>1</v>
      </c>
      <c r="AD372" s="7" t="s">
        <v>5044</v>
      </c>
      <c r="AE372" s="7" t="s">
        <v>5044</v>
      </c>
      <c r="AF372" s="7" t="s">
        <v>5044</v>
      </c>
      <c r="AG372" s="7">
        <v>2</v>
      </c>
      <c r="AH372" s="7">
        <v>3</v>
      </c>
      <c r="AI372" s="7">
        <v>0</v>
      </c>
      <c r="AJ372" s="7" t="s">
        <v>5044</v>
      </c>
      <c r="AL372" s="7" t="s">
        <v>5044</v>
      </c>
      <c r="AM372" s="7">
        <v>0</v>
      </c>
      <c r="AN372" s="7" t="s">
        <v>5105</v>
      </c>
      <c r="AO372" s="11">
        <v>3</v>
      </c>
    </row>
    <row r="373" spans="1:43" ht="63" customHeight="1" x14ac:dyDescent="0.2">
      <c r="A373" s="7">
        <v>4735</v>
      </c>
      <c r="B373" s="7" t="s">
        <v>1253</v>
      </c>
      <c r="C373" s="7" t="s">
        <v>1254</v>
      </c>
      <c r="D373" s="7" t="s">
        <v>101</v>
      </c>
      <c r="F373" s="7" t="s">
        <v>147</v>
      </c>
      <c r="G373" s="7" t="s">
        <v>144</v>
      </c>
      <c r="H373" s="7" t="s">
        <v>1213</v>
      </c>
      <c r="I373" s="7" t="s">
        <v>13</v>
      </c>
      <c r="J373" s="7" t="s">
        <v>1255</v>
      </c>
      <c r="K373" s="7" t="s">
        <v>1256</v>
      </c>
      <c r="L373" s="7" t="s">
        <v>5044</v>
      </c>
      <c r="M373" s="7">
        <v>0</v>
      </c>
      <c r="N373" s="9" t="s">
        <v>5044</v>
      </c>
      <c r="O373" s="9" t="s">
        <v>5044</v>
      </c>
      <c r="P373" s="7">
        <v>0</v>
      </c>
      <c r="Q373" s="7">
        <v>0</v>
      </c>
      <c r="R373" s="7">
        <v>0</v>
      </c>
      <c r="S373" s="7">
        <v>3</v>
      </c>
      <c r="T373" s="7">
        <v>6</v>
      </c>
      <c r="U373" s="7">
        <v>101</v>
      </c>
      <c r="V373" s="7">
        <v>0</v>
      </c>
      <c r="W373" s="7">
        <v>1</v>
      </c>
      <c r="X373" s="7">
        <v>0</v>
      </c>
      <c r="Y373" s="7">
        <v>0</v>
      </c>
      <c r="Z373" s="7">
        <v>0</v>
      </c>
      <c r="AA373" s="7">
        <v>0</v>
      </c>
      <c r="AB373" s="7">
        <v>1</v>
      </c>
      <c r="AC373" s="7">
        <v>1</v>
      </c>
      <c r="AD373" s="7" t="s">
        <v>5044</v>
      </c>
      <c r="AE373" s="7" t="s">
        <v>5044</v>
      </c>
      <c r="AF373" s="7" t="s">
        <v>5044</v>
      </c>
      <c r="AG373" s="7">
        <v>2</v>
      </c>
      <c r="AH373" s="7">
        <v>1</v>
      </c>
      <c r="AI373" s="7">
        <v>2</v>
      </c>
      <c r="AJ373" s="7" t="s">
        <v>5044</v>
      </c>
      <c r="AL373" s="7">
        <v>0</v>
      </c>
      <c r="AM373" s="7">
        <v>0</v>
      </c>
      <c r="AO373" s="11">
        <v>1</v>
      </c>
    </row>
    <row r="374" spans="1:43" ht="63" customHeight="1" x14ac:dyDescent="0.2">
      <c r="A374" s="7">
        <v>4768</v>
      </c>
      <c r="B374" s="7" t="s">
        <v>1261</v>
      </c>
      <c r="C374" s="7" t="s">
        <v>1262</v>
      </c>
      <c r="D374" s="7" t="s">
        <v>535</v>
      </c>
      <c r="F374" s="7" t="s">
        <v>571</v>
      </c>
      <c r="G374" s="7" t="s">
        <v>48</v>
      </c>
      <c r="H374" s="7" t="s">
        <v>38</v>
      </c>
      <c r="I374" s="7" t="s">
        <v>13</v>
      </c>
      <c r="J374" s="7" t="s">
        <v>1263</v>
      </c>
      <c r="K374" s="7" t="s">
        <v>1264</v>
      </c>
      <c r="L374" s="7" t="s">
        <v>5727</v>
      </c>
      <c r="M374" s="7">
        <v>0</v>
      </c>
      <c r="N374" s="9" t="s">
        <v>5044</v>
      </c>
      <c r="O374" s="9" t="s">
        <v>5044</v>
      </c>
      <c r="P374" s="7">
        <v>0</v>
      </c>
      <c r="Q374" s="7">
        <v>0</v>
      </c>
      <c r="R374" s="7">
        <v>0</v>
      </c>
      <c r="S374" s="7">
        <v>1</v>
      </c>
      <c r="T374" s="7">
        <v>1</v>
      </c>
      <c r="U374" s="7">
        <v>152</v>
      </c>
      <c r="V374" s="7">
        <v>0</v>
      </c>
      <c r="W374" s="7">
        <v>1</v>
      </c>
      <c r="X374" s="7">
        <v>0</v>
      </c>
      <c r="Y374" s="7">
        <v>0</v>
      </c>
      <c r="Z374" s="7">
        <v>0</v>
      </c>
      <c r="AA374" s="7">
        <v>0</v>
      </c>
      <c r="AB374" s="7">
        <v>0</v>
      </c>
      <c r="AC374" s="7">
        <v>1</v>
      </c>
      <c r="AD374" s="7" t="s">
        <v>5044</v>
      </c>
      <c r="AE374" s="7" t="s">
        <v>5044</v>
      </c>
      <c r="AF374" s="7" t="s">
        <v>5044</v>
      </c>
      <c r="AG374" s="7">
        <v>1</v>
      </c>
      <c r="AH374" s="7">
        <v>0</v>
      </c>
      <c r="AI374" s="7">
        <v>0</v>
      </c>
      <c r="AJ374" s="7" t="s">
        <v>5044</v>
      </c>
      <c r="AL374" s="7">
        <v>1</v>
      </c>
      <c r="AM374" s="7">
        <v>0</v>
      </c>
      <c r="AO374" s="9">
        <v>0</v>
      </c>
    </row>
    <row r="375" spans="1:43" ht="63" customHeight="1" x14ac:dyDescent="0.2">
      <c r="A375" s="7">
        <v>4770</v>
      </c>
      <c r="B375" s="7" t="s">
        <v>1265</v>
      </c>
      <c r="C375" s="7" t="s">
        <v>1266</v>
      </c>
      <c r="D375" s="7" t="s">
        <v>1092</v>
      </c>
      <c r="F375" s="7" t="s">
        <v>1267</v>
      </c>
      <c r="G375" s="7" t="s">
        <v>47</v>
      </c>
      <c r="H375" s="7" t="s">
        <v>38</v>
      </c>
      <c r="I375" s="7" t="s">
        <v>13</v>
      </c>
      <c r="J375" s="7" t="s">
        <v>1268</v>
      </c>
      <c r="K375" s="7" t="s">
        <v>1269</v>
      </c>
      <c r="L375" s="7" t="s">
        <v>5044</v>
      </c>
      <c r="M375" s="7">
        <v>0</v>
      </c>
      <c r="N375" s="9" t="s">
        <v>5044</v>
      </c>
      <c r="O375" s="9" t="s">
        <v>5044</v>
      </c>
      <c r="P375" s="7">
        <v>0</v>
      </c>
      <c r="Q375" s="7">
        <v>0</v>
      </c>
      <c r="R375" s="7">
        <v>0</v>
      </c>
      <c r="S375" s="7">
        <v>1</v>
      </c>
      <c r="T375" s="7">
        <v>1</v>
      </c>
      <c r="U375" s="7">
        <v>108</v>
      </c>
      <c r="V375" s="7">
        <v>0</v>
      </c>
      <c r="W375" s="7">
        <v>1</v>
      </c>
      <c r="X375" s="7">
        <v>0</v>
      </c>
      <c r="Y375" s="7">
        <v>0</v>
      </c>
      <c r="Z375" s="7">
        <v>0</v>
      </c>
      <c r="AA375" s="7">
        <v>0</v>
      </c>
      <c r="AB375" s="7">
        <v>1</v>
      </c>
      <c r="AC375" s="7">
        <v>1</v>
      </c>
      <c r="AD375" s="7" t="s">
        <v>5044</v>
      </c>
      <c r="AE375" s="7" t="s">
        <v>5044</v>
      </c>
      <c r="AF375" s="7" t="s">
        <v>5044</v>
      </c>
      <c r="AG375" s="7">
        <v>2</v>
      </c>
      <c r="AH375" s="7">
        <v>3</v>
      </c>
      <c r="AI375" s="7">
        <v>0</v>
      </c>
      <c r="AJ375" s="7" t="s">
        <v>5044</v>
      </c>
      <c r="AK375" s="7">
        <v>1</v>
      </c>
      <c r="AL375" s="7">
        <v>1</v>
      </c>
      <c r="AM375" s="7">
        <v>0</v>
      </c>
      <c r="AO375" s="11">
        <v>3</v>
      </c>
    </row>
    <row r="376" spans="1:43" ht="63" customHeight="1" x14ac:dyDescent="0.2">
      <c r="A376" s="7">
        <v>4773</v>
      </c>
      <c r="B376" s="7" t="s">
        <v>1270</v>
      </c>
      <c r="C376" s="7" t="s">
        <v>1271</v>
      </c>
      <c r="D376" s="7" t="s">
        <v>535</v>
      </c>
      <c r="F376" s="7" t="s">
        <v>220</v>
      </c>
      <c r="G376" s="7" t="s">
        <v>37</v>
      </c>
      <c r="H376" s="7" t="s">
        <v>1185</v>
      </c>
      <c r="I376" s="7" t="s">
        <v>13</v>
      </c>
      <c r="J376" s="7" t="s">
        <v>1272</v>
      </c>
      <c r="K376" s="7" t="s">
        <v>1273</v>
      </c>
      <c r="L376" s="7" t="s">
        <v>5044</v>
      </c>
      <c r="M376" s="7">
        <v>0</v>
      </c>
      <c r="N376" s="9" t="s">
        <v>5044</v>
      </c>
      <c r="O376" s="9" t="s">
        <v>5044</v>
      </c>
      <c r="P376" s="7">
        <v>0</v>
      </c>
      <c r="Q376" s="7">
        <v>0</v>
      </c>
      <c r="R376" s="7">
        <v>0</v>
      </c>
      <c r="S376" s="7">
        <v>1</v>
      </c>
      <c r="T376" s="7">
        <v>1</v>
      </c>
      <c r="U376" s="7">
        <v>91</v>
      </c>
      <c r="V376" s="7">
        <v>0</v>
      </c>
      <c r="W376" s="7">
        <v>1</v>
      </c>
      <c r="X376" s="7">
        <v>0</v>
      </c>
      <c r="Y376" s="7">
        <v>0</v>
      </c>
      <c r="Z376" s="7">
        <v>0</v>
      </c>
      <c r="AA376" s="7">
        <v>0</v>
      </c>
      <c r="AB376" s="7">
        <v>1</v>
      </c>
      <c r="AC376" s="7">
        <v>1</v>
      </c>
      <c r="AD376" s="7" t="s">
        <v>5044</v>
      </c>
      <c r="AE376" s="7" t="s">
        <v>5044</v>
      </c>
      <c r="AF376" s="7" t="s">
        <v>5044</v>
      </c>
      <c r="AG376" s="7">
        <v>1</v>
      </c>
      <c r="AH376" s="7">
        <v>0</v>
      </c>
      <c r="AI376" s="7">
        <v>0</v>
      </c>
      <c r="AJ376" s="7" t="s">
        <v>5044</v>
      </c>
      <c r="AL376" s="7">
        <v>1</v>
      </c>
      <c r="AM376" s="7">
        <v>0</v>
      </c>
      <c r="AO376" s="9">
        <v>0</v>
      </c>
    </row>
    <row r="377" spans="1:43" ht="63" customHeight="1" x14ac:dyDescent="0.2">
      <c r="A377" s="7">
        <v>4803</v>
      </c>
      <c r="B377" s="7" t="s">
        <v>1274</v>
      </c>
      <c r="C377" s="7" t="s">
        <v>1275</v>
      </c>
      <c r="D377" s="7" t="s">
        <v>16</v>
      </c>
      <c r="F377" s="7" t="s">
        <v>129</v>
      </c>
      <c r="G377" s="7" t="s">
        <v>18</v>
      </c>
      <c r="H377" s="7" t="s">
        <v>1276</v>
      </c>
      <c r="I377" s="7" t="s">
        <v>13</v>
      </c>
      <c r="J377" s="7" t="s">
        <v>1277</v>
      </c>
      <c r="K377" s="7" t="s">
        <v>1278</v>
      </c>
      <c r="L377" s="7" t="s">
        <v>5729</v>
      </c>
      <c r="M377" s="7">
        <v>0</v>
      </c>
      <c r="N377" s="9" t="s">
        <v>5044</v>
      </c>
      <c r="O377" s="9" t="s">
        <v>5044</v>
      </c>
      <c r="P377" s="7">
        <v>0</v>
      </c>
      <c r="Q377" s="7">
        <v>0</v>
      </c>
      <c r="R377" s="7">
        <v>0</v>
      </c>
      <c r="S377" s="7" t="s">
        <v>5728</v>
      </c>
      <c r="T377" s="7">
        <v>2</v>
      </c>
      <c r="U377" s="7">
        <v>160</v>
      </c>
      <c r="V377" s="7">
        <v>0</v>
      </c>
      <c r="W377" s="7">
        <v>1</v>
      </c>
      <c r="X377" s="7">
        <v>0</v>
      </c>
      <c r="Y377" s="7">
        <v>0</v>
      </c>
      <c r="Z377" s="7">
        <v>0</v>
      </c>
      <c r="AA377" s="7">
        <v>0</v>
      </c>
      <c r="AB377" s="7">
        <v>1</v>
      </c>
      <c r="AC377" s="7">
        <v>1</v>
      </c>
      <c r="AD377" s="7" t="s">
        <v>5044</v>
      </c>
      <c r="AE377" s="7" t="s">
        <v>5044</v>
      </c>
      <c r="AF377" s="7" t="s">
        <v>5044</v>
      </c>
      <c r="AG377" s="7">
        <v>2</v>
      </c>
      <c r="AH377" s="7">
        <v>1</v>
      </c>
      <c r="AI377" s="7">
        <v>2</v>
      </c>
      <c r="AJ377" s="7" t="s">
        <v>5044</v>
      </c>
      <c r="AL377" s="7">
        <v>0</v>
      </c>
      <c r="AM377" s="7">
        <v>0</v>
      </c>
      <c r="AO377" s="11">
        <v>1</v>
      </c>
    </row>
    <row r="378" spans="1:43" ht="63" customHeight="1" x14ac:dyDescent="0.2">
      <c r="A378" s="7">
        <v>4808</v>
      </c>
      <c r="B378" s="7" t="s">
        <v>1283</v>
      </c>
      <c r="C378" s="7" t="s">
        <v>1284</v>
      </c>
      <c r="D378" s="7" t="s">
        <v>101</v>
      </c>
      <c r="F378" s="7" t="s">
        <v>645</v>
      </c>
      <c r="G378" s="7" t="s">
        <v>11</v>
      </c>
      <c r="H378" s="7" t="s">
        <v>43</v>
      </c>
      <c r="I378" s="7" t="s">
        <v>13</v>
      </c>
      <c r="J378" s="7" t="s">
        <v>1285</v>
      </c>
      <c r="K378" s="7" t="s">
        <v>1286</v>
      </c>
      <c r="L378" s="7" t="s">
        <v>5731</v>
      </c>
      <c r="M378" s="7">
        <v>0</v>
      </c>
      <c r="N378" s="7" t="s">
        <v>5044</v>
      </c>
      <c r="O378" s="7" t="s">
        <v>5044</v>
      </c>
      <c r="P378" s="7">
        <v>0</v>
      </c>
      <c r="Q378" s="7">
        <v>0</v>
      </c>
      <c r="R378" s="7">
        <v>0</v>
      </c>
      <c r="S378" s="7">
        <v>1</v>
      </c>
      <c r="T378" s="7">
        <v>1</v>
      </c>
      <c r="U378" s="7">
        <v>249</v>
      </c>
      <c r="V378" s="7">
        <v>1</v>
      </c>
      <c r="W378" s="7">
        <v>1</v>
      </c>
      <c r="X378" s="7">
        <v>0</v>
      </c>
      <c r="Y378" s="7">
        <v>0</v>
      </c>
      <c r="Z378" s="7">
        <v>0</v>
      </c>
      <c r="AA378" s="7">
        <v>0</v>
      </c>
      <c r="AB378" s="7">
        <v>1</v>
      </c>
      <c r="AC378" s="7">
        <v>1</v>
      </c>
      <c r="AD378" s="7">
        <v>2</v>
      </c>
      <c r="AE378" s="7">
        <v>1</v>
      </c>
      <c r="AF378" s="7">
        <v>1</v>
      </c>
      <c r="AG378" s="7">
        <v>1</v>
      </c>
      <c r="AH378" s="7">
        <v>0</v>
      </c>
      <c r="AI378" s="7">
        <v>0</v>
      </c>
      <c r="AJ378" s="7" t="s">
        <v>5044</v>
      </c>
      <c r="AL378" s="7">
        <v>1</v>
      </c>
      <c r="AM378" s="7">
        <v>0</v>
      </c>
      <c r="AO378" s="9">
        <v>0</v>
      </c>
    </row>
    <row r="379" spans="1:43" ht="63" customHeight="1" x14ac:dyDescent="0.2">
      <c r="A379" s="7">
        <v>4813</v>
      </c>
      <c r="B379" s="7" t="s">
        <v>1287</v>
      </c>
      <c r="C379" s="7" t="s">
        <v>1288</v>
      </c>
      <c r="D379" s="7" t="s">
        <v>95</v>
      </c>
      <c r="F379" s="7" t="s">
        <v>1289</v>
      </c>
      <c r="G379" s="7" t="s">
        <v>11</v>
      </c>
      <c r="H379" s="7" t="s">
        <v>89</v>
      </c>
      <c r="I379" s="7" t="s">
        <v>13</v>
      </c>
      <c r="J379" s="7" t="s">
        <v>1290</v>
      </c>
      <c r="K379" s="7" t="s">
        <v>1291</v>
      </c>
      <c r="L379" s="7" t="s">
        <v>5732</v>
      </c>
      <c r="M379" s="7">
        <v>0</v>
      </c>
      <c r="N379" s="9" t="s">
        <v>5044</v>
      </c>
      <c r="O379" s="9" t="s">
        <v>5044</v>
      </c>
      <c r="P379" s="7">
        <v>0</v>
      </c>
      <c r="Q379" s="7">
        <v>0</v>
      </c>
      <c r="R379" s="7">
        <v>0</v>
      </c>
      <c r="S379" s="7">
        <v>9</v>
      </c>
      <c r="T379" s="7">
        <v>1</v>
      </c>
      <c r="U379" s="7">
        <v>60</v>
      </c>
      <c r="V379" s="7">
        <v>0</v>
      </c>
      <c r="W379" s="7">
        <v>1</v>
      </c>
      <c r="X379" s="7">
        <v>0</v>
      </c>
      <c r="Y379" s="7">
        <v>0</v>
      </c>
      <c r="Z379" s="7">
        <v>0</v>
      </c>
      <c r="AA379" s="7">
        <v>0</v>
      </c>
      <c r="AB379" s="7">
        <v>1</v>
      </c>
      <c r="AC379" s="7">
        <v>1</v>
      </c>
      <c r="AD379" s="7" t="s">
        <v>5044</v>
      </c>
      <c r="AE379" s="7" t="s">
        <v>5044</v>
      </c>
      <c r="AF379" s="7" t="s">
        <v>5044</v>
      </c>
      <c r="AG379" s="7">
        <v>2</v>
      </c>
      <c r="AH379" s="7">
        <v>3</v>
      </c>
      <c r="AI379" s="7">
        <v>0</v>
      </c>
      <c r="AJ379" s="7" t="s">
        <v>5044</v>
      </c>
      <c r="AK379" s="7">
        <v>1</v>
      </c>
      <c r="AL379" s="7" t="s">
        <v>5044</v>
      </c>
      <c r="AM379" s="7">
        <v>0</v>
      </c>
      <c r="AN379" s="7" t="s">
        <v>5105</v>
      </c>
      <c r="AO379" s="11">
        <v>3</v>
      </c>
    </row>
    <row r="380" spans="1:43" ht="63" customHeight="1" x14ac:dyDescent="0.2">
      <c r="A380" s="7">
        <v>4822</v>
      </c>
      <c r="B380" s="7" t="s">
        <v>1292</v>
      </c>
      <c r="C380" s="7" t="s">
        <v>1293</v>
      </c>
      <c r="D380" s="7" t="s">
        <v>74</v>
      </c>
      <c r="F380" s="7" t="s">
        <v>678</v>
      </c>
      <c r="G380" s="7" t="s">
        <v>144</v>
      </c>
      <c r="H380" s="7" t="s">
        <v>89</v>
      </c>
      <c r="I380" s="7" t="s">
        <v>13</v>
      </c>
      <c r="J380" s="7" t="s">
        <v>1294</v>
      </c>
      <c r="K380" s="7" t="s">
        <v>1295</v>
      </c>
      <c r="L380" s="7" t="s">
        <v>5733</v>
      </c>
      <c r="M380" s="7">
        <v>0</v>
      </c>
      <c r="N380" s="9" t="s">
        <v>5044</v>
      </c>
      <c r="O380" s="9" t="s">
        <v>5044</v>
      </c>
      <c r="P380" s="7">
        <v>0</v>
      </c>
      <c r="Q380" s="7">
        <v>0</v>
      </c>
      <c r="R380" s="7">
        <v>0</v>
      </c>
      <c r="S380" s="7">
        <v>9</v>
      </c>
      <c r="T380" s="7">
        <v>1</v>
      </c>
      <c r="U380" s="7">
        <v>160</v>
      </c>
      <c r="V380" s="7">
        <v>0</v>
      </c>
      <c r="W380" s="7">
        <v>1</v>
      </c>
      <c r="X380" s="7">
        <v>0</v>
      </c>
      <c r="Y380" s="7">
        <v>0</v>
      </c>
      <c r="Z380" s="7">
        <v>0</v>
      </c>
      <c r="AA380" s="7">
        <v>0</v>
      </c>
      <c r="AB380" s="7">
        <v>1</v>
      </c>
      <c r="AC380" s="7">
        <v>1</v>
      </c>
      <c r="AD380" s="7" t="s">
        <v>5044</v>
      </c>
      <c r="AE380" s="7" t="s">
        <v>5044</v>
      </c>
      <c r="AF380" s="7" t="s">
        <v>5044</v>
      </c>
      <c r="AG380" s="7">
        <v>1</v>
      </c>
      <c r="AH380" s="7">
        <v>0</v>
      </c>
      <c r="AI380" s="7">
        <v>0</v>
      </c>
      <c r="AJ380" s="7" t="s">
        <v>5044</v>
      </c>
      <c r="AL380" s="7">
        <v>0</v>
      </c>
      <c r="AM380" s="7">
        <v>0</v>
      </c>
      <c r="AO380" s="9">
        <v>0</v>
      </c>
    </row>
    <row r="381" spans="1:43" ht="63" customHeight="1" x14ac:dyDescent="0.2">
      <c r="A381" s="7">
        <v>4832</v>
      </c>
      <c r="B381" s="7" t="s">
        <v>1302</v>
      </c>
      <c r="C381" s="7" t="s">
        <v>1303</v>
      </c>
      <c r="D381" s="7" t="s">
        <v>25</v>
      </c>
      <c r="F381" s="7" t="s">
        <v>1304</v>
      </c>
      <c r="G381" s="7" t="s">
        <v>144</v>
      </c>
      <c r="H381" s="7" t="s">
        <v>43</v>
      </c>
      <c r="I381" s="7" t="s">
        <v>13</v>
      </c>
      <c r="J381" s="7" t="s">
        <v>1305</v>
      </c>
      <c r="K381" s="7" t="s">
        <v>1306</v>
      </c>
      <c r="L381" s="7" t="s">
        <v>5734</v>
      </c>
      <c r="M381" s="7">
        <v>0</v>
      </c>
      <c r="N381" s="9" t="s">
        <v>5044</v>
      </c>
      <c r="O381" s="9" t="s">
        <v>5044</v>
      </c>
      <c r="P381" s="7">
        <v>0</v>
      </c>
      <c r="Q381" s="7">
        <v>0</v>
      </c>
      <c r="R381" s="7">
        <v>0</v>
      </c>
      <c r="S381" s="7">
        <v>6</v>
      </c>
      <c r="T381" s="7">
        <v>6</v>
      </c>
      <c r="U381" s="7">
        <v>111</v>
      </c>
      <c r="V381" s="7">
        <v>0</v>
      </c>
      <c r="W381" s="7">
        <v>1</v>
      </c>
      <c r="X381" s="7">
        <v>0</v>
      </c>
      <c r="Y381" s="7">
        <v>0</v>
      </c>
      <c r="Z381" s="7">
        <v>0</v>
      </c>
      <c r="AA381" s="7">
        <v>0</v>
      </c>
      <c r="AB381" s="7">
        <v>0</v>
      </c>
      <c r="AC381" s="7">
        <v>1</v>
      </c>
      <c r="AD381" s="7" t="s">
        <v>5044</v>
      </c>
      <c r="AE381" s="7" t="s">
        <v>5044</v>
      </c>
      <c r="AF381" s="7" t="s">
        <v>5044</v>
      </c>
      <c r="AG381" s="7">
        <v>2</v>
      </c>
      <c r="AH381" s="7">
        <v>3</v>
      </c>
      <c r="AI381" s="7">
        <v>0</v>
      </c>
      <c r="AJ381" s="7" t="s">
        <v>5044</v>
      </c>
      <c r="AK381" s="7">
        <v>1</v>
      </c>
      <c r="AL381" s="7" t="s">
        <v>5044</v>
      </c>
      <c r="AM381" s="7">
        <v>0</v>
      </c>
      <c r="AN381" s="7" t="s">
        <v>6491</v>
      </c>
      <c r="AO381" s="11">
        <v>3</v>
      </c>
    </row>
    <row r="382" spans="1:43" ht="63" customHeight="1" x14ac:dyDescent="0.2">
      <c r="A382" s="7">
        <v>4840</v>
      </c>
      <c r="B382" s="7" t="s">
        <v>1315</v>
      </c>
      <c r="C382" s="7" t="s">
        <v>1316</v>
      </c>
      <c r="D382" s="7" t="s">
        <v>30</v>
      </c>
      <c r="F382" s="7" t="s">
        <v>136</v>
      </c>
      <c r="G382" s="7" t="s">
        <v>27</v>
      </c>
      <c r="H382" s="7" t="s">
        <v>270</v>
      </c>
      <c r="I382" s="7" t="s">
        <v>13</v>
      </c>
      <c r="J382" s="7" t="s">
        <v>1317</v>
      </c>
      <c r="K382" s="7" t="s">
        <v>1318</v>
      </c>
      <c r="L382" s="7" t="s">
        <v>5044</v>
      </c>
      <c r="M382" s="7">
        <v>0</v>
      </c>
      <c r="N382" s="9" t="s">
        <v>5044</v>
      </c>
      <c r="O382" s="9" t="s">
        <v>5044</v>
      </c>
      <c r="P382" s="7">
        <v>0</v>
      </c>
      <c r="Q382" s="7">
        <v>0</v>
      </c>
      <c r="R382" s="7">
        <v>0</v>
      </c>
      <c r="S382" s="7">
        <v>1</v>
      </c>
      <c r="T382" s="7">
        <v>4</v>
      </c>
      <c r="U382" s="7">
        <v>120</v>
      </c>
      <c r="V382" s="7">
        <v>0</v>
      </c>
      <c r="W382" s="7">
        <v>1</v>
      </c>
      <c r="X382" s="7">
        <v>0</v>
      </c>
      <c r="Y382" s="7">
        <v>0</v>
      </c>
      <c r="Z382" s="7">
        <v>0</v>
      </c>
      <c r="AA382" s="7">
        <v>0</v>
      </c>
      <c r="AB382" s="7">
        <v>1</v>
      </c>
      <c r="AC382" s="7">
        <v>1</v>
      </c>
      <c r="AD382" s="7" t="s">
        <v>5044</v>
      </c>
      <c r="AE382" s="7" t="s">
        <v>5044</v>
      </c>
      <c r="AF382" s="7" t="s">
        <v>5044</v>
      </c>
      <c r="AG382" s="7">
        <v>1</v>
      </c>
      <c r="AH382" s="7">
        <v>0</v>
      </c>
      <c r="AI382" s="7">
        <v>0</v>
      </c>
      <c r="AJ382" s="7" t="s">
        <v>5044</v>
      </c>
      <c r="AL382" s="7">
        <v>1</v>
      </c>
      <c r="AM382" s="7">
        <v>0</v>
      </c>
      <c r="AO382" s="9">
        <v>0</v>
      </c>
    </row>
    <row r="383" spans="1:43" ht="63" customHeight="1" x14ac:dyDescent="0.2">
      <c r="A383" s="7">
        <v>4841</v>
      </c>
      <c r="B383" s="7" t="s">
        <v>1319</v>
      </c>
      <c r="C383" s="7" t="s">
        <v>1320</v>
      </c>
      <c r="D383" s="7" t="s">
        <v>30</v>
      </c>
      <c r="F383" s="7" t="s">
        <v>384</v>
      </c>
      <c r="G383" s="7" t="s">
        <v>37</v>
      </c>
      <c r="H383" s="7" t="s">
        <v>1321</v>
      </c>
      <c r="I383" s="7" t="s">
        <v>13</v>
      </c>
      <c r="J383" s="7" t="s">
        <v>1322</v>
      </c>
      <c r="K383" s="7" t="s">
        <v>1323</v>
      </c>
      <c r="L383" s="7" t="s">
        <v>5737</v>
      </c>
      <c r="M383" s="7">
        <v>0</v>
      </c>
      <c r="N383" s="9" t="s">
        <v>5044</v>
      </c>
      <c r="O383" s="9" t="s">
        <v>5044</v>
      </c>
      <c r="P383" s="7">
        <v>0</v>
      </c>
      <c r="Q383" s="7">
        <v>0</v>
      </c>
      <c r="R383" s="7">
        <v>0</v>
      </c>
      <c r="S383" s="7">
        <v>1</v>
      </c>
      <c r="T383" s="7">
        <v>4</v>
      </c>
      <c r="U383" s="7">
        <v>160</v>
      </c>
      <c r="V383" s="7">
        <v>1</v>
      </c>
      <c r="W383" s="7">
        <v>0</v>
      </c>
      <c r="X383" s="7">
        <v>0</v>
      </c>
      <c r="Y383" s="7">
        <v>0</v>
      </c>
      <c r="Z383" s="7">
        <v>0</v>
      </c>
      <c r="AA383" s="7">
        <v>0</v>
      </c>
      <c r="AB383" s="7">
        <v>1</v>
      </c>
      <c r="AC383" s="7">
        <v>1</v>
      </c>
      <c r="AD383" s="7">
        <v>1</v>
      </c>
      <c r="AE383" s="7">
        <v>0</v>
      </c>
      <c r="AF383" s="7">
        <v>0</v>
      </c>
      <c r="AG383" s="7" t="s">
        <v>5044</v>
      </c>
      <c r="AH383" s="7" t="s">
        <v>5044</v>
      </c>
      <c r="AI383" s="7" t="s">
        <v>5044</v>
      </c>
      <c r="AJ383" s="7" t="s">
        <v>5044</v>
      </c>
      <c r="AL383" s="7">
        <v>1</v>
      </c>
      <c r="AM383" s="7">
        <v>0</v>
      </c>
      <c r="AO383" s="9">
        <v>0</v>
      </c>
    </row>
    <row r="384" spans="1:43" ht="63" customHeight="1" x14ac:dyDescent="0.2">
      <c r="A384" s="7">
        <v>4853</v>
      </c>
      <c r="B384" s="7" t="s">
        <v>1324</v>
      </c>
      <c r="C384" s="7" t="s">
        <v>1325</v>
      </c>
      <c r="D384" s="7" t="s">
        <v>95</v>
      </c>
      <c r="F384" s="7" t="s">
        <v>260</v>
      </c>
      <c r="G384" s="7" t="s">
        <v>129</v>
      </c>
      <c r="H384" s="7" t="s">
        <v>38</v>
      </c>
      <c r="I384" s="7" t="s">
        <v>13</v>
      </c>
      <c r="J384" s="7" t="s">
        <v>1326</v>
      </c>
      <c r="K384" s="7" t="s">
        <v>1327</v>
      </c>
      <c r="L384" s="7" t="s">
        <v>5738</v>
      </c>
      <c r="M384" s="7">
        <v>0</v>
      </c>
      <c r="N384" s="9" t="s">
        <v>5044</v>
      </c>
      <c r="O384" s="9" t="s">
        <v>5044</v>
      </c>
      <c r="P384" s="7">
        <v>0</v>
      </c>
      <c r="Q384" s="7">
        <v>0</v>
      </c>
      <c r="R384" s="7">
        <v>0</v>
      </c>
      <c r="S384" s="7">
        <v>1</v>
      </c>
      <c r="T384" s="7">
        <v>4</v>
      </c>
      <c r="U384" s="7">
        <v>218</v>
      </c>
      <c r="V384" s="7">
        <v>0</v>
      </c>
      <c r="W384" s="7">
        <v>1</v>
      </c>
      <c r="X384" s="7">
        <v>0</v>
      </c>
      <c r="Y384" s="7">
        <v>0</v>
      </c>
      <c r="Z384" s="7">
        <v>0</v>
      </c>
      <c r="AA384" s="7">
        <v>0</v>
      </c>
      <c r="AB384" s="7">
        <v>1</v>
      </c>
      <c r="AC384" s="7">
        <v>1</v>
      </c>
      <c r="AD384" s="7" t="s">
        <v>5044</v>
      </c>
      <c r="AE384" s="7" t="s">
        <v>5044</v>
      </c>
      <c r="AF384" s="7" t="s">
        <v>5044</v>
      </c>
      <c r="AG384" s="7">
        <v>2</v>
      </c>
      <c r="AH384" s="7">
        <v>2</v>
      </c>
      <c r="AI384" s="7">
        <v>2</v>
      </c>
      <c r="AJ384" s="7" t="s">
        <v>5044</v>
      </c>
      <c r="AL384" s="7">
        <v>0</v>
      </c>
      <c r="AM384" s="7">
        <v>0</v>
      </c>
      <c r="AO384" s="11">
        <v>2</v>
      </c>
    </row>
    <row r="385" spans="1:41" ht="63" customHeight="1" x14ac:dyDescent="0.2">
      <c r="A385" s="7">
        <v>4856</v>
      </c>
      <c r="B385" s="7" t="s">
        <v>1328</v>
      </c>
      <c r="C385" s="7" t="s">
        <v>1329</v>
      </c>
      <c r="D385" s="7" t="s">
        <v>95</v>
      </c>
      <c r="F385" s="7" t="s">
        <v>356</v>
      </c>
      <c r="G385" s="7" t="s">
        <v>52</v>
      </c>
      <c r="H385" s="7" t="s">
        <v>238</v>
      </c>
      <c r="I385" s="7" t="s">
        <v>13</v>
      </c>
      <c r="J385" s="7" t="s">
        <v>1330</v>
      </c>
      <c r="K385" s="7" t="s">
        <v>1331</v>
      </c>
      <c r="L385" s="7" t="s">
        <v>5739</v>
      </c>
      <c r="M385" s="7">
        <v>0</v>
      </c>
      <c r="N385" s="9" t="s">
        <v>5044</v>
      </c>
      <c r="O385" s="9" t="s">
        <v>5044</v>
      </c>
      <c r="P385" s="7">
        <v>0</v>
      </c>
      <c r="Q385" s="7">
        <v>0</v>
      </c>
      <c r="R385" s="7">
        <v>0</v>
      </c>
      <c r="S385" s="7">
        <v>3</v>
      </c>
      <c r="T385" s="7">
        <v>4</v>
      </c>
      <c r="U385" s="7">
        <v>320</v>
      </c>
      <c r="V385" s="7">
        <v>0</v>
      </c>
      <c r="W385" s="7">
        <v>1</v>
      </c>
      <c r="X385" s="7">
        <v>0</v>
      </c>
      <c r="Y385" s="7">
        <v>0</v>
      </c>
      <c r="Z385" s="7">
        <v>0</v>
      </c>
      <c r="AA385" s="7">
        <v>0</v>
      </c>
      <c r="AB385" s="7">
        <v>1</v>
      </c>
      <c r="AC385" s="7">
        <v>1</v>
      </c>
      <c r="AD385" s="7" t="s">
        <v>5044</v>
      </c>
      <c r="AE385" s="7" t="s">
        <v>5044</v>
      </c>
      <c r="AF385" s="7" t="s">
        <v>5044</v>
      </c>
      <c r="AG385" s="7">
        <v>2</v>
      </c>
      <c r="AH385" s="7">
        <v>3</v>
      </c>
      <c r="AI385" s="7">
        <v>0</v>
      </c>
      <c r="AJ385" s="7" t="s">
        <v>5044</v>
      </c>
      <c r="AL385" s="7">
        <v>0</v>
      </c>
      <c r="AM385" s="7">
        <v>0</v>
      </c>
      <c r="AO385" s="11">
        <v>3</v>
      </c>
    </row>
    <row r="386" spans="1:41" ht="63" customHeight="1" x14ac:dyDescent="0.2">
      <c r="A386" s="7">
        <v>4870</v>
      </c>
      <c r="B386" s="7" t="s">
        <v>1337</v>
      </c>
      <c r="C386" s="7" t="s">
        <v>1338</v>
      </c>
      <c r="D386" s="7" t="s">
        <v>95</v>
      </c>
      <c r="F386" s="7" t="s">
        <v>703</v>
      </c>
      <c r="G386" s="7" t="s">
        <v>17</v>
      </c>
      <c r="H386" s="7" t="s">
        <v>102</v>
      </c>
      <c r="I386" s="7" t="s">
        <v>13</v>
      </c>
      <c r="J386" s="7" t="s">
        <v>1339</v>
      </c>
      <c r="K386" s="7" t="s">
        <v>1340</v>
      </c>
      <c r="L386" s="7" t="s">
        <v>5741</v>
      </c>
      <c r="M386" s="7">
        <v>0</v>
      </c>
      <c r="N386" s="9" t="s">
        <v>5044</v>
      </c>
      <c r="O386" s="9" t="s">
        <v>5044</v>
      </c>
      <c r="P386" s="7">
        <v>0</v>
      </c>
      <c r="Q386" s="7">
        <v>0</v>
      </c>
      <c r="R386" s="7">
        <v>0</v>
      </c>
      <c r="S386" s="7">
        <v>3</v>
      </c>
      <c r="T386" s="7">
        <v>1</v>
      </c>
      <c r="U386" s="7">
        <v>107</v>
      </c>
      <c r="V386" s="7">
        <v>0</v>
      </c>
      <c r="W386" s="7">
        <v>1</v>
      </c>
      <c r="X386" s="7">
        <v>0</v>
      </c>
      <c r="Y386" s="7">
        <v>0</v>
      </c>
      <c r="Z386" s="7">
        <v>0</v>
      </c>
      <c r="AA386" s="7">
        <v>0</v>
      </c>
      <c r="AB386" s="7">
        <v>1</v>
      </c>
      <c r="AC386" s="7">
        <v>1</v>
      </c>
      <c r="AD386" s="7" t="s">
        <v>5044</v>
      </c>
      <c r="AE386" s="7" t="s">
        <v>5044</v>
      </c>
      <c r="AF386" s="7" t="s">
        <v>5044</v>
      </c>
      <c r="AG386" s="7">
        <v>1</v>
      </c>
      <c r="AH386" s="7">
        <v>0</v>
      </c>
      <c r="AI386" s="7">
        <v>0</v>
      </c>
      <c r="AJ386" s="7" t="s">
        <v>5044</v>
      </c>
      <c r="AL386" s="7">
        <v>0</v>
      </c>
      <c r="AM386" s="7">
        <v>0</v>
      </c>
      <c r="AO386" s="9">
        <v>0</v>
      </c>
    </row>
    <row r="387" spans="1:41" ht="63" customHeight="1" x14ac:dyDescent="0.2">
      <c r="A387" s="7">
        <v>4876</v>
      </c>
      <c r="B387" s="7" t="s">
        <v>1341</v>
      </c>
      <c r="C387" s="7" t="s">
        <v>1342</v>
      </c>
      <c r="D387" s="7" t="s">
        <v>22</v>
      </c>
      <c r="F387" s="7" t="s">
        <v>254</v>
      </c>
      <c r="G387" s="7" t="s">
        <v>52</v>
      </c>
      <c r="H387" s="7" t="s">
        <v>1343</v>
      </c>
      <c r="I387" s="7" t="s">
        <v>13</v>
      </c>
      <c r="J387" s="7" t="s">
        <v>1344</v>
      </c>
      <c r="K387" s="7" t="s">
        <v>1345</v>
      </c>
      <c r="L387" s="7" t="s">
        <v>5044</v>
      </c>
      <c r="M387" s="7">
        <v>0</v>
      </c>
      <c r="N387" s="9" t="s">
        <v>5044</v>
      </c>
      <c r="O387" s="9" t="s">
        <v>5044</v>
      </c>
      <c r="P387" s="7">
        <v>0</v>
      </c>
      <c r="Q387" s="7">
        <v>0</v>
      </c>
      <c r="R387" s="7">
        <v>0</v>
      </c>
      <c r="S387" s="7">
        <v>1</v>
      </c>
      <c r="T387" s="7">
        <v>4</v>
      </c>
      <c r="U387" s="7">
        <v>100</v>
      </c>
      <c r="V387" s="7">
        <v>1</v>
      </c>
      <c r="W387" s="7">
        <v>0</v>
      </c>
      <c r="X387" s="7">
        <v>0</v>
      </c>
      <c r="Y387" s="7">
        <v>0</v>
      </c>
      <c r="Z387" s="7">
        <v>0</v>
      </c>
      <c r="AA387" s="7">
        <v>0</v>
      </c>
      <c r="AB387" s="7">
        <v>1</v>
      </c>
      <c r="AC387" s="7">
        <v>1</v>
      </c>
      <c r="AD387" s="7">
        <v>2</v>
      </c>
      <c r="AE387" s="7">
        <v>3</v>
      </c>
      <c r="AF387" s="7">
        <v>0</v>
      </c>
      <c r="AG387" s="7" t="s">
        <v>5044</v>
      </c>
      <c r="AH387" s="7" t="s">
        <v>5044</v>
      </c>
      <c r="AI387" s="7" t="s">
        <v>5044</v>
      </c>
      <c r="AJ387" s="7" t="s">
        <v>5044</v>
      </c>
      <c r="AK387" s="7" t="s">
        <v>6004</v>
      </c>
      <c r="AL387" s="7">
        <v>0</v>
      </c>
      <c r="AM387" s="7">
        <v>0</v>
      </c>
      <c r="AO387" s="11">
        <v>3</v>
      </c>
    </row>
    <row r="388" spans="1:41" ht="63" customHeight="1" x14ac:dyDescent="0.2">
      <c r="A388" s="7">
        <v>4890</v>
      </c>
      <c r="B388" s="7" t="s">
        <v>1347</v>
      </c>
      <c r="C388" s="7" t="s">
        <v>1348</v>
      </c>
      <c r="D388" s="7" t="s">
        <v>56</v>
      </c>
      <c r="F388" s="7" t="s">
        <v>118</v>
      </c>
      <c r="G388" s="7" t="s">
        <v>17</v>
      </c>
      <c r="H388" s="7" t="s">
        <v>157</v>
      </c>
      <c r="I388" s="7" t="s">
        <v>13</v>
      </c>
      <c r="J388" s="7" t="s">
        <v>1349</v>
      </c>
      <c r="K388" s="7" t="s">
        <v>1350</v>
      </c>
      <c r="L388" s="7" t="s">
        <v>5742</v>
      </c>
      <c r="M388" s="7">
        <v>0</v>
      </c>
      <c r="N388" s="9" t="s">
        <v>5044</v>
      </c>
      <c r="O388" s="9" t="s">
        <v>5044</v>
      </c>
      <c r="P388" s="7">
        <v>0</v>
      </c>
      <c r="Q388" s="7">
        <v>0</v>
      </c>
      <c r="R388" s="7">
        <v>0</v>
      </c>
      <c r="S388" s="7">
        <v>1</v>
      </c>
      <c r="T388" s="7">
        <v>1</v>
      </c>
      <c r="U388" s="7">
        <v>322</v>
      </c>
      <c r="V388" s="7">
        <v>0</v>
      </c>
      <c r="W388" s="7">
        <v>1</v>
      </c>
      <c r="X388" s="7">
        <v>0</v>
      </c>
      <c r="Y388" s="7">
        <v>1</v>
      </c>
      <c r="Z388" s="7">
        <v>0</v>
      </c>
      <c r="AA388" s="7">
        <v>0</v>
      </c>
      <c r="AB388" s="7">
        <v>1</v>
      </c>
      <c r="AC388" s="7">
        <v>1</v>
      </c>
      <c r="AD388" s="7" t="s">
        <v>5044</v>
      </c>
      <c r="AE388" s="7" t="s">
        <v>5044</v>
      </c>
      <c r="AF388" s="7" t="s">
        <v>5044</v>
      </c>
      <c r="AG388" s="7">
        <v>1</v>
      </c>
      <c r="AH388" s="7">
        <v>0</v>
      </c>
      <c r="AI388" s="7">
        <v>0</v>
      </c>
      <c r="AJ388" s="7">
        <v>0</v>
      </c>
      <c r="AL388" s="7">
        <v>0</v>
      </c>
      <c r="AM388" s="7">
        <v>0</v>
      </c>
      <c r="AO388" s="9">
        <v>0</v>
      </c>
    </row>
    <row r="389" spans="1:41" ht="63" customHeight="1" x14ac:dyDescent="0.2">
      <c r="A389" s="7">
        <v>4892</v>
      </c>
      <c r="B389" s="7" t="s">
        <v>1351</v>
      </c>
      <c r="C389" s="7" t="s">
        <v>1352</v>
      </c>
      <c r="D389" s="7" t="s">
        <v>41</v>
      </c>
      <c r="F389" s="7" t="s">
        <v>1353</v>
      </c>
      <c r="G389" s="7" t="s">
        <v>18</v>
      </c>
      <c r="H389" s="7" t="s">
        <v>916</v>
      </c>
      <c r="I389" s="7" t="s">
        <v>13</v>
      </c>
      <c r="J389" s="7" t="s">
        <v>1354</v>
      </c>
      <c r="K389" s="7" t="s">
        <v>1355</v>
      </c>
      <c r="L389" s="7" t="s">
        <v>5743</v>
      </c>
      <c r="M389" s="7">
        <v>0</v>
      </c>
      <c r="N389" s="9" t="s">
        <v>5044</v>
      </c>
      <c r="O389" s="9" t="s">
        <v>5044</v>
      </c>
      <c r="P389" s="7">
        <v>0</v>
      </c>
      <c r="Q389" s="7">
        <v>0</v>
      </c>
      <c r="R389" s="7">
        <v>0</v>
      </c>
      <c r="S389" s="7">
        <v>1</v>
      </c>
      <c r="T389" s="7">
        <v>4</v>
      </c>
      <c r="U389" s="7">
        <v>207</v>
      </c>
      <c r="V389" s="7">
        <v>0</v>
      </c>
      <c r="W389" s="7">
        <v>1</v>
      </c>
      <c r="X389" s="7">
        <v>0</v>
      </c>
      <c r="Y389" s="7">
        <v>0</v>
      </c>
      <c r="Z389" s="7">
        <v>0</v>
      </c>
      <c r="AA389" s="7">
        <v>0</v>
      </c>
      <c r="AB389" s="7">
        <v>1</v>
      </c>
      <c r="AC389" s="7">
        <v>1</v>
      </c>
      <c r="AD389" s="7" t="s">
        <v>5044</v>
      </c>
      <c r="AE389" s="7" t="s">
        <v>5044</v>
      </c>
      <c r="AF389" s="7" t="s">
        <v>5044</v>
      </c>
      <c r="AG389" s="7">
        <v>2</v>
      </c>
      <c r="AH389" s="7">
        <v>3</v>
      </c>
      <c r="AI389" s="7">
        <v>0</v>
      </c>
      <c r="AJ389" s="7" t="s">
        <v>5044</v>
      </c>
      <c r="AL389" s="7">
        <v>1</v>
      </c>
      <c r="AM389" s="7">
        <v>0</v>
      </c>
      <c r="AO389" s="11">
        <v>3</v>
      </c>
    </row>
    <row r="390" spans="1:41" ht="63" customHeight="1" x14ac:dyDescent="0.2">
      <c r="A390" s="7">
        <v>4893</v>
      </c>
      <c r="B390" s="7" t="s">
        <v>1356</v>
      </c>
      <c r="C390" s="7" t="s">
        <v>1357</v>
      </c>
      <c r="D390" s="7" t="s">
        <v>101</v>
      </c>
      <c r="F390" s="7" t="s">
        <v>48</v>
      </c>
      <c r="G390" s="7" t="s">
        <v>52</v>
      </c>
      <c r="H390" s="7" t="s">
        <v>183</v>
      </c>
      <c r="I390" s="7" t="s">
        <v>13</v>
      </c>
      <c r="J390" s="7" t="s">
        <v>1358</v>
      </c>
      <c r="K390" s="7" t="s">
        <v>1359</v>
      </c>
      <c r="L390" s="7" t="s">
        <v>5744</v>
      </c>
      <c r="M390" s="7">
        <v>0</v>
      </c>
      <c r="N390" s="9" t="s">
        <v>5044</v>
      </c>
      <c r="O390" s="9" t="s">
        <v>5044</v>
      </c>
      <c r="P390" s="7">
        <v>0</v>
      </c>
      <c r="Q390" s="7">
        <v>0</v>
      </c>
      <c r="R390" s="7">
        <v>0</v>
      </c>
      <c r="S390" s="7">
        <v>1</v>
      </c>
      <c r="T390" s="7">
        <v>4</v>
      </c>
      <c r="U390" s="7">
        <v>120</v>
      </c>
      <c r="V390" s="7">
        <v>0</v>
      </c>
      <c r="W390" s="7">
        <v>1</v>
      </c>
      <c r="X390" s="7">
        <v>0</v>
      </c>
      <c r="Y390" s="7">
        <v>0</v>
      </c>
      <c r="Z390" s="7">
        <v>0</v>
      </c>
      <c r="AA390" s="7">
        <v>0</v>
      </c>
      <c r="AB390" s="7">
        <v>1</v>
      </c>
      <c r="AC390" s="7">
        <v>1</v>
      </c>
      <c r="AD390" s="7" t="s">
        <v>5044</v>
      </c>
      <c r="AE390" s="7" t="s">
        <v>5044</v>
      </c>
      <c r="AF390" s="7" t="s">
        <v>5044</v>
      </c>
      <c r="AG390" s="7">
        <v>1</v>
      </c>
      <c r="AH390" s="7">
        <v>0</v>
      </c>
      <c r="AI390" s="7">
        <v>0</v>
      </c>
      <c r="AJ390" s="7" t="s">
        <v>5044</v>
      </c>
      <c r="AL390" s="7">
        <v>1</v>
      </c>
      <c r="AM390" s="7">
        <v>0</v>
      </c>
      <c r="AO390" s="9">
        <v>0</v>
      </c>
    </row>
    <row r="391" spans="1:41" ht="63" customHeight="1" x14ac:dyDescent="0.2">
      <c r="A391" s="7">
        <v>4916</v>
      </c>
      <c r="B391" s="7" t="s">
        <v>1360</v>
      </c>
      <c r="C391" s="7" t="s">
        <v>1361</v>
      </c>
      <c r="D391" s="7" t="s">
        <v>74</v>
      </c>
      <c r="F391" s="7" t="s">
        <v>26</v>
      </c>
      <c r="G391" s="7" t="s">
        <v>52</v>
      </c>
      <c r="H391" s="7" t="s">
        <v>413</v>
      </c>
      <c r="I391" s="7" t="s">
        <v>13</v>
      </c>
      <c r="J391" s="7" t="s">
        <v>1362</v>
      </c>
      <c r="K391" s="7" t="s">
        <v>1363</v>
      </c>
      <c r="L391" s="7" t="s">
        <v>5745</v>
      </c>
      <c r="M391" s="7">
        <v>0</v>
      </c>
      <c r="N391" s="9" t="s">
        <v>5044</v>
      </c>
      <c r="O391" s="9" t="s">
        <v>5044</v>
      </c>
      <c r="P391" s="7">
        <v>0</v>
      </c>
      <c r="Q391" s="7">
        <v>0</v>
      </c>
      <c r="R391" s="7">
        <v>0</v>
      </c>
      <c r="S391" s="7">
        <v>1</v>
      </c>
      <c r="T391" s="7">
        <v>2</v>
      </c>
      <c r="U391" s="7">
        <v>102</v>
      </c>
      <c r="V391" s="7">
        <v>0</v>
      </c>
      <c r="W391" s="7">
        <v>1</v>
      </c>
      <c r="X391" s="7">
        <v>0</v>
      </c>
      <c r="Y391" s="7">
        <v>0</v>
      </c>
      <c r="Z391" s="7">
        <v>0</v>
      </c>
      <c r="AA391" s="7">
        <v>0</v>
      </c>
      <c r="AB391" s="7">
        <v>1</v>
      </c>
      <c r="AC391" s="7">
        <v>1</v>
      </c>
      <c r="AD391" s="7" t="s">
        <v>5044</v>
      </c>
      <c r="AE391" s="7" t="s">
        <v>5044</v>
      </c>
      <c r="AF391" s="7" t="s">
        <v>5044</v>
      </c>
      <c r="AG391" s="7">
        <v>2</v>
      </c>
      <c r="AH391" s="7">
        <v>2</v>
      </c>
      <c r="AI391" s="7">
        <v>2</v>
      </c>
      <c r="AJ391" s="7" t="s">
        <v>5044</v>
      </c>
      <c r="AL391" s="7">
        <v>0</v>
      </c>
      <c r="AM391" s="7">
        <v>0</v>
      </c>
      <c r="AO391" s="11">
        <v>2</v>
      </c>
    </row>
    <row r="392" spans="1:41" ht="63" customHeight="1" x14ac:dyDescent="0.2">
      <c r="A392" s="7">
        <v>4921</v>
      </c>
      <c r="B392" s="7" t="s">
        <v>1364</v>
      </c>
      <c r="C392" s="7" t="s">
        <v>1365</v>
      </c>
      <c r="D392" s="7" t="s">
        <v>22</v>
      </c>
      <c r="F392" s="7" t="s">
        <v>1366</v>
      </c>
      <c r="G392" s="7" t="s">
        <v>1367</v>
      </c>
      <c r="H392" s="7" t="s">
        <v>1368</v>
      </c>
      <c r="I392" s="7" t="s">
        <v>13</v>
      </c>
      <c r="J392" s="7" t="s">
        <v>1369</v>
      </c>
      <c r="K392" s="7" t="s">
        <v>1370</v>
      </c>
      <c r="L392" s="7" t="s">
        <v>5044</v>
      </c>
      <c r="M392" s="7">
        <v>0</v>
      </c>
      <c r="N392" s="9" t="s">
        <v>5044</v>
      </c>
      <c r="O392" s="9" t="s">
        <v>5044</v>
      </c>
      <c r="P392" s="7">
        <v>0</v>
      </c>
      <c r="Q392" s="7">
        <v>0</v>
      </c>
      <c r="R392" s="7">
        <v>0</v>
      </c>
      <c r="S392" s="7">
        <v>1</v>
      </c>
      <c r="T392" s="7">
        <v>1</v>
      </c>
      <c r="U392" s="7">
        <v>335</v>
      </c>
      <c r="V392" s="7">
        <v>0</v>
      </c>
      <c r="W392" s="7">
        <v>1</v>
      </c>
      <c r="X392" s="7">
        <v>0</v>
      </c>
      <c r="Y392" s="7">
        <v>0</v>
      </c>
      <c r="Z392" s="7">
        <v>0</v>
      </c>
      <c r="AA392" s="7">
        <v>0</v>
      </c>
      <c r="AB392" s="7">
        <v>1</v>
      </c>
      <c r="AC392" s="7">
        <v>1</v>
      </c>
      <c r="AD392" s="7" t="s">
        <v>5044</v>
      </c>
      <c r="AE392" s="7" t="s">
        <v>5044</v>
      </c>
      <c r="AF392" s="7" t="s">
        <v>5044</v>
      </c>
      <c r="AG392" s="7">
        <v>1</v>
      </c>
      <c r="AH392" s="7">
        <v>0</v>
      </c>
      <c r="AI392" s="7">
        <v>0</v>
      </c>
      <c r="AJ392" s="7" t="s">
        <v>5044</v>
      </c>
      <c r="AL392" s="7">
        <v>1</v>
      </c>
      <c r="AM392" s="7">
        <v>0</v>
      </c>
      <c r="AO392" s="9">
        <v>0</v>
      </c>
    </row>
    <row r="393" spans="1:41" ht="63" customHeight="1" x14ac:dyDescent="0.2">
      <c r="A393" s="7">
        <v>4923</v>
      </c>
      <c r="B393" s="7" t="s">
        <v>1371</v>
      </c>
      <c r="C393" s="7" t="s">
        <v>1372</v>
      </c>
      <c r="D393" s="7" t="s">
        <v>341</v>
      </c>
      <c r="F393" s="7" t="s">
        <v>254</v>
      </c>
      <c r="G393" s="7" t="s">
        <v>175</v>
      </c>
      <c r="H393" s="7" t="s">
        <v>238</v>
      </c>
      <c r="I393" s="7" t="s">
        <v>13</v>
      </c>
      <c r="J393" s="7" t="s">
        <v>1373</v>
      </c>
      <c r="K393" s="7" t="s">
        <v>1374</v>
      </c>
      <c r="L393" s="7" t="s">
        <v>5746</v>
      </c>
      <c r="M393" s="7">
        <v>0</v>
      </c>
      <c r="N393" s="9" t="s">
        <v>5044</v>
      </c>
      <c r="O393" s="9" t="s">
        <v>5044</v>
      </c>
      <c r="P393" s="7">
        <v>1</v>
      </c>
      <c r="Q393" s="7">
        <v>0</v>
      </c>
      <c r="R393" s="7">
        <v>0</v>
      </c>
      <c r="S393" s="7">
        <v>3</v>
      </c>
      <c r="T393" s="7">
        <v>1</v>
      </c>
      <c r="U393" s="7">
        <v>62</v>
      </c>
      <c r="V393" s="7">
        <v>0</v>
      </c>
      <c r="W393" s="7">
        <v>1</v>
      </c>
      <c r="X393" s="7">
        <v>0</v>
      </c>
      <c r="Y393" s="7">
        <v>0</v>
      </c>
      <c r="Z393" s="7">
        <v>0</v>
      </c>
      <c r="AA393" s="7">
        <v>0</v>
      </c>
      <c r="AB393" s="7">
        <v>1</v>
      </c>
      <c r="AC393" s="7">
        <v>1</v>
      </c>
      <c r="AD393" s="7" t="s">
        <v>5044</v>
      </c>
      <c r="AE393" s="7" t="s">
        <v>5044</v>
      </c>
      <c r="AF393" s="7" t="s">
        <v>5044</v>
      </c>
      <c r="AG393" s="7">
        <v>2</v>
      </c>
      <c r="AH393" s="7">
        <v>2</v>
      </c>
      <c r="AI393" s="7">
        <v>2</v>
      </c>
      <c r="AJ393" s="7" t="s">
        <v>5044</v>
      </c>
      <c r="AL393" s="7" t="s">
        <v>5044</v>
      </c>
      <c r="AM393" s="7">
        <v>0</v>
      </c>
      <c r="AO393" s="11">
        <v>2</v>
      </c>
    </row>
    <row r="394" spans="1:41" ht="63" customHeight="1" x14ac:dyDescent="0.2">
      <c r="A394" s="7">
        <v>4931</v>
      </c>
      <c r="B394" s="7" t="s">
        <v>1375</v>
      </c>
      <c r="C394" s="7" t="s">
        <v>1376</v>
      </c>
      <c r="D394" s="7" t="s">
        <v>101</v>
      </c>
      <c r="F394" s="7" t="s">
        <v>351</v>
      </c>
      <c r="G394" s="7" t="s">
        <v>32</v>
      </c>
      <c r="H394" s="7" t="s">
        <v>1377</v>
      </c>
      <c r="I394" s="7" t="s">
        <v>13</v>
      </c>
      <c r="J394" s="7" t="s">
        <v>1378</v>
      </c>
      <c r="K394" s="7" t="s">
        <v>1379</v>
      </c>
      <c r="L394" s="7" t="s">
        <v>5747</v>
      </c>
      <c r="M394" s="7">
        <v>0</v>
      </c>
      <c r="N394" s="9" t="s">
        <v>5044</v>
      </c>
      <c r="O394" s="9" t="s">
        <v>5044</v>
      </c>
      <c r="P394" s="7">
        <v>0</v>
      </c>
      <c r="Q394" s="7">
        <v>0</v>
      </c>
      <c r="R394" s="7">
        <v>0</v>
      </c>
      <c r="S394" s="7">
        <v>5</v>
      </c>
      <c r="T394" s="7">
        <v>1</v>
      </c>
      <c r="U394" s="7">
        <v>385</v>
      </c>
      <c r="V394" s="7">
        <v>1</v>
      </c>
      <c r="W394" s="7">
        <v>0</v>
      </c>
      <c r="X394" s="7">
        <v>0</v>
      </c>
      <c r="Y394" s="7">
        <v>0</v>
      </c>
      <c r="Z394" s="7">
        <v>0</v>
      </c>
      <c r="AA394" s="7">
        <v>0</v>
      </c>
      <c r="AB394" s="7">
        <v>1</v>
      </c>
      <c r="AC394" s="7">
        <v>1</v>
      </c>
      <c r="AD394" s="7">
        <v>2</v>
      </c>
      <c r="AE394" s="7">
        <v>3</v>
      </c>
      <c r="AF394" s="7">
        <v>0</v>
      </c>
      <c r="AG394" s="7" t="s">
        <v>5044</v>
      </c>
      <c r="AH394" s="7" t="s">
        <v>5044</v>
      </c>
      <c r="AI394" s="7" t="s">
        <v>5044</v>
      </c>
      <c r="AJ394" s="7" t="s">
        <v>5044</v>
      </c>
      <c r="AK394" s="7" t="s">
        <v>6004</v>
      </c>
      <c r="AL394" s="7">
        <v>0</v>
      </c>
      <c r="AM394" s="7">
        <v>0</v>
      </c>
      <c r="AO394" s="11">
        <v>3</v>
      </c>
    </row>
    <row r="395" spans="1:41" ht="63" customHeight="1" x14ac:dyDescent="0.2">
      <c r="A395" s="7">
        <v>4941</v>
      </c>
      <c r="B395" s="7" t="s">
        <v>1380</v>
      </c>
      <c r="C395" s="7" t="s">
        <v>1381</v>
      </c>
      <c r="D395" s="7" t="s">
        <v>101</v>
      </c>
      <c r="F395" s="7" t="s">
        <v>703</v>
      </c>
      <c r="G395" s="7" t="s">
        <v>11</v>
      </c>
      <c r="H395" s="7" t="s">
        <v>1382</v>
      </c>
      <c r="I395" s="7" t="s">
        <v>13</v>
      </c>
      <c r="K395" s="7" t="s">
        <v>1383</v>
      </c>
      <c r="L395" s="7" t="s">
        <v>5748</v>
      </c>
      <c r="M395" s="7">
        <v>0</v>
      </c>
      <c r="N395" s="9" t="s">
        <v>5044</v>
      </c>
      <c r="O395" s="9" t="s">
        <v>5044</v>
      </c>
      <c r="P395" s="7">
        <v>0</v>
      </c>
      <c r="Q395" s="7">
        <v>0</v>
      </c>
      <c r="R395" s="7">
        <v>0</v>
      </c>
      <c r="S395" s="7">
        <v>8</v>
      </c>
      <c r="T395" s="7">
        <v>1</v>
      </c>
      <c r="U395" s="7">
        <v>90</v>
      </c>
      <c r="V395" s="7">
        <v>0</v>
      </c>
      <c r="W395" s="7">
        <v>1</v>
      </c>
      <c r="X395" s="7">
        <v>0</v>
      </c>
      <c r="Y395" s="7">
        <v>0</v>
      </c>
      <c r="Z395" s="7">
        <v>0</v>
      </c>
      <c r="AA395" s="7">
        <v>0</v>
      </c>
      <c r="AB395" s="7">
        <v>1</v>
      </c>
      <c r="AC395" s="7">
        <v>0</v>
      </c>
      <c r="AD395" s="7" t="s">
        <v>5044</v>
      </c>
      <c r="AE395" s="7" t="s">
        <v>5044</v>
      </c>
      <c r="AF395" s="7" t="s">
        <v>5044</v>
      </c>
      <c r="AG395" s="7">
        <v>0</v>
      </c>
      <c r="AH395" s="7" t="s">
        <v>5044</v>
      </c>
      <c r="AI395" s="7" t="s">
        <v>5044</v>
      </c>
      <c r="AJ395" s="7" t="s">
        <v>5044</v>
      </c>
      <c r="AL395" s="7">
        <v>0</v>
      </c>
      <c r="AM395" s="7">
        <v>0</v>
      </c>
      <c r="AO395" s="11">
        <v>9</v>
      </c>
    </row>
    <row r="396" spans="1:41" ht="63" customHeight="1" x14ac:dyDescent="0.2">
      <c r="A396" s="7">
        <v>4951</v>
      </c>
      <c r="B396" s="7" t="s">
        <v>1384</v>
      </c>
      <c r="C396" s="7" t="s">
        <v>1385</v>
      </c>
      <c r="D396" s="7" t="s">
        <v>25</v>
      </c>
      <c r="F396" s="7" t="s">
        <v>107</v>
      </c>
      <c r="G396" s="7" t="s">
        <v>175</v>
      </c>
      <c r="H396" s="7" t="s">
        <v>286</v>
      </c>
      <c r="I396" s="7" t="s">
        <v>13</v>
      </c>
      <c r="J396" s="7" t="s">
        <v>1386</v>
      </c>
      <c r="K396" s="7" t="s">
        <v>1387</v>
      </c>
      <c r="L396" s="7" t="s">
        <v>5749</v>
      </c>
      <c r="M396" s="7">
        <v>0</v>
      </c>
      <c r="N396" s="9" t="s">
        <v>5044</v>
      </c>
      <c r="O396" s="9" t="s">
        <v>5044</v>
      </c>
      <c r="P396" s="7">
        <v>0</v>
      </c>
      <c r="Q396" s="7">
        <v>0</v>
      </c>
      <c r="R396" s="7">
        <v>0</v>
      </c>
      <c r="S396" s="7">
        <v>1</v>
      </c>
      <c r="T396" s="7">
        <v>4</v>
      </c>
      <c r="U396" s="7">
        <v>260</v>
      </c>
      <c r="V396" s="7">
        <v>0</v>
      </c>
      <c r="W396" s="7">
        <v>1</v>
      </c>
      <c r="X396" s="7">
        <v>0</v>
      </c>
      <c r="Y396" s="7">
        <v>0</v>
      </c>
      <c r="Z396" s="7">
        <v>0</v>
      </c>
      <c r="AA396" s="7">
        <v>0</v>
      </c>
      <c r="AB396" s="7">
        <v>1</v>
      </c>
      <c r="AC396" s="7">
        <v>1</v>
      </c>
      <c r="AD396" s="7" t="s">
        <v>5044</v>
      </c>
      <c r="AE396" s="7" t="s">
        <v>5044</v>
      </c>
      <c r="AF396" s="7" t="s">
        <v>5044</v>
      </c>
      <c r="AG396" s="7">
        <v>2</v>
      </c>
      <c r="AH396" s="7">
        <v>2</v>
      </c>
      <c r="AI396" s="7">
        <v>2</v>
      </c>
      <c r="AJ396" s="7" t="s">
        <v>5044</v>
      </c>
      <c r="AL396" s="7">
        <v>0</v>
      </c>
      <c r="AM396" s="7">
        <v>0</v>
      </c>
      <c r="AO396" s="11">
        <v>2</v>
      </c>
    </row>
    <row r="397" spans="1:41" ht="63" customHeight="1" x14ac:dyDescent="0.2">
      <c r="A397" s="7">
        <v>4969</v>
      </c>
      <c r="B397" s="7" t="s">
        <v>1388</v>
      </c>
      <c r="C397" s="7" t="s">
        <v>1389</v>
      </c>
      <c r="D397" s="7" t="s">
        <v>101</v>
      </c>
      <c r="F397" s="7" t="s">
        <v>36</v>
      </c>
      <c r="G397" s="7" t="s">
        <v>37</v>
      </c>
      <c r="H397" s="7" t="s">
        <v>111</v>
      </c>
      <c r="I397" s="7" t="s">
        <v>13</v>
      </c>
      <c r="J397" s="7" t="s">
        <v>1390</v>
      </c>
      <c r="K397" s="7" t="s">
        <v>1391</v>
      </c>
      <c r="L397" s="7" t="s">
        <v>5750</v>
      </c>
      <c r="M397" s="7">
        <v>0</v>
      </c>
      <c r="N397" s="9" t="s">
        <v>5044</v>
      </c>
      <c r="O397" s="9" t="s">
        <v>5044</v>
      </c>
      <c r="P397" s="7">
        <v>0</v>
      </c>
      <c r="Q397" s="7">
        <v>0</v>
      </c>
      <c r="R397" s="7">
        <v>0</v>
      </c>
      <c r="S397" s="7">
        <v>1</v>
      </c>
      <c r="T397" s="7">
        <v>4</v>
      </c>
      <c r="U397" s="7">
        <v>57</v>
      </c>
      <c r="V397" s="7">
        <v>0</v>
      </c>
      <c r="W397" s="7">
        <v>1</v>
      </c>
      <c r="X397" s="7">
        <v>0</v>
      </c>
      <c r="Y397" s="7">
        <v>0</v>
      </c>
      <c r="Z397" s="7">
        <v>0</v>
      </c>
      <c r="AA397" s="7">
        <v>0</v>
      </c>
      <c r="AB397" s="7">
        <v>1</v>
      </c>
      <c r="AC397" s="7">
        <v>1</v>
      </c>
      <c r="AD397" s="7" t="s">
        <v>5044</v>
      </c>
      <c r="AE397" s="7" t="s">
        <v>5044</v>
      </c>
      <c r="AF397" s="7" t="s">
        <v>5044</v>
      </c>
      <c r="AG397" s="7">
        <v>2</v>
      </c>
      <c r="AH397" s="7">
        <v>1</v>
      </c>
      <c r="AI397" s="7">
        <v>2</v>
      </c>
      <c r="AJ397" s="7" t="s">
        <v>5044</v>
      </c>
      <c r="AL397" s="7">
        <v>0</v>
      </c>
      <c r="AM397" s="7">
        <v>0</v>
      </c>
      <c r="AO397" s="11">
        <v>1</v>
      </c>
    </row>
    <row r="398" spans="1:41" ht="63" customHeight="1" x14ac:dyDescent="0.2">
      <c r="A398" s="7">
        <v>4983</v>
      </c>
      <c r="B398" s="7" t="s">
        <v>1392</v>
      </c>
      <c r="C398" s="7" t="s">
        <v>1393</v>
      </c>
      <c r="D398" s="7" t="s">
        <v>56</v>
      </c>
      <c r="F398" s="7" t="s">
        <v>521</v>
      </c>
      <c r="G398" s="7" t="s">
        <v>18</v>
      </c>
      <c r="H398" s="7" t="s">
        <v>38</v>
      </c>
      <c r="I398" s="7" t="s">
        <v>13</v>
      </c>
      <c r="J398" s="7" t="s">
        <v>1394</v>
      </c>
      <c r="K398" s="7" t="s">
        <v>1395</v>
      </c>
      <c r="L398" s="7" t="s">
        <v>5751</v>
      </c>
      <c r="M398" s="7">
        <v>0</v>
      </c>
      <c r="N398" s="9" t="s">
        <v>5044</v>
      </c>
      <c r="O398" s="9" t="s">
        <v>5044</v>
      </c>
      <c r="P398" s="7">
        <v>0</v>
      </c>
      <c r="Q398" s="7">
        <v>0</v>
      </c>
      <c r="R398" s="7">
        <v>0</v>
      </c>
      <c r="S398" s="7">
        <v>1</v>
      </c>
      <c r="T398" s="7">
        <v>4</v>
      </c>
      <c r="U398" s="7">
        <v>122</v>
      </c>
      <c r="V398" s="7">
        <v>0</v>
      </c>
      <c r="W398" s="7">
        <v>1</v>
      </c>
      <c r="X398" s="7">
        <v>0</v>
      </c>
      <c r="Y398" s="7">
        <v>0</v>
      </c>
      <c r="Z398" s="7">
        <v>0</v>
      </c>
      <c r="AA398" s="7">
        <v>0</v>
      </c>
      <c r="AB398" s="7">
        <v>0</v>
      </c>
      <c r="AC398" s="7">
        <v>1</v>
      </c>
      <c r="AD398" s="7" t="s">
        <v>5044</v>
      </c>
      <c r="AE398" s="7" t="s">
        <v>5044</v>
      </c>
      <c r="AF398" s="7" t="s">
        <v>5044</v>
      </c>
      <c r="AG398" s="7">
        <v>1</v>
      </c>
      <c r="AH398" s="7">
        <v>0</v>
      </c>
      <c r="AI398" s="7">
        <v>0</v>
      </c>
      <c r="AJ398" s="7" t="s">
        <v>5044</v>
      </c>
      <c r="AL398" s="7">
        <v>0</v>
      </c>
      <c r="AM398" s="7">
        <v>0</v>
      </c>
      <c r="AO398" s="9">
        <v>0</v>
      </c>
    </row>
    <row r="399" spans="1:41" ht="63" customHeight="1" x14ac:dyDescent="0.2">
      <c r="A399" s="7">
        <v>5004</v>
      </c>
      <c r="B399" s="7" t="s">
        <v>1396</v>
      </c>
      <c r="C399" s="7" t="s">
        <v>1397</v>
      </c>
      <c r="D399" s="7" t="s">
        <v>56</v>
      </c>
      <c r="F399" s="7" t="s">
        <v>723</v>
      </c>
      <c r="G399" s="7" t="s">
        <v>144</v>
      </c>
      <c r="H399" s="7" t="s">
        <v>12</v>
      </c>
      <c r="I399" s="7" t="s">
        <v>13</v>
      </c>
      <c r="J399" s="7" t="s">
        <v>1398</v>
      </c>
      <c r="K399" s="7" t="s">
        <v>1399</v>
      </c>
      <c r="L399" s="7" t="s">
        <v>5752</v>
      </c>
      <c r="M399" s="7">
        <v>0</v>
      </c>
      <c r="N399" s="9" t="s">
        <v>5044</v>
      </c>
      <c r="O399" s="9" t="s">
        <v>5044</v>
      </c>
      <c r="P399" s="7">
        <v>0</v>
      </c>
      <c r="Q399" s="7">
        <v>0</v>
      </c>
      <c r="R399" s="7">
        <v>0</v>
      </c>
      <c r="S399" s="7">
        <v>3</v>
      </c>
      <c r="T399" s="7">
        <v>1</v>
      </c>
      <c r="U399" s="7">
        <v>981</v>
      </c>
      <c r="V399" s="7">
        <v>0</v>
      </c>
      <c r="W399" s="7">
        <v>1</v>
      </c>
      <c r="X399" s="7">
        <v>0</v>
      </c>
      <c r="Y399" s="7">
        <v>0</v>
      </c>
      <c r="Z399" s="7">
        <v>0</v>
      </c>
      <c r="AA399" s="7">
        <v>0</v>
      </c>
      <c r="AB399" s="7">
        <v>1</v>
      </c>
      <c r="AC399" s="7">
        <v>1</v>
      </c>
      <c r="AD399" s="7" t="s">
        <v>5044</v>
      </c>
      <c r="AE399" s="7" t="s">
        <v>5044</v>
      </c>
      <c r="AF399" s="7" t="s">
        <v>5044</v>
      </c>
      <c r="AG399" s="7">
        <v>1</v>
      </c>
      <c r="AH399" s="7">
        <v>0</v>
      </c>
      <c r="AI399" s="7">
        <v>0</v>
      </c>
      <c r="AJ399" s="7" t="s">
        <v>5044</v>
      </c>
      <c r="AL399" s="7">
        <v>0</v>
      </c>
      <c r="AM399" s="7">
        <v>0</v>
      </c>
      <c r="AO399" s="9">
        <v>0</v>
      </c>
    </row>
    <row r="400" spans="1:41" ht="63" customHeight="1" x14ac:dyDescent="0.2">
      <c r="A400" s="7">
        <v>5035</v>
      </c>
      <c r="B400" s="7" t="s">
        <v>1400</v>
      </c>
      <c r="C400" s="7" t="s">
        <v>1401</v>
      </c>
      <c r="D400" s="7" t="s">
        <v>56</v>
      </c>
      <c r="F400" s="7" t="s">
        <v>1402</v>
      </c>
      <c r="G400" s="7" t="s">
        <v>18</v>
      </c>
      <c r="H400" s="7" t="s">
        <v>43</v>
      </c>
      <c r="I400" s="7" t="s">
        <v>13</v>
      </c>
      <c r="J400" s="7" t="s">
        <v>1403</v>
      </c>
      <c r="K400" s="7" t="s">
        <v>1404</v>
      </c>
      <c r="L400" s="7" t="s">
        <v>5753</v>
      </c>
      <c r="M400" s="7">
        <v>0</v>
      </c>
      <c r="N400" s="9" t="s">
        <v>5044</v>
      </c>
      <c r="O400" s="9" t="s">
        <v>5044</v>
      </c>
      <c r="P400" s="7">
        <v>0</v>
      </c>
      <c r="Q400" s="7">
        <v>0</v>
      </c>
      <c r="R400" s="7">
        <v>0</v>
      </c>
      <c r="S400" s="7">
        <v>1</v>
      </c>
      <c r="T400" s="7">
        <v>1</v>
      </c>
      <c r="U400" s="7">
        <v>120</v>
      </c>
      <c r="V400" s="7">
        <v>0</v>
      </c>
      <c r="W400" s="7">
        <v>1</v>
      </c>
      <c r="X400" s="7">
        <v>0</v>
      </c>
      <c r="Y400" s="7">
        <v>0</v>
      </c>
      <c r="Z400" s="7">
        <v>0</v>
      </c>
      <c r="AA400" s="7">
        <v>0</v>
      </c>
      <c r="AB400" s="7">
        <v>1</v>
      </c>
      <c r="AC400" s="7">
        <v>1</v>
      </c>
      <c r="AD400" s="7" t="s">
        <v>5044</v>
      </c>
      <c r="AE400" s="7" t="s">
        <v>5044</v>
      </c>
      <c r="AF400" s="7" t="s">
        <v>5044</v>
      </c>
      <c r="AG400" s="7">
        <v>2</v>
      </c>
      <c r="AH400" s="7">
        <v>3</v>
      </c>
      <c r="AI400" s="7">
        <v>0</v>
      </c>
      <c r="AJ400" s="7" t="s">
        <v>5044</v>
      </c>
      <c r="AK400" s="7">
        <v>1</v>
      </c>
      <c r="AL400" s="7">
        <v>1</v>
      </c>
      <c r="AM400" s="7">
        <v>0</v>
      </c>
      <c r="AO400" s="11">
        <v>3</v>
      </c>
    </row>
    <row r="401" spans="1:41" ht="63" customHeight="1" x14ac:dyDescent="0.2">
      <c r="A401" s="7">
        <v>5048</v>
      </c>
      <c r="B401" s="7" t="s">
        <v>1405</v>
      </c>
      <c r="C401" s="7" t="s">
        <v>1406</v>
      </c>
      <c r="D401" s="7" t="s">
        <v>74</v>
      </c>
      <c r="H401" s="7" t="s">
        <v>326</v>
      </c>
      <c r="I401" s="7" t="s">
        <v>13</v>
      </c>
      <c r="J401" s="7" t="s">
        <v>1407</v>
      </c>
      <c r="K401" s="7" t="s">
        <v>1408</v>
      </c>
      <c r="L401" s="7" t="s">
        <v>5044</v>
      </c>
      <c r="M401" s="7">
        <v>0</v>
      </c>
      <c r="N401" s="9" t="s">
        <v>5044</v>
      </c>
      <c r="O401" s="9" t="s">
        <v>5044</v>
      </c>
      <c r="P401" s="7">
        <v>0</v>
      </c>
      <c r="Q401" s="7">
        <v>0</v>
      </c>
      <c r="R401" s="7">
        <v>0</v>
      </c>
      <c r="S401" s="7">
        <v>3</v>
      </c>
      <c r="T401" s="7">
        <v>2</v>
      </c>
      <c r="U401" s="7">
        <v>150</v>
      </c>
      <c r="V401" s="7">
        <v>1</v>
      </c>
      <c r="W401" s="7">
        <v>0</v>
      </c>
      <c r="X401" s="7">
        <v>0</v>
      </c>
      <c r="Y401" s="7">
        <v>0</v>
      </c>
      <c r="Z401" s="7">
        <v>0</v>
      </c>
      <c r="AA401" s="7">
        <v>0</v>
      </c>
      <c r="AB401" s="7">
        <v>1</v>
      </c>
      <c r="AC401" s="7">
        <v>1</v>
      </c>
      <c r="AD401" s="7">
        <v>2</v>
      </c>
      <c r="AE401" s="7">
        <v>3</v>
      </c>
      <c r="AF401" s="7">
        <v>0</v>
      </c>
      <c r="AG401" s="7" t="s">
        <v>5044</v>
      </c>
      <c r="AH401" s="7" t="s">
        <v>5044</v>
      </c>
      <c r="AI401" s="7" t="s">
        <v>5044</v>
      </c>
      <c r="AJ401" s="7" t="s">
        <v>5044</v>
      </c>
      <c r="AL401" s="7">
        <v>0</v>
      </c>
      <c r="AM401" s="7">
        <v>0</v>
      </c>
      <c r="AO401" s="11">
        <v>3</v>
      </c>
    </row>
    <row r="402" spans="1:41" ht="63" customHeight="1" x14ac:dyDescent="0.2">
      <c r="A402" s="7">
        <v>5072</v>
      </c>
      <c r="B402" s="7" t="s">
        <v>1413</v>
      </c>
      <c r="C402" s="7" t="s">
        <v>1414</v>
      </c>
      <c r="D402" s="7" t="s">
        <v>41</v>
      </c>
      <c r="F402" s="7" t="s">
        <v>151</v>
      </c>
      <c r="G402" s="7" t="s">
        <v>37</v>
      </c>
      <c r="H402" s="7" t="s">
        <v>290</v>
      </c>
      <c r="I402" s="7" t="s">
        <v>13</v>
      </c>
      <c r="J402" s="7" t="s">
        <v>1415</v>
      </c>
      <c r="K402" s="7" t="s">
        <v>1416</v>
      </c>
      <c r="L402" s="7" t="s">
        <v>5755</v>
      </c>
      <c r="M402" s="7">
        <v>0</v>
      </c>
      <c r="N402" s="9" t="s">
        <v>5044</v>
      </c>
      <c r="O402" s="9" t="s">
        <v>5044</v>
      </c>
      <c r="P402" s="7">
        <v>0</v>
      </c>
      <c r="Q402" s="7">
        <v>0</v>
      </c>
      <c r="R402" s="7">
        <v>0</v>
      </c>
      <c r="S402" s="7">
        <v>1</v>
      </c>
      <c r="T402" s="7">
        <v>4</v>
      </c>
      <c r="U402" s="7">
        <v>251</v>
      </c>
      <c r="V402" s="7">
        <v>0</v>
      </c>
      <c r="W402" s="7">
        <v>1</v>
      </c>
      <c r="X402" s="7">
        <v>0</v>
      </c>
      <c r="Y402" s="7">
        <v>0</v>
      </c>
      <c r="Z402" s="7">
        <v>0</v>
      </c>
      <c r="AA402" s="7">
        <v>0</v>
      </c>
      <c r="AB402" s="7">
        <v>1</v>
      </c>
      <c r="AC402" s="7">
        <v>1</v>
      </c>
      <c r="AD402" s="7" t="s">
        <v>5044</v>
      </c>
      <c r="AE402" s="7" t="s">
        <v>5044</v>
      </c>
      <c r="AF402" s="7" t="s">
        <v>5044</v>
      </c>
      <c r="AG402" s="7">
        <v>2</v>
      </c>
      <c r="AH402" s="7">
        <v>1</v>
      </c>
      <c r="AI402" s="7">
        <v>2</v>
      </c>
      <c r="AJ402" s="7" t="s">
        <v>5044</v>
      </c>
      <c r="AL402" s="7" t="s">
        <v>5044</v>
      </c>
      <c r="AM402" s="7">
        <v>0</v>
      </c>
      <c r="AO402" s="11">
        <v>1</v>
      </c>
    </row>
    <row r="403" spans="1:41" ht="63" customHeight="1" x14ac:dyDescent="0.2">
      <c r="A403" s="7">
        <v>5087</v>
      </c>
      <c r="B403" s="7" t="s">
        <v>1421</v>
      </c>
      <c r="C403" s="7" t="s">
        <v>1422</v>
      </c>
      <c r="D403" s="7" t="s">
        <v>149</v>
      </c>
      <c r="F403" s="7" t="s">
        <v>1423</v>
      </c>
      <c r="G403" s="7" t="s">
        <v>32</v>
      </c>
      <c r="H403" s="7" t="s">
        <v>740</v>
      </c>
      <c r="I403" s="7" t="s">
        <v>13</v>
      </c>
      <c r="J403" s="7" t="s">
        <v>1424</v>
      </c>
      <c r="K403" s="7" t="s">
        <v>1425</v>
      </c>
      <c r="L403" s="7" t="s">
        <v>5757</v>
      </c>
      <c r="M403" s="7">
        <v>0</v>
      </c>
      <c r="N403" s="9" t="s">
        <v>5044</v>
      </c>
      <c r="O403" s="9" t="s">
        <v>5044</v>
      </c>
      <c r="P403" s="7">
        <v>1</v>
      </c>
      <c r="Q403" s="7">
        <v>0</v>
      </c>
      <c r="R403" s="7">
        <v>0</v>
      </c>
      <c r="S403" s="7">
        <v>1</v>
      </c>
      <c r="T403" s="7">
        <v>1</v>
      </c>
      <c r="U403" s="7">
        <v>40</v>
      </c>
      <c r="V403" s="7">
        <v>0</v>
      </c>
      <c r="W403" s="7">
        <v>1</v>
      </c>
      <c r="X403" s="7">
        <v>0</v>
      </c>
      <c r="Y403" s="7">
        <v>0</v>
      </c>
      <c r="Z403" s="7">
        <v>0</v>
      </c>
      <c r="AA403" s="7">
        <v>0</v>
      </c>
      <c r="AB403" s="7">
        <v>1</v>
      </c>
      <c r="AC403" s="7">
        <v>1</v>
      </c>
      <c r="AD403" s="7" t="s">
        <v>5044</v>
      </c>
      <c r="AE403" s="7" t="s">
        <v>5044</v>
      </c>
      <c r="AF403" s="7" t="s">
        <v>5044</v>
      </c>
      <c r="AG403" s="7">
        <v>2</v>
      </c>
      <c r="AH403" s="7">
        <v>3</v>
      </c>
      <c r="AI403" s="7">
        <v>0</v>
      </c>
      <c r="AJ403" s="7" t="s">
        <v>5044</v>
      </c>
      <c r="AL403" s="7" t="s">
        <v>5044</v>
      </c>
      <c r="AM403" s="7">
        <v>0</v>
      </c>
      <c r="AO403" s="11">
        <v>3</v>
      </c>
    </row>
    <row r="404" spans="1:41" ht="63" customHeight="1" x14ac:dyDescent="0.2">
      <c r="A404" s="7">
        <v>5093</v>
      </c>
      <c r="B404" s="7" t="s">
        <v>1430</v>
      </c>
      <c r="C404" s="7" t="s">
        <v>1431</v>
      </c>
      <c r="D404" s="7" t="s">
        <v>35</v>
      </c>
      <c r="F404" s="7" t="s">
        <v>36</v>
      </c>
      <c r="G404" s="7" t="s">
        <v>92</v>
      </c>
      <c r="H404" s="7" t="s">
        <v>38</v>
      </c>
      <c r="I404" s="7" t="s">
        <v>13</v>
      </c>
      <c r="J404" s="7" t="s">
        <v>1432</v>
      </c>
      <c r="K404" s="7" t="s">
        <v>1433</v>
      </c>
      <c r="L404" s="7" t="s">
        <v>5759</v>
      </c>
      <c r="M404" s="7">
        <v>0</v>
      </c>
      <c r="N404" s="9" t="s">
        <v>5044</v>
      </c>
      <c r="O404" s="9" t="s">
        <v>5044</v>
      </c>
      <c r="P404" s="7">
        <v>0</v>
      </c>
      <c r="Q404" s="7">
        <v>0</v>
      </c>
      <c r="R404" s="7">
        <v>0</v>
      </c>
      <c r="S404" s="7">
        <v>1</v>
      </c>
      <c r="T404" s="7">
        <v>1</v>
      </c>
      <c r="U404" s="7">
        <v>80</v>
      </c>
      <c r="V404" s="7">
        <v>0</v>
      </c>
      <c r="W404" s="7">
        <v>1</v>
      </c>
      <c r="X404" s="7">
        <v>0</v>
      </c>
      <c r="Y404" s="7">
        <v>0</v>
      </c>
      <c r="Z404" s="7">
        <v>0</v>
      </c>
      <c r="AA404" s="7">
        <v>0</v>
      </c>
      <c r="AB404" s="7">
        <v>1</v>
      </c>
      <c r="AC404" s="7">
        <v>1</v>
      </c>
      <c r="AD404" s="7" t="s">
        <v>5044</v>
      </c>
      <c r="AE404" s="7" t="s">
        <v>5044</v>
      </c>
      <c r="AF404" s="7" t="s">
        <v>5044</v>
      </c>
      <c r="AG404" s="7">
        <v>2</v>
      </c>
      <c r="AH404" s="7">
        <v>3</v>
      </c>
      <c r="AI404" s="7">
        <v>0</v>
      </c>
      <c r="AJ404" s="7" t="s">
        <v>5044</v>
      </c>
      <c r="AK404" s="7">
        <v>1</v>
      </c>
      <c r="AL404" s="7">
        <v>1</v>
      </c>
      <c r="AM404" s="7">
        <v>0</v>
      </c>
      <c r="AO404" s="11">
        <v>3</v>
      </c>
    </row>
    <row r="405" spans="1:41" ht="63" customHeight="1" x14ac:dyDescent="0.2">
      <c r="A405" s="7">
        <v>5094</v>
      </c>
      <c r="B405" s="7" t="s">
        <v>1434</v>
      </c>
      <c r="C405" s="7" t="s">
        <v>1435</v>
      </c>
      <c r="D405" s="7" t="s">
        <v>535</v>
      </c>
      <c r="F405" s="7" t="s">
        <v>859</v>
      </c>
      <c r="G405" s="7" t="s">
        <v>144</v>
      </c>
      <c r="H405" s="7" t="s">
        <v>466</v>
      </c>
      <c r="I405" s="7" t="s">
        <v>13</v>
      </c>
      <c r="J405" s="7" t="s">
        <v>1436</v>
      </c>
      <c r="K405" s="7" t="s">
        <v>1437</v>
      </c>
      <c r="L405" s="7" t="s">
        <v>5760</v>
      </c>
      <c r="M405" s="7">
        <v>0</v>
      </c>
      <c r="N405" s="9" t="s">
        <v>5044</v>
      </c>
      <c r="O405" s="9" t="s">
        <v>5044</v>
      </c>
      <c r="P405" s="7">
        <v>0</v>
      </c>
      <c r="Q405" s="7">
        <v>0</v>
      </c>
      <c r="R405" s="7">
        <v>0</v>
      </c>
      <c r="S405" s="7">
        <v>1</v>
      </c>
      <c r="T405" s="7">
        <v>1</v>
      </c>
      <c r="U405" s="7">
        <v>151</v>
      </c>
      <c r="V405" s="7">
        <v>1</v>
      </c>
      <c r="W405" s="7">
        <v>0</v>
      </c>
      <c r="X405" s="7">
        <v>0</v>
      </c>
      <c r="Y405" s="7">
        <v>0</v>
      </c>
      <c r="Z405" s="7">
        <v>0</v>
      </c>
      <c r="AA405" s="7">
        <v>0</v>
      </c>
      <c r="AB405" s="7">
        <v>1</v>
      </c>
      <c r="AC405" s="7">
        <v>1</v>
      </c>
      <c r="AD405" s="7">
        <v>1</v>
      </c>
      <c r="AE405" s="7">
        <v>0</v>
      </c>
      <c r="AF405" s="7">
        <v>0</v>
      </c>
      <c r="AG405" s="7" t="s">
        <v>5044</v>
      </c>
      <c r="AH405" s="7" t="s">
        <v>5044</v>
      </c>
      <c r="AI405" s="7" t="s">
        <v>5044</v>
      </c>
      <c r="AJ405" s="7" t="s">
        <v>5044</v>
      </c>
      <c r="AL405" s="7">
        <v>1</v>
      </c>
      <c r="AM405" s="7">
        <v>0</v>
      </c>
      <c r="AO405" s="9">
        <v>0</v>
      </c>
    </row>
    <row r="406" spans="1:41" ht="63" customHeight="1" x14ac:dyDescent="0.2">
      <c r="A406" s="7">
        <v>5099</v>
      </c>
      <c r="B406" s="7" t="s">
        <v>1446</v>
      </c>
      <c r="C406" s="7" t="s">
        <v>1447</v>
      </c>
      <c r="D406" s="7" t="s">
        <v>22</v>
      </c>
      <c r="F406" s="7" t="s">
        <v>1448</v>
      </c>
      <c r="H406" s="7" t="s">
        <v>1449</v>
      </c>
      <c r="I406" s="7" t="s">
        <v>13</v>
      </c>
      <c r="J406" s="7" t="s">
        <v>1450</v>
      </c>
      <c r="K406" s="7" t="s">
        <v>1451</v>
      </c>
      <c r="L406" s="7" t="s">
        <v>5763</v>
      </c>
      <c r="M406" s="7">
        <v>0</v>
      </c>
      <c r="N406" s="9" t="s">
        <v>5044</v>
      </c>
      <c r="O406" s="9" t="s">
        <v>5044</v>
      </c>
      <c r="P406" s="7">
        <v>0</v>
      </c>
      <c r="Q406" s="7">
        <v>0</v>
      </c>
      <c r="R406" s="7">
        <v>0</v>
      </c>
      <c r="S406" s="7">
        <v>1</v>
      </c>
      <c r="T406" s="7">
        <v>1</v>
      </c>
      <c r="U406" s="7">
        <v>69</v>
      </c>
      <c r="V406" s="7">
        <v>0</v>
      </c>
      <c r="W406" s="7">
        <v>1</v>
      </c>
      <c r="X406" s="7">
        <v>0</v>
      </c>
      <c r="Y406" s="7">
        <v>0</v>
      </c>
      <c r="Z406" s="7">
        <v>0</v>
      </c>
      <c r="AA406" s="7">
        <v>0</v>
      </c>
      <c r="AB406" s="7">
        <v>1</v>
      </c>
      <c r="AC406" s="7">
        <v>1</v>
      </c>
      <c r="AD406" s="7" t="s">
        <v>5044</v>
      </c>
      <c r="AE406" s="7" t="s">
        <v>5044</v>
      </c>
      <c r="AF406" s="7" t="s">
        <v>5044</v>
      </c>
      <c r="AG406" s="7">
        <v>1</v>
      </c>
      <c r="AH406" s="7">
        <v>0</v>
      </c>
      <c r="AI406" s="7">
        <v>0</v>
      </c>
      <c r="AJ406" s="7" t="s">
        <v>5044</v>
      </c>
      <c r="AL406" s="7">
        <v>0</v>
      </c>
      <c r="AM406" s="7">
        <v>0</v>
      </c>
      <c r="AO406" s="9">
        <v>0</v>
      </c>
    </row>
    <row r="407" spans="1:41" ht="63" customHeight="1" x14ac:dyDescent="0.2">
      <c r="A407" s="7">
        <v>5117</v>
      </c>
      <c r="B407" s="7" t="s">
        <v>1464</v>
      </c>
      <c r="C407" s="7" t="s">
        <v>1465</v>
      </c>
      <c r="D407" s="7" t="s">
        <v>46</v>
      </c>
      <c r="F407" s="7" t="s">
        <v>900</v>
      </c>
      <c r="G407" s="7" t="s">
        <v>144</v>
      </c>
      <c r="H407" s="7" t="s">
        <v>43</v>
      </c>
      <c r="I407" s="7" t="s">
        <v>13</v>
      </c>
      <c r="J407" s="7" t="s">
        <v>1466</v>
      </c>
      <c r="K407" s="7" t="s">
        <v>1467</v>
      </c>
      <c r="L407" s="7" t="s">
        <v>5768</v>
      </c>
      <c r="M407" s="7">
        <v>0</v>
      </c>
      <c r="N407" s="9" t="s">
        <v>5044</v>
      </c>
      <c r="O407" s="9" t="s">
        <v>5044</v>
      </c>
      <c r="P407" s="7">
        <v>0</v>
      </c>
      <c r="Q407" s="7">
        <v>0</v>
      </c>
      <c r="R407" s="7">
        <v>0</v>
      </c>
      <c r="S407" s="7">
        <v>1</v>
      </c>
      <c r="T407" s="7">
        <v>2</v>
      </c>
      <c r="U407" s="7">
        <v>98</v>
      </c>
      <c r="V407" s="7">
        <v>0</v>
      </c>
      <c r="W407" s="7">
        <v>1</v>
      </c>
      <c r="X407" s="7">
        <v>0</v>
      </c>
      <c r="Y407" s="7">
        <v>0</v>
      </c>
      <c r="Z407" s="7">
        <v>0</v>
      </c>
      <c r="AA407" s="7">
        <v>0</v>
      </c>
      <c r="AB407" s="7">
        <v>1</v>
      </c>
      <c r="AC407" s="7">
        <v>1</v>
      </c>
      <c r="AD407" s="7" t="s">
        <v>5044</v>
      </c>
      <c r="AE407" s="7" t="s">
        <v>5044</v>
      </c>
      <c r="AF407" s="7" t="s">
        <v>5044</v>
      </c>
      <c r="AG407" s="7">
        <v>1</v>
      </c>
      <c r="AH407" s="7">
        <v>0</v>
      </c>
      <c r="AI407" s="7">
        <v>0</v>
      </c>
      <c r="AJ407" s="7" t="s">
        <v>5044</v>
      </c>
      <c r="AL407" s="7">
        <v>1</v>
      </c>
      <c r="AM407" s="7">
        <v>0</v>
      </c>
      <c r="AO407" s="9">
        <v>0</v>
      </c>
    </row>
    <row r="408" spans="1:41" ht="63" customHeight="1" x14ac:dyDescent="0.2">
      <c r="A408" s="7">
        <v>5118</v>
      </c>
      <c r="B408" s="7" t="s">
        <v>1468</v>
      </c>
      <c r="C408" s="7" t="s">
        <v>1469</v>
      </c>
      <c r="D408" s="7" t="s">
        <v>16</v>
      </c>
      <c r="F408" s="7" t="s">
        <v>143</v>
      </c>
      <c r="G408" s="7" t="s">
        <v>17</v>
      </c>
      <c r="H408" s="7" t="s">
        <v>270</v>
      </c>
      <c r="I408" s="7" t="s">
        <v>13</v>
      </c>
      <c r="J408" s="7" t="s">
        <v>1470</v>
      </c>
      <c r="K408" s="7" t="s">
        <v>1471</v>
      </c>
      <c r="L408" s="7" t="s">
        <v>5044</v>
      </c>
      <c r="M408" s="7">
        <v>0</v>
      </c>
      <c r="N408" s="9" t="s">
        <v>5044</v>
      </c>
      <c r="O408" s="9" t="s">
        <v>5044</v>
      </c>
      <c r="P408" s="7">
        <v>0</v>
      </c>
      <c r="Q408" s="7">
        <v>0</v>
      </c>
      <c r="R408" s="7">
        <v>0</v>
      </c>
      <c r="S408" s="7">
        <v>1</v>
      </c>
      <c r="T408" s="7">
        <v>4</v>
      </c>
      <c r="U408" s="7">
        <v>108</v>
      </c>
      <c r="V408" s="7">
        <v>0</v>
      </c>
      <c r="W408" s="7">
        <v>1</v>
      </c>
      <c r="X408" s="7">
        <v>0</v>
      </c>
      <c r="Y408" s="7">
        <v>0</v>
      </c>
      <c r="Z408" s="7">
        <v>0</v>
      </c>
      <c r="AA408" s="7">
        <v>0</v>
      </c>
      <c r="AB408" s="7">
        <v>1</v>
      </c>
      <c r="AC408" s="7">
        <v>1</v>
      </c>
      <c r="AD408" s="7" t="s">
        <v>5044</v>
      </c>
      <c r="AE408" s="7" t="s">
        <v>5044</v>
      </c>
      <c r="AF408" s="7" t="s">
        <v>5044</v>
      </c>
      <c r="AG408" s="7">
        <v>1</v>
      </c>
      <c r="AH408" s="7">
        <v>0</v>
      </c>
      <c r="AI408" s="7">
        <v>0</v>
      </c>
      <c r="AJ408" s="7" t="s">
        <v>5044</v>
      </c>
      <c r="AL408" s="7">
        <v>0</v>
      </c>
      <c r="AM408" s="7">
        <v>0</v>
      </c>
      <c r="AO408" s="9">
        <v>0</v>
      </c>
    </row>
    <row r="409" spans="1:41" ht="63" customHeight="1" x14ac:dyDescent="0.2">
      <c r="A409" s="7">
        <v>5126</v>
      </c>
      <c r="B409" s="7" t="s">
        <v>1472</v>
      </c>
      <c r="C409" s="7" t="s">
        <v>1473</v>
      </c>
      <c r="D409" s="7" t="s">
        <v>56</v>
      </c>
      <c r="F409" s="7" t="s">
        <v>1226</v>
      </c>
      <c r="G409" s="7" t="s">
        <v>18</v>
      </c>
      <c r="H409" s="7" t="s">
        <v>71</v>
      </c>
      <c r="I409" s="7" t="s">
        <v>13</v>
      </c>
      <c r="J409" s="7" t="s">
        <v>1474</v>
      </c>
      <c r="K409" s="7" t="s">
        <v>1475</v>
      </c>
      <c r="L409" s="7" t="s">
        <v>5769</v>
      </c>
      <c r="M409" s="7">
        <v>0</v>
      </c>
      <c r="N409" s="9" t="s">
        <v>5044</v>
      </c>
      <c r="O409" s="9" t="s">
        <v>5044</v>
      </c>
      <c r="P409" s="7">
        <v>0</v>
      </c>
      <c r="Q409" s="7">
        <v>0</v>
      </c>
      <c r="R409" s="7">
        <v>0</v>
      </c>
      <c r="S409" s="7">
        <v>1</v>
      </c>
      <c r="T409" s="7">
        <v>1</v>
      </c>
      <c r="U409" s="7">
        <v>166</v>
      </c>
      <c r="V409" s="7">
        <v>0</v>
      </c>
      <c r="W409" s="7">
        <v>1</v>
      </c>
      <c r="X409" s="7">
        <v>0</v>
      </c>
      <c r="Y409" s="7">
        <v>0</v>
      </c>
      <c r="Z409" s="7">
        <v>0</v>
      </c>
      <c r="AA409" s="7">
        <v>0</v>
      </c>
      <c r="AB409" s="7">
        <v>0</v>
      </c>
      <c r="AC409" s="7">
        <v>1</v>
      </c>
      <c r="AD409" s="7" t="s">
        <v>5044</v>
      </c>
      <c r="AE409" s="7" t="s">
        <v>5044</v>
      </c>
      <c r="AF409" s="7" t="s">
        <v>5044</v>
      </c>
      <c r="AG409" s="7">
        <v>2</v>
      </c>
      <c r="AH409" s="7">
        <v>3</v>
      </c>
      <c r="AI409" s="7">
        <v>0</v>
      </c>
      <c r="AJ409" s="7" t="s">
        <v>5044</v>
      </c>
      <c r="AK409" s="7">
        <v>1</v>
      </c>
      <c r="AL409" s="7">
        <v>1</v>
      </c>
      <c r="AM409" s="7">
        <v>0</v>
      </c>
      <c r="AO409" s="11">
        <v>3</v>
      </c>
    </row>
    <row r="410" spans="1:41" ht="63" customHeight="1" x14ac:dyDescent="0.2">
      <c r="A410" s="7">
        <v>5132</v>
      </c>
      <c r="B410" s="7" t="s">
        <v>1476</v>
      </c>
      <c r="C410" s="7" t="s">
        <v>1477</v>
      </c>
      <c r="D410" s="7" t="s">
        <v>56</v>
      </c>
      <c r="F410" s="7" t="s">
        <v>325</v>
      </c>
      <c r="G410" s="7" t="s">
        <v>92</v>
      </c>
      <c r="H410" s="7" t="s">
        <v>160</v>
      </c>
      <c r="I410" s="7" t="s">
        <v>13</v>
      </c>
      <c r="J410" s="7" t="s">
        <v>1478</v>
      </c>
      <c r="K410" s="7" t="s">
        <v>1479</v>
      </c>
      <c r="L410" s="7" t="s">
        <v>5770</v>
      </c>
      <c r="M410" s="7">
        <v>0</v>
      </c>
      <c r="N410" s="9" t="s">
        <v>5044</v>
      </c>
      <c r="O410" s="9" t="s">
        <v>5044</v>
      </c>
      <c r="P410" s="7">
        <v>0</v>
      </c>
      <c r="Q410" s="7">
        <v>0</v>
      </c>
      <c r="R410" s="7">
        <v>0</v>
      </c>
      <c r="S410" s="7">
        <v>1</v>
      </c>
      <c r="T410" s="7">
        <v>1</v>
      </c>
      <c r="U410" s="7">
        <v>198</v>
      </c>
      <c r="V410" s="7">
        <v>0</v>
      </c>
      <c r="W410" s="7">
        <v>1</v>
      </c>
      <c r="X410" s="7">
        <v>0</v>
      </c>
      <c r="Y410" s="7">
        <v>0</v>
      </c>
      <c r="Z410" s="7">
        <v>0</v>
      </c>
      <c r="AA410" s="7">
        <v>0</v>
      </c>
      <c r="AB410" s="7">
        <v>1</v>
      </c>
      <c r="AC410" s="7">
        <v>0</v>
      </c>
      <c r="AD410" s="7" t="s">
        <v>5044</v>
      </c>
      <c r="AE410" s="7" t="s">
        <v>5044</v>
      </c>
      <c r="AF410" s="7" t="s">
        <v>5044</v>
      </c>
      <c r="AG410" s="7">
        <v>0</v>
      </c>
      <c r="AH410" s="7" t="s">
        <v>5044</v>
      </c>
      <c r="AI410" s="7" t="s">
        <v>5044</v>
      </c>
      <c r="AJ410" s="7" t="s">
        <v>5044</v>
      </c>
      <c r="AL410" s="7">
        <v>1</v>
      </c>
      <c r="AM410" s="7">
        <v>0</v>
      </c>
      <c r="AO410" s="11">
        <v>9</v>
      </c>
    </row>
    <row r="411" spans="1:41" ht="63" customHeight="1" x14ac:dyDescent="0.2">
      <c r="A411" s="7">
        <v>5155</v>
      </c>
      <c r="B411" s="7" t="s">
        <v>1480</v>
      </c>
      <c r="C411" s="7" t="s">
        <v>1481</v>
      </c>
      <c r="D411" s="7" t="s">
        <v>375</v>
      </c>
      <c r="F411" s="7" t="s">
        <v>147</v>
      </c>
      <c r="G411" s="7" t="s">
        <v>48</v>
      </c>
      <c r="H411" s="7" t="s">
        <v>157</v>
      </c>
      <c r="I411" s="7" t="s">
        <v>13</v>
      </c>
      <c r="J411" s="7" t="s">
        <v>1482</v>
      </c>
      <c r="K411" s="7" t="s">
        <v>1483</v>
      </c>
      <c r="L411" s="7" t="s">
        <v>5771</v>
      </c>
      <c r="M411" s="7">
        <v>0</v>
      </c>
      <c r="N411" s="9" t="s">
        <v>5044</v>
      </c>
      <c r="O411" s="9" t="s">
        <v>5044</v>
      </c>
      <c r="P411" s="7">
        <v>0</v>
      </c>
      <c r="Q411" s="7">
        <v>0</v>
      </c>
      <c r="R411" s="7">
        <v>0</v>
      </c>
      <c r="S411" s="7">
        <v>9</v>
      </c>
      <c r="T411" s="7">
        <v>1</v>
      </c>
      <c r="U411" s="7">
        <v>36</v>
      </c>
      <c r="V411" s="7">
        <v>0</v>
      </c>
      <c r="W411" s="7">
        <v>1</v>
      </c>
      <c r="X411" s="7">
        <v>0</v>
      </c>
      <c r="Y411" s="7">
        <v>0</v>
      </c>
      <c r="Z411" s="7">
        <v>0</v>
      </c>
      <c r="AA411" s="7">
        <v>0</v>
      </c>
      <c r="AB411" s="7">
        <v>1</v>
      </c>
      <c r="AC411" s="7">
        <v>1</v>
      </c>
      <c r="AD411" s="7" t="s">
        <v>5044</v>
      </c>
      <c r="AE411" s="7" t="s">
        <v>5044</v>
      </c>
      <c r="AF411" s="7" t="s">
        <v>5044</v>
      </c>
      <c r="AG411" s="7">
        <v>1</v>
      </c>
      <c r="AH411" s="7">
        <v>0</v>
      </c>
      <c r="AI411" s="7">
        <v>0</v>
      </c>
      <c r="AJ411" s="7" t="s">
        <v>5044</v>
      </c>
      <c r="AL411" s="7" t="s">
        <v>5044</v>
      </c>
      <c r="AM411" s="7">
        <v>0</v>
      </c>
      <c r="AN411" s="7" t="s">
        <v>5105</v>
      </c>
      <c r="AO411" s="9">
        <v>0</v>
      </c>
    </row>
    <row r="412" spans="1:41" ht="63" customHeight="1" x14ac:dyDescent="0.2">
      <c r="A412" s="7">
        <v>5166</v>
      </c>
      <c r="B412" s="7" t="s">
        <v>1484</v>
      </c>
      <c r="C412" s="7" t="s">
        <v>1485</v>
      </c>
      <c r="D412" s="7" t="s">
        <v>41</v>
      </c>
      <c r="F412" s="7" t="s">
        <v>867</v>
      </c>
      <c r="G412" s="7" t="s">
        <v>11</v>
      </c>
      <c r="H412" s="7" t="s">
        <v>1486</v>
      </c>
      <c r="I412" s="7" t="s">
        <v>13</v>
      </c>
      <c r="J412" s="7" t="s">
        <v>1487</v>
      </c>
      <c r="K412" s="7" t="s">
        <v>1488</v>
      </c>
      <c r="L412" s="7" t="s">
        <v>5044</v>
      </c>
      <c r="M412" s="7">
        <v>0</v>
      </c>
      <c r="N412" s="9" t="s">
        <v>5044</v>
      </c>
      <c r="O412" s="9" t="s">
        <v>5044</v>
      </c>
      <c r="P412" s="7">
        <v>0</v>
      </c>
      <c r="Q412" s="7">
        <v>0</v>
      </c>
      <c r="R412" s="7">
        <v>0</v>
      </c>
      <c r="S412" s="7" t="s">
        <v>5772</v>
      </c>
      <c r="T412" s="7">
        <v>4</v>
      </c>
      <c r="U412" s="7">
        <v>100</v>
      </c>
      <c r="V412" s="7">
        <v>1</v>
      </c>
      <c r="W412" s="7">
        <v>0</v>
      </c>
      <c r="X412" s="7">
        <v>0</v>
      </c>
      <c r="Y412" s="7">
        <v>0</v>
      </c>
      <c r="Z412" s="7">
        <v>0</v>
      </c>
      <c r="AA412" s="7">
        <v>0</v>
      </c>
      <c r="AB412" s="7">
        <v>1</v>
      </c>
      <c r="AC412" s="7">
        <v>1</v>
      </c>
      <c r="AD412" s="7">
        <v>1</v>
      </c>
      <c r="AE412" s="7">
        <v>0</v>
      </c>
      <c r="AF412" s="7">
        <v>0</v>
      </c>
      <c r="AG412" s="7" t="s">
        <v>5044</v>
      </c>
      <c r="AH412" s="7" t="s">
        <v>5044</v>
      </c>
      <c r="AI412" s="7" t="s">
        <v>5044</v>
      </c>
      <c r="AJ412" s="7" t="s">
        <v>5044</v>
      </c>
      <c r="AL412" s="7">
        <v>0</v>
      </c>
      <c r="AM412" s="7">
        <v>0</v>
      </c>
      <c r="AO412" s="9">
        <v>0</v>
      </c>
    </row>
    <row r="413" spans="1:41" ht="63" customHeight="1" x14ac:dyDescent="0.2">
      <c r="A413" s="7">
        <v>5202</v>
      </c>
      <c r="B413" s="7" t="s">
        <v>1494</v>
      </c>
      <c r="C413" s="7" t="s">
        <v>1495</v>
      </c>
      <c r="D413" s="7" t="s">
        <v>22</v>
      </c>
      <c r="F413" s="7" t="s">
        <v>1496</v>
      </c>
      <c r="G413" s="7" t="s">
        <v>11</v>
      </c>
      <c r="H413" s="7" t="s">
        <v>1497</v>
      </c>
      <c r="I413" s="7" t="s">
        <v>13</v>
      </c>
      <c r="J413" s="7" t="s">
        <v>1498</v>
      </c>
      <c r="K413" s="7" t="s">
        <v>1499</v>
      </c>
      <c r="L413" s="7" t="s">
        <v>5774</v>
      </c>
      <c r="M413" s="7">
        <v>0</v>
      </c>
      <c r="N413" s="9" t="s">
        <v>5044</v>
      </c>
      <c r="O413" s="9" t="s">
        <v>5044</v>
      </c>
      <c r="P413" s="7">
        <v>0</v>
      </c>
      <c r="Q413" s="7">
        <v>0</v>
      </c>
      <c r="R413" s="7">
        <v>0</v>
      </c>
      <c r="S413" s="7">
        <v>1</v>
      </c>
      <c r="T413" s="7">
        <v>1</v>
      </c>
      <c r="U413" s="7">
        <v>84</v>
      </c>
      <c r="V413" s="7">
        <v>0</v>
      </c>
      <c r="W413" s="7">
        <v>1</v>
      </c>
      <c r="X413" s="7">
        <v>0</v>
      </c>
      <c r="Y413" s="7">
        <v>0</v>
      </c>
      <c r="Z413" s="7">
        <v>0</v>
      </c>
      <c r="AA413" s="7">
        <v>0</v>
      </c>
      <c r="AB413" s="7">
        <v>1</v>
      </c>
      <c r="AC413" s="7">
        <v>1</v>
      </c>
      <c r="AD413" s="7" t="s">
        <v>5044</v>
      </c>
      <c r="AE413" s="7" t="s">
        <v>5044</v>
      </c>
      <c r="AF413" s="7" t="s">
        <v>5044</v>
      </c>
      <c r="AG413" s="7">
        <v>2</v>
      </c>
      <c r="AH413" s="7">
        <v>3</v>
      </c>
      <c r="AI413" s="7">
        <v>0</v>
      </c>
      <c r="AJ413" s="7" t="s">
        <v>5044</v>
      </c>
      <c r="AL413" s="7">
        <v>1</v>
      </c>
      <c r="AM413" s="7">
        <v>0</v>
      </c>
      <c r="AO413" s="11">
        <v>3</v>
      </c>
    </row>
    <row r="414" spans="1:41" ht="63" customHeight="1" x14ac:dyDescent="0.2">
      <c r="A414" s="7">
        <v>5203</v>
      </c>
      <c r="B414" s="7" t="s">
        <v>1500</v>
      </c>
      <c r="C414" s="7" t="s">
        <v>1501</v>
      </c>
      <c r="D414" s="7" t="s">
        <v>74</v>
      </c>
      <c r="F414" s="7" t="s">
        <v>1042</v>
      </c>
      <c r="G414" s="7" t="s">
        <v>52</v>
      </c>
      <c r="H414" s="7" t="s">
        <v>1502</v>
      </c>
      <c r="I414" s="7" t="s">
        <v>13</v>
      </c>
      <c r="J414" s="7" t="s">
        <v>1503</v>
      </c>
      <c r="K414" s="7" t="s">
        <v>1504</v>
      </c>
      <c r="L414" s="7" t="s">
        <v>5775</v>
      </c>
      <c r="M414" s="7">
        <v>0</v>
      </c>
      <c r="N414" s="9" t="s">
        <v>5044</v>
      </c>
      <c r="O414" s="9" t="s">
        <v>5044</v>
      </c>
      <c r="P414" s="7">
        <v>0</v>
      </c>
      <c r="Q414" s="7">
        <v>0</v>
      </c>
      <c r="R414" s="7">
        <v>0</v>
      </c>
      <c r="S414" s="7">
        <v>3</v>
      </c>
      <c r="T414" s="7">
        <v>1</v>
      </c>
      <c r="U414" s="7">
        <v>122</v>
      </c>
      <c r="V414" s="7">
        <v>0</v>
      </c>
      <c r="W414" s="7">
        <v>1</v>
      </c>
      <c r="X414" s="7">
        <v>0</v>
      </c>
      <c r="Y414" s="7">
        <v>0</v>
      </c>
      <c r="Z414" s="7">
        <v>0</v>
      </c>
      <c r="AA414" s="7">
        <v>0</v>
      </c>
      <c r="AB414" s="7">
        <v>1</v>
      </c>
      <c r="AC414" s="7">
        <v>1</v>
      </c>
      <c r="AD414" s="7" t="s">
        <v>5044</v>
      </c>
      <c r="AE414" s="7" t="s">
        <v>5044</v>
      </c>
      <c r="AF414" s="7" t="s">
        <v>5044</v>
      </c>
      <c r="AG414" s="7">
        <v>2</v>
      </c>
      <c r="AH414" s="7">
        <v>3</v>
      </c>
      <c r="AI414" s="7">
        <v>0</v>
      </c>
      <c r="AJ414" s="7" t="s">
        <v>5044</v>
      </c>
      <c r="AK414" s="7" t="s">
        <v>5776</v>
      </c>
      <c r="AL414" s="7" t="s">
        <v>5044</v>
      </c>
      <c r="AM414" s="7">
        <v>0</v>
      </c>
      <c r="AN414" s="7" t="s">
        <v>5105</v>
      </c>
      <c r="AO414" s="11">
        <v>3</v>
      </c>
    </row>
    <row r="415" spans="1:41" ht="63" customHeight="1" x14ac:dyDescent="0.2">
      <c r="A415" s="7">
        <v>5204</v>
      </c>
      <c r="B415" s="7" t="s">
        <v>1505</v>
      </c>
      <c r="C415" s="7" t="s">
        <v>1506</v>
      </c>
      <c r="D415" s="7" t="s">
        <v>16</v>
      </c>
      <c r="F415" s="7" t="s">
        <v>1507</v>
      </c>
      <c r="G415" s="7" t="s">
        <v>11</v>
      </c>
      <c r="H415" s="7" t="s">
        <v>1497</v>
      </c>
      <c r="I415" s="7" t="s">
        <v>13</v>
      </c>
      <c r="J415" s="7" t="s">
        <v>1508</v>
      </c>
      <c r="K415" s="7" t="s">
        <v>1509</v>
      </c>
      <c r="L415" s="7" t="s">
        <v>5777</v>
      </c>
      <c r="M415" s="7">
        <v>0</v>
      </c>
      <c r="N415" s="9" t="s">
        <v>5044</v>
      </c>
      <c r="O415" s="9" t="s">
        <v>5044</v>
      </c>
      <c r="P415" s="7">
        <v>0</v>
      </c>
      <c r="Q415" s="7">
        <v>0</v>
      </c>
      <c r="R415" s="7">
        <v>0</v>
      </c>
      <c r="S415" s="7">
        <v>9</v>
      </c>
      <c r="T415" s="7">
        <v>1</v>
      </c>
      <c r="U415" s="7">
        <v>75</v>
      </c>
      <c r="V415" s="7">
        <v>0</v>
      </c>
      <c r="W415" s="7">
        <v>1</v>
      </c>
      <c r="X415" s="7">
        <v>0</v>
      </c>
      <c r="Y415" s="7">
        <v>0</v>
      </c>
      <c r="Z415" s="7">
        <v>0</v>
      </c>
      <c r="AA415" s="7">
        <v>0</v>
      </c>
      <c r="AB415" s="7">
        <v>1</v>
      </c>
      <c r="AC415" s="7">
        <v>1</v>
      </c>
      <c r="AD415" s="7" t="s">
        <v>5044</v>
      </c>
      <c r="AE415" s="7" t="s">
        <v>5044</v>
      </c>
      <c r="AF415" s="7" t="s">
        <v>5044</v>
      </c>
      <c r="AG415" s="7">
        <v>1</v>
      </c>
      <c r="AH415" s="7">
        <v>0</v>
      </c>
      <c r="AI415" s="7">
        <v>0</v>
      </c>
      <c r="AJ415" s="7" t="s">
        <v>5044</v>
      </c>
      <c r="AL415" s="7" t="s">
        <v>5044</v>
      </c>
      <c r="AM415" s="7">
        <v>0</v>
      </c>
      <c r="AN415" s="7" t="s">
        <v>5105</v>
      </c>
      <c r="AO415" s="9">
        <v>0</v>
      </c>
    </row>
    <row r="416" spans="1:41" ht="63" customHeight="1" x14ac:dyDescent="0.2">
      <c r="A416" s="7">
        <v>5223</v>
      </c>
      <c r="B416" s="7" t="s">
        <v>1514</v>
      </c>
      <c r="C416" s="7" t="s">
        <v>1515</v>
      </c>
      <c r="D416" s="7" t="s">
        <v>95</v>
      </c>
      <c r="F416" s="7" t="s">
        <v>220</v>
      </c>
      <c r="G416" s="7" t="s">
        <v>92</v>
      </c>
      <c r="H416" s="7" t="s">
        <v>296</v>
      </c>
      <c r="I416" s="7" t="s">
        <v>13</v>
      </c>
      <c r="J416" s="7" t="s">
        <v>1516</v>
      </c>
      <c r="K416" s="7" t="s">
        <v>1517</v>
      </c>
      <c r="L416" s="7" t="s">
        <v>5044</v>
      </c>
      <c r="M416" s="7">
        <v>0</v>
      </c>
      <c r="N416" s="9" t="s">
        <v>5044</v>
      </c>
      <c r="O416" s="9" t="s">
        <v>5044</v>
      </c>
      <c r="P416" s="7">
        <v>0</v>
      </c>
      <c r="Q416" s="7">
        <v>0</v>
      </c>
      <c r="R416" s="7">
        <v>0</v>
      </c>
      <c r="S416" s="7">
        <v>1</v>
      </c>
      <c r="T416" s="7">
        <v>5</v>
      </c>
      <c r="U416" s="7">
        <v>49</v>
      </c>
      <c r="V416" s="7">
        <v>0</v>
      </c>
      <c r="W416" s="7">
        <v>1</v>
      </c>
      <c r="X416" s="7">
        <v>0</v>
      </c>
      <c r="Y416" s="7">
        <v>0</v>
      </c>
      <c r="Z416" s="7">
        <v>0</v>
      </c>
      <c r="AA416" s="7">
        <v>0</v>
      </c>
      <c r="AB416" s="7">
        <v>1</v>
      </c>
      <c r="AC416" s="7">
        <v>1</v>
      </c>
      <c r="AD416" s="7" t="s">
        <v>5044</v>
      </c>
      <c r="AE416" s="7" t="s">
        <v>5044</v>
      </c>
      <c r="AF416" s="7" t="s">
        <v>5044</v>
      </c>
      <c r="AG416" s="7">
        <v>2</v>
      </c>
      <c r="AH416" s="7">
        <v>3</v>
      </c>
      <c r="AI416" s="7">
        <v>0</v>
      </c>
      <c r="AJ416" s="7" t="s">
        <v>5044</v>
      </c>
      <c r="AK416" s="7">
        <v>1</v>
      </c>
      <c r="AL416" s="7">
        <v>0</v>
      </c>
      <c r="AM416" s="7">
        <v>0</v>
      </c>
      <c r="AO416" s="11">
        <v>3</v>
      </c>
    </row>
    <row r="417" spans="1:41" ht="63" customHeight="1" x14ac:dyDescent="0.2">
      <c r="A417" s="7">
        <v>5233</v>
      </c>
      <c r="B417" s="7" t="s">
        <v>1518</v>
      </c>
      <c r="C417" s="7" t="s">
        <v>1519</v>
      </c>
      <c r="D417" s="7" t="s">
        <v>101</v>
      </c>
      <c r="F417" s="7" t="s">
        <v>17</v>
      </c>
      <c r="G417" s="7" t="s">
        <v>48</v>
      </c>
      <c r="H417" s="7" t="s">
        <v>283</v>
      </c>
      <c r="I417" s="7" t="s">
        <v>13</v>
      </c>
      <c r="J417" s="7" t="s">
        <v>1520</v>
      </c>
      <c r="K417" s="7" t="s">
        <v>1521</v>
      </c>
      <c r="L417" s="7" t="s">
        <v>5709</v>
      </c>
      <c r="M417" s="7">
        <v>0</v>
      </c>
      <c r="N417" s="9" t="s">
        <v>5044</v>
      </c>
      <c r="O417" s="9" t="s">
        <v>5044</v>
      </c>
      <c r="P417" s="7">
        <v>1</v>
      </c>
      <c r="Q417" s="7">
        <v>0</v>
      </c>
      <c r="R417" s="7">
        <v>0</v>
      </c>
      <c r="S417" s="7" t="s">
        <v>5708</v>
      </c>
      <c r="T417" s="7">
        <v>1</v>
      </c>
      <c r="U417" s="7">
        <v>106</v>
      </c>
      <c r="V417" s="7">
        <v>0</v>
      </c>
      <c r="W417" s="7">
        <v>1</v>
      </c>
      <c r="X417" s="7">
        <v>0</v>
      </c>
      <c r="Y417" s="7">
        <v>0</v>
      </c>
      <c r="Z417" s="7">
        <v>0</v>
      </c>
      <c r="AA417" s="7">
        <v>0</v>
      </c>
      <c r="AB417" s="7">
        <v>1</v>
      </c>
      <c r="AC417" s="7">
        <v>0</v>
      </c>
      <c r="AD417" s="7" t="s">
        <v>5044</v>
      </c>
      <c r="AE417" s="7" t="s">
        <v>5044</v>
      </c>
      <c r="AF417" s="7" t="s">
        <v>5044</v>
      </c>
      <c r="AG417" s="7">
        <v>0</v>
      </c>
      <c r="AH417" s="7" t="s">
        <v>5044</v>
      </c>
      <c r="AI417" s="7" t="s">
        <v>5044</v>
      </c>
      <c r="AJ417" s="7" t="s">
        <v>5044</v>
      </c>
      <c r="AL417" s="7">
        <v>0</v>
      </c>
      <c r="AM417" s="7">
        <v>0</v>
      </c>
      <c r="AO417" s="11">
        <v>9</v>
      </c>
    </row>
    <row r="418" spans="1:41" ht="63" customHeight="1" x14ac:dyDescent="0.2">
      <c r="A418" s="7">
        <v>5250</v>
      </c>
      <c r="B418" s="7" t="s">
        <v>1526</v>
      </c>
      <c r="C418" s="7" t="s">
        <v>1527</v>
      </c>
      <c r="D418" s="7" t="s">
        <v>101</v>
      </c>
      <c r="F418" s="7" t="s">
        <v>1008</v>
      </c>
      <c r="H418" s="7" t="s">
        <v>1449</v>
      </c>
      <c r="I418" s="7" t="s">
        <v>13</v>
      </c>
      <c r="J418" s="7" t="s">
        <v>1528</v>
      </c>
      <c r="K418" s="7" t="s">
        <v>1529</v>
      </c>
      <c r="L418" s="7" t="s">
        <v>5706</v>
      </c>
      <c r="M418" s="7">
        <v>0</v>
      </c>
      <c r="N418" s="9" t="s">
        <v>5044</v>
      </c>
      <c r="O418" s="9" t="s">
        <v>5044</v>
      </c>
      <c r="P418" s="7">
        <v>0</v>
      </c>
      <c r="Q418" s="7">
        <v>0</v>
      </c>
      <c r="R418" s="7">
        <v>0</v>
      </c>
      <c r="S418" s="7">
        <v>8</v>
      </c>
      <c r="T418" s="7">
        <v>2</v>
      </c>
      <c r="U418" s="7">
        <v>201</v>
      </c>
      <c r="V418" s="7">
        <v>0</v>
      </c>
      <c r="W418" s="7">
        <v>1</v>
      </c>
      <c r="X418" s="7">
        <v>0</v>
      </c>
      <c r="Y418" s="7">
        <v>0</v>
      </c>
      <c r="Z418" s="7">
        <v>0</v>
      </c>
      <c r="AA418" s="7">
        <v>0</v>
      </c>
      <c r="AB418" s="7">
        <v>1</v>
      </c>
      <c r="AC418" s="7">
        <v>1</v>
      </c>
      <c r="AD418" s="7" t="s">
        <v>5044</v>
      </c>
      <c r="AE418" s="7" t="s">
        <v>5044</v>
      </c>
      <c r="AF418" s="7" t="s">
        <v>5044</v>
      </c>
      <c r="AG418" s="7">
        <v>2</v>
      </c>
      <c r="AH418" s="7">
        <v>3</v>
      </c>
      <c r="AI418" s="7">
        <v>0</v>
      </c>
      <c r="AJ418" s="7" t="s">
        <v>5044</v>
      </c>
      <c r="AL418" s="7">
        <v>0</v>
      </c>
      <c r="AM418" s="7">
        <v>0</v>
      </c>
      <c r="AO418" s="11">
        <v>3</v>
      </c>
    </row>
    <row r="419" spans="1:41" ht="63" customHeight="1" x14ac:dyDescent="0.2">
      <c r="A419" s="7">
        <v>5256</v>
      </c>
      <c r="B419" s="7" t="s">
        <v>1530</v>
      </c>
      <c r="C419" s="7" t="s">
        <v>1531</v>
      </c>
      <c r="D419" s="7" t="s">
        <v>74</v>
      </c>
      <c r="F419" s="7" t="s">
        <v>351</v>
      </c>
      <c r="G419" s="7" t="s">
        <v>37</v>
      </c>
      <c r="H419" s="7" t="s">
        <v>217</v>
      </c>
      <c r="I419" s="7" t="s">
        <v>13</v>
      </c>
      <c r="J419" s="7" t="s">
        <v>1532</v>
      </c>
      <c r="K419" s="7" t="s">
        <v>1533</v>
      </c>
      <c r="L419" s="7" t="s">
        <v>5420</v>
      </c>
      <c r="M419" s="7">
        <v>0</v>
      </c>
      <c r="N419" s="9" t="s">
        <v>5044</v>
      </c>
      <c r="O419" s="9" t="s">
        <v>5044</v>
      </c>
      <c r="P419" s="7">
        <v>0</v>
      </c>
      <c r="Q419" s="7">
        <v>0</v>
      </c>
      <c r="R419" s="7">
        <v>0</v>
      </c>
      <c r="S419" s="7">
        <v>1</v>
      </c>
      <c r="T419" s="7">
        <v>1</v>
      </c>
      <c r="U419" s="7">
        <v>269</v>
      </c>
      <c r="V419" s="7">
        <v>0</v>
      </c>
      <c r="W419" s="7">
        <v>1</v>
      </c>
      <c r="X419" s="7">
        <v>0</v>
      </c>
      <c r="Y419" s="7">
        <v>1</v>
      </c>
      <c r="Z419" s="7">
        <v>0</v>
      </c>
      <c r="AA419" s="7">
        <v>0</v>
      </c>
      <c r="AB419" s="7">
        <v>1</v>
      </c>
      <c r="AC419" s="7">
        <v>1</v>
      </c>
      <c r="AD419" s="7" t="s">
        <v>5044</v>
      </c>
      <c r="AE419" s="7" t="s">
        <v>5044</v>
      </c>
      <c r="AF419" s="7" t="s">
        <v>5044</v>
      </c>
      <c r="AG419" s="7">
        <v>0</v>
      </c>
      <c r="AH419" s="7" t="s">
        <v>5044</v>
      </c>
      <c r="AI419" s="7" t="s">
        <v>5044</v>
      </c>
      <c r="AJ419" s="7">
        <v>1</v>
      </c>
      <c r="AK419" s="7" t="s">
        <v>6496</v>
      </c>
      <c r="AL419" s="7">
        <v>1</v>
      </c>
      <c r="AM419" s="7">
        <v>0</v>
      </c>
      <c r="AO419" s="11">
        <v>9</v>
      </c>
    </row>
    <row r="420" spans="1:41" ht="63" customHeight="1" x14ac:dyDescent="0.2">
      <c r="A420" s="7">
        <v>5260</v>
      </c>
      <c r="B420" s="7" t="s">
        <v>1534</v>
      </c>
      <c r="C420" s="7" t="s">
        <v>1535</v>
      </c>
      <c r="D420" s="7" t="s">
        <v>16</v>
      </c>
      <c r="F420" s="7" t="s">
        <v>114</v>
      </c>
      <c r="G420" s="7" t="s">
        <v>37</v>
      </c>
      <c r="H420" s="7" t="s">
        <v>238</v>
      </c>
      <c r="I420" s="7" t="s">
        <v>13</v>
      </c>
      <c r="J420" s="7" t="s">
        <v>1536</v>
      </c>
      <c r="K420" s="7" t="s">
        <v>1537</v>
      </c>
      <c r="L420" s="7" t="s">
        <v>5044</v>
      </c>
      <c r="M420" s="7">
        <v>0</v>
      </c>
      <c r="N420" s="9" t="s">
        <v>5044</v>
      </c>
      <c r="O420" s="9" t="s">
        <v>5044</v>
      </c>
      <c r="P420" s="7">
        <v>0</v>
      </c>
      <c r="Q420" s="7">
        <v>0</v>
      </c>
      <c r="R420" s="7">
        <v>0</v>
      </c>
      <c r="S420" s="7">
        <v>3</v>
      </c>
      <c r="T420" s="7">
        <v>6</v>
      </c>
      <c r="U420" s="7">
        <v>150</v>
      </c>
      <c r="V420" s="7">
        <v>0</v>
      </c>
      <c r="W420" s="7">
        <v>1</v>
      </c>
      <c r="X420" s="7">
        <v>0</v>
      </c>
      <c r="Y420" s="7">
        <v>0</v>
      </c>
      <c r="Z420" s="7">
        <v>0</v>
      </c>
      <c r="AA420" s="7">
        <v>0</v>
      </c>
      <c r="AB420" s="7">
        <v>0</v>
      </c>
      <c r="AC420" s="7">
        <v>1</v>
      </c>
      <c r="AD420" s="7" t="s">
        <v>5044</v>
      </c>
      <c r="AE420" s="7" t="s">
        <v>5044</v>
      </c>
      <c r="AF420" s="7" t="s">
        <v>5044</v>
      </c>
      <c r="AG420" s="7">
        <v>1</v>
      </c>
      <c r="AH420" s="7">
        <v>0</v>
      </c>
      <c r="AI420" s="7">
        <v>0</v>
      </c>
      <c r="AJ420" s="7" t="s">
        <v>5044</v>
      </c>
      <c r="AL420" s="7" t="s">
        <v>5044</v>
      </c>
      <c r="AM420" s="7">
        <v>0</v>
      </c>
      <c r="AN420" s="7" t="s">
        <v>5105</v>
      </c>
      <c r="AO420" s="9">
        <v>0</v>
      </c>
    </row>
    <row r="421" spans="1:41" ht="63" customHeight="1" x14ac:dyDescent="0.2">
      <c r="A421" s="7">
        <v>5261</v>
      </c>
      <c r="B421" s="7" t="s">
        <v>1538</v>
      </c>
      <c r="C421" s="7" t="s">
        <v>1539</v>
      </c>
      <c r="D421" s="7" t="s">
        <v>22</v>
      </c>
      <c r="F421" s="7" t="s">
        <v>65</v>
      </c>
      <c r="G421" s="7" t="s">
        <v>52</v>
      </c>
      <c r="H421" s="7" t="s">
        <v>270</v>
      </c>
      <c r="I421" s="7" t="s">
        <v>13</v>
      </c>
      <c r="J421" s="7" t="s">
        <v>1540</v>
      </c>
      <c r="K421" s="7" t="s">
        <v>1541</v>
      </c>
      <c r="L421" s="7" t="s">
        <v>5704</v>
      </c>
      <c r="M421" s="7">
        <v>0</v>
      </c>
      <c r="N421" s="9" t="s">
        <v>5044</v>
      </c>
      <c r="O421" s="9" t="s">
        <v>5044</v>
      </c>
      <c r="P421" s="7">
        <v>0</v>
      </c>
      <c r="Q421" s="7">
        <v>0</v>
      </c>
      <c r="R421" s="7">
        <v>0</v>
      </c>
      <c r="S421" s="7">
        <v>1</v>
      </c>
      <c r="T421" s="7">
        <v>4</v>
      </c>
      <c r="U421" s="7">
        <v>102</v>
      </c>
      <c r="V421" s="7">
        <v>0</v>
      </c>
      <c r="W421" s="7">
        <v>1</v>
      </c>
      <c r="X421" s="7">
        <v>0</v>
      </c>
      <c r="Y421" s="7">
        <v>0</v>
      </c>
      <c r="Z421" s="7">
        <v>0</v>
      </c>
      <c r="AA421" s="7">
        <v>0</v>
      </c>
      <c r="AB421" s="7">
        <v>0</v>
      </c>
      <c r="AC421" s="7">
        <v>1</v>
      </c>
      <c r="AD421" s="7" t="s">
        <v>5044</v>
      </c>
      <c r="AE421" s="7" t="s">
        <v>5044</v>
      </c>
      <c r="AF421" s="7" t="s">
        <v>5044</v>
      </c>
      <c r="AG421" s="7">
        <v>2</v>
      </c>
      <c r="AH421" s="7">
        <v>3</v>
      </c>
      <c r="AI421" s="7">
        <v>0</v>
      </c>
      <c r="AJ421" s="7" t="s">
        <v>5044</v>
      </c>
      <c r="AK421" s="7" t="s">
        <v>5705</v>
      </c>
      <c r="AL421" s="7">
        <v>1</v>
      </c>
      <c r="AM421" s="7">
        <v>0</v>
      </c>
      <c r="AO421" s="11">
        <v>3</v>
      </c>
    </row>
    <row r="422" spans="1:41" ht="63" customHeight="1" x14ac:dyDescent="0.2">
      <c r="A422" s="7">
        <v>5269</v>
      </c>
      <c r="B422" s="7" t="s">
        <v>1546</v>
      </c>
      <c r="C422" s="7" t="s">
        <v>1547</v>
      </c>
      <c r="D422" s="7" t="s">
        <v>16</v>
      </c>
      <c r="F422" s="7" t="s">
        <v>26</v>
      </c>
      <c r="G422" s="7" t="s">
        <v>37</v>
      </c>
      <c r="H422" s="7" t="s">
        <v>1548</v>
      </c>
      <c r="I422" s="7" t="s">
        <v>13</v>
      </c>
      <c r="J422" s="7" t="s">
        <v>1549</v>
      </c>
      <c r="K422" s="7" t="s">
        <v>1550</v>
      </c>
      <c r="L422" s="7" t="s">
        <v>5702</v>
      </c>
      <c r="M422" s="7">
        <v>0</v>
      </c>
      <c r="N422" s="9" t="s">
        <v>5044</v>
      </c>
      <c r="O422" s="9" t="s">
        <v>5044</v>
      </c>
      <c r="P422" s="7">
        <v>0</v>
      </c>
      <c r="Q422" s="7">
        <v>0</v>
      </c>
      <c r="R422" s="7">
        <v>0</v>
      </c>
      <c r="S422" s="7">
        <v>5</v>
      </c>
      <c r="T422" s="7">
        <v>6</v>
      </c>
      <c r="U422" s="7">
        <v>80</v>
      </c>
      <c r="V422" s="7">
        <v>0</v>
      </c>
      <c r="W422" s="7">
        <v>1</v>
      </c>
      <c r="X422" s="7">
        <v>0</v>
      </c>
      <c r="Y422" s="7">
        <v>0</v>
      </c>
      <c r="Z422" s="7">
        <v>0</v>
      </c>
      <c r="AA422" s="7">
        <v>0</v>
      </c>
      <c r="AB422" s="7">
        <v>0</v>
      </c>
      <c r="AC422" s="7">
        <v>1</v>
      </c>
      <c r="AD422" s="7" t="s">
        <v>5044</v>
      </c>
      <c r="AE422" s="7" t="s">
        <v>5044</v>
      </c>
      <c r="AF422" s="7" t="s">
        <v>5044</v>
      </c>
      <c r="AG422" s="7">
        <v>2</v>
      </c>
      <c r="AH422" s="7">
        <v>3</v>
      </c>
      <c r="AI422" s="7">
        <v>0</v>
      </c>
      <c r="AJ422" s="7" t="s">
        <v>5044</v>
      </c>
      <c r="AK422" s="7">
        <v>1</v>
      </c>
      <c r="AL422" s="7">
        <v>0</v>
      </c>
      <c r="AM422" s="7">
        <v>0</v>
      </c>
      <c r="AO422" s="11">
        <v>3</v>
      </c>
    </row>
    <row r="423" spans="1:41" ht="63" customHeight="1" x14ac:dyDescent="0.2">
      <c r="A423" s="7">
        <v>5275</v>
      </c>
      <c r="B423" s="7" t="s">
        <v>1551</v>
      </c>
      <c r="C423" s="7" t="s">
        <v>1552</v>
      </c>
      <c r="D423" s="7" t="s">
        <v>74</v>
      </c>
      <c r="F423" s="7" t="s">
        <v>458</v>
      </c>
      <c r="G423" s="7" t="s">
        <v>175</v>
      </c>
      <c r="H423" s="7" t="s">
        <v>1553</v>
      </c>
      <c r="I423" s="7" t="s">
        <v>13</v>
      </c>
      <c r="J423" s="7" t="s">
        <v>1554</v>
      </c>
      <c r="K423" s="7" t="s">
        <v>1555</v>
      </c>
      <c r="L423" s="7" t="s">
        <v>5044</v>
      </c>
      <c r="M423" s="7">
        <v>0</v>
      </c>
      <c r="N423" s="9" t="s">
        <v>5044</v>
      </c>
      <c r="O423" s="9" t="s">
        <v>5044</v>
      </c>
      <c r="P423" s="7">
        <v>0</v>
      </c>
      <c r="Q423" s="7">
        <v>0</v>
      </c>
      <c r="R423" s="7">
        <v>0</v>
      </c>
      <c r="S423" s="7">
        <v>3</v>
      </c>
      <c r="T423" s="7">
        <v>6</v>
      </c>
      <c r="U423" s="7">
        <v>100</v>
      </c>
      <c r="V423" s="7">
        <v>1</v>
      </c>
      <c r="W423" s="7">
        <v>0</v>
      </c>
      <c r="X423" s="7">
        <v>0</v>
      </c>
      <c r="Y423" s="7">
        <v>0</v>
      </c>
      <c r="Z423" s="7">
        <v>0</v>
      </c>
      <c r="AA423" s="7">
        <v>0</v>
      </c>
      <c r="AB423" s="7">
        <v>1</v>
      </c>
      <c r="AC423" s="7">
        <v>1</v>
      </c>
      <c r="AD423" s="7">
        <v>1</v>
      </c>
      <c r="AE423" s="7">
        <v>0</v>
      </c>
      <c r="AF423" s="7">
        <v>0</v>
      </c>
      <c r="AG423" s="7" t="s">
        <v>5044</v>
      </c>
      <c r="AH423" s="7" t="s">
        <v>5044</v>
      </c>
      <c r="AI423" s="7" t="s">
        <v>5044</v>
      </c>
      <c r="AJ423" s="7" t="s">
        <v>5044</v>
      </c>
      <c r="AL423" s="7">
        <v>1</v>
      </c>
      <c r="AM423" s="7">
        <v>0</v>
      </c>
      <c r="AN423" s="7" t="s">
        <v>5701</v>
      </c>
      <c r="AO423" s="9">
        <v>0</v>
      </c>
    </row>
    <row r="424" spans="1:41" ht="63" customHeight="1" x14ac:dyDescent="0.2">
      <c r="A424" s="7">
        <v>5286</v>
      </c>
      <c r="B424" s="7" t="s">
        <v>1556</v>
      </c>
      <c r="C424" s="7" t="s">
        <v>1557</v>
      </c>
      <c r="D424" s="7" t="s">
        <v>149</v>
      </c>
      <c r="F424" s="7" t="s">
        <v>136</v>
      </c>
      <c r="G424" s="7" t="s">
        <v>11</v>
      </c>
      <c r="H424" s="7" t="s">
        <v>427</v>
      </c>
      <c r="I424" s="7" t="s">
        <v>13</v>
      </c>
      <c r="J424" s="7" t="s">
        <v>1558</v>
      </c>
      <c r="K424" s="7" t="s">
        <v>1559</v>
      </c>
      <c r="L424" s="7">
        <v>3690</v>
      </c>
      <c r="M424" s="7">
        <v>0</v>
      </c>
      <c r="N424" s="9" t="s">
        <v>5044</v>
      </c>
      <c r="O424" s="9" t="s">
        <v>5044</v>
      </c>
      <c r="P424" s="7">
        <v>0</v>
      </c>
      <c r="Q424" s="7">
        <v>0</v>
      </c>
      <c r="R424" s="7">
        <v>0</v>
      </c>
      <c r="S424" s="7">
        <v>1</v>
      </c>
      <c r="T424" s="7">
        <v>4</v>
      </c>
      <c r="U424" s="7">
        <v>73</v>
      </c>
      <c r="V424" s="7">
        <v>0</v>
      </c>
      <c r="W424" s="7">
        <v>1</v>
      </c>
      <c r="X424" s="7">
        <v>0</v>
      </c>
      <c r="Y424" s="7">
        <v>0</v>
      </c>
      <c r="Z424" s="7">
        <v>0</v>
      </c>
      <c r="AA424" s="7">
        <v>0</v>
      </c>
      <c r="AB424" s="7">
        <v>1</v>
      </c>
      <c r="AC424" s="7">
        <v>1</v>
      </c>
      <c r="AD424" s="7" t="s">
        <v>5044</v>
      </c>
      <c r="AE424" s="7" t="s">
        <v>5044</v>
      </c>
      <c r="AF424" s="7" t="s">
        <v>5044</v>
      </c>
      <c r="AG424" s="7">
        <v>1</v>
      </c>
      <c r="AH424" s="7">
        <v>0</v>
      </c>
      <c r="AI424" s="7">
        <v>0</v>
      </c>
      <c r="AJ424" s="7" t="s">
        <v>5044</v>
      </c>
      <c r="AL424" s="7">
        <v>0</v>
      </c>
      <c r="AM424" s="7">
        <v>0</v>
      </c>
      <c r="AO424" s="9">
        <v>0</v>
      </c>
    </row>
    <row r="425" spans="1:41" ht="63" customHeight="1" x14ac:dyDescent="0.2">
      <c r="A425" s="7">
        <v>5288</v>
      </c>
      <c r="B425" s="7" t="s">
        <v>1560</v>
      </c>
      <c r="C425" s="7" t="s">
        <v>1561</v>
      </c>
      <c r="D425" s="7" t="s">
        <v>56</v>
      </c>
      <c r="F425" s="7" t="s">
        <v>325</v>
      </c>
      <c r="H425" s="7" t="s">
        <v>572</v>
      </c>
      <c r="I425" s="7" t="s">
        <v>13</v>
      </c>
      <c r="J425" s="7" t="s">
        <v>1562</v>
      </c>
      <c r="K425" s="7" t="s">
        <v>1563</v>
      </c>
      <c r="L425" s="7" t="s">
        <v>5044</v>
      </c>
      <c r="M425" s="7">
        <v>0</v>
      </c>
      <c r="N425" s="9" t="s">
        <v>5044</v>
      </c>
      <c r="O425" s="9" t="s">
        <v>5044</v>
      </c>
      <c r="P425" s="7">
        <v>0</v>
      </c>
      <c r="Q425" s="7">
        <v>0</v>
      </c>
      <c r="R425" s="7">
        <v>0</v>
      </c>
      <c r="S425" s="7">
        <v>1</v>
      </c>
      <c r="T425" s="7">
        <v>5</v>
      </c>
      <c r="U425" s="7">
        <v>1265</v>
      </c>
      <c r="V425" s="7">
        <v>0</v>
      </c>
      <c r="W425" s="7">
        <v>1</v>
      </c>
      <c r="X425" s="7">
        <v>0</v>
      </c>
      <c r="Y425" s="7">
        <v>0</v>
      </c>
      <c r="Z425" s="7">
        <v>0</v>
      </c>
      <c r="AA425" s="7">
        <v>0</v>
      </c>
      <c r="AB425" s="7">
        <v>1</v>
      </c>
      <c r="AC425" s="7">
        <v>1</v>
      </c>
      <c r="AD425" s="7" t="s">
        <v>5044</v>
      </c>
      <c r="AE425" s="7" t="s">
        <v>5044</v>
      </c>
      <c r="AF425" s="7" t="s">
        <v>5044</v>
      </c>
      <c r="AG425" s="7">
        <v>2</v>
      </c>
      <c r="AH425" s="7">
        <v>3</v>
      </c>
      <c r="AI425" s="7">
        <v>0</v>
      </c>
      <c r="AJ425" s="7" t="s">
        <v>5044</v>
      </c>
      <c r="AL425" s="7">
        <v>1</v>
      </c>
      <c r="AM425" s="7">
        <v>0</v>
      </c>
      <c r="AO425" s="11">
        <v>3</v>
      </c>
    </row>
    <row r="426" spans="1:41" ht="63" customHeight="1" x14ac:dyDescent="0.2">
      <c r="A426" s="7">
        <v>5294</v>
      </c>
      <c r="B426" s="7" t="s">
        <v>1564</v>
      </c>
      <c r="C426" s="7" t="s">
        <v>1565</v>
      </c>
      <c r="D426" s="7" t="s">
        <v>41</v>
      </c>
      <c r="F426" s="7" t="s">
        <v>254</v>
      </c>
      <c r="G426" s="7" t="s">
        <v>11</v>
      </c>
      <c r="H426" s="7" t="s">
        <v>442</v>
      </c>
      <c r="I426" s="7" t="s">
        <v>13</v>
      </c>
      <c r="J426" s="7" t="s">
        <v>1566</v>
      </c>
      <c r="K426" s="7" t="s">
        <v>1567</v>
      </c>
      <c r="L426" s="7" t="s">
        <v>5044</v>
      </c>
      <c r="M426" s="7">
        <v>0</v>
      </c>
      <c r="N426" s="9" t="s">
        <v>5044</v>
      </c>
      <c r="O426" s="9" t="s">
        <v>5044</v>
      </c>
      <c r="P426" s="7">
        <v>0</v>
      </c>
      <c r="Q426" s="7">
        <v>0</v>
      </c>
      <c r="R426" s="7">
        <v>0</v>
      </c>
      <c r="S426" s="7">
        <v>1</v>
      </c>
      <c r="T426" s="7">
        <v>4</v>
      </c>
      <c r="U426" s="7">
        <v>1003</v>
      </c>
      <c r="V426" s="7">
        <v>0</v>
      </c>
      <c r="W426" s="7">
        <v>1</v>
      </c>
      <c r="X426" s="7">
        <v>0</v>
      </c>
      <c r="Y426" s="7">
        <v>0</v>
      </c>
      <c r="Z426" s="7">
        <v>0</v>
      </c>
      <c r="AA426" s="7">
        <v>0</v>
      </c>
      <c r="AB426" s="7">
        <v>1</v>
      </c>
      <c r="AC426" s="7">
        <v>1</v>
      </c>
      <c r="AD426" s="7" t="s">
        <v>5044</v>
      </c>
      <c r="AE426" s="7" t="s">
        <v>5044</v>
      </c>
      <c r="AF426" s="7" t="s">
        <v>5044</v>
      </c>
      <c r="AG426" s="7">
        <v>2</v>
      </c>
      <c r="AH426" s="7">
        <v>2</v>
      </c>
      <c r="AI426" s="7">
        <v>2</v>
      </c>
      <c r="AJ426" s="7" t="s">
        <v>5044</v>
      </c>
      <c r="AL426" s="7">
        <v>0</v>
      </c>
      <c r="AM426" s="7">
        <v>0</v>
      </c>
      <c r="AO426" s="11">
        <v>2</v>
      </c>
    </row>
    <row r="427" spans="1:41" ht="63" customHeight="1" x14ac:dyDescent="0.2">
      <c r="A427" s="7">
        <v>5297</v>
      </c>
      <c r="B427" s="7" t="s">
        <v>1568</v>
      </c>
      <c r="C427" s="7" t="s">
        <v>1569</v>
      </c>
      <c r="D427" s="7" t="s">
        <v>46</v>
      </c>
      <c r="F427" s="7" t="s">
        <v>416</v>
      </c>
      <c r="H427" s="7" t="s">
        <v>572</v>
      </c>
      <c r="I427" s="7" t="s">
        <v>13</v>
      </c>
      <c r="J427" s="7" t="s">
        <v>1570</v>
      </c>
      <c r="K427" s="7" t="s">
        <v>1571</v>
      </c>
      <c r="L427" s="7" t="s">
        <v>5685</v>
      </c>
      <c r="M427" s="7">
        <v>0</v>
      </c>
      <c r="N427" s="9" t="s">
        <v>5044</v>
      </c>
      <c r="O427" s="9" t="s">
        <v>5044</v>
      </c>
      <c r="P427" s="7">
        <v>0</v>
      </c>
      <c r="Q427" s="7">
        <v>0</v>
      </c>
      <c r="R427" s="7">
        <v>0</v>
      </c>
      <c r="S427" s="7">
        <v>1</v>
      </c>
      <c r="T427" s="7">
        <v>4</v>
      </c>
      <c r="U427" s="7">
        <v>71</v>
      </c>
      <c r="V427" s="7">
        <v>0</v>
      </c>
      <c r="W427" s="7">
        <v>1</v>
      </c>
      <c r="X427" s="7">
        <v>0</v>
      </c>
      <c r="Y427" s="7">
        <v>0</v>
      </c>
      <c r="Z427" s="7">
        <v>0</v>
      </c>
      <c r="AA427" s="7">
        <v>0</v>
      </c>
      <c r="AB427" s="7">
        <v>1</v>
      </c>
      <c r="AC427" s="7">
        <v>1</v>
      </c>
      <c r="AD427" s="7" t="s">
        <v>5044</v>
      </c>
      <c r="AE427" s="7" t="s">
        <v>5044</v>
      </c>
      <c r="AF427" s="7" t="s">
        <v>5044</v>
      </c>
      <c r="AG427" s="7">
        <v>2</v>
      </c>
      <c r="AH427" s="7">
        <v>3</v>
      </c>
      <c r="AI427" s="7">
        <v>0</v>
      </c>
      <c r="AJ427" s="7" t="s">
        <v>5044</v>
      </c>
      <c r="AK427" s="7">
        <v>1</v>
      </c>
      <c r="AL427" s="7">
        <v>0</v>
      </c>
      <c r="AM427" s="7">
        <v>0</v>
      </c>
      <c r="AO427" s="11">
        <v>3</v>
      </c>
    </row>
    <row r="428" spans="1:41" ht="63" customHeight="1" x14ac:dyDescent="0.2">
      <c r="A428" s="7">
        <v>5315</v>
      </c>
      <c r="B428" s="7" t="s">
        <v>1572</v>
      </c>
      <c r="C428" s="7" t="s">
        <v>1573</v>
      </c>
      <c r="D428" s="7" t="s">
        <v>41</v>
      </c>
      <c r="F428" s="7" t="s">
        <v>107</v>
      </c>
      <c r="G428" s="7" t="s">
        <v>52</v>
      </c>
      <c r="H428" s="7" t="s">
        <v>119</v>
      </c>
      <c r="I428" s="7" t="s">
        <v>13</v>
      </c>
      <c r="J428" s="7" t="s">
        <v>1574</v>
      </c>
      <c r="K428" s="7" t="s">
        <v>1575</v>
      </c>
      <c r="L428" s="7" t="s">
        <v>5684</v>
      </c>
      <c r="M428" s="7">
        <v>0</v>
      </c>
      <c r="N428" s="9" t="s">
        <v>5044</v>
      </c>
      <c r="O428" s="9" t="s">
        <v>5044</v>
      </c>
      <c r="P428" s="7">
        <v>0</v>
      </c>
      <c r="Q428" s="7">
        <v>0</v>
      </c>
      <c r="R428" s="7">
        <v>0</v>
      </c>
      <c r="S428" s="7">
        <v>1</v>
      </c>
      <c r="T428" s="7">
        <v>4</v>
      </c>
      <c r="U428" s="7">
        <v>103</v>
      </c>
      <c r="V428" s="7">
        <v>0</v>
      </c>
      <c r="W428" s="7">
        <v>1</v>
      </c>
      <c r="X428" s="7">
        <v>0</v>
      </c>
      <c r="Y428" s="7">
        <v>0</v>
      </c>
      <c r="Z428" s="7">
        <v>0</v>
      </c>
      <c r="AA428" s="7">
        <v>0</v>
      </c>
      <c r="AB428" s="7">
        <v>0</v>
      </c>
      <c r="AC428" s="7">
        <v>1</v>
      </c>
      <c r="AD428" s="7" t="s">
        <v>5044</v>
      </c>
      <c r="AE428" s="7" t="s">
        <v>5044</v>
      </c>
      <c r="AF428" s="7" t="s">
        <v>5044</v>
      </c>
      <c r="AG428" s="7">
        <v>2</v>
      </c>
      <c r="AH428" s="7">
        <v>1</v>
      </c>
      <c r="AI428" s="7">
        <v>1</v>
      </c>
      <c r="AJ428" s="7" t="s">
        <v>5044</v>
      </c>
      <c r="AL428" s="7">
        <v>0</v>
      </c>
      <c r="AM428" s="7">
        <v>0</v>
      </c>
      <c r="AO428" s="11">
        <v>1</v>
      </c>
    </row>
    <row r="429" spans="1:41" ht="63" customHeight="1" x14ac:dyDescent="0.2">
      <c r="A429" s="7">
        <v>5330</v>
      </c>
      <c r="B429" s="7" t="s">
        <v>1576</v>
      </c>
      <c r="C429" s="7" t="s">
        <v>1577</v>
      </c>
      <c r="D429" s="7" t="s">
        <v>95</v>
      </c>
      <c r="F429" s="7" t="s">
        <v>175</v>
      </c>
      <c r="G429" s="7" t="s">
        <v>144</v>
      </c>
      <c r="H429" s="7" t="s">
        <v>19</v>
      </c>
      <c r="I429" s="7" t="s">
        <v>13</v>
      </c>
      <c r="J429" s="7" t="s">
        <v>1578</v>
      </c>
      <c r="K429" s="7" t="s">
        <v>1579</v>
      </c>
      <c r="L429" s="7" t="s">
        <v>5683</v>
      </c>
      <c r="M429" s="7">
        <v>0</v>
      </c>
      <c r="N429" s="9" t="s">
        <v>5044</v>
      </c>
      <c r="O429" s="9" t="s">
        <v>5044</v>
      </c>
      <c r="P429" s="7">
        <v>0</v>
      </c>
      <c r="Q429" s="7">
        <v>0</v>
      </c>
      <c r="R429" s="7">
        <v>0</v>
      </c>
      <c r="S429" s="7">
        <v>4</v>
      </c>
      <c r="T429" s="7">
        <v>5</v>
      </c>
      <c r="U429" s="7">
        <v>160</v>
      </c>
      <c r="V429" s="7">
        <v>0</v>
      </c>
      <c r="W429" s="7">
        <v>1</v>
      </c>
      <c r="X429" s="7">
        <v>0</v>
      </c>
      <c r="Y429" s="7">
        <v>0</v>
      </c>
      <c r="Z429" s="7">
        <v>0</v>
      </c>
      <c r="AA429" s="7">
        <v>0</v>
      </c>
      <c r="AB429" s="7">
        <v>1</v>
      </c>
      <c r="AC429" s="7">
        <v>0</v>
      </c>
      <c r="AD429" s="7" t="s">
        <v>5044</v>
      </c>
      <c r="AE429" s="7" t="s">
        <v>5044</v>
      </c>
      <c r="AF429" s="7" t="s">
        <v>5044</v>
      </c>
      <c r="AG429" s="7">
        <v>0</v>
      </c>
      <c r="AH429" s="7" t="s">
        <v>5044</v>
      </c>
      <c r="AI429" s="7" t="s">
        <v>5044</v>
      </c>
      <c r="AJ429" s="7" t="s">
        <v>5044</v>
      </c>
      <c r="AL429" s="7">
        <v>0</v>
      </c>
      <c r="AM429" s="7">
        <v>0</v>
      </c>
      <c r="AO429" s="11">
        <v>9</v>
      </c>
    </row>
    <row r="430" spans="1:41" ht="63" customHeight="1" x14ac:dyDescent="0.2">
      <c r="A430" s="7">
        <v>5358</v>
      </c>
      <c r="B430" s="7" t="s">
        <v>1580</v>
      </c>
      <c r="C430" s="7" t="s">
        <v>1581</v>
      </c>
      <c r="D430" s="7" t="s">
        <v>16</v>
      </c>
      <c r="F430" s="7" t="s">
        <v>293</v>
      </c>
      <c r="G430" s="7" t="s">
        <v>17</v>
      </c>
      <c r="H430" s="7" t="s">
        <v>1582</v>
      </c>
      <c r="I430" s="7" t="s">
        <v>13</v>
      </c>
      <c r="J430" s="7" t="s">
        <v>1583</v>
      </c>
      <c r="K430" s="7" t="s">
        <v>1584</v>
      </c>
      <c r="L430" s="7" t="s">
        <v>5682</v>
      </c>
      <c r="M430" s="7">
        <v>0</v>
      </c>
      <c r="N430" s="9" t="s">
        <v>5044</v>
      </c>
      <c r="O430" s="9" t="s">
        <v>5044</v>
      </c>
      <c r="P430" s="7">
        <v>0</v>
      </c>
      <c r="Q430" s="7">
        <v>0</v>
      </c>
      <c r="R430" s="7">
        <v>0</v>
      </c>
      <c r="S430" s="7">
        <v>1</v>
      </c>
      <c r="T430" s="7">
        <v>1</v>
      </c>
      <c r="U430" s="7">
        <v>40</v>
      </c>
      <c r="V430" s="7">
        <v>0</v>
      </c>
      <c r="W430" s="7">
        <v>1</v>
      </c>
      <c r="X430" s="7">
        <v>0</v>
      </c>
      <c r="Y430" s="7">
        <v>0</v>
      </c>
      <c r="Z430" s="7">
        <v>0</v>
      </c>
      <c r="AA430" s="7">
        <v>0</v>
      </c>
      <c r="AB430" s="7">
        <v>1</v>
      </c>
      <c r="AC430" s="7">
        <v>1</v>
      </c>
      <c r="AD430" s="7" t="s">
        <v>5044</v>
      </c>
      <c r="AE430" s="7" t="s">
        <v>5044</v>
      </c>
      <c r="AF430" s="7" t="s">
        <v>5044</v>
      </c>
      <c r="AG430" s="7">
        <v>1</v>
      </c>
      <c r="AH430" s="7">
        <v>0</v>
      </c>
      <c r="AI430" s="7">
        <v>0</v>
      </c>
      <c r="AJ430" s="7" t="s">
        <v>5044</v>
      </c>
      <c r="AL430" s="7">
        <v>0</v>
      </c>
      <c r="AM430" s="7">
        <v>0</v>
      </c>
      <c r="AO430" s="9">
        <v>0</v>
      </c>
    </row>
    <row r="431" spans="1:41" ht="63" customHeight="1" x14ac:dyDescent="0.2">
      <c r="A431" s="7">
        <v>5362</v>
      </c>
      <c r="B431" s="7" t="s">
        <v>1585</v>
      </c>
      <c r="C431" s="7" t="s">
        <v>1586</v>
      </c>
      <c r="D431" s="7" t="s">
        <v>22</v>
      </c>
      <c r="F431" s="7" t="s">
        <v>1587</v>
      </c>
      <c r="G431" s="7" t="s">
        <v>17</v>
      </c>
      <c r="H431" s="7" t="s">
        <v>217</v>
      </c>
      <c r="I431" s="7" t="s">
        <v>13</v>
      </c>
      <c r="J431" s="7" t="s">
        <v>1588</v>
      </c>
      <c r="K431" s="7" t="s">
        <v>1589</v>
      </c>
      <c r="L431" s="7" t="s">
        <v>5681</v>
      </c>
      <c r="M431" s="7">
        <v>0</v>
      </c>
      <c r="N431" s="9" t="s">
        <v>5044</v>
      </c>
      <c r="O431" s="9" t="s">
        <v>5044</v>
      </c>
      <c r="P431" s="7">
        <v>0</v>
      </c>
      <c r="Q431" s="7">
        <v>0</v>
      </c>
      <c r="R431" s="7">
        <v>0</v>
      </c>
      <c r="S431" s="7">
        <v>9</v>
      </c>
      <c r="T431" s="7">
        <v>2</v>
      </c>
      <c r="U431" s="7">
        <v>68</v>
      </c>
      <c r="V431" s="7">
        <v>0</v>
      </c>
      <c r="W431" s="7">
        <v>1</v>
      </c>
      <c r="X431" s="7">
        <v>0</v>
      </c>
      <c r="Y431" s="7">
        <v>0</v>
      </c>
      <c r="Z431" s="7">
        <v>1</v>
      </c>
      <c r="AA431" s="7">
        <v>0</v>
      </c>
      <c r="AB431" s="7">
        <v>1</v>
      </c>
      <c r="AC431" s="7">
        <v>1</v>
      </c>
      <c r="AD431" s="7" t="s">
        <v>5044</v>
      </c>
      <c r="AE431" s="7" t="s">
        <v>5044</v>
      </c>
      <c r="AF431" s="7" t="s">
        <v>5044</v>
      </c>
      <c r="AG431" s="7">
        <v>1</v>
      </c>
      <c r="AH431" s="7">
        <v>0</v>
      </c>
      <c r="AI431" s="7">
        <v>0</v>
      </c>
      <c r="AJ431" s="7">
        <v>0</v>
      </c>
      <c r="AL431" s="7">
        <v>1</v>
      </c>
      <c r="AM431" s="7">
        <v>0</v>
      </c>
      <c r="AO431" s="9">
        <v>0</v>
      </c>
    </row>
    <row r="432" spans="1:41" ht="63" customHeight="1" x14ac:dyDescent="0.2">
      <c r="A432" s="7">
        <v>5364</v>
      </c>
      <c r="B432" s="7" t="s">
        <v>1590</v>
      </c>
      <c r="C432" s="7" t="s">
        <v>1591</v>
      </c>
      <c r="D432" s="7" t="s">
        <v>41</v>
      </c>
      <c r="F432" s="7" t="s">
        <v>175</v>
      </c>
      <c r="G432" s="7" t="s">
        <v>52</v>
      </c>
      <c r="H432" s="7" t="s">
        <v>708</v>
      </c>
      <c r="I432" s="7" t="s">
        <v>13</v>
      </c>
      <c r="J432" s="7" t="s">
        <v>1592</v>
      </c>
      <c r="K432" s="7" t="s">
        <v>1593</v>
      </c>
      <c r="L432" s="7" t="s">
        <v>5680</v>
      </c>
      <c r="M432" s="7">
        <v>0</v>
      </c>
      <c r="N432" s="9" t="s">
        <v>5044</v>
      </c>
      <c r="O432" s="9" t="s">
        <v>5044</v>
      </c>
      <c r="P432" s="7">
        <v>0</v>
      </c>
      <c r="Q432" s="7">
        <v>0</v>
      </c>
      <c r="R432" s="7">
        <v>0</v>
      </c>
      <c r="S432" s="7">
        <v>3</v>
      </c>
      <c r="T432" s="7">
        <v>2</v>
      </c>
      <c r="U432" s="7">
        <v>70</v>
      </c>
      <c r="V432" s="7">
        <v>0</v>
      </c>
      <c r="W432" s="7">
        <v>1</v>
      </c>
      <c r="X432" s="7">
        <v>0</v>
      </c>
      <c r="Y432" s="7">
        <v>0</v>
      </c>
      <c r="Z432" s="7">
        <v>0</v>
      </c>
      <c r="AA432" s="7">
        <v>0</v>
      </c>
      <c r="AB432" s="7">
        <v>1</v>
      </c>
      <c r="AC432" s="7">
        <v>1</v>
      </c>
      <c r="AD432" s="7" t="s">
        <v>5044</v>
      </c>
      <c r="AE432" s="7" t="s">
        <v>5044</v>
      </c>
      <c r="AF432" s="7" t="s">
        <v>5044</v>
      </c>
      <c r="AG432" s="7">
        <v>1</v>
      </c>
      <c r="AH432" s="7">
        <v>0</v>
      </c>
      <c r="AI432" s="7">
        <v>0</v>
      </c>
      <c r="AJ432" s="7" t="s">
        <v>5044</v>
      </c>
      <c r="AL432" s="7">
        <v>1</v>
      </c>
      <c r="AM432" s="7">
        <v>0</v>
      </c>
      <c r="AO432" s="9">
        <v>0</v>
      </c>
    </row>
    <row r="433" spans="1:41" ht="63" customHeight="1" x14ac:dyDescent="0.2">
      <c r="A433" s="7">
        <v>5378</v>
      </c>
      <c r="B433" s="7" t="s">
        <v>1594</v>
      </c>
      <c r="C433" s="7" t="s">
        <v>1595</v>
      </c>
      <c r="D433" s="7" t="s">
        <v>25</v>
      </c>
      <c r="F433" s="7" t="s">
        <v>299</v>
      </c>
      <c r="G433" s="7" t="s">
        <v>52</v>
      </c>
      <c r="H433" s="7" t="s">
        <v>656</v>
      </c>
      <c r="I433" s="7" t="s">
        <v>13</v>
      </c>
      <c r="J433" s="7" t="s">
        <v>1596</v>
      </c>
      <c r="K433" s="7" t="s">
        <v>1597</v>
      </c>
      <c r="L433" s="7" t="s">
        <v>5679</v>
      </c>
      <c r="M433" s="7">
        <v>0</v>
      </c>
      <c r="N433" s="9" t="s">
        <v>5044</v>
      </c>
      <c r="O433" s="9" t="s">
        <v>5044</v>
      </c>
      <c r="P433" s="7">
        <v>1</v>
      </c>
      <c r="Q433" s="7">
        <v>0</v>
      </c>
      <c r="R433" s="7">
        <v>0</v>
      </c>
      <c r="S433" s="7">
        <v>1</v>
      </c>
      <c r="T433" s="7">
        <v>2</v>
      </c>
      <c r="U433" s="7">
        <v>86</v>
      </c>
      <c r="V433" s="7">
        <v>0</v>
      </c>
      <c r="W433" s="7">
        <v>1</v>
      </c>
      <c r="X433" s="7">
        <v>0</v>
      </c>
      <c r="Y433" s="7">
        <v>0</v>
      </c>
      <c r="Z433" s="7">
        <v>0</v>
      </c>
      <c r="AA433" s="7">
        <v>0</v>
      </c>
      <c r="AB433" s="7">
        <v>1</v>
      </c>
      <c r="AC433" s="7">
        <v>1</v>
      </c>
      <c r="AD433" s="7" t="s">
        <v>5044</v>
      </c>
      <c r="AE433" s="7" t="s">
        <v>5044</v>
      </c>
      <c r="AF433" s="7" t="s">
        <v>5044</v>
      </c>
      <c r="AG433" s="7">
        <v>2</v>
      </c>
      <c r="AH433" s="7">
        <v>3</v>
      </c>
      <c r="AI433" s="7">
        <v>0</v>
      </c>
      <c r="AJ433" s="7" t="s">
        <v>5044</v>
      </c>
      <c r="AL433" s="7" t="s">
        <v>5044</v>
      </c>
      <c r="AM433" s="7">
        <v>0</v>
      </c>
      <c r="AN433" s="7" t="s">
        <v>2539</v>
      </c>
      <c r="AO433" s="11">
        <v>3</v>
      </c>
    </row>
    <row r="434" spans="1:41" ht="63" customHeight="1" x14ac:dyDescent="0.2">
      <c r="A434" s="7">
        <v>5389</v>
      </c>
      <c r="B434" s="7" t="s">
        <v>1598</v>
      </c>
      <c r="C434" s="7" t="s">
        <v>1599</v>
      </c>
      <c r="D434" s="7" t="s">
        <v>16</v>
      </c>
      <c r="F434" s="7" t="s">
        <v>1180</v>
      </c>
      <c r="H434" s="7" t="s">
        <v>572</v>
      </c>
      <c r="I434" s="7" t="s">
        <v>13</v>
      </c>
      <c r="J434" s="7" t="s">
        <v>1600</v>
      </c>
      <c r="K434" s="7" t="s">
        <v>1601</v>
      </c>
      <c r="L434" s="7" t="s">
        <v>5678</v>
      </c>
      <c r="M434" s="7">
        <v>0</v>
      </c>
      <c r="N434" s="9" t="s">
        <v>5044</v>
      </c>
      <c r="O434" s="9" t="s">
        <v>5044</v>
      </c>
      <c r="P434" s="7">
        <v>1</v>
      </c>
      <c r="Q434" s="7">
        <v>0</v>
      </c>
      <c r="R434" s="7">
        <v>0</v>
      </c>
      <c r="S434" s="7">
        <v>1</v>
      </c>
      <c r="T434" s="7">
        <v>1</v>
      </c>
      <c r="U434" s="7">
        <v>44</v>
      </c>
      <c r="V434" s="7">
        <v>0</v>
      </c>
      <c r="W434" s="7">
        <v>1</v>
      </c>
      <c r="X434" s="7">
        <v>0</v>
      </c>
      <c r="Y434" s="7">
        <v>0</v>
      </c>
      <c r="Z434" s="7">
        <v>1</v>
      </c>
      <c r="AA434" s="7">
        <v>0</v>
      </c>
      <c r="AB434" s="7">
        <v>1</v>
      </c>
      <c r="AC434" s="7">
        <v>1</v>
      </c>
      <c r="AD434" s="7" t="s">
        <v>5044</v>
      </c>
      <c r="AE434" s="7" t="s">
        <v>5044</v>
      </c>
      <c r="AF434" s="7" t="s">
        <v>5044</v>
      </c>
      <c r="AG434" s="7">
        <v>2</v>
      </c>
      <c r="AH434" s="7">
        <v>3</v>
      </c>
      <c r="AI434" s="7">
        <v>0</v>
      </c>
      <c r="AJ434" s="7">
        <v>0</v>
      </c>
      <c r="AL434" s="7" t="s">
        <v>5044</v>
      </c>
      <c r="AM434" s="7">
        <v>0</v>
      </c>
      <c r="AN434" s="7" t="s">
        <v>3714</v>
      </c>
      <c r="AO434" s="11">
        <v>3</v>
      </c>
    </row>
    <row r="435" spans="1:41" ht="63" customHeight="1" x14ac:dyDescent="0.2">
      <c r="A435" s="7">
        <v>5394</v>
      </c>
      <c r="B435" s="7" t="s">
        <v>1602</v>
      </c>
      <c r="C435" s="7" t="s">
        <v>1603</v>
      </c>
      <c r="D435" s="7" t="s">
        <v>41</v>
      </c>
      <c r="F435" s="7" t="s">
        <v>92</v>
      </c>
      <c r="G435" s="7" t="s">
        <v>52</v>
      </c>
      <c r="H435" s="7" t="s">
        <v>183</v>
      </c>
      <c r="I435" s="7" t="s">
        <v>13</v>
      </c>
      <c r="J435" s="7" t="s">
        <v>1604</v>
      </c>
      <c r="K435" s="7" t="s">
        <v>1605</v>
      </c>
      <c r="L435" s="7" t="s">
        <v>5677</v>
      </c>
      <c r="M435" s="7">
        <v>0</v>
      </c>
      <c r="N435" s="9" t="s">
        <v>5044</v>
      </c>
      <c r="O435" s="9" t="s">
        <v>5044</v>
      </c>
      <c r="P435" s="7">
        <v>0</v>
      </c>
      <c r="Q435" s="7">
        <v>0</v>
      </c>
      <c r="R435" s="7">
        <v>0</v>
      </c>
      <c r="S435" s="7">
        <v>1</v>
      </c>
      <c r="T435" s="7">
        <v>1</v>
      </c>
      <c r="U435" s="7">
        <v>59</v>
      </c>
      <c r="V435" s="7">
        <v>0</v>
      </c>
      <c r="W435" s="7">
        <v>1</v>
      </c>
      <c r="X435" s="7">
        <v>0</v>
      </c>
      <c r="Y435" s="7">
        <v>0</v>
      </c>
      <c r="Z435" s="7">
        <v>0</v>
      </c>
      <c r="AA435" s="7">
        <v>0</v>
      </c>
      <c r="AB435" s="7">
        <v>1</v>
      </c>
      <c r="AC435" s="7">
        <v>1</v>
      </c>
      <c r="AD435" s="7" t="s">
        <v>5044</v>
      </c>
      <c r="AE435" s="7" t="s">
        <v>5044</v>
      </c>
      <c r="AF435" s="7" t="s">
        <v>5044</v>
      </c>
      <c r="AG435" s="7">
        <v>2</v>
      </c>
      <c r="AH435" s="7">
        <v>3</v>
      </c>
      <c r="AI435" s="7">
        <v>0</v>
      </c>
      <c r="AJ435" s="7" t="s">
        <v>5044</v>
      </c>
      <c r="AL435" s="7">
        <v>1</v>
      </c>
      <c r="AM435" s="7">
        <v>0</v>
      </c>
      <c r="AO435" s="11">
        <v>3</v>
      </c>
    </row>
    <row r="436" spans="1:41" ht="63" customHeight="1" x14ac:dyDescent="0.2">
      <c r="A436" s="7">
        <v>5399</v>
      </c>
      <c r="B436" s="7" t="s">
        <v>1606</v>
      </c>
      <c r="C436" s="7" t="s">
        <v>1607</v>
      </c>
      <c r="D436" s="7" t="s">
        <v>16</v>
      </c>
      <c r="F436" s="7" t="s">
        <v>470</v>
      </c>
      <c r="G436" s="7" t="s">
        <v>27</v>
      </c>
      <c r="H436" s="7" t="s">
        <v>38</v>
      </c>
      <c r="I436" s="7" t="s">
        <v>13</v>
      </c>
      <c r="J436" s="7" t="s">
        <v>1608</v>
      </c>
      <c r="K436" s="7" t="s">
        <v>1609</v>
      </c>
      <c r="L436" s="7" t="s">
        <v>5676</v>
      </c>
      <c r="M436" s="7">
        <v>0</v>
      </c>
      <c r="N436" s="9" t="s">
        <v>5044</v>
      </c>
      <c r="O436" s="9" t="s">
        <v>5044</v>
      </c>
      <c r="P436" s="7">
        <v>0</v>
      </c>
      <c r="Q436" s="7">
        <v>0</v>
      </c>
      <c r="R436" s="7">
        <v>0</v>
      </c>
      <c r="S436" s="7">
        <v>1</v>
      </c>
      <c r="T436" s="7">
        <v>5</v>
      </c>
      <c r="U436" s="7">
        <v>150</v>
      </c>
      <c r="V436" s="7">
        <v>0</v>
      </c>
      <c r="W436" s="7">
        <v>1</v>
      </c>
      <c r="X436" s="7">
        <v>0</v>
      </c>
      <c r="Y436" s="7">
        <v>0</v>
      </c>
      <c r="Z436" s="7">
        <v>0</v>
      </c>
      <c r="AA436" s="7">
        <v>0</v>
      </c>
      <c r="AB436" s="7">
        <v>1</v>
      </c>
      <c r="AC436" s="7">
        <v>1</v>
      </c>
      <c r="AD436" s="7" t="s">
        <v>5044</v>
      </c>
      <c r="AE436" s="7" t="s">
        <v>5044</v>
      </c>
      <c r="AF436" s="7" t="s">
        <v>5044</v>
      </c>
      <c r="AG436" s="7">
        <v>2</v>
      </c>
      <c r="AH436" s="7">
        <v>3</v>
      </c>
      <c r="AI436" s="7">
        <v>0</v>
      </c>
      <c r="AJ436" s="7" t="s">
        <v>5044</v>
      </c>
      <c r="AL436" s="7">
        <v>0</v>
      </c>
      <c r="AM436" s="7">
        <v>0</v>
      </c>
      <c r="AO436" s="11">
        <v>3</v>
      </c>
    </row>
    <row r="437" spans="1:41" ht="63" customHeight="1" x14ac:dyDescent="0.2">
      <c r="A437" s="7">
        <v>5409</v>
      </c>
      <c r="B437" s="7" t="s">
        <v>1610</v>
      </c>
      <c r="C437" s="7" t="s">
        <v>1611</v>
      </c>
      <c r="D437" s="7" t="s">
        <v>41</v>
      </c>
      <c r="F437" s="7" t="s">
        <v>151</v>
      </c>
      <c r="G437" s="7" t="s">
        <v>18</v>
      </c>
      <c r="H437" s="7" t="s">
        <v>290</v>
      </c>
      <c r="I437" s="7" t="s">
        <v>13</v>
      </c>
      <c r="J437" s="7" t="s">
        <v>1612</v>
      </c>
      <c r="K437" s="7" t="s">
        <v>1613</v>
      </c>
      <c r="L437" s="7" t="s">
        <v>5675</v>
      </c>
      <c r="M437" s="7">
        <v>0</v>
      </c>
      <c r="N437" s="9" t="s">
        <v>5044</v>
      </c>
      <c r="O437" s="9" t="s">
        <v>5044</v>
      </c>
      <c r="P437" s="7">
        <v>0</v>
      </c>
      <c r="Q437" s="7">
        <v>0</v>
      </c>
      <c r="R437" s="7">
        <v>0</v>
      </c>
      <c r="S437" s="7">
        <v>1</v>
      </c>
      <c r="T437" s="7">
        <v>4</v>
      </c>
      <c r="U437" s="7">
        <v>72</v>
      </c>
      <c r="V437" s="7">
        <v>1</v>
      </c>
      <c r="W437" s="7">
        <v>1</v>
      </c>
      <c r="X437" s="7">
        <v>0</v>
      </c>
      <c r="Y437" s="7">
        <v>0</v>
      </c>
      <c r="Z437" s="7">
        <v>0</v>
      </c>
      <c r="AA437" s="7">
        <v>0</v>
      </c>
      <c r="AB437" s="7">
        <v>1</v>
      </c>
      <c r="AC437" s="7">
        <v>1</v>
      </c>
      <c r="AD437" s="7">
        <v>2</v>
      </c>
      <c r="AE437" s="7">
        <v>1</v>
      </c>
      <c r="AF437" s="7">
        <v>2</v>
      </c>
      <c r="AG437" s="7">
        <v>2</v>
      </c>
      <c r="AH437" s="7">
        <v>3</v>
      </c>
      <c r="AI437" s="7">
        <v>0</v>
      </c>
      <c r="AJ437" s="7" t="s">
        <v>5044</v>
      </c>
      <c r="AL437" s="7">
        <v>0</v>
      </c>
      <c r="AM437" s="7">
        <v>0</v>
      </c>
      <c r="AO437" s="11">
        <v>1</v>
      </c>
    </row>
    <row r="438" spans="1:41" ht="63" customHeight="1" x14ac:dyDescent="0.2">
      <c r="A438" s="7">
        <v>5414</v>
      </c>
      <c r="B438" s="7" t="s">
        <v>1614</v>
      </c>
      <c r="C438" s="7" t="s">
        <v>1615</v>
      </c>
      <c r="D438" s="7" t="s">
        <v>41</v>
      </c>
      <c r="F438" s="7" t="s">
        <v>1616</v>
      </c>
      <c r="G438" s="7" t="s">
        <v>52</v>
      </c>
      <c r="H438" s="7" t="s">
        <v>596</v>
      </c>
      <c r="I438" s="7" t="s">
        <v>13</v>
      </c>
      <c r="J438" s="7" t="s">
        <v>1617</v>
      </c>
      <c r="K438" s="7" t="s">
        <v>1618</v>
      </c>
      <c r="L438" s="7" t="s">
        <v>5674</v>
      </c>
      <c r="M438" s="7">
        <v>0</v>
      </c>
      <c r="N438" s="9" t="s">
        <v>5044</v>
      </c>
      <c r="O438" s="9" t="s">
        <v>5044</v>
      </c>
      <c r="P438" s="7">
        <v>0</v>
      </c>
      <c r="Q438" s="7">
        <v>0</v>
      </c>
      <c r="R438" s="7">
        <v>0</v>
      </c>
      <c r="S438" s="7">
        <v>1</v>
      </c>
      <c r="T438" s="7">
        <v>1</v>
      </c>
      <c r="U438" s="7">
        <v>100</v>
      </c>
      <c r="V438" s="7">
        <v>0</v>
      </c>
      <c r="W438" s="7">
        <v>1</v>
      </c>
      <c r="X438" s="7">
        <v>0</v>
      </c>
      <c r="Y438" s="7">
        <v>0</v>
      </c>
      <c r="Z438" s="7">
        <v>0</v>
      </c>
      <c r="AA438" s="7">
        <v>0</v>
      </c>
      <c r="AB438" s="7">
        <v>1</v>
      </c>
      <c r="AC438" s="7">
        <v>0</v>
      </c>
      <c r="AD438" s="7" t="s">
        <v>5044</v>
      </c>
      <c r="AE438" s="7" t="s">
        <v>5044</v>
      </c>
      <c r="AF438" s="7" t="s">
        <v>5044</v>
      </c>
      <c r="AG438" s="7">
        <v>0</v>
      </c>
      <c r="AH438" s="7" t="s">
        <v>5044</v>
      </c>
      <c r="AI438" s="7" t="s">
        <v>5044</v>
      </c>
      <c r="AJ438" s="7" t="s">
        <v>5044</v>
      </c>
      <c r="AL438" s="7">
        <v>0</v>
      </c>
      <c r="AM438" s="7">
        <v>0</v>
      </c>
      <c r="AO438" s="11">
        <v>9</v>
      </c>
    </row>
    <row r="439" spans="1:41" ht="63" customHeight="1" x14ac:dyDescent="0.2">
      <c r="A439" s="7">
        <v>5419</v>
      </c>
      <c r="B439" s="7" t="s">
        <v>1623</v>
      </c>
      <c r="C439" s="7" t="s">
        <v>1624</v>
      </c>
      <c r="D439" s="7" t="s">
        <v>149</v>
      </c>
      <c r="F439" s="7" t="s">
        <v>399</v>
      </c>
      <c r="G439" s="7" t="s">
        <v>1625</v>
      </c>
      <c r="H439" s="7" t="s">
        <v>1626</v>
      </c>
      <c r="I439" s="7" t="s">
        <v>13</v>
      </c>
      <c r="J439" s="7" t="s">
        <v>1627</v>
      </c>
      <c r="L439" s="7" t="s">
        <v>5044</v>
      </c>
      <c r="M439" s="7">
        <v>0</v>
      </c>
      <c r="N439" s="9" t="s">
        <v>5044</v>
      </c>
      <c r="O439" s="9" t="s">
        <v>5044</v>
      </c>
      <c r="P439" s="7">
        <v>0</v>
      </c>
      <c r="Q439" s="7">
        <v>0</v>
      </c>
      <c r="R439" s="7">
        <v>0</v>
      </c>
      <c r="S439" s="7">
        <v>1</v>
      </c>
      <c r="T439" s="7">
        <v>4</v>
      </c>
      <c r="U439" s="7">
        <v>100</v>
      </c>
      <c r="V439" s="7">
        <v>1</v>
      </c>
      <c r="W439" s="7">
        <v>0</v>
      </c>
      <c r="X439" s="7">
        <v>0</v>
      </c>
      <c r="Y439" s="7">
        <v>0</v>
      </c>
      <c r="Z439" s="7">
        <v>0</v>
      </c>
      <c r="AA439" s="7">
        <v>0</v>
      </c>
      <c r="AB439" s="7">
        <v>1</v>
      </c>
      <c r="AC439" s="7">
        <v>1</v>
      </c>
      <c r="AD439" s="7">
        <v>1</v>
      </c>
      <c r="AE439" s="7">
        <v>0</v>
      </c>
      <c r="AF439" s="7">
        <v>0</v>
      </c>
      <c r="AG439" s="7" t="s">
        <v>5044</v>
      </c>
      <c r="AH439" s="7" t="s">
        <v>5044</v>
      </c>
      <c r="AI439" s="7" t="s">
        <v>5044</v>
      </c>
      <c r="AJ439" s="7" t="s">
        <v>5044</v>
      </c>
      <c r="AL439" s="7">
        <v>0</v>
      </c>
      <c r="AM439" s="7">
        <v>0</v>
      </c>
      <c r="AO439" s="9">
        <v>0</v>
      </c>
    </row>
    <row r="440" spans="1:41" ht="63" customHeight="1" x14ac:dyDescent="0.2">
      <c r="A440" s="7">
        <v>5442</v>
      </c>
      <c r="B440" s="7" t="s">
        <v>1628</v>
      </c>
      <c r="C440" s="7" t="s">
        <v>1629</v>
      </c>
      <c r="D440" s="7" t="s">
        <v>41</v>
      </c>
      <c r="F440" s="7" t="s">
        <v>1630</v>
      </c>
      <c r="G440" s="7" t="s">
        <v>52</v>
      </c>
      <c r="H440" s="7" t="s">
        <v>486</v>
      </c>
      <c r="I440" s="7" t="s">
        <v>13</v>
      </c>
      <c r="J440" s="7" t="s">
        <v>1631</v>
      </c>
      <c r="K440" s="7" t="s">
        <v>1632</v>
      </c>
      <c r="L440" s="7" t="s">
        <v>5672</v>
      </c>
      <c r="M440" s="7">
        <v>0</v>
      </c>
      <c r="N440" s="9" t="s">
        <v>5044</v>
      </c>
      <c r="O440" s="9" t="s">
        <v>5044</v>
      </c>
      <c r="P440" s="7">
        <v>0</v>
      </c>
      <c r="Q440" s="7">
        <v>0</v>
      </c>
      <c r="R440" s="7">
        <v>0</v>
      </c>
      <c r="S440" s="7">
        <v>5</v>
      </c>
      <c r="T440" s="7">
        <v>2</v>
      </c>
      <c r="U440" s="7">
        <v>105</v>
      </c>
      <c r="V440" s="7">
        <v>0</v>
      </c>
      <c r="W440" s="7">
        <v>1</v>
      </c>
      <c r="X440" s="7">
        <v>0</v>
      </c>
      <c r="Y440" s="7">
        <v>0</v>
      </c>
      <c r="Z440" s="7">
        <v>0</v>
      </c>
      <c r="AA440" s="7">
        <v>0</v>
      </c>
      <c r="AB440" s="7">
        <v>1</v>
      </c>
      <c r="AC440" s="7">
        <v>1</v>
      </c>
      <c r="AD440" s="7" t="s">
        <v>5044</v>
      </c>
      <c r="AE440" s="7" t="s">
        <v>5044</v>
      </c>
      <c r="AF440" s="7" t="s">
        <v>5044</v>
      </c>
      <c r="AG440" s="7">
        <v>2</v>
      </c>
      <c r="AH440" s="7">
        <v>3</v>
      </c>
      <c r="AI440" s="7">
        <v>0</v>
      </c>
      <c r="AJ440" s="7" t="s">
        <v>5044</v>
      </c>
      <c r="AK440" s="7">
        <v>1</v>
      </c>
      <c r="AL440" s="7">
        <v>0</v>
      </c>
      <c r="AM440" s="7">
        <v>0</v>
      </c>
      <c r="AO440" s="11">
        <v>3</v>
      </c>
    </row>
    <row r="441" spans="1:41" ht="63" customHeight="1" x14ac:dyDescent="0.2">
      <c r="A441" s="7">
        <v>5449</v>
      </c>
      <c r="B441" s="7" t="s">
        <v>1633</v>
      </c>
      <c r="C441" s="7" t="s">
        <v>1634</v>
      </c>
      <c r="D441" s="7" t="s">
        <v>56</v>
      </c>
      <c r="F441" s="7" t="s">
        <v>51</v>
      </c>
      <c r="G441" s="7" t="s">
        <v>577</v>
      </c>
      <c r="H441" s="7" t="s">
        <v>255</v>
      </c>
      <c r="I441" s="7" t="s">
        <v>13</v>
      </c>
      <c r="J441" s="7" t="s">
        <v>1635</v>
      </c>
      <c r="K441" s="7" t="s">
        <v>1636</v>
      </c>
      <c r="L441" s="7" t="s">
        <v>5166</v>
      </c>
      <c r="M441" s="7">
        <v>0</v>
      </c>
      <c r="N441" s="9" t="s">
        <v>5044</v>
      </c>
      <c r="O441" s="9" t="s">
        <v>5044</v>
      </c>
      <c r="P441" s="7">
        <v>1</v>
      </c>
      <c r="Q441" s="7">
        <v>0</v>
      </c>
      <c r="R441" s="7">
        <v>0</v>
      </c>
      <c r="S441" s="7">
        <v>1</v>
      </c>
      <c r="T441" s="7">
        <v>1</v>
      </c>
      <c r="U441" s="7">
        <v>104</v>
      </c>
      <c r="V441" s="7">
        <v>0</v>
      </c>
      <c r="W441" s="7">
        <v>1</v>
      </c>
      <c r="X441" s="7">
        <v>0</v>
      </c>
      <c r="Y441" s="7">
        <v>0</v>
      </c>
      <c r="Z441" s="7">
        <v>0</v>
      </c>
      <c r="AA441" s="7">
        <v>0</v>
      </c>
      <c r="AB441" s="7">
        <v>1</v>
      </c>
      <c r="AC441" s="7">
        <v>0</v>
      </c>
      <c r="AD441" s="7" t="s">
        <v>5044</v>
      </c>
      <c r="AE441" s="7" t="s">
        <v>5044</v>
      </c>
      <c r="AF441" s="7" t="s">
        <v>5044</v>
      </c>
      <c r="AG441" s="7">
        <v>0</v>
      </c>
      <c r="AH441" s="7" t="s">
        <v>5044</v>
      </c>
      <c r="AI441" s="7" t="s">
        <v>5044</v>
      </c>
      <c r="AJ441" s="7" t="s">
        <v>5044</v>
      </c>
      <c r="AL441" s="7" t="s">
        <v>5044</v>
      </c>
      <c r="AM441" s="7">
        <v>0</v>
      </c>
      <c r="AO441" s="11">
        <v>9</v>
      </c>
    </row>
    <row r="442" spans="1:41" ht="63" customHeight="1" x14ac:dyDescent="0.2">
      <c r="A442" s="7">
        <v>5466</v>
      </c>
      <c r="B442" s="7" t="s">
        <v>1645</v>
      </c>
      <c r="C442" s="7" t="s">
        <v>1646</v>
      </c>
      <c r="D442" s="7" t="s">
        <v>16</v>
      </c>
      <c r="F442" s="7" t="s">
        <v>532</v>
      </c>
      <c r="G442" s="7" t="s">
        <v>11</v>
      </c>
      <c r="H442" s="7" t="s">
        <v>43</v>
      </c>
      <c r="I442" s="7" t="s">
        <v>13</v>
      </c>
      <c r="J442" s="7" t="s">
        <v>1647</v>
      </c>
      <c r="K442" s="7" t="s">
        <v>1648</v>
      </c>
      <c r="L442" s="7" t="s">
        <v>5782</v>
      </c>
      <c r="M442" s="7">
        <v>0</v>
      </c>
      <c r="N442" s="7" t="s">
        <v>5044</v>
      </c>
      <c r="O442" s="7" t="s">
        <v>5044</v>
      </c>
      <c r="P442" s="7">
        <v>0</v>
      </c>
      <c r="Q442" s="7">
        <v>0</v>
      </c>
      <c r="R442" s="7">
        <v>0</v>
      </c>
      <c r="S442" s="7">
        <v>1</v>
      </c>
      <c r="T442" s="7">
        <v>1</v>
      </c>
      <c r="U442" s="7">
        <v>200</v>
      </c>
      <c r="V442" s="7">
        <v>0</v>
      </c>
      <c r="W442" s="7">
        <v>1</v>
      </c>
      <c r="X442" s="7">
        <v>0</v>
      </c>
      <c r="Y442" s="7">
        <v>0</v>
      </c>
      <c r="Z442" s="7">
        <v>0</v>
      </c>
      <c r="AA442" s="7">
        <v>0</v>
      </c>
      <c r="AB442" s="7">
        <v>1</v>
      </c>
      <c r="AC442" s="7">
        <v>1</v>
      </c>
      <c r="AD442" s="7" t="s">
        <v>5044</v>
      </c>
      <c r="AE442" s="7" t="s">
        <v>5044</v>
      </c>
      <c r="AF442" s="7" t="s">
        <v>5044</v>
      </c>
      <c r="AG442" s="7">
        <v>2</v>
      </c>
      <c r="AH442" s="7">
        <v>2</v>
      </c>
      <c r="AI442" s="7">
        <v>2</v>
      </c>
      <c r="AJ442" s="7" t="s">
        <v>5044</v>
      </c>
      <c r="AK442" s="7" t="s">
        <v>5318</v>
      </c>
      <c r="AL442" s="7">
        <v>0</v>
      </c>
      <c r="AM442" s="7">
        <v>0</v>
      </c>
      <c r="AN442" s="7" t="s">
        <v>5318</v>
      </c>
      <c r="AO442" s="11">
        <v>2</v>
      </c>
    </row>
    <row r="443" spans="1:41" ht="63" customHeight="1" x14ac:dyDescent="0.2">
      <c r="A443" s="7">
        <v>5472</v>
      </c>
      <c r="B443" s="7" t="s">
        <v>1649</v>
      </c>
      <c r="C443" s="7" t="s">
        <v>1650</v>
      </c>
      <c r="D443" s="7" t="s">
        <v>149</v>
      </c>
      <c r="F443" s="7" t="s">
        <v>419</v>
      </c>
      <c r="G443" s="7" t="s">
        <v>32</v>
      </c>
      <c r="H443" s="7" t="s">
        <v>43</v>
      </c>
      <c r="I443" s="7" t="s">
        <v>13</v>
      </c>
      <c r="J443" s="7" t="s">
        <v>1651</v>
      </c>
      <c r="K443" s="7" t="s">
        <v>1652</v>
      </c>
      <c r="L443" s="7" t="s">
        <v>5783</v>
      </c>
      <c r="M443" s="7">
        <v>0</v>
      </c>
      <c r="N443" s="7" t="s">
        <v>5044</v>
      </c>
      <c r="O443" s="7" t="s">
        <v>5044</v>
      </c>
      <c r="P443" s="7">
        <v>0</v>
      </c>
      <c r="Q443" s="7">
        <v>0</v>
      </c>
      <c r="R443" s="7">
        <v>0</v>
      </c>
      <c r="S443" s="7">
        <v>1</v>
      </c>
      <c r="T443" s="7">
        <v>1</v>
      </c>
      <c r="U443" s="7">
        <v>60</v>
      </c>
      <c r="V443" s="7">
        <v>0</v>
      </c>
      <c r="W443" s="7">
        <v>1</v>
      </c>
      <c r="X443" s="7">
        <v>0</v>
      </c>
      <c r="Y443" s="7">
        <v>0</v>
      </c>
      <c r="Z443" s="7">
        <v>0</v>
      </c>
      <c r="AA443" s="7">
        <v>0</v>
      </c>
      <c r="AB443" s="7">
        <v>1</v>
      </c>
      <c r="AC443" s="7">
        <v>1</v>
      </c>
      <c r="AD443" s="7" t="s">
        <v>5044</v>
      </c>
      <c r="AE443" s="7" t="s">
        <v>5044</v>
      </c>
      <c r="AF443" s="7" t="s">
        <v>5044</v>
      </c>
      <c r="AG443" s="7">
        <v>1</v>
      </c>
      <c r="AH443" s="7">
        <v>0</v>
      </c>
      <c r="AI443" s="7">
        <v>0</v>
      </c>
      <c r="AJ443" s="7" t="s">
        <v>5044</v>
      </c>
      <c r="AL443" s="7">
        <v>0</v>
      </c>
      <c r="AM443" s="7">
        <v>0</v>
      </c>
      <c r="AO443" s="9">
        <v>0</v>
      </c>
    </row>
    <row r="444" spans="1:41" ht="63" customHeight="1" x14ac:dyDescent="0.2">
      <c r="A444" s="7">
        <v>5474</v>
      </c>
      <c r="B444" s="7" t="s">
        <v>1653</v>
      </c>
      <c r="C444" s="7" t="s">
        <v>1654</v>
      </c>
      <c r="D444" s="7" t="s">
        <v>22</v>
      </c>
      <c r="F444" s="7" t="s">
        <v>1655</v>
      </c>
      <c r="G444" s="7" t="s">
        <v>11</v>
      </c>
      <c r="H444" s="7" t="s">
        <v>730</v>
      </c>
      <c r="I444" s="7" t="s">
        <v>13</v>
      </c>
      <c r="J444" s="7" t="s">
        <v>1656</v>
      </c>
      <c r="K444" s="7" t="s">
        <v>1657</v>
      </c>
      <c r="L444" s="11" t="s">
        <v>5044</v>
      </c>
      <c r="M444" s="7">
        <v>0</v>
      </c>
      <c r="N444" s="7" t="s">
        <v>5044</v>
      </c>
      <c r="O444" s="7" t="s">
        <v>5044</v>
      </c>
      <c r="P444" s="7">
        <v>0</v>
      </c>
      <c r="Q444" s="7">
        <v>0</v>
      </c>
      <c r="R444" s="7">
        <v>0</v>
      </c>
      <c r="S444" s="7">
        <v>3</v>
      </c>
      <c r="T444" s="7">
        <v>2</v>
      </c>
      <c r="U444" s="7">
        <v>120</v>
      </c>
      <c r="V444" s="7">
        <v>0</v>
      </c>
      <c r="W444" s="7">
        <v>1</v>
      </c>
      <c r="X444" s="7">
        <v>0</v>
      </c>
      <c r="Y444" s="7">
        <v>0</v>
      </c>
      <c r="Z444" s="7">
        <v>0</v>
      </c>
      <c r="AA444" s="7">
        <v>0</v>
      </c>
      <c r="AB444" s="7">
        <v>1</v>
      </c>
      <c r="AC444" s="7">
        <v>1</v>
      </c>
      <c r="AD444" s="7" t="s">
        <v>5044</v>
      </c>
      <c r="AE444" s="7" t="s">
        <v>5044</v>
      </c>
      <c r="AF444" s="7" t="s">
        <v>5044</v>
      </c>
      <c r="AG444" s="7">
        <v>2</v>
      </c>
      <c r="AH444" s="7">
        <v>3</v>
      </c>
      <c r="AI444" s="7">
        <v>0</v>
      </c>
      <c r="AJ444" s="7" t="s">
        <v>5044</v>
      </c>
      <c r="AK444" s="7">
        <v>1</v>
      </c>
      <c r="AL444" s="7">
        <v>0</v>
      </c>
      <c r="AM444" s="7">
        <v>0</v>
      </c>
      <c r="AN444" s="7" t="s">
        <v>7663</v>
      </c>
      <c r="AO444" s="11">
        <v>3</v>
      </c>
    </row>
    <row r="445" spans="1:41" ht="63" customHeight="1" x14ac:dyDescent="0.2">
      <c r="A445" s="7">
        <v>5488</v>
      </c>
      <c r="B445" s="7" t="s">
        <v>1666</v>
      </c>
      <c r="C445" s="7" t="s">
        <v>1667</v>
      </c>
      <c r="D445" s="7" t="s">
        <v>41</v>
      </c>
      <c r="F445" s="7" t="s">
        <v>1668</v>
      </c>
      <c r="G445" s="7" t="s">
        <v>144</v>
      </c>
      <c r="H445" s="7" t="s">
        <v>1669</v>
      </c>
      <c r="I445" s="7" t="s">
        <v>13</v>
      </c>
      <c r="J445" s="7" t="s">
        <v>1670</v>
      </c>
      <c r="K445" s="7" t="s">
        <v>1671</v>
      </c>
      <c r="L445" s="7" t="s">
        <v>5786</v>
      </c>
      <c r="M445" s="7">
        <v>0</v>
      </c>
      <c r="N445" s="7" t="s">
        <v>5044</v>
      </c>
      <c r="O445" s="7" t="s">
        <v>5044</v>
      </c>
      <c r="P445" s="7">
        <v>0</v>
      </c>
      <c r="Q445" s="7">
        <v>0</v>
      </c>
      <c r="R445" s="7">
        <v>0</v>
      </c>
      <c r="S445" s="7">
        <v>10</v>
      </c>
      <c r="T445" s="7">
        <v>1</v>
      </c>
      <c r="U445" s="7">
        <v>60</v>
      </c>
      <c r="V445" s="7">
        <v>0</v>
      </c>
      <c r="W445" s="7">
        <v>1</v>
      </c>
      <c r="X445" s="7">
        <v>0</v>
      </c>
      <c r="Y445" s="7">
        <v>0</v>
      </c>
      <c r="Z445" s="7">
        <v>0</v>
      </c>
      <c r="AA445" s="7">
        <v>0</v>
      </c>
      <c r="AB445" s="7">
        <v>1</v>
      </c>
      <c r="AC445" s="7">
        <v>1</v>
      </c>
      <c r="AD445" s="7" t="s">
        <v>5044</v>
      </c>
      <c r="AE445" s="7" t="s">
        <v>5044</v>
      </c>
      <c r="AF445" s="7" t="s">
        <v>5044</v>
      </c>
      <c r="AG445" s="7">
        <v>2</v>
      </c>
      <c r="AH445" s="7">
        <v>1</v>
      </c>
      <c r="AI445" s="7">
        <v>2</v>
      </c>
      <c r="AJ445" s="7" t="s">
        <v>5044</v>
      </c>
      <c r="AK445" s="7" t="s">
        <v>5318</v>
      </c>
      <c r="AL445" s="7">
        <v>1</v>
      </c>
      <c r="AM445" s="7">
        <v>0</v>
      </c>
      <c r="AN445" s="7" t="s">
        <v>5318</v>
      </c>
      <c r="AO445" s="11">
        <v>1</v>
      </c>
    </row>
    <row r="446" spans="1:41" ht="63" customHeight="1" x14ac:dyDescent="0.2">
      <c r="A446" s="7">
        <v>5514</v>
      </c>
      <c r="B446" s="7" t="s">
        <v>1676</v>
      </c>
      <c r="C446" s="7" t="s">
        <v>1677</v>
      </c>
      <c r="D446" s="7" t="s">
        <v>30</v>
      </c>
      <c r="F446" s="7" t="s">
        <v>1678</v>
      </c>
      <c r="G446" s="7" t="s">
        <v>11</v>
      </c>
      <c r="H446" s="7" t="s">
        <v>730</v>
      </c>
      <c r="I446" s="7" t="s">
        <v>13</v>
      </c>
      <c r="J446" s="7" t="s">
        <v>1679</v>
      </c>
      <c r="K446" s="7" t="s">
        <v>1680</v>
      </c>
      <c r="L446" s="7" t="s">
        <v>5788</v>
      </c>
      <c r="M446" s="7">
        <v>0</v>
      </c>
      <c r="N446" s="7" t="s">
        <v>5044</v>
      </c>
      <c r="O446" s="7" t="s">
        <v>5044</v>
      </c>
      <c r="P446" s="7">
        <v>0</v>
      </c>
      <c r="Q446" s="7">
        <v>0</v>
      </c>
      <c r="R446" s="7">
        <v>0</v>
      </c>
      <c r="S446" s="7">
        <v>3</v>
      </c>
      <c r="T446" s="7">
        <v>2</v>
      </c>
      <c r="U446" s="7">
        <v>78</v>
      </c>
      <c r="V446" s="7">
        <v>0</v>
      </c>
      <c r="W446" s="7">
        <v>1</v>
      </c>
      <c r="X446" s="7">
        <v>0</v>
      </c>
      <c r="Y446" s="7">
        <v>0</v>
      </c>
      <c r="Z446" s="7">
        <v>0</v>
      </c>
      <c r="AA446" s="7">
        <v>0</v>
      </c>
      <c r="AB446" s="7">
        <v>1</v>
      </c>
      <c r="AC446" s="7">
        <v>0</v>
      </c>
      <c r="AD446" s="7" t="s">
        <v>5044</v>
      </c>
      <c r="AE446" s="7" t="s">
        <v>5044</v>
      </c>
      <c r="AF446" s="7" t="s">
        <v>5044</v>
      </c>
      <c r="AG446" s="7">
        <v>0</v>
      </c>
      <c r="AH446" s="7" t="s">
        <v>5044</v>
      </c>
      <c r="AI446" s="7" t="s">
        <v>5044</v>
      </c>
      <c r="AJ446" s="7" t="s">
        <v>5044</v>
      </c>
      <c r="AL446" s="7">
        <v>1</v>
      </c>
      <c r="AM446" s="7">
        <v>0</v>
      </c>
      <c r="AN446" s="7" t="s">
        <v>5318</v>
      </c>
      <c r="AO446" s="11">
        <v>9</v>
      </c>
    </row>
    <row r="447" spans="1:41" ht="63" customHeight="1" x14ac:dyDescent="0.2">
      <c r="A447" s="7">
        <v>5551</v>
      </c>
      <c r="B447" s="7" t="s">
        <v>1681</v>
      </c>
      <c r="C447" s="7" t="s">
        <v>1682</v>
      </c>
      <c r="D447" s="7" t="s">
        <v>41</v>
      </c>
      <c r="F447" s="7" t="s">
        <v>18</v>
      </c>
      <c r="G447" s="7" t="s">
        <v>52</v>
      </c>
      <c r="H447" s="7" t="s">
        <v>1683</v>
      </c>
      <c r="I447" s="7" t="s">
        <v>13</v>
      </c>
      <c r="J447" s="7" t="s">
        <v>1684</v>
      </c>
      <c r="K447" s="7" t="s">
        <v>1685</v>
      </c>
      <c r="L447" s="7" t="s">
        <v>5789</v>
      </c>
      <c r="M447" s="7">
        <v>0</v>
      </c>
      <c r="N447" s="7" t="s">
        <v>5044</v>
      </c>
      <c r="O447" s="7" t="s">
        <v>5044</v>
      </c>
      <c r="P447" s="7">
        <v>0</v>
      </c>
      <c r="Q447" s="7">
        <v>0</v>
      </c>
      <c r="R447" s="7">
        <v>0</v>
      </c>
      <c r="S447" s="7">
        <v>1</v>
      </c>
      <c r="T447" s="7">
        <v>1</v>
      </c>
      <c r="U447" s="7">
        <v>492</v>
      </c>
      <c r="V447" s="7">
        <v>0</v>
      </c>
      <c r="W447" s="7">
        <v>1</v>
      </c>
      <c r="X447" s="7">
        <v>0</v>
      </c>
      <c r="Y447" s="7">
        <v>0</v>
      </c>
      <c r="Z447" s="7">
        <v>0</v>
      </c>
      <c r="AA447" s="7">
        <v>0</v>
      </c>
      <c r="AB447" s="7">
        <v>1</v>
      </c>
      <c r="AC447" s="7">
        <v>1</v>
      </c>
      <c r="AD447" s="7" t="s">
        <v>5044</v>
      </c>
      <c r="AE447" s="7" t="s">
        <v>5044</v>
      </c>
      <c r="AF447" s="7" t="s">
        <v>5044</v>
      </c>
      <c r="AG447" s="7">
        <v>2</v>
      </c>
      <c r="AH447" s="7">
        <v>3</v>
      </c>
      <c r="AI447" s="7">
        <v>0</v>
      </c>
      <c r="AJ447" s="7" t="s">
        <v>5044</v>
      </c>
      <c r="AL447" s="7">
        <v>0</v>
      </c>
      <c r="AM447" s="7">
        <v>0</v>
      </c>
      <c r="AN447" s="7" t="s">
        <v>5318</v>
      </c>
      <c r="AO447" s="11">
        <v>3</v>
      </c>
    </row>
    <row r="448" spans="1:41" ht="63" customHeight="1" x14ac:dyDescent="0.2">
      <c r="A448" s="7">
        <v>5613</v>
      </c>
      <c r="B448" s="7" t="s">
        <v>1690</v>
      </c>
      <c r="C448" s="7" t="s">
        <v>1691</v>
      </c>
      <c r="D448" s="7" t="s">
        <v>101</v>
      </c>
      <c r="F448" s="7" t="s">
        <v>859</v>
      </c>
      <c r="G448" s="7" t="s">
        <v>32</v>
      </c>
      <c r="H448" s="7" t="s">
        <v>390</v>
      </c>
      <c r="I448" s="7" t="s">
        <v>13</v>
      </c>
      <c r="J448" s="7" t="s">
        <v>1692</v>
      </c>
      <c r="K448" s="7" t="s">
        <v>1693</v>
      </c>
      <c r="L448" s="7" t="s">
        <v>5791</v>
      </c>
      <c r="M448" s="7">
        <v>0</v>
      </c>
      <c r="N448" s="7" t="s">
        <v>5044</v>
      </c>
      <c r="O448" s="7" t="s">
        <v>5044</v>
      </c>
      <c r="P448" s="7">
        <v>0</v>
      </c>
      <c r="Q448" s="7">
        <v>0</v>
      </c>
      <c r="R448" s="7">
        <v>0</v>
      </c>
      <c r="S448" s="7">
        <v>5</v>
      </c>
      <c r="T448" s="7">
        <v>2</v>
      </c>
      <c r="U448" s="7">
        <v>204</v>
      </c>
      <c r="V448" s="7">
        <v>0</v>
      </c>
      <c r="W448" s="7">
        <v>1</v>
      </c>
      <c r="X448" s="7">
        <v>0</v>
      </c>
      <c r="Y448" s="7">
        <v>0</v>
      </c>
      <c r="Z448" s="7">
        <v>0</v>
      </c>
      <c r="AA448" s="7">
        <v>0</v>
      </c>
      <c r="AB448" s="7">
        <v>1</v>
      </c>
      <c r="AC448" s="7">
        <v>0</v>
      </c>
      <c r="AD448" s="7" t="s">
        <v>5044</v>
      </c>
      <c r="AE448" s="7" t="s">
        <v>5044</v>
      </c>
      <c r="AF448" s="7" t="s">
        <v>5044</v>
      </c>
      <c r="AG448" s="7">
        <v>0</v>
      </c>
      <c r="AH448" s="7" t="s">
        <v>5044</v>
      </c>
      <c r="AI448" s="7" t="s">
        <v>5044</v>
      </c>
      <c r="AJ448" s="7" t="s">
        <v>5044</v>
      </c>
      <c r="AK448" s="7" t="s">
        <v>5318</v>
      </c>
      <c r="AL448" s="7">
        <v>0</v>
      </c>
      <c r="AM448" s="7">
        <v>0</v>
      </c>
      <c r="AN448" s="7" t="s">
        <v>5318</v>
      </c>
      <c r="AO448" s="11">
        <v>9</v>
      </c>
    </row>
    <row r="449" spans="1:41" ht="63" customHeight="1" x14ac:dyDescent="0.2">
      <c r="A449" s="7">
        <v>5618</v>
      </c>
      <c r="B449" s="7" t="s">
        <v>1694</v>
      </c>
      <c r="C449" s="7" t="s">
        <v>1695</v>
      </c>
      <c r="D449" s="7" t="s">
        <v>95</v>
      </c>
      <c r="F449" s="7" t="s">
        <v>175</v>
      </c>
      <c r="G449" s="7" t="s">
        <v>52</v>
      </c>
      <c r="H449" s="7" t="s">
        <v>183</v>
      </c>
      <c r="I449" s="7" t="s">
        <v>13</v>
      </c>
      <c r="J449" s="7" t="s">
        <v>1696</v>
      </c>
      <c r="K449" s="7" t="s">
        <v>1697</v>
      </c>
      <c r="L449" s="7" t="s">
        <v>5792</v>
      </c>
      <c r="M449" s="7">
        <v>0</v>
      </c>
      <c r="N449" s="7" t="s">
        <v>5044</v>
      </c>
      <c r="O449" s="7" t="s">
        <v>5044</v>
      </c>
      <c r="P449" s="7">
        <v>0</v>
      </c>
      <c r="Q449" s="7">
        <v>0</v>
      </c>
      <c r="R449" s="7">
        <v>0</v>
      </c>
      <c r="S449" s="7">
        <v>5</v>
      </c>
      <c r="T449" s="7">
        <v>1</v>
      </c>
      <c r="U449" s="7">
        <v>93</v>
      </c>
      <c r="V449" s="7">
        <v>0</v>
      </c>
      <c r="W449" s="7">
        <v>1</v>
      </c>
      <c r="X449" s="7">
        <v>0</v>
      </c>
      <c r="Y449" s="7">
        <v>0</v>
      </c>
      <c r="Z449" s="7">
        <v>0</v>
      </c>
      <c r="AA449" s="7">
        <v>0</v>
      </c>
      <c r="AB449" s="7">
        <v>1</v>
      </c>
      <c r="AC449" s="7">
        <v>0</v>
      </c>
      <c r="AD449" s="7" t="s">
        <v>5044</v>
      </c>
      <c r="AE449" s="7" t="s">
        <v>5044</v>
      </c>
      <c r="AF449" s="7" t="s">
        <v>5044</v>
      </c>
      <c r="AG449" s="7">
        <v>0</v>
      </c>
      <c r="AH449" s="7" t="s">
        <v>5044</v>
      </c>
      <c r="AI449" s="7" t="s">
        <v>5044</v>
      </c>
      <c r="AJ449" s="7" t="s">
        <v>5044</v>
      </c>
      <c r="AK449" s="7" t="s">
        <v>5318</v>
      </c>
      <c r="AL449" s="7" t="s">
        <v>5044</v>
      </c>
      <c r="AM449" s="7">
        <v>0</v>
      </c>
      <c r="AO449" s="11">
        <v>9</v>
      </c>
    </row>
    <row r="450" spans="1:41" ht="63" customHeight="1" x14ac:dyDescent="0.2">
      <c r="A450" s="7">
        <v>5630</v>
      </c>
      <c r="B450" s="7" t="s">
        <v>1698</v>
      </c>
      <c r="C450" s="7" t="s">
        <v>1699</v>
      </c>
      <c r="D450" s="7" t="s">
        <v>16</v>
      </c>
      <c r="F450" s="7" t="s">
        <v>1700</v>
      </c>
      <c r="G450" s="7" t="s">
        <v>18</v>
      </c>
      <c r="H450" s="7" t="s">
        <v>596</v>
      </c>
      <c r="I450" s="7" t="s">
        <v>13</v>
      </c>
      <c r="J450" s="7" t="s">
        <v>1701</v>
      </c>
      <c r="K450" s="7" t="s">
        <v>1702</v>
      </c>
      <c r="L450" s="7" t="s">
        <v>5793</v>
      </c>
      <c r="M450" s="7">
        <v>0</v>
      </c>
      <c r="N450" s="7" t="s">
        <v>5044</v>
      </c>
      <c r="O450" s="7" t="s">
        <v>5044</v>
      </c>
      <c r="P450" s="7">
        <v>0</v>
      </c>
      <c r="Q450" s="7">
        <v>0</v>
      </c>
      <c r="R450" s="7">
        <v>0</v>
      </c>
      <c r="S450" s="7">
        <v>1</v>
      </c>
      <c r="T450" s="7">
        <v>4</v>
      </c>
      <c r="U450" s="7">
        <v>87</v>
      </c>
      <c r="V450" s="7">
        <v>0</v>
      </c>
      <c r="W450" s="7">
        <v>1</v>
      </c>
      <c r="X450" s="7">
        <v>0</v>
      </c>
      <c r="Y450" s="7">
        <v>0</v>
      </c>
      <c r="Z450" s="7">
        <v>0</v>
      </c>
      <c r="AA450" s="7">
        <v>0</v>
      </c>
      <c r="AB450" s="7">
        <v>1</v>
      </c>
      <c r="AC450" s="7">
        <v>1</v>
      </c>
      <c r="AD450" s="7" t="s">
        <v>5044</v>
      </c>
      <c r="AE450" s="7" t="s">
        <v>5044</v>
      </c>
      <c r="AF450" s="7" t="s">
        <v>5044</v>
      </c>
      <c r="AG450" s="7">
        <v>2</v>
      </c>
      <c r="AH450" s="7">
        <v>1</v>
      </c>
      <c r="AI450" s="7">
        <v>2</v>
      </c>
      <c r="AJ450" s="7" t="s">
        <v>5044</v>
      </c>
      <c r="AK450" s="7" t="s">
        <v>5794</v>
      </c>
      <c r="AL450" s="7">
        <v>0</v>
      </c>
      <c r="AM450" s="7">
        <v>0</v>
      </c>
      <c r="AN450" s="7" t="s">
        <v>5318</v>
      </c>
      <c r="AO450" s="11">
        <v>1</v>
      </c>
    </row>
    <row r="451" spans="1:41" ht="63" customHeight="1" x14ac:dyDescent="0.2">
      <c r="A451" s="7">
        <v>5639</v>
      </c>
      <c r="B451" s="7" t="s">
        <v>1703</v>
      </c>
      <c r="C451" s="7" t="s">
        <v>1704</v>
      </c>
      <c r="D451" s="7" t="s">
        <v>25</v>
      </c>
      <c r="F451" s="7" t="s">
        <v>470</v>
      </c>
      <c r="G451" s="7" t="s">
        <v>175</v>
      </c>
      <c r="H451" s="7" t="s">
        <v>251</v>
      </c>
      <c r="I451" s="7" t="s">
        <v>13</v>
      </c>
      <c r="J451" s="7" t="s">
        <v>1705</v>
      </c>
      <c r="K451" s="7" t="s">
        <v>1706</v>
      </c>
      <c r="L451" s="7" t="s">
        <v>5795</v>
      </c>
      <c r="M451" s="7">
        <v>0</v>
      </c>
      <c r="N451" s="7" t="s">
        <v>5044</v>
      </c>
      <c r="O451" s="7" t="s">
        <v>5044</v>
      </c>
      <c r="P451" s="7">
        <v>0</v>
      </c>
      <c r="Q451" s="7">
        <v>0</v>
      </c>
      <c r="R451" s="7">
        <v>0</v>
      </c>
      <c r="S451" s="7">
        <v>1</v>
      </c>
      <c r="T451" s="7">
        <v>4</v>
      </c>
      <c r="U451" s="7">
        <v>106</v>
      </c>
      <c r="V451" s="7">
        <v>0</v>
      </c>
      <c r="W451" s="7">
        <v>1</v>
      </c>
      <c r="X451" s="7">
        <v>0</v>
      </c>
      <c r="Y451" s="7">
        <v>0</v>
      </c>
      <c r="Z451" s="7">
        <v>0</v>
      </c>
      <c r="AA451" s="7">
        <v>0</v>
      </c>
      <c r="AB451" s="7">
        <v>1</v>
      </c>
      <c r="AC451" s="7">
        <v>1</v>
      </c>
      <c r="AD451" s="7" t="s">
        <v>5044</v>
      </c>
      <c r="AE451" s="7" t="s">
        <v>5044</v>
      </c>
      <c r="AF451" s="7" t="s">
        <v>5044</v>
      </c>
      <c r="AG451" s="7">
        <v>2</v>
      </c>
      <c r="AH451" s="7">
        <v>1</v>
      </c>
      <c r="AI451" s="7">
        <v>2</v>
      </c>
      <c r="AJ451" s="7" t="s">
        <v>5044</v>
      </c>
      <c r="AK451" s="7" t="s">
        <v>5318</v>
      </c>
      <c r="AL451" s="7">
        <v>0</v>
      </c>
      <c r="AM451" s="7">
        <v>0</v>
      </c>
      <c r="AO451" s="11">
        <v>1</v>
      </c>
    </row>
    <row r="452" spans="1:41" ht="63" customHeight="1" x14ac:dyDescent="0.2">
      <c r="A452" s="7">
        <v>5663</v>
      </c>
      <c r="B452" s="7" t="s">
        <v>1707</v>
      </c>
      <c r="C452" s="7" t="s">
        <v>1708</v>
      </c>
      <c r="D452" s="7" t="s">
        <v>149</v>
      </c>
      <c r="F452" s="7" t="s">
        <v>80</v>
      </c>
      <c r="G452" s="7" t="s">
        <v>11</v>
      </c>
      <c r="H452" s="7" t="s">
        <v>38</v>
      </c>
      <c r="I452" s="7" t="s">
        <v>13</v>
      </c>
      <c r="J452" s="7" t="s">
        <v>1709</v>
      </c>
      <c r="K452" s="7" t="s">
        <v>1710</v>
      </c>
      <c r="L452" s="7" t="s">
        <v>5796</v>
      </c>
      <c r="M452" s="7">
        <v>0</v>
      </c>
      <c r="N452" s="7" t="s">
        <v>5044</v>
      </c>
      <c r="O452" s="7" t="s">
        <v>5044</v>
      </c>
      <c r="P452" s="7">
        <v>0</v>
      </c>
      <c r="Q452" s="7">
        <v>0</v>
      </c>
      <c r="R452" s="7">
        <v>0</v>
      </c>
      <c r="S452" s="7">
        <v>1</v>
      </c>
      <c r="T452" s="7">
        <v>4</v>
      </c>
      <c r="U452" s="7">
        <v>100</v>
      </c>
      <c r="V452" s="7">
        <v>0</v>
      </c>
      <c r="W452" s="7">
        <v>1</v>
      </c>
      <c r="X452" s="7">
        <v>0</v>
      </c>
      <c r="Y452" s="7">
        <v>0</v>
      </c>
      <c r="Z452" s="7">
        <v>0</v>
      </c>
      <c r="AA452" s="7">
        <v>0</v>
      </c>
      <c r="AB452" s="7">
        <v>1</v>
      </c>
      <c r="AC452" s="7">
        <v>1</v>
      </c>
      <c r="AD452" s="7" t="s">
        <v>5044</v>
      </c>
      <c r="AE452" s="7" t="s">
        <v>5044</v>
      </c>
      <c r="AF452" s="7" t="s">
        <v>5044</v>
      </c>
      <c r="AG452" s="7">
        <v>0</v>
      </c>
      <c r="AH452" s="7" t="s">
        <v>5044</v>
      </c>
      <c r="AI452" s="7" t="s">
        <v>5044</v>
      </c>
      <c r="AJ452" s="7" t="s">
        <v>5044</v>
      </c>
      <c r="AK452" s="7" t="s">
        <v>5318</v>
      </c>
      <c r="AL452" s="7">
        <v>0</v>
      </c>
      <c r="AM452" s="7">
        <v>0</v>
      </c>
      <c r="AN452" s="7" t="s">
        <v>5318</v>
      </c>
      <c r="AO452" s="11">
        <v>9</v>
      </c>
    </row>
    <row r="453" spans="1:41" ht="63" customHeight="1" x14ac:dyDescent="0.2">
      <c r="A453" s="7">
        <v>5683</v>
      </c>
      <c r="B453" s="7" t="s">
        <v>1711</v>
      </c>
      <c r="C453" s="7" t="s">
        <v>1712</v>
      </c>
      <c r="D453" s="7" t="s">
        <v>101</v>
      </c>
      <c r="F453" s="7" t="s">
        <v>197</v>
      </c>
      <c r="G453" s="7" t="s">
        <v>32</v>
      </c>
      <c r="H453" s="7" t="s">
        <v>160</v>
      </c>
      <c r="I453" s="7" t="s">
        <v>13</v>
      </c>
      <c r="J453" s="7" t="s">
        <v>1713</v>
      </c>
      <c r="K453" s="7" t="s">
        <v>1714</v>
      </c>
      <c r="L453" s="7" t="s">
        <v>5797</v>
      </c>
      <c r="M453" s="7">
        <v>0</v>
      </c>
      <c r="N453" s="7" t="s">
        <v>5044</v>
      </c>
      <c r="O453" s="7" t="s">
        <v>5044</v>
      </c>
      <c r="P453" s="7">
        <v>0</v>
      </c>
      <c r="Q453" s="7">
        <v>0</v>
      </c>
      <c r="R453" s="7">
        <v>0</v>
      </c>
      <c r="S453" s="7">
        <v>1</v>
      </c>
      <c r="T453" s="7">
        <v>2</v>
      </c>
      <c r="U453" s="7">
        <v>100</v>
      </c>
      <c r="V453" s="7">
        <v>0</v>
      </c>
      <c r="W453" s="7">
        <v>1</v>
      </c>
      <c r="X453" s="7">
        <v>0</v>
      </c>
      <c r="Y453" s="7">
        <v>0</v>
      </c>
      <c r="Z453" s="7">
        <v>1</v>
      </c>
      <c r="AA453" s="7">
        <v>0</v>
      </c>
      <c r="AB453" s="7">
        <v>1</v>
      </c>
      <c r="AC453" s="7">
        <v>1</v>
      </c>
      <c r="AD453" s="7" t="s">
        <v>5044</v>
      </c>
      <c r="AE453" s="7" t="s">
        <v>5044</v>
      </c>
      <c r="AF453" s="7" t="s">
        <v>5044</v>
      </c>
      <c r="AG453" s="7">
        <v>0</v>
      </c>
      <c r="AH453" s="7" t="s">
        <v>5044</v>
      </c>
      <c r="AI453" s="7" t="s">
        <v>5044</v>
      </c>
      <c r="AJ453" s="7">
        <v>1</v>
      </c>
      <c r="AK453" s="7" t="s">
        <v>6497</v>
      </c>
      <c r="AL453" s="7">
        <v>0</v>
      </c>
      <c r="AM453" s="7">
        <v>0</v>
      </c>
      <c r="AO453" s="11">
        <v>9</v>
      </c>
    </row>
    <row r="454" spans="1:41" ht="63" customHeight="1" x14ac:dyDescent="0.2">
      <c r="A454" s="7">
        <v>5689</v>
      </c>
      <c r="B454" s="7" t="s">
        <v>1723</v>
      </c>
      <c r="C454" s="7" t="s">
        <v>1724</v>
      </c>
      <c r="D454" s="7" t="s">
        <v>16</v>
      </c>
      <c r="F454" s="7" t="s">
        <v>1725</v>
      </c>
      <c r="G454" s="7" t="s">
        <v>11</v>
      </c>
      <c r="H454" s="7" t="s">
        <v>730</v>
      </c>
      <c r="I454" s="7" t="s">
        <v>13</v>
      </c>
      <c r="J454" s="7" t="s">
        <v>1726</v>
      </c>
      <c r="K454" s="7" t="s">
        <v>1727</v>
      </c>
      <c r="L454" s="7" t="s">
        <v>5798</v>
      </c>
      <c r="M454" s="7">
        <v>0</v>
      </c>
      <c r="N454" s="7" t="s">
        <v>5044</v>
      </c>
      <c r="O454" s="7" t="s">
        <v>5044</v>
      </c>
      <c r="P454" s="7">
        <v>0</v>
      </c>
      <c r="Q454" s="7">
        <v>0</v>
      </c>
      <c r="R454" s="7">
        <v>0</v>
      </c>
      <c r="S454" s="7">
        <v>3</v>
      </c>
      <c r="T454" s="7">
        <v>1</v>
      </c>
      <c r="U454" s="7">
        <v>116</v>
      </c>
      <c r="V454" s="7">
        <v>0</v>
      </c>
      <c r="W454" s="7">
        <v>1</v>
      </c>
      <c r="X454" s="7">
        <v>0</v>
      </c>
      <c r="Y454" s="7">
        <v>0</v>
      </c>
      <c r="Z454" s="7">
        <v>0</v>
      </c>
      <c r="AA454" s="7">
        <v>0</v>
      </c>
      <c r="AB454" s="7">
        <v>1</v>
      </c>
      <c r="AC454" s="7">
        <v>1</v>
      </c>
      <c r="AD454" s="7" t="s">
        <v>5044</v>
      </c>
      <c r="AE454" s="7" t="s">
        <v>5044</v>
      </c>
      <c r="AF454" s="7" t="s">
        <v>5044</v>
      </c>
      <c r="AG454" s="7">
        <v>2</v>
      </c>
      <c r="AH454" s="7">
        <v>2</v>
      </c>
      <c r="AI454" s="7">
        <v>2</v>
      </c>
      <c r="AJ454" s="7" t="s">
        <v>5044</v>
      </c>
      <c r="AK454" s="7" t="s">
        <v>5318</v>
      </c>
      <c r="AL454" s="7">
        <v>1</v>
      </c>
      <c r="AM454" s="7">
        <v>0</v>
      </c>
      <c r="AN454" s="7" t="s">
        <v>5318</v>
      </c>
      <c r="AO454" s="11">
        <v>2</v>
      </c>
    </row>
    <row r="455" spans="1:41" ht="63" customHeight="1" x14ac:dyDescent="0.2">
      <c r="A455" s="7">
        <v>5718</v>
      </c>
      <c r="B455" s="7" t="s">
        <v>1728</v>
      </c>
      <c r="C455" s="7" t="s">
        <v>1729</v>
      </c>
      <c r="D455" s="7" t="s">
        <v>56</v>
      </c>
      <c r="F455" s="7" t="s">
        <v>1730</v>
      </c>
      <c r="G455" s="7" t="s">
        <v>92</v>
      </c>
      <c r="H455" s="7" t="s">
        <v>1731</v>
      </c>
      <c r="I455" s="7" t="s">
        <v>13</v>
      </c>
      <c r="J455" s="7" t="s">
        <v>1732</v>
      </c>
      <c r="K455" s="7" t="s">
        <v>1733</v>
      </c>
      <c r="L455" s="7" t="s">
        <v>5799</v>
      </c>
      <c r="M455" s="7">
        <v>0</v>
      </c>
      <c r="N455" s="7" t="s">
        <v>5044</v>
      </c>
      <c r="O455" s="7" t="s">
        <v>5044</v>
      </c>
      <c r="P455" s="7">
        <v>0</v>
      </c>
      <c r="Q455" s="7">
        <v>0</v>
      </c>
      <c r="R455" s="7">
        <v>0</v>
      </c>
      <c r="S455" s="7">
        <v>4</v>
      </c>
      <c r="T455" s="7">
        <v>1</v>
      </c>
      <c r="U455" s="7">
        <v>10</v>
      </c>
      <c r="V455" s="7">
        <v>0</v>
      </c>
      <c r="W455" s="7">
        <v>1</v>
      </c>
      <c r="X455" s="7">
        <v>0</v>
      </c>
      <c r="Y455" s="7">
        <v>0</v>
      </c>
      <c r="Z455" s="7">
        <v>0</v>
      </c>
      <c r="AA455" s="7">
        <v>0</v>
      </c>
      <c r="AB455" s="7">
        <v>1</v>
      </c>
      <c r="AC455" s="7">
        <v>1</v>
      </c>
      <c r="AD455" s="7" t="s">
        <v>5044</v>
      </c>
      <c r="AE455" s="7" t="s">
        <v>5044</v>
      </c>
      <c r="AF455" s="7" t="s">
        <v>5044</v>
      </c>
      <c r="AG455" s="7">
        <v>1</v>
      </c>
      <c r="AH455" s="7">
        <v>0</v>
      </c>
      <c r="AI455" s="7">
        <v>0</v>
      </c>
      <c r="AJ455" s="7" t="s">
        <v>5044</v>
      </c>
      <c r="AK455" s="7" t="s">
        <v>5318</v>
      </c>
      <c r="AL455" s="7">
        <v>0</v>
      </c>
      <c r="AM455" s="7">
        <v>0</v>
      </c>
      <c r="AN455" s="7" t="s">
        <v>5318</v>
      </c>
      <c r="AO455" s="9">
        <v>0</v>
      </c>
    </row>
    <row r="456" spans="1:41" ht="63" customHeight="1" x14ac:dyDescent="0.2">
      <c r="A456" s="7">
        <v>5738</v>
      </c>
      <c r="B456" s="7" t="s">
        <v>1734</v>
      </c>
      <c r="C456" s="7" t="s">
        <v>1735</v>
      </c>
      <c r="D456" s="7" t="s">
        <v>30</v>
      </c>
      <c r="F456" s="7" t="s">
        <v>293</v>
      </c>
      <c r="G456" s="7" t="s">
        <v>27</v>
      </c>
      <c r="H456" s="7" t="s">
        <v>427</v>
      </c>
      <c r="I456" s="7" t="s">
        <v>437</v>
      </c>
      <c r="J456" s="7" t="s">
        <v>1736</v>
      </c>
      <c r="K456" s="7" t="s">
        <v>1737</v>
      </c>
      <c r="L456" s="11" t="s">
        <v>5044</v>
      </c>
      <c r="M456" s="7">
        <v>0</v>
      </c>
      <c r="N456" s="7" t="s">
        <v>5044</v>
      </c>
      <c r="O456" s="7" t="s">
        <v>5044</v>
      </c>
      <c r="P456" s="7">
        <v>0</v>
      </c>
      <c r="Q456" s="7">
        <v>0</v>
      </c>
      <c r="R456" s="7">
        <v>0</v>
      </c>
      <c r="S456" s="7">
        <v>1</v>
      </c>
      <c r="T456" s="7">
        <v>5</v>
      </c>
      <c r="U456" s="7">
        <v>57</v>
      </c>
      <c r="V456" s="7">
        <v>0</v>
      </c>
      <c r="W456" s="7">
        <v>1</v>
      </c>
      <c r="X456" s="7">
        <v>0</v>
      </c>
      <c r="Y456" s="7">
        <v>0</v>
      </c>
      <c r="Z456" s="7">
        <v>0</v>
      </c>
      <c r="AA456" s="7">
        <v>0</v>
      </c>
      <c r="AB456" s="7">
        <v>1</v>
      </c>
      <c r="AC456" s="7">
        <v>1</v>
      </c>
      <c r="AD456" s="7" t="s">
        <v>5044</v>
      </c>
      <c r="AE456" s="7" t="s">
        <v>5044</v>
      </c>
      <c r="AF456" s="7" t="s">
        <v>5044</v>
      </c>
      <c r="AG456" s="7">
        <v>1</v>
      </c>
      <c r="AH456" s="7">
        <v>0</v>
      </c>
      <c r="AI456" s="7">
        <v>0</v>
      </c>
      <c r="AJ456" s="7" t="s">
        <v>5044</v>
      </c>
      <c r="AK456" s="7" t="s">
        <v>5318</v>
      </c>
      <c r="AL456" s="7">
        <v>0</v>
      </c>
      <c r="AM456" s="7">
        <v>0</v>
      </c>
      <c r="AN456" s="7" t="s">
        <v>5318</v>
      </c>
      <c r="AO456" s="9">
        <v>0</v>
      </c>
    </row>
    <row r="457" spans="1:41" ht="63" customHeight="1" x14ac:dyDescent="0.2">
      <c r="A457" s="7">
        <v>5748</v>
      </c>
      <c r="B457" s="7" t="s">
        <v>1738</v>
      </c>
      <c r="C457" s="7" t="s">
        <v>1739</v>
      </c>
      <c r="D457" s="7" t="s">
        <v>101</v>
      </c>
      <c r="F457" s="7" t="s">
        <v>65</v>
      </c>
      <c r="G457" s="7" t="s">
        <v>27</v>
      </c>
      <c r="H457" s="7" t="s">
        <v>427</v>
      </c>
      <c r="I457" s="7" t="s">
        <v>13</v>
      </c>
      <c r="J457" s="7" t="s">
        <v>1740</v>
      </c>
      <c r="K457" s="7" t="s">
        <v>1741</v>
      </c>
      <c r="L457" s="11" t="s">
        <v>5044</v>
      </c>
      <c r="M457" s="7">
        <v>0</v>
      </c>
      <c r="N457" s="7" t="s">
        <v>5044</v>
      </c>
      <c r="O457" s="7" t="s">
        <v>5044</v>
      </c>
      <c r="P457" s="7">
        <v>1</v>
      </c>
      <c r="Q457" s="7">
        <v>0</v>
      </c>
      <c r="R457" s="7">
        <v>0</v>
      </c>
      <c r="S457" s="7">
        <v>1</v>
      </c>
      <c r="T457" s="7">
        <v>1</v>
      </c>
      <c r="U457" s="7">
        <v>60</v>
      </c>
      <c r="V457" s="7">
        <v>0</v>
      </c>
      <c r="W457" s="7">
        <v>1</v>
      </c>
      <c r="X457" s="7">
        <v>0</v>
      </c>
      <c r="Y457" s="7">
        <v>0</v>
      </c>
      <c r="Z457" s="7">
        <v>0</v>
      </c>
      <c r="AA457" s="7">
        <v>0</v>
      </c>
      <c r="AB457" s="7">
        <v>1</v>
      </c>
      <c r="AC457" s="7">
        <v>1</v>
      </c>
      <c r="AD457" s="7" t="s">
        <v>5044</v>
      </c>
      <c r="AE457" s="7" t="s">
        <v>5044</v>
      </c>
      <c r="AF457" s="7" t="s">
        <v>5044</v>
      </c>
      <c r="AG457" s="7">
        <v>2</v>
      </c>
      <c r="AH457" s="7">
        <v>3</v>
      </c>
      <c r="AI457" s="7">
        <v>0</v>
      </c>
      <c r="AJ457" s="7" t="s">
        <v>5044</v>
      </c>
      <c r="AK457" s="7">
        <v>1</v>
      </c>
      <c r="AL457" s="7">
        <v>1</v>
      </c>
      <c r="AM457" s="7">
        <v>0</v>
      </c>
      <c r="AN457" s="7" t="s">
        <v>5318</v>
      </c>
      <c r="AO457" s="11">
        <v>3</v>
      </c>
    </row>
    <row r="458" spans="1:41" ht="63" customHeight="1" x14ac:dyDescent="0.2">
      <c r="A458" s="7">
        <v>5752</v>
      </c>
      <c r="B458" s="7" t="s">
        <v>1742</v>
      </c>
      <c r="C458" s="7" t="s">
        <v>1743</v>
      </c>
      <c r="D458" s="7" t="s">
        <v>41</v>
      </c>
      <c r="F458" s="7" t="s">
        <v>163</v>
      </c>
      <c r="G458" s="7" t="s">
        <v>32</v>
      </c>
      <c r="H458" s="7" t="s">
        <v>911</v>
      </c>
      <c r="I458" s="7" t="s">
        <v>13</v>
      </c>
      <c r="J458" s="7" t="s">
        <v>1744</v>
      </c>
      <c r="K458" s="7" t="s">
        <v>1745</v>
      </c>
      <c r="L458" s="7" t="s">
        <v>5800</v>
      </c>
      <c r="M458" s="7">
        <v>0</v>
      </c>
      <c r="N458" s="7" t="s">
        <v>5044</v>
      </c>
      <c r="O458" s="7" t="s">
        <v>5044</v>
      </c>
      <c r="P458" s="7">
        <v>0</v>
      </c>
      <c r="Q458" s="7">
        <v>0</v>
      </c>
      <c r="R458" s="7">
        <v>0</v>
      </c>
      <c r="S458" s="7">
        <v>1</v>
      </c>
      <c r="T458" s="7">
        <v>1</v>
      </c>
      <c r="U458" s="7">
        <v>340</v>
      </c>
      <c r="V458" s="7">
        <v>0</v>
      </c>
      <c r="W458" s="7">
        <v>1</v>
      </c>
      <c r="X458" s="7">
        <v>0</v>
      </c>
      <c r="Y458" s="7">
        <v>0</v>
      </c>
      <c r="Z458" s="7">
        <v>0</v>
      </c>
      <c r="AA458" s="7">
        <v>0</v>
      </c>
      <c r="AB458" s="7">
        <v>1</v>
      </c>
      <c r="AC458" s="7">
        <v>1</v>
      </c>
      <c r="AD458" s="7" t="s">
        <v>5044</v>
      </c>
      <c r="AE458" s="7" t="s">
        <v>5044</v>
      </c>
      <c r="AF458" s="7" t="s">
        <v>5044</v>
      </c>
      <c r="AG458" s="7">
        <v>2</v>
      </c>
      <c r="AH458" s="7">
        <v>2</v>
      </c>
      <c r="AI458" s="7">
        <v>2</v>
      </c>
      <c r="AJ458" s="7" t="s">
        <v>5044</v>
      </c>
      <c r="AK458" s="7" t="s">
        <v>5801</v>
      </c>
      <c r="AL458" s="7">
        <v>0</v>
      </c>
      <c r="AM458" s="7">
        <v>0</v>
      </c>
      <c r="AN458" s="7" t="s">
        <v>5318</v>
      </c>
      <c r="AO458" s="11">
        <v>2</v>
      </c>
    </row>
    <row r="459" spans="1:41" ht="63" customHeight="1" x14ac:dyDescent="0.2">
      <c r="A459" s="7">
        <v>5754</v>
      </c>
      <c r="B459" s="7" t="s">
        <v>1750</v>
      </c>
      <c r="C459" s="7" t="s">
        <v>1751</v>
      </c>
      <c r="D459" s="7" t="s">
        <v>101</v>
      </c>
      <c r="F459" s="7" t="s">
        <v>932</v>
      </c>
      <c r="G459" s="7" t="s">
        <v>175</v>
      </c>
      <c r="H459" s="7" t="s">
        <v>38</v>
      </c>
      <c r="I459" s="7" t="s">
        <v>13</v>
      </c>
      <c r="J459" s="7" t="s">
        <v>1752</v>
      </c>
      <c r="K459" s="7" t="s">
        <v>1753</v>
      </c>
      <c r="L459" s="7" t="s">
        <v>5803</v>
      </c>
      <c r="M459" s="7">
        <v>0</v>
      </c>
      <c r="N459" s="7" t="s">
        <v>5044</v>
      </c>
      <c r="O459" s="7" t="s">
        <v>5044</v>
      </c>
      <c r="P459" s="7">
        <v>1</v>
      </c>
      <c r="Q459" s="7">
        <v>0</v>
      </c>
      <c r="R459" s="7">
        <v>0</v>
      </c>
      <c r="S459" s="7">
        <v>1</v>
      </c>
      <c r="T459" s="7">
        <v>2</v>
      </c>
      <c r="U459" s="7">
        <v>62</v>
      </c>
      <c r="V459" s="7">
        <v>0</v>
      </c>
      <c r="W459" s="7">
        <v>1</v>
      </c>
      <c r="X459" s="7">
        <v>0</v>
      </c>
      <c r="Y459" s="7">
        <v>0</v>
      </c>
      <c r="Z459" s="7">
        <v>1</v>
      </c>
      <c r="AA459" s="7">
        <v>0</v>
      </c>
      <c r="AB459" s="7">
        <v>1</v>
      </c>
      <c r="AC459" s="7">
        <v>1</v>
      </c>
      <c r="AD459" s="7" t="s">
        <v>5044</v>
      </c>
      <c r="AE459" s="7" t="s">
        <v>5044</v>
      </c>
      <c r="AF459" s="7" t="s">
        <v>5044</v>
      </c>
      <c r="AG459" s="7">
        <v>2</v>
      </c>
      <c r="AH459" s="7">
        <v>2</v>
      </c>
      <c r="AI459" s="7">
        <v>2</v>
      </c>
      <c r="AJ459" s="7">
        <v>0</v>
      </c>
      <c r="AK459" s="7" t="s">
        <v>5318</v>
      </c>
      <c r="AL459" s="7" t="s">
        <v>5044</v>
      </c>
      <c r="AM459" s="7">
        <v>0</v>
      </c>
      <c r="AN459" s="7" t="s">
        <v>2539</v>
      </c>
      <c r="AO459" s="11">
        <v>2</v>
      </c>
    </row>
    <row r="460" spans="1:41" ht="63" customHeight="1" x14ac:dyDescent="0.2">
      <c r="A460" s="7">
        <v>5781</v>
      </c>
      <c r="B460" s="7" t="s">
        <v>1754</v>
      </c>
      <c r="C460" s="7" t="s">
        <v>1755</v>
      </c>
      <c r="D460" s="7" t="s">
        <v>46</v>
      </c>
      <c r="F460" s="7" t="s">
        <v>1756</v>
      </c>
      <c r="G460" s="7" t="s">
        <v>32</v>
      </c>
      <c r="H460" s="7" t="s">
        <v>972</v>
      </c>
      <c r="I460" s="7" t="s">
        <v>13</v>
      </c>
      <c r="J460" s="7" t="s">
        <v>1757</v>
      </c>
      <c r="K460" s="7" t="s">
        <v>1758</v>
      </c>
      <c r="L460" s="7" t="s">
        <v>5724</v>
      </c>
      <c r="M460" s="7">
        <v>0</v>
      </c>
      <c r="N460" s="7" t="s">
        <v>5044</v>
      </c>
      <c r="O460" s="7" t="s">
        <v>5044</v>
      </c>
      <c r="P460" s="7">
        <v>0</v>
      </c>
      <c r="Q460" s="7">
        <v>0</v>
      </c>
      <c r="R460" s="7">
        <v>0</v>
      </c>
      <c r="S460" s="7">
        <v>1</v>
      </c>
      <c r="T460" s="7">
        <v>1</v>
      </c>
      <c r="U460" s="7">
        <v>207</v>
      </c>
      <c r="V460" s="7">
        <v>1</v>
      </c>
      <c r="W460" s="7">
        <v>0</v>
      </c>
      <c r="X460" s="7">
        <v>0</v>
      </c>
      <c r="Y460" s="7">
        <v>0</v>
      </c>
      <c r="Z460" s="7">
        <v>0</v>
      </c>
      <c r="AA460" s="7">
        <v>0</v>
      </c>
      <c r="AB460" s="7">
        <v>1</v>
      </c>
      <c r="AC460" s="7">
        <v>1</v>
      </c>
      <c r="AD460" s="7">
        <v>2</v>
      </c>
      <c r="AE460" s="7">
        <v>1</v>
      </c>
      <c r="AF460" s="7">
        <v>1</v>
      </c>
      <c r="AG460" s="7" t="s">
        <v>5044</v>
      </c>
      <c r="AH460" s="7" t="s">
        <v>5044</v>
      </c>
      <c r="AI460" s="7" t="s">
        <v>5044</v>
      </c>
      <c r="AJ460" s="7" t="s">
        <v>5044</v>
      </c>
      <c r="AK460" s="7" t="s">
        <v>5804</v>
      </c>
      <c r="AL460" s="7">
        <v>1</v>
      </c>
      <c r="AM460" s="7">
        <v>0</v>
      </c>
      <c r="AO460" s="11">
        <v>1</v>
      </c>
    </row>
    <row r="461" spans="1:41" ht="63" customHeight="1" x14ac:dyDescent="0.2">
      <c r="A461" s="7">
        <v>5840</v>
      </c>
      <c r="B461" s="7" t="s">
        <v>1759</v>
      </c>
      <c r="C461" s="7" t="s">
        <v>1760</v>
      </c>
      <c r="D461" s="7" t="s">
        <v>95</v>
      </c>
      <c r="F461" s="7" t="s">
        <v>791</v>
      </c>
      <c r="H461" s="7" t="s">
        <v>490</v>
      </c>
      <c r="I461" s="7" t="s">
        <v>13</v>
      </c>
      <c r="J461" s="7" t="s">
        <v>1761</v>
      </c>
      <c r="K461" s="7" t="s">
        <v>1762</v>
      </c>
      <c r="L461" s="7" t="s">
        <v>5805</v>
      </c>
      <c r="M461" s="7">
        <v>0</v>
      </c>
      <c r="N461" s="7" t="s">
        <v>5044</v>
      </c>
      <c r="O461" s="7" t="s">
        <v>5044</v>
      </c>
      <c r="P461" s="7">
        <v>0</v>
      </c>
      <c r="Q461" s="7">
        <v>0</v>
      </c>
      <c r="R461" s="7">
        <v>0</v>
      </c>
      <c r="S461" s="7">
        <v>3</v>
      </c>
      <c r="T461" s="7">
        <v>6</v>
      </c>
      <c r="U461" s="7">
        <v>224</v>
      </c>
      <c r="V461" s="7">
        <v>0</v>
      </c>
      <c r="W461" s="7">
        <v>1</v>
      </c>
      <c r="X461" s="7">
        <v>0</v>
      </c>
      <c r="Y461" s="7">
        <v>0</v>
      </c>
      <c r="Z461" s="7">
        <v>0</v>
      </c>
      <c r="AA461" s="7">
        <v>0</v>
      </c>
      <c r="AB461" s="7">
        <v>1</v>
      </c>
      <c r="AC461" s="7">
        <v>1</v>
      </c>
      <c r="AD461" s="7" t="s">
        <v>5044</v>
      </c>
      <c r="AE461" s="7" t="s">
        <v>5044</v>
      </c>
      <c r="AF461" s="7" t="s">
        <v>5044</v>
      </c>
      <c r="AG461" s="7">
        <v>2</v>
      </c>
      <c r="AH461" s="7">
        <v>3</v>
      </c>
      <c r="AI461" s="7">
        <v>0</v>
      </c>
      <c r="AJ461" s="7" t="s">
        <v>5044</v>
      </c>
      <c r="AK461" s="7" t="s">
        <v>5806</v>
      </c>
      <c r="AL461" s="7">
        <v>1</v>
      </c>
      <c r="AM461" s="7">
        <v>0</v>
      </c>
      <c r="AN461" s="7" t="s">
        <v>5318</v>
      </c>
      <c r="AO461" s="11">
        <v>3</v>
      </c>
    </row>
    <row r="462" spans="1:41" ht="63" customHeight="1" x14ac:dyDescent="0.2">
      <c r="A462" s="7">
        <v>5854</v>
      </c>
      <c r="B462" s="7" t="s">
        <v>1763</v>
      </c>
      <c r="C462" s="7" t="s">
        <v>1764</v>
      </c>
      <c r="D462" s="7" t="s">
        <v>16</v>
      </c>
      <c r="F462" s="7" t="s">
        <v>865</v>
      </c>
      <c r="G462" s="7" t="s">
        <v>92</v>
      </c>
      <c r="H462" s="7" t="s">
        <v>286</v>
      </c>
      <c r="I462" s="7" t="s">
        <v>13</v>
      </c>
      <c r="J462" s="7" t="s">
        <v>1765</v>
      </c>
      <c r="K462" s="7" t="s">
        <v>1766</v>
      </c>
      <c r="L462" s="7" t="s">
        <v>5807</v>
      </c>
      <c r="M462" s="7">
        <v>0</v>
      </c>
      <c r="N462" s="7" t="s">
        <v>5044</v>
      </c>
      <c r="O462" s="7" t="s">
        <v>5044</v>
      </c>
      <c r="P462" s="7">
        <v>0</v>
      </c>
      <c r="Q462" s="7">
        <v>0</v>
      </c>
      <c r="R462" s="7">
        <v>0</v>
      </c>
      <c r="S462" s="7">
        <v>11</v>
      </c>
      <c r="T462" s="7">
        <v>4</v>
      </c>
      <c r="U462" s="7">
        <v>70</v>
      </c>
      <c r="V462" s="7">
        <v>0</v>
      </c>
      <c r="W462" s="7">
        <v>1</v>
      </c>
      <c r="X462" s="7">
        <v>0</v>
      </c>
      <c r="Y462" s="7">
        <v>0</v>
      </c>
      <c r="Z462" s="7">
        <v>0</v>
      </c>
      <c r="AA462" s="7">
        <v>0</v>
      </c>
      <c r="AB462" s="7">
        <v>1</v>
      </c>
      <c r="AC462" s="7">
        <v>1</v>
      </c>
      <c r="AD462" s="7" t="s">
        <v>5044</v>
      </c>
      <c r="AE462" s="7" t="s">
        <v>5044</v>
      </c>
      <c r="AF462" s="7" t="s">
        <v>5044</v>
      </c>
      <c r="AG462" s="7">
        <v>2</v>
      </c>
      <c r="AH462" s="7">
        <v>1</v>
      </c>
      <c r="AI462" s="7">
        <v>1</v>
      </c>
      <c r="AJ462" s="7" t="s">
        <v>5044</v>
      </c>
      <c r="AK462" s="7" t="s">
        <v>5318</v>
      </c>
      <c r="AL462" s="7">
        <v>1</v>
      </c>
      <c r="AM462" s="7">
        <v>0</v>
      </c>
      <c r="AN462" s="7" t="s">
        <v>5318</v>
      </c>
      <c r="AO462" s="11">
        <v>1</v>
      </c>
    </row>
    <row r="463" spans="1:41" ht="63" customHeight="1" x14ac:dyDescent="0.2">
      <c r="A463" s="7">
        <v>5866</v>
      </c>
      <c r="B463" s="7" t="s">
        <v>1771</v>
      </c>
      <c r="C463" s="7" t="s">
        <v>1772</v>
      </c>
      <c r="D463" s="7" t="s">
        <v>35</v>
      </c>
      <c r="F463" s="7" t="s">
        <v>470</v>
      </c>
      <c r="G463" s="7" t="s">
        <v>32</v>
      </c>
      <c r="H463" s="7" t="s">
        <v>679</v>
      </c>
      <c r="I463" s="7" t="s">
        <v>13</v>
      </c>
      <c r="J463" s="7" t="s">
        <v>1773</v>
      </c>
      <c r="K463" s="7" t="s">
        <v>1774</v>
      </c>
      <c r="L463" s="7" t="s">
        <v>5809</v>
      </c>
      <c r="M463" s="7">
        <v>0</v>
      </c>
      <c r="N463" s="7" t="s">
        <v>5044</v>
      </c>
      <c r="O463" s="7" t="s">
        <v>5044</v>
      </c>
      <c r="P463" s="7">
        <v>0</v>
      </c>
      <c r="Q463" s="7">
        <v>0</v>
      </c>
      <c r="R463" s="7">
        <v>0</v>
      </c>
      <c r="S463" s="7">
        <v>3</v>
      </c>
      <c r="T463" s="7">
        <v>1</v>
      </c>
      <c r="U463" s="7">
        <v>295</v>
      </c>
      <c r="V463" s="7">
        <v>1</v>
      </c>
      <c r="W463" s="7">
        <v>0</v>
      </c>
      <c r="X463" s="7">
        <v>0</v>
      </c>
      <c r="Y463" s="7">
        <v>0</v>
      </c>
      <c r="Z463" s="7">
        <v>0</v>
      </c>
      <c r="AA463" s="7">
        <v>0</v>
      </c>
      <c r="AB463" s="7">
        <v>1</v>
      </c>
      <c r="AC463" s="7">
        <v>1</v>
      </c>
      <c r="AD463" s="7">
        <v>2</v>
      </c>
      <c r="AE463" s="7">
        <v>3</v>
      </c>
      <c r="AF463" s="7">
        <v>0</v>
      </c>
      <c r="AG463" s="7" t="s">
        <v>5044</v>
      </c>
      <c r="AH463" s="7" t="s">
        <v>5044</v>
      </c>
      <c r="AI463" s="7" t="s">
        <v>5044</v>
      </c>
      <c r="AJ463" s="7" t="s">
        <v>5044</v>
      </c>
      <c r="AK463" s="7" t="s">
        <v>5778</v>
      </c>
      <c r="AL463" s="7">
        <v>0</v>
      </c>
      <c r="AM463" s="7">
        <v>0</v>
      </c>
      <c r="AN463" s="7" t="s">
        <v>5318</v>
      </c>
      <c r="AO463" s="11">
        <v>3</v>
      </c>
    </row>
    <row r="464" spans="1:41" ht="63" customHeight="1" x14ac:dyDescent="0.2">
      <c r="A464" s="7">
        <v>5881</v>
      </c>
      <c r="B464" s="7" t="s">
        <v>1779</v>
      </c>
      <c r="C464" s="7" t="s">
        <v>1780</v>
      </c>
      <c r="D464" s="7" t="s">
        <v>95</v>
      </c>
      <c r="F464" s="7" t="s">
        <v>458</v>
      </c>
      <c r="G464" s="7" t="s">
        <v>18</v>
      </c>
      <c r="H464" s="7" t="s">
        <v>1781</v>
      </c>
      <c r="I464" s="7" t="s">
        <v>13</v>
      </c>
      <c r="J464" s="7" t="s">
        <v>1782</v>
      </c>
      <c r="L464" s="7" t="s">
        <v>6141</v>
      </c>
      <c r="M464" s="7">
        <v>0</v>
      </c>
      <c r="N464" s="7" t="s">
        <v>5044</v>
      </c>
      <c r="O464" s="7" t="s">
        <v>5044</v>
      </c>
      <c r="P464" s="7">
        <v>1</v>
      </c>
      <c r="Q464" s="7">
        <v>0</v>
      </c>
      <c r="R464" s="7">
        <v>0</v>
      </c>
      <c r="S464" s="7">
        <v>1</v>
      </c>
      <c r="T464" s="7">
        <v>6</v>
      </c>
      <c r="U464" s="7">
        <v>59</v>
      </c>
      <c r="V464" s="7">
        <v>0</v>
      </c>
      <c r="W464" s="7">
        <v>1</v>
      </c>
      <c r="X464" s="7">
        <v>0</v>
      </c>
      <c r="Y464" s="7">
        <v>0</v>
      </c>
      <c r="Z464" s="7">
        <v>0</v>
      </c>
      <c r="AA464" s="7">
        <v>0</v>
      </c>
      <c r="AB464" s="7">
        <v>0</v>
      </c>
      <c r="AC464" s="7">
        <v>1</v>
      </c>
      <c r="AD464" s="7" t="s">
        <v>5044</v>
      </c>
      <c r="AE464" s="7" t="s">
        <v>5044</v>
      </c>
      <c r="AF464" s="7" t="s">
        <v>5044</v>
      </c>
      <c r="AG464" s="7">
        <v>1</v>
      </c>
      <c r="AH464" s="7">
        <v>0</v>
      </c>
      <c r="AI464" s="7">
        <v>0</v>
      </c>
      <c r="AJ464" s="7" t="s">
        <v>5044</v>
      </c>
      <c r="AK464" s="7" t="s">
        <v>5318</v>
      </c>
      <c r="AL464" s="7" t="s">
        <v>5044</v>
      </c>
      <c r="AM464" s="7">
        <v>0</v>
      </c>
      <c r="AO464" s="9">
        <v>0</v>
      </c>
    </row>
    <row r="465" spans="1:41" ht="63" customHeight="1" x14ac:dyDescent="0.2">
      <c r="A465" s="7">
        <v>5924</v>
      </c>
      <c r="B465" s="7" t="s">
        <v>1795</v>
      </c>
      <c r="C465" s="7" t="s">
        <v>1796</v>
      </c>
      <c r="D465" s="7" t="s">
        <v>22</v>
      </c>
      <c r="F465" s="7" t="s">
        <v>1048</v>
      </c>
      <c r="G465" s="7" t="s">
        <v>11</v>
      </c>
      <c r="H465" s="7" t="s">
        <v>43</v>
      </c>
      <c r="I465" s="7" t="s">
        <v>13</v>
      </c>
      <c r="J465" s="7" t="s">
        <v>1797</v>
      </c>
      <c r="K465" s="7" t="s">
        <v>1798</v>
      </c>
      <c r="L465" s="7" t="s">
        <v>5813</v>
      </c>
      <c r="M465" s="7">
        <v>0</v>
      </c>
      <c r="N465" s="7" t="s">
        <v>5044</v>
      </c>
      <c r="O465" s="7" t="s">
        <v>5044</v>
      </c>
      <c r="P465" s="7">
        <v>0</v>
      </c>
      <c r="Q465" s="7">
        <v>0</v>
      </c>
      <c r="R465" s="7">
        <v>0</v>
      </c>
      <c r="S465" s="7">
        <v>1</v>
      </c>
      <c r="T465" s="7">
        <v>1</v>
      </c>
      <c r="U465" s="7">
        <v>128</v>
      </c>
      <c r="V465" s="7">
        <v>0</v>
      </c>
      <c r="W465" s="7">
        <v>1</v>
      </c>
      <c r="X465" s="7">
        <v>0</v>
      </c>
      <c r="Y465" s="7">
        <v>0</v>
      </c>
      <c r="Z465" s="7">
        <v>0</v>
      </c>
      <c r="AA465" s="7">
        <v>0</v>
      </c>
      <c r="AB465" s="7">
        <v>1</v>
      </c>
      <c r="AC465" s="7">
        <v>1</v>
      </c>
      <c r="AD465" s="7" t="s">
        <v>5044</v>
      </c>
      <c r="AE465" s="7" t="s">
        <v>5044</v>
      </c>
      <c r="AF465" s="7" t="s">
        <v>5044</v>
      </c>
      <c r="AG465" s="7">
        <v>1</v>
      </c>
      <c r="AH465" s="7">
        <v>0</v>
      </c>
      <c r="AI465" s="7">
        <v>0</v>
      </c>
      <c r="AJ465" s="7" t="s">
        <v>5044</v>
      </c>
      <c r="AK465" s="7" t="s">
        <v>5318</v>
      </c>
      <c r="AL465" s="7">
        <v>0</v>
      </c>
      <c r="AM465" s="7">
        <v>0</v>
      </c>
      <c r="AN465" s="7" t="s">
        <v>5318</v>
      </c>
      <c r="AO465" s="9">
        <v>0</v>
      </c>
    </row>
    <row r="466" spans="1:41" ht="63" customHeight="1" x14ac:dyDescent="0.2">
      <c r="A466" s="7">
        <v>5925</v>
      </c>
      <c r="B466" s="7" t="s">
        <v>1799</v>
      </c>
      <c r="C466" s="7" t="s">
        <v>1800</v>
      </c>
      <c r="D466" s="7" t="s">
        <v>95</v>
      </c>
      <c r="F466" s="7" t="s">
        <v>1801</v>
      </c>
      <c r="G466" s="7" t="s">
        <v>11</v>
      </c>
      <c r="H466" s="7" t="s">
        <v>43</v>
      </c>
      <c r="I466" s="7" t="s">
        <v>437</v>
      </c>
      <c r="J466" s="7" t="s">
        <v>1802</v>
      </c>
      <c r="K466" s="7" t="s">
        <v>1803</v>
      </c>
      <c r="L466" s="7" t="s">
        <v>5814</v>
      </c>
      <c r="M466" s="7">
        <v>0</v>
      </c>
      <c r="N466" s="7" t="s">
        <v>5044</v>
      </c>
      <c r="O466" s="7" t="s">
        <v>5044</v>
      </c>
      <c r="P466" s="7">
        <v>0</v>
      </c>
      <c r="Q466" s="7">
        <v>0</v>
      </c>
      <c r="R466" s="7">
        <v>0</v>
      </c>
      <c r="S466" s="7">
        <v>1</v>
      </c>
      <c r="T466" s="7">
        <v>1</v>
      </c>
      <c r="U466" s="7">
        <v>270</v>
      </c>
      <c r="V466" s="7">
        <v>1</v>
      </c>
      <c r="W466" s="7">
        <v>0</v>
      </c>
      <c r="X466" s="7">
        <v>0</v>
      </c>
      <c r="Y466" s="7">
        <v>0</v>
      </c>
      <c r="Z466" s="7">
        <v>0</v>
      </c>
      <c r="AA466" s="7">
        <v>0</v>
      </c>
      <c r="AB466" s="7">
        <v>1</v>
      </c>
      <c r="AC466" s="7">
        <v>1</v>
      </c>
      <c r="AD466" s="7">
        <v>1</v>
      </c>
      <c r="AE466" s="7">
        <v>0</v>
      </c>
      <c r="AF466" s="7">
        <v>0</v>
      </c>
      <c r="AG466" s="7" t="s">
        <v>5044</v>
      </c>
      <c r="AH466" s="7" t="s">
        <v>5044</v>
      </c>
      <c r="AI466" s="7" t="s">
        <v>5044</v>
      </c>
      <c r="AJ466" s="7" t="s">
        <v>5044</v>
      </c>
      <c r="AK466" s="7" t="s">
        <v>5318</v>
      </c>
      <c r="AL466" s="7">
        <v>0</v>
      </c>
      <c r="AM466" s="7">
        <v>0</v>
      </c>
      <c r="AN466" s="7" t="s">
        <v>5318</v>
      </c>
      <c r="AO466" s="9">
        <v>0</v>
      </c>
    </row>
    <row r="467" spans="1:41" ht="63" customHeight="1" x14ac:dyDescent="0.2">
      <c r="A467" s="7">
        <v>5959</v>
      </c>
      <c r="B467" s="7" t="s">
        <v>1808</v>
      </c>
      <c r="C467" s="7" t="s">
        <v>1809</v>
      </c>
      <c r="D467" s="7" t="s">
        <v>16</v>
      </c>
      <c r="F467" s="7" t="s">
        <v>186</v>
      </c>
      <c r="G467" s="7" t="s">
        <v>52</v>
      </c>
      <c r="H467" s="7" t="s">
        <v>43</v>
      </c>
      <c r="I467" s="7" t="s">
        <v>13</v>
      </c>
      <c r="J467" s="7" t="s">
        <v>1810</v>
      </c>
      <c r="K467" s="7" t="s">
        <v>1811</v>
      </c>
      <c r="L467" s="7" t="s">
        <v>5816</v>
      </c>
      <c r="M467" s="7">
        <v>0</v>
      </c>
      <c r="N467" s="7" t="s">
        <v>5044</v>
      </c>
      <c r="O467" s="7" t="s">
        <v>5044</v>
      </c>
      <c r="P467" s="7">
        <v>0</v>
      </c>
      <c r="Q467" s="7">
        <v>0</v>
      </c>
      <c r="R467" s="7">
        <v>0</v>
      </c>
      <c r="S467" s="7">
        <v>1</v>
      </c>
      <c r="T467" s="7">
        <v>5</v>
      </c>
      <c r="U467" s="7">
        <v>56</v>
      </c>
      <c r="V467" s="7">
        <v>0</v>
      </c>
      <c r="W467" s="7">
        <v>1</v>
      </c>
      <c r="X467" s="7">
        <v>0</v>
      </c>
      <c r="Y467" s="7">
        <v>0</v>
      </c>
      <c r="Z467" s="7">
        <v>0</v>
      </c>
      <c r="AA467" s="7">
        <v>0</v>
      </c>
      <c r="AB467" s="7">
        <v>1</v>
      </c>
      <c r="AC467" s="7">
        <v>1</v>
      </c>
      <c r="AD467" s="7" t="s">
        <v>5044</v>
      </c>
      <c r="AE467" s="7" t="s">
        <v>5044</v>
      </c>
      <c r="AF467" s="7" t="s">
        <v>5044</v>
      </c>
      <c r="AG467" s="7">
        <v>1</v>
      </c>
      <c r="AH467" s="7">
        <v>0</v>
      </c>
      <c r="AI467" s="7">
        <v>0</v>
      </c>
      <c r="AJ467" s="7" t="s">
        <v>5044</v>
      </c>
      <c r="AK467" s="7" t="s">
        <v>5318</v>
      </c>
      <c r="AL467" s="7">
        <v>0</v>
      </c>
      <c r="AM467" s="7">
        <v>0</v>
      </c>
      <c r="AO467" s="9">
        <v>0</v>
      </c>
    </row>
    <row r="468" spans="1:41" ht="63" customHeight="1" x14ac:dyDescent="0.2">
      <c r="A468" s="7">
        <v>5981</v>
      </c>
      <c r="B468" s="7" t="s">
        <v>1812</v>
      </c>
      <c r="C468" s="7" t="s">
        <v>1813</v>
      </c>
      <c r="D468" s="7" t="s">
        <v>22</v>
      </c>
      <c r="F468" s="7" t="s">
        <v>299</v>
      </c>
      <c r="G468" s="7" t="s">
        <v>18</v>
      </c>
      <c r="H468" s="7" t="s">
        <v>1814</v>
      </c>
      <c r="I468" s="7" t="s">
        <v>13</v>
      </c>
      <c r="J468" s="7" t="s">
        <v>1815</v>
      </c>
      <c r="K468" s="7" t="s">
        <v>1816</v>
      </c>
      <c r="L468" s="11" t="s">
        <v>5044</v>
      </c>
      <c r="M468" s="7">
        <v>0</v>
      </c>
      <c r="N468" s="7" t="s">
        <v>5044</v>
      </c>
      <c r="O468" s="7" t="s">
        <v>5044</v>
      </c>
      <c r="P468" s="7">
        <v>0</v>
      </c>
      <c r="Q468" s="7">
        <v>0</v>
      </c>
      <c r="R468" s="7">
        <v>0</v>
      </c>
      <c r="S468" s="7">
        <v>1</v>
      </c>
      <c r="T468" s="7">
        <v>4</v>
      </c>
      <c r="U468" s="7">
        <v>144</v>
      </c>
      <c r="V468" s="7">
        <v>1</v>
      </c>
      <c r="W468" s="7">
        <v>0</v>
      </c>
      <c r="X468" s="7">
        <v>0</v>
      </c>
      <c r="Y468" s="7">
        <v>1</v>
      </c>
      <c r="Z468" s="7">
        <v>0</v>
      </c>
      <c r="AA468" s="7">
        <v>0</v>
      </c>
      <c r="AB468" s="7">
        <v>1</v>
      </c>
      <c r="AC468" s="7">
        <v>1</v>
      </c>
      <c r="AD468" s="7">
        <v>1</v>
      </c>
      <c r="AE468" s="7">
        <v>0</v>
      </c>
      <c r="AF468" s="7">
        <v>0</v>
      </c>
      <c r="AG468" s="7" t="s">
        <v>5044</v>
      </c>
      <c r="AH468" s="7" t="s">
        <v>5044</v>
      </c>
      <c r="AI468" s="7" t="s">
        <v>5044</v>
      </c>
      <c r="AJ468" s="7">
        <v>0</v>
      </c>
      <c r="AK468" s="7" t="s">
        <v>5318</v>
      </c>
      <c r="AL468" s="7">
        <v>1</v>
      </c>
      <c r="AM468" s="7">
        <v>0</v>
      </c>
      <c r="AN468" s="7" t="s">
        <v>5318</v>
      </c>
      <c r="AO468" s="9">
        <v>0</v>
      </c>
    </row>
    <row r="469" spans="1:41" ht="63" customHeight="1" x14ac:dyDescent="0.2">
      <c r="A469" s="7">
        <v>6008</v>
      </c>
      <c r="B469" s="7" t="s">
        <v>1817</v>
      </c>
      <c r="C469" s="7" t="s">
        <v>1818</v>
      </c>
      <c r="D469" s="7" t="s">
        <v>375</v>
      </c>
      <c r="F469" s="7" t="s">
        <v>1819</v>
      </c>
      <c r="G469" s="7" t="s">
        <v>11</v>
      </c>
      <c r="H469" s="7" t="s">
        <v>730</v>
      </c>
      <c r="I469" s="7" t="s">
        <v>13</v>
      </c>
      <c r="J469" s="7" t="s">
        <v>1820</v>
      </c>
      <c r="K469" s="7" t="s">
        <v>1821</v>
      </c>
      <c r="L469" s="11" t="s">
        <v>5044</v>
      </c>
      <c r="M469" s="7">
        <v>0</v>
      </c>
      <c r="N469" s="7" t="s">
        <v>5044</v>
      </c>
      <c r="O469" s="7" t="s">
        <v>5044</v>
      </c>
      <c r="P469" s="7">
        <v>0</v>
      </c>
      <c r="Q469" s="7">
        <v>0</v>
      </c>
      <c r="R469" s="7">
        <v>0</v>
      </c>
      <c r="S469" s="7">
        <v>3</v>
      </c>
      <c r="T469" s="7">
        <v>1</v>
      </c>
      <c r="U469" s="7">
        <v>60</v>
      </c>
      <c r="V469" s="7">
        <v>0</v>
      </c>
      <c r="W469" s="7">
        <v>1</v>
      </c>
      <c r="X469" s="7">
        <v>0</v>
      </c>
      <c r="Y469" s="7">
        <v>0</v>
      </c>
      <c r="Z469" s="7">
        <v>0</v>
      </c>
      <c r="AA469" s="7">
        <v>0</v>
      </c>
      <c r="AB469" s="7">
        <v>1</v>
      </c>
      <c r="AC469" s="7">
        <v>1</v>
      </c>
      <c r="AD469" s="7" t="s">
        <v>5044</v>
      </c>
      <c r="AE469" s="7" t="s">
        <v>5044</v>
      </c>
      <c r="AF469" s="7" t="s">
        <v>5044</v>
      </c>
      <c r="AG469" s="7">
        <v>2</v>
      </c>
      <c r="AH469" s="7">
        <v>3</v>
      </c>
      <c r="AI469" s="7">
        <v>0</v>
      </c>
      <c r="AJ469" s="7" t="s">
        <v>5044</v>
      </c>
      <c r="AK469" s="7" t="s">
        <v>6493</v>
      </c>
      <c r="AL469" s="7" t="s">
        <v>5044</v>
      </c>
      <c r="AM469" s="7">
        <v>0</v>
      </c>
      <c r="AO469" s="11">
        <v>3</v>
      </c>
    </row>
    <row r="470" spans="1:41" ht="63" customHeight="1" x14ac:dyDescent="0.2">
      <c r="A470" s="7">
        <v>6010</v>
      </c>
      <c r="B470" s="7" t="s">
        <v>1822</v>
      </c>
      <c r="C470" s="7" t="s">
        <v>1823</v>
      </c>
      <c r="D470" s="7" t="s">
        <v>149</v>
      </c>
      <c r="F470" s="7" t="s">
        <v>419</v>
      </c>
      <c r="G470" s="7" t="s">
        <v>11</v>
      </c>
      <c r="H470" s="7" t="s">
        <v>43</v>
      </c>
      <c r="I470" s="7" t="s">
        <v>13</v>
      </c>
      <c r="J470" s="7" t="s">
        <v>1824</v>
      </c>
      <c r="K470" s="7" t="s">
        <v>1825</v>
      </c>
      <c r="L470" s="7" t="s">
        <v>5817</v>
      </c>
      <c r="M470" s="7">
        <v>0</v>
      </c>
      <c r="N470" s="7" t="s">
        <v>5044</v>
      </c>
      <c r="O470" s="7" t="s">
        <v>5044</v>
      </c>
      <c r="P470" s="7">
        <v>0</v>
      </c>
      <c r="Q470" s="7">
        <v>0</v>
      </c>
      <c r="R470" s="7">
        <v>0</v>
      </c>
      <c r="S470" s="7">
        <v>1</v>
      </c>
      <c r="T470" s="7">
        <v>1</v>
      </c>
      <c r="U470" s="7">
        <v>110</v>
      </c>
      <c r="V470" s="7">
        <v>0</v>
      </c>
      <c r="W470" s="7">
        <v>1</v>
      </c>
      <c r="X470" s="7">
        <v>0</v>
      </c>
      <c r="Y470" s="7">
        <v>0</v>
      </c>
      <c r="Z470" s="7">
        <v>1</v>
      </c>
      <c r="AA470" s="7">
        <v>0</v>
      </c>
      <c r="AB470" s="7">
        <v>1</v>
      </c>
      <c r="AC470" s="7">
        <v>1</v>
      </c>
      <c r="AD470" s="7" t="s">
        <v>5044</v>
      </c>
      <c r="AE470" s="7" t="s">
        <v>5044</v>
      </c>
      <c r="AF470" s="7" t="s">
        <v>5044</v>
      </c>
      <c r="AG470" s="7">
        <v>2</v>
      </c>
      <c r="AH470" s="7">
        <v>3</v>
      </c>
      <c r="AI470" s="7">
        <v>0</v>
      </c>
      <c r="AJ470" s="7">
        <v>1</v>
      </c>
      <c r="AK470" s="14" t="s">
        <v>7664</v>
      </c>
      <c r="AL470" s="7">
        <v>1</v>
      </c>
      <c r="AM470" s="7">
        <v>0</v>
      </c>
      <c r="AO470" s="11">
        <v>3</v>
      </c>
    </row>
    <row r="471" spans="1:41" ht="63" customHeight="1" x14ac:dyDescent="0.2">
      <c r="A471" s="7">
        <v>6012</v>
      </c>
      <c r="B471" s="7" t="s">
        <v>1826</v>
      </c>
      <c r="C471" s="7" t="s">
        <v>1827</v>
      </c>
      <c r="D471" s="7" t="s">
        <v>1828</v>
      </c>
      <c r="F471" s="7" t="s">
        <v>234</v>
      </c>
      <c r="G471" s="7" t="s">
        <v>175</v>
      </c>
      <c r="H471" s="7" t="s">
        <v>1165</v>
      </c>
      <c r="I471" s="7" t="s">
        <v>13</v>
      </c>
      <c r="J471" s="7" t="s">
        <v>1829</v>
      </c>
      <c r="K471" s="7" t="s">
        <v>1830</v>
      </c>
      <c r="L471" s="11" t="s">
        <v>5044</v>
      </c>
      <c r="M471" s="7">
        <v>0</v>
      </c>
      <c r="N471" s="7" t="s">
        <v>5044</v>
      </c>
      <c r="O471" s="7" t="s">
        <v>5044</v>
      </c>
      <c r="P471" s="7">
        <v>0</v>
      </c>
      <c r="Q471" s="7">
        <v>0</v>
      </c>
      <c r="R471" s="7">
        <v>0</v>
      </c>
      <c r="S471" s="7">
        <v>1</v>
      </c>
      <c r="T471" s="7">
        <v>1</v>
      </c>
      <c r="U471" s="7">
        <v>47</v>
      </c>
      <c r="V471" s="7">
        <v>0</v>
      </c>
      <c r="W471" s="7">
        <v>1</v>
      </c>
      <c r="X471" s="7">
        <v>0</v>
      </c>
      <c r="Y471" s="7">
        <v>0</v>
      </c>
      <c r="Z471" s="7">
        <v>0</v>
      </c>
      <c r="AA471" s="7">
        <v>0</v>
      </c>
      <c r="AB471" s="7">
        <v>1</v>
      </c>
      <c r="AC471" s="7">
        <v>1</v>
      </c>
      <c r="AD471" s="7" t="s">
        <v>5044</v>
      </c>
      <c r="AE471" s="7" t="s">
        <v>5044</v>
      </c>
      <c r="AF471" s="7" t="s">
        <v>5044</v>
      </c>
      <c r="AG471" s="7">
        <v>2</v>
      </c>
      <c r="AH471" s="7">
        <v>3</v>
      </c>
      <c r="AI471" s="7">
        <v>0</v>
      </c>
      <c r="AJ471" s="7" t="s">
        <v>5044</v>
      </c>
      <c r="AK471" s="7" t="s">
        <v>5818</v>
      </c>
      <c r="AL471" s="7">
        <v>0</v>
      </c>
      <c r="AM471" s="7">
        <v>0</v>
      </c>
      <c r="AN471" s="7" t="s">
        <v>5318</v>
      </c>
      <c r="AO471" s="11">
        <v>3</v>
      </c>
    </row>
    <row r="472" spans="1:41" ht="63" customHeight="1" x14ac:dyDescent="0.2">
      <c r="A472" s="7">
        <v>6021</v>
      </c>
      <c r="B472" s="7" t="s">
        <v>1831</v>
      </c>
      <c r="C472" s="7" t="s">
        <v>1832</v>
      </c>
      <c r="D472" s="7" t="s">
        <v>16</v>
      </c>
      <c r="F472" s="7" t="s">
        <v>1042</v>
      </c>
      <c r="G472" s="7" t="s">
        <v>18</v>
      </c>
      <c r="H472" s="7" t="s">
        <v>1833</v>
      </c>
      <c r="I472" s="7" t="s">
        <v>13</v>
      </c>
      <c r="J472" s="7" t="s">
        <v>1834</v>
      </c>
      <c r="K472" s="7" t="s">
        <v>1835</v>
      </c>
      <c r="L472" s="7" t="s">
        <v>5819</v>
      </c>
      <c r="M472" s="7">
        <v>0</v>
      </c>
      <c r="N472" s="7" t="s">
        <v>5044</v>
      </c>
      <c r="O472" s="7" t="s">
        <v>5044</v>
      </c>
      <c r="P472" s="7">
        <v>0</v>
      </c>
      <c r="Q472" s="7">
        <v>0</v>
      </c>
      <c r="R472" s="7">
        <v>0</v>
      </c>
      <c r="S472" s="7">
        <v>11</v>
      </c>
      <c r="T472" s="7">
        <v>4</v>
      </c>
      <c r="U472" s="7">
        <v>223</v>
      </c>
      <c r="V472" s="7">
        <v>0</v>
      </c>
      <c r="W472" s="7">
        <v>1</v>
      </c>
      <c r="X472" s="7">
        <v>0</v>
      </c>
      <c r="Y472" s="7">
        <v>0</v>
      </c>
      <c r="Z472" s="7">
        <v>0</v>
      </c>
      <c r="AA472" s="7">
        <v>0</v>
      </c>
      <c r="AB472" s="7">
        <v>1</v>
      </c>
      <c r="AC472" s="7">
        <v>1</v>
      </c>
      <c r="AD472" s="7" t="s">
        <v>5044</v>
      </c>
      <c r="AE472" s="7" t="s">
        <v>5044</v>
      </c>
      <c r="AF472" s="7" t="s">
        <v>5044</v>
      </c>
      <c r="AG472" s="7">
        <v>2</v>
      </c>
      <c r="AH472" s="7">
        <v>2</v>
      </c>
      <c r="AI472" s="7">
        <v>2</v>
      </c>
      <c r="AJ472" s="7" t="s">
        <v>5044</v>
      </c>
      <c r="AK472" s="7" t="s">
        <v>5820</v>
      </c>
      <c r="AL472" s="7">
        <v>0</v>
      </c>
      <c r="AM472" s="7">
        <v>0</v>
      </c>
      <c r="AN472" s="7" t="s">
        <v>5318</v>
      </c>
      <c r="AO472" s="11">
        <v>2</v>
      </c>
    </row>
    <row r="473" spans="1:41" ht="63" customHeight="1" x14ac:dyDescent="0.2">
      <c r="A473" s="7">
        <v>6027</v>
      </c>
      <c r="B473" s="7" t="s">
        <v>1841</v>
      </c>
      <c r="C473" s="7" t="s">
        <v>1842</v>
      </c>
      <c r="D473" s="7" t="s">
        <v>56</v>
      </c>
      <c r="F473" s="7" t="s">
        <v>52</v>
      </c>
      <c r="G473" s="7" t="s">
        <v>18</v>
      </c>
      <c r="H473" s="7" t="s">
        <v>362</v>
      </c>
      <c r="I473" s="7" t="s">
        <v>13</v>
      </c>
      <c r="J473" s="7" t="s">
        <v>1843</v>
      </c>
      <c r="K473" s="7" t="s">
        <v>1844</v>
      </c>
      <c r="L473" s="7" t="s">
        <v>5822</v>
      </c>
      <c r="M473" s="7">
        <v>0</v>
      </c>
      <c r="N473" s="7" t="s">
        <v>5044</v>
      </c>
      <c r="O473" s="7" t="s">
        <v>5044</v>
      </c>
      <c r="P473" s="7">
        <v>0</v>
      </c>
      <c r="Q473" s="7">
        <v>0</v>
      </c>
      <c r="R473" s="7">
        <v>0</v>
      </c>
      <c r="S473" s="7">
        <v>1</v>
      </c>
      <c r="T473" s="7">
        <v>1</v>
      </c>
      <c r="U473" s="7">
        <v>75</v>
      </c>
      <c r="V473" s="7">
        <v>0</v>
      </c>
      <c r="W473" s="7">
        <v>1</v>
      </c>
      <c r="X473" s="7">
        <v>0</v>
      </c>
      <c r="Y473" s="7">
        <v>0</v>
      </c>
      <c r="Z473" s="7">
        <v>0</v>
      </c>
      <c r="AA473" s="7">
        <v>0</v>
      </c>
      <c r="AB473" s="7">
        <v>1</v>
      </c>
      <c r="AC473" s="7">
        <v>1</v>
      </c>
      <c r="AD473" s="7" t="s">
        <v>5044</v>
      </c>
      <c r="AE473" s="7" t="s">
        <v>5044</v>
      </c>
      <c r="AF473" s="7" t="s">
        <v>5044</v>
      </c>
      <c r="AG473" s="7">
        <v>2</v>
      </c>
      <c r="AH473" s="7">
        <v>3</v>
      </c>
      <c r="AI473" s="7">
        <v>0</v>
      </c>
      <c r="AJ473" s="7" t="s">
        <v>5044</v>
      </c>
      <c r="AK473" s="7">
        <v>1</v>
      </c>
      <c r="AL473" s="7">
        <v>0</v>
      </c>
      <c r="AM473" s="7">
        <v>0</v>
      </c>
      <c r="AN473" s="7" t="s">
        <v>5318</v>
      </c>
      <c r="AO473" s="11">
        <v>3</v>
      </c>
    </row>
    <row r="474" spans="1:41" ht="63" customHeight="1" x14ac:dyDescent="0.2">
      <c r="A474" s="7">
        <v>6033</v>
      </c>
      <c r="B474" s="7" t="s">
        <v>1849</v>
      </c>
      <c r="C474" s="7" t="s">
        <v>1850</v>
      </c>
      <c r="D474" s="7" t="s">
        <v>41</v>
      </c>
      <c r="F474" s="7" t="s">
        <v>703</v>
      </c>
      <c r="G474" s="7" t="s">
        <v>175</v>
      </c>
      <c r="H474" s="7" t="s">
        <v>160</v>
      </c>
      <c r="I474" s="7" t="s">
        <v>13</v>
      </c>
      <c r="J474" s="7" t="s">
        <v>1851</v>
      </c>
      <c r="K474" s="7" t="s">
        <v>1852</v>
      </c>
      <c r="L474" s="7" t="s">
        <v>5824</v>
      </c>
      <c r="M474" s="7">
        <v>0</v>
      </c>
      <c r="N474" s="7" t="s">
        <v>5044</v>
      </c>
      <c r="O474" s="7" t="s">
        <v>5044</v>
      </c>
      <c r="P474" s="7">
        <v>0</v>
      </c>
      <c r="Q474" s="7">
        <v>0</v>
      </c>
      <c r="R474" s="7">
        <v>0</v>
      </c>
      <c r="S474" s="7">
        <v>1</v>
      </c>
      <c r="T474" s="7">
        <v>1</v>
      </c>
      <c r="U474" s="7">
        <v>198</v>
      </c>
      <c r="V474" s="7">
        <v>0</v>
      </c>
      <c r="W474" s="7">
        <v>1</v>
      </c>
      <c r="X474" s="7">
        <v>0</v>
      </c>
      <c r="Y474" s="7">
        <v>0</v>
      </c>
      <c r="Z474" s="7">
        <v>0</v>
      </c>
      <c r="AA474" s="7">
        <v>0</v>
      </c>
      <c r="AB474" s="7">
        <v>1</v>
      </c>
      <c r="AC474" s="7">
        <v>1</v>
      </c>
      <c r="AD474" s="7" t="s">
        <v>5044</v>
      </c>
      <c r="AE474" s="7" t="s">
        <v>5044</v>
      </c>
      <c r="AF474" s="7" t="s">
        <v>5044</v>
      </c>
      <c r="AG474" s="7">
        <v>1</v>
      </c>
      <c r="AH474" s="7">
        <v>0</v>
      </c>
      <c r="AI474" s="7">
        <v>0</v>
      </c>
      <c r="AJ474" s="7" t="s">
        <v>5044</v>
      </c>
      <c r="AK474" s="7" t="s">
        <v>5318</v>
      </c>
      <c r="AL474" s="7">
        <v>0</v>
      </c>
      <c r="AM474" s="7">
        <v>0</v>
      </c>
      <c r="AN474" s="7" t="s">
        <v>5318</v>
      </c>
      <c r="AO474" s="9">
        <v>0</v>
      </c>
    </row>
    <row r="475" spans="1:41" ht="63" customHeight="1" x14ac:dyDescent="0.2">
      <c r="A475" s="7">
        <v>6043</v>
      </c>
      <c r="B475" s="7" t="s">
        <v>1853</v>
      </c>
      <c r="C475" s="7" t="s">
        <v>1854</v>
      </c>
      <c r="D475" s="7" t="s">
        <v>22</v>
      </c>
      <c r="F475" s="7" t="s">
        <v>1855</v>
      </c>
      <c r="G475" s="7" t="s">
        <v>32</v>
      </c>
      <c r="H475" s="7" t="s">
        <v>12</v>
      </c>
      <c r="I475" s="7" t="s">
        <v>13</v>
      </c>
      <c r="J475" s="7" t="s">
        <v>1856</v>
      </c>
      <c r="K475" s="7" t="s">
        <v>1857</v>
      </c>
      <c r="L475" s="7" t="s">
        <v>5214</v>
      </c>
      <c r="M475" s="7">
        <v>0</v>
      </c>
      <c r="N475" s="7" t="s">
        <v>5044</v>
      </c>
      <c r="O475" s="7" t="s">
        <v>5044</v>
      </c>
      <c r="P475" s="7">
        <v>0</v>
      </c>
      <c r="Q475" s="7">
        <v>0</v>
      </c>
      <c r="R475" s="7">
        <v>0</v>
      </c>
      <c r="S475" s="7">
        <v>5</v>
      </c>
      <c r="T475" s="7">
        <v>1</v>
      </c>
      <c r="U475" s="7">
        <v>262</v>
      </c>
      <c r="V475" s="7">
        <v>1</v>
      </c>
      <c r="W475" s="7">
        <v>0</v>
      </c>
      <c r="X475" s="7">
        <v>0</v>
      </c>
      <c r="Y475" s="7">
        <v>0</v>
      </c>
      <c r="Z475" s="7">
        <v>0</v>
      </c>
      <c r="AA475" s="7">
        <v>0</v>
      </c>
      <c r="AB475" s="7">
        <v>1</v>
      </c>
      <c r="AC475" s="7">
        <v>1</v>
      </c>
      <c r="AD475" s="7">
        <v>2</v>
      </c>
      <c r="AE475" s="7">
        <v>3</v>
      </c>
      <c r="AF475" s="7">
        <v>0</v>
      </c>
      <c r="AG475" s="7" t="s">
        <v>5044</v>
      </c>
      <c r="AH475" s="7" t="s">
        <v>5044</v>
      </c>
      <c r="AI475" s="7" t="s">
        <v>5044</v>
      </c>
      <c r="AJ475" s="7" t="s">
        <v>5044</v>
      </c>
      <c r="AK475" s="7">
        <v>2</v>
      </c>
      <c r="AL475" s="7">
        <v>0</v>
      </c>
      <c r="AM475" s="7">
        <v>0</v>
      </c>
      <c r="AN475" s="7" t="s">
        <v>5318</v>
      </c>
      <c r="AO475" s="11">
        <v>3</v>
      </c>
    </row>
    <row r="476" spans="1:41" ht="63" customHeight="1" x14ac:dyDescent="0.2">
      <c r="A476" s="7">
        <v>6064</v>
      </c>
      <c r="B476" s="7" t="s">
        <v>1866</v>
      </c>
      <c r="C476" s="7" t="s">
        <v>1867</v>
      </c>
      <c r="D476" s="7" t="s">
        <v>16</v>
      </c>
      <c r="F476" s="7" t="s">
        <v>83</v>
      </c>
      <c r="G476" s="7" t="s">
        <v>11</v>
      </c>
      <c r="H476" s="7" t="s">
        <v>1868</v>
      </c>
      <c r="I476" s="7" t="s">
        <v>13</v>
      </c>
      <c r="J476" s="7" t="s">
        <v>1869</v>
      </c>
      <c r="K476" s="7" t="s">
        <v>1870</v>
      </c>
      <c r="L476" s="7" t="s">
        <v>5827</v>
      </c>
      <c r="M476" s="7">
        <v>0</v>
      </c>
      <c r="N476" s="7" t="s">
        <v>5044</v>
      </c>
      <c r="O476" s="7" t="s">
        <v>5044</v>
      </c>
      <c r="P476" s="7">
        <v>0</v>
      </c>
      <c r="Q476" s="7">
        <v>0</v>
      </c>
      <c r="R476" s="7">
        <v>0</v>
      </c>
      <c r="S476" s="7">
        <v>9</v>
      </c>
      <c r="T476" s="7">
        <v>4</v>
      </c>
      <c r="U476" s="7">
        <v>864</v>
      </c>
      <c r="V476" s="7">
        <v>0</v>
      </c>
      <c r="W476" s="7">
        <v>1</v>
      </c>
      <c r="X476" s="7">
        <v>0</v>
      </c>
      <c r="Y476" s="7">
        <v>0</v>
      </c>
      <c r="Z476" s="7">
        <v>0</v>
      </c>
      <c r="AA476" s="7">
        <v>0</v>
      </c>
      <c r="AB476" s="7">
        <v>1</v>
      </c>
      <c r="AC476" s="7">
        <v>1</v>
      </c>
      <c r="AD476" s="7" t="s">
        <v>5044</v>
      </c>
      <c r="AE476" s="7" t="s">
        <v>5044</v>
      </c>
      <c r="AF476" s="7" t="s">
        <v>5044</v>
      </c>
      <c r="AG476" s="7">
        <v>2</v>
      </c>
      <c r="AH476" s="7">
        <v>2</v>
      </c>
      <c r="AI476" s="7">
        <v>2</v>
      </c>
      <c r="AJ476" s="7" t="s">
        <v>5044</v>
      </c>
      <c r="AK476" s="7" t="s">
        <v>5318</v>
      </c>
      <c r="AL476" s="7">
        <v>1</v>
      </c>
      <c r="AM476" s="7">
        <v>0</v>
      </c>
      <c r="AN476" s="7" t="s">
        <v>5318</v>
      </c>
      <c r="AO476" s="11">
        <v>2</v>
      </c>
    </row>
    <row r="477" spans="1:41" ht="63" customHeight="1" x14ac:dyDescent="0.2">
      <c r="A477" s="7">
        <v>6066</v>
      </c>
      <c r="B477" s="7" t="s">
        <v>1875</v>
      </c>
      <c r="C477" s="7" t="s">
        <v>1876</v>
      </c>
      <c r="D477" s="7" t="s">
        <v>41</v>
      </c>
      <c r="F477" s="7" t="s">
        <v>42</v>
      </c>
      <c r="G477" s="7" t="s">
        <v>11</v>
      </c>
      <c r="H477" s="7" t="s">
        <v>43</v>
      </c>
      <c r="I477" s="7" t="s">
        <v>13</v>
      </c>
      <c r="J477" s="7" t="s">
        <v>1877</v>
      </c>
      <c r="K477" s="7" t="s">
        <v>1878</v>
      </c>
      <c r="L477" s="7" t="s">
        <v>5828</v>
      </c>
      <c r="M477" s="7">
        <v>0</v>
      </c>
      <c r="N477" s="7" t="s">
        <v>5044</v>
      </c>
      <c r="O477" s="7" t="s">
        <v>5044</v>
      </c>
      <c r="P477" s="7">
        <v>0</v>
      </c>
      <c r="Q477" s="7">
        <v>0</v>
      </c>
      <c r="R477" s="7">
        <v>0</v>
      </c>
      <c r="S477" s="7">
        <v>1</v>
      </c>
      <c r="T477" s="7">
        <v>4</v>
      </c>
      <c r="U477" s="7">
        <v>300</v>
      </c>
      <c r="V477" s="7">
        <v>0</v>
      </c>
      <c r="W477" s="7">
        <v>1</v>
      </c>
      <c r="X477" s="7">
        <v>0</v>
      </c>
      <c r="Y477" s="7">
        <v>0</v>
      </c>
      <c r="Z477" s="7">
        <v>0</v>
      </c>
      <c r="AA477" s="7">
        <v>0</v>
      </c>
      <c r="AB477" s="7">
        <v>1</v>
      </c>
      <c r="AC477" s="7">
        <v>1</v>
      </c>
      <c r="AD477" s="7" t="s">
        <v>5044</v>
      </c>
      <c r="AE477" s="7" t="s">
        <v>5044</v>
      </c>
      <c r="AF477" s="7" t="s">
        <v>5044</v>
      </c>
      <c r="AG477" s="7">
        <v>2</v>
      </c>
      <c r="AH477" s="7">
        <v>3</v>
      </c>
      <c r="AI477" s="7">
        <v>0</v>
      </c>
      <c r="AJ477" s="7" t="s">
        <v>5044</v>
      </c>
      <c r="AK477" s="7">
        <v>1</v>
      </c>
      <c r="AL477" s="7">
        <v>0</v>
      </c>
      <c r="AM477" s="7">
        <v>0</v>
      </c>
      <c r="AO477" s="11">
        <v>3</v>
      </c>
    </row>
    <row r="478" spans="1:41" ht="63" customHeight="1" x14ac:dyDescent="0.2">
      <c r="A478" s="7">
        <v>6073</v>
      </c>
      <c r="B478" s="7" t="s">
        <v>1879</v>
      </c>
      <c r="C478" s="7" t="s">
        <v>1880</v>
      </c>
      <c r="D478" s="7" t="s">
        <v>95</v>
      </c>
      <c r="F478" s="7" t="s">
        <v>521</v>
      </c>
      <c r="G478" s="7" t="s">
        <v>52</v>
      </c>
      <c r="H478" s="7" t="s">
        <v>1881</v>
      </c>
      <c r="I478" s="7" t="s">
        <v>13</v>
      </c>
      <c r="J478" s="7" t="s">
        <v>1882</v>
      </c>
      <c r="K478" s="7" t="s">
        <v>1883</v>
      </c>
      <c r="L478" s="11" t="s">
        <v>5044</v>
      </c>
      <c r="M478" s="7">
        <v>0</v>
      </c>
      <c r="N478" s="7" t="s">
        <v>5044</v>
      </c>
      <c r="O478" s="7" t="s">
        <v>5044</v>
      </c>
      <c r="P478" s="7">
        <v>0</v>
      </c>
      <c r="Q478" s="7">
        <v>0</v>
      </c>
      <c r="R478" s="7">
        <v>0</v>
      </c>
      <c r="S478" s="7">
        <v>4</v>
      </c>
      <c r="T478" s="7">
        <v>4</v>
      </c>
      <c r="U478" s="7">
        <v>88</v>
      </c>
      <c r="V478" s="7">
        <v>0</v>
      </c>
      <c r="W478" s="7">
        <v>1</v>
      </c>
      <c r="X478" s="7">
        <v>0</v>
      </c>
      <c r="Y478" s="7">
        <v>0</v>
      </c>
      <c r="Z478" s="7">
        <v>0</v>
      </c>
      <c r="AA478" s="7">
        <v>0</v>
      </c>
      <c r="AB478" s="7">
        <v>1</v>
      </c>
      <c r="AC478" s="7">
        <v>1</v>
      </c>
      <c r="AD478" s="7" t="s">
        <v>5044</v>
      </c>
      <c r="AE478" s="7" t="s">
        <v>5044</v>
      </c>
      <c r="AF478" s="7" t="s">
        <v>5044</v>
      </c>
      <c r="AG478" s="7">
        <v>2</v>
      </c>
      <c r="AH478" s="7">
        <v>3</v>
      </c>
      <c r="AI478" s="7">
        <v>0</v>
      </c>
      <c r="AJ478" s="7" t="s">
        <v>5044</v>
      </c>
      <c r="AK478" s="7">
        <v>1</v>
      </c>
      <c r="AL478" s="7">
        <v>0</v>
      </c>
      <c r="AM478" s="7">
        <v>0</v>
      </c>
      <c r="AN478" s="7" t="s">
        <v>5318</v>
      </c>
      <c r="AO478" s="11">
        <v>3</v>
      </c>
    </row>
    <row r="479" spans="1:41" ht="63" customHeight="1" x14ac:dyDescent="0.2">
      <c r="A479" s="7">
        <v>6078</v>
      </c>
      <c r="B479" s="7" t="s">
        <v>1884</v>
      </c>
      <c r="C479" s="7" t="s">
        <v>1885</v>
      </c>
      <c r="D479" s="7" t="s">
        <v>16</v>
      </c>
      <c r="F479" s="7" t="s">
        <v>662</v>
      </c>
      <c r="G479" s="7" t="s">
        <v>37</v>
      </c>
      <c r="H479" s="7" t="s">
        <v>663</v>
      </c>
      <c r="I479" s="7" t="s">
        <v>13</v>
      </c>
      <c r="J479" s="7" t="s">
        <v>1886</v>
      </c>
      <c r="K479" s="7" t="s">
        <v>1887</v>
      </c>
      <c r="L479" s="7" t="s">
        <v>5829</v>
      </c>
      <c r="M479" s="7">
        <v>0</v>
      </c>
      <c r="N479" s="7" t="s">
        <v>5044</v>
      </c>
      <c r="O479" s="7" t="s">
        <v>5044</v>
      </c>
      <c r="P479" s="7">
        <v>0</v>
      </c>
      <c r="Q479" s="7">
        <v>0</v>
      </c>
      <c r="R479" s="7">
        <v>0</v>
      </c>
      <c r="S479" s="7">
        <v>1</v>
      </c>
      <c r="T479" s="7">
        <v>5</v>
      </c>
      <c r="U479" s="7">
        <v>38</v>
      </c>
      <c r="V479" s="7">
        <v>0</v>
      </c>
      <c r="W479" s="7">
        <v>1</v>
      </c>
      <c r="X479" s="7">
        <v>0</v>
      </c>
      <c r="Y479" s="7">
        <v>0</v>
      </c>
      <c r="Z479" s="7">
        <v>0</v>
      </c>
      <c r="AA479" s="7">
        <v>0</v>
      </c>
      <c r="AB479" s="7">
        <v>1</v>
      </c>
      <c r="AC479" s="7">
        <v>1</v>
      </c>
      <c r="AD479" s="7" t="s">
        <v>5044</v>
      </c>
      <c r="AE479" s="7" t="s">
        <v>5044</v>
      </c>
      <c r="AF479" s="7" t="s">
        <v>5044</v>
      </c>
      <c r="AG479" s="7">
        <v>1</v>
      </c>
      <c r="AH479" s="7">
        <v>0</v>
      </c>
      <c r="AI479" s="7">
        <v>0</v>
      </c>
      <c r="AJ479" s="7" t="s">
        <v>5044</v>
      </c>
      <c r="AK479" s="7" t="s">
        <v>5318</v>
      </c>
      <c r="AL479" s="7">
        <v>0</v>
      </c>
      <c r="AM479" s="7">
        <v>0</v>
      </c>
      <c r="AO479" s="9">
        <v>0</v>
      </c>
    </row>
    <row r="480" spans="1:41" ht="63" customHeight="1" x14ac:dyDescent="0.2">
      <c r="A480" s="7">
        <v>6100</v>
      </c>
      <c r="B480" s="7" t="s">
        <v>1888</v>
      </c>
      <c r="C480" s="7" t="s">
        <v>1889</v>
      </c>
      <c r="D480" s="7" t="s">
        <v>41</v>
      </c>
      <c r="F480" s="7" t="s">
        <v>865</v>
      </c>
      <c r="G480" s="7" t="s">
        <v>17</v>
      </c>
      <c r="H480" s="7" t="s">
        <v>1890</v>
      </c>
      <c r="I480" s="7" t="s">
        <v>13</v>
      </c>
      <c r="J480" s="7" t="s">
        <v>1891</v>
      </c>
      <c r="K480" s="7" t="s">
        <v>1892</v>
      </c>
      <c r="L480" s="7" t="s">
        <v>5830</v>
      </c>
      <c r="M480" s="7">
        <v>0</v>
      </c>
      <c r="N480" s="7" t="s">
        <v>5044</v>
      </c>
      <c r="O480" s="7" t="s">
        <v>5044</v>
      </c>
      <c r="P480" s="7">
        <v>0</v>
      </c>
      <c r="Q480" s="7">
        <v>0</v>
      </c>
      <c r="R480" s="7">
        <v>0</v>
      </c>
      <c r="S480" s="7">
        <v>1</v>
      </c>
      <c r="T480" s="7">
        <v>1</v>
      </c>
      <c r="U480" s="7">
        <v>20</v>
      </c>
      <c r="V480" s="7">
        <v>0</v>
      </c>
      <c r="W480" s="7">
        <v>1</v>
      </c>
      <c r="X480" s="7">
        <v>0</v>
      </c>
      <c r="Y480" s="7">
        <v>0</v>
      </c>
      <c r="Z480" s="7">
        <v>0</v>
      </c>
      <c r="AA480" s="7">
        <v>0</v>
      </c>
      <c r="AB480" s="7">
        <v>1</v>
      </c>
      <c r="AC480" s="7">
        <v>0</v>
      </c>
      <c r="AD480" s="7" t="s">
        <v>5044</v>
      </c>
      <c r="AE480" s="7" t="s">
        <v>5044</v>
      </c>
      <c r="AF480" s="7" t="s">
        <v>5044</v>
      </c>
      <c r="AG480" s="7">
        <v>0</v>
      </c>
      <c r="AH480" s="7" t="s">
        <v>5044</v>
      </c>
      <c r="AI480" s="7" t="s">
        <v>5044</v>
      </c>
      <c r="AJ480" s="7" t="s">
        <v>5044</v>
      </c>
      <c r="AK480" s="7" t="s">
        <v>5318</v>
      </c>
      <c r="AL480" s="7">
        <v>0</v>
      </c>
      <c r="AM480" s="7">
        <v>0</v>
      </c>
      <c r="AN480" s="7" t="s">
        <v>5318</v>
      </c>
      <c r="AO480" s="11">
        <v>9</v>
      </c>
    </row>
    <row r="481" spans="1:41" ht="63" customHeight="1" x14ac:dyDescent="0.2">
      <c r="A481" s="7">
        <v>6107</v>
      </c>
      <c r="B481" s="7" t="s">
        <v>1893</v>
      </c>
      <c r="C481" s="7" t="s">
        <v>1894</v>
      </c>
      <c r="D481" s="7" t="s">
        <v>30</v>
      </c>
      <c r="F481" s="7" t="s">
        <v>953</v>
      </c>
      <c r="G481" s="7" t="s">
        <v>52</v>
      </c>
      <c r="H481" s="7" t="s">
        <v>43</v>
      </c>
      <c r="I481" s="7" t="s">
        <v>13</v>
      </c>
      <c r="J481" s="7" t="s">
        <v>1895</v>
      </c>
      <c r="K481" s="7" t="s">
        <v>1896</v>
      </c>
      <c r="L481" s="7" t="s">
        <v>5831</v>
      </c>
      <c r="M481" s="7">
        <v>0</v>
      </c>
      <c r="N481" s="7" t="s">
        <v>5044</v>
      </c>
      <c r="O481" s="7" t="s">
        <v>5044</v>
      </c>
      <c r="P481" s="7">
        <v>0</v>
      </c>
      <c r="Q481" s="7">
        <v>0</v>
      </c>
      <c r="R481" s="7">
        <v>0</v>
      </c>
      <c r="S481" s="7">
        <v>1</v>
      </c>
      <c r="T481" s="7">
        <v>1</v>
      </c>
      <c r="U481" s="7">
        <v>200</v>
      </c>
      <c r="V481" s="7">
        <v>0</v>
      </c>
      <c r="W481" s="7">
        <v>1</v>
      </c>
      <c r="X481" s="7">
        <v>0</v>
      </c>
      <c r="Y481" s="7">
        <v>0</v>
      </c>
      <c r="Z481" s="7">
        <v>0</v>
      </c>
      <c r="AA481" s="7">
        <v>0</v>
      </c>
      <c r="AB481" s="7">
        <v>1</v>
      </c>
      <c r="AC481" s="7">
        <v>1</v>
      </c>
      <c r="AD481" s="7" t="s">
        <v>5044</v>
      </c>
      <c r="AE481" s="7" t="s">
        <v>5044</v>
      </c>
      <c r="AF481" s="7" t="s">
        <v>5044</v>
      </c>
      <c r="AG481" s="7">
        <v>1</v>
      </c>
      <c r="AH481" s="7">
        <v>0</v>
      </c>
      <c r="AI481" s="7">
        <v>0</v>
      </c>
      <c r="AJ481" s="7" t="s">
        <v>5044</v>
      </c>
      <c r="AK481" s="7" t="s">
        <v>5318</v>
      </c>
      <c r="AL481" s="7">
        <v>0</v>
      </c>
      <c r="AM481" s="7">
        <v>0</v>
      </c>
      <c r="AO481" s="9">
        <v>0</v>
      </c>
    </row>
    <row r="482" spans="1:41" ht="63" customHeight="1" x14ac:dyDescent="0.2">
      <c r="A482" s="7">
        <v>6117</v>
      </c>
      <c r="B482" s="7" t="s">
        <v>1897</v>
      </c>
      <c r="C482" s="7" t="s">
        <v>1898</v>
      </c>
      <c r="D482" s="7" t="s">
        <v>95</v>
      </c>
      <c r="F482" s="7" t="s">
        <v>260</v>
      </c>
      <c r="G482" s="7" t="s">
        <v>32</v>
      </c>
      <c r="H482" s="7" t="s">
        <v>38</v>
      </c>
      <c r="I482" s="7" t="s">
        <v>13</v>
      </c>
      <c r="J482" s="7" t="s">
        <v>1899</v>
      </c>
      <c r="K482" s="7" t="s">
        <v>1900</v>
      </c>
      <c r="L482" s="7" t="s">
        <v>5832</v>
      </c>
      <c r="M482" s="7">
        <v>0</v>
      </c>
      <c r="N482" s="7" t="s">
        <v>5044</v>
      </c>
      <c r="O482" s="7" t="s">
        <v>5044</v>
      </c>
      <c r="P482" s="7">
        <v>0</v>
      </c>
      <c r="Q482" s="7">
        <v>0</v>
      </c>
      <c r="R482" s="7">
        <v>0</v>
      </c>
      <c r="S482" s="7">
        <v>1</v>
      </c>
      <c r="T482" s="7">
        <v>1</v>
      </c>
      <c r="U482" s="7">
        <v>156</v>
      </c>
      <c r="V482" s="7">
        <v>0</v>
      </c>
      <c r="W482" s="7">
        <v>1</v>
      </c>
      <c r="X482" s="7">
        <v>0</v>
      </c>
      <c r="Y482" s="7">
        <v>0</v>
      </c>
      <c r="Z482" s="7">
        <v>0</v>
      </c>
      <c r="AA482" s="7">
        <v>0</v>
      </c>
      <c r="AB482" s="7">
        <v>1</v>
      </c>
      <c r="AC482" s="7">
        <v>1</v>
      </c>
      <c r="AD482" s="7" t="s">
        <v>5044</v>
      </c>
      <c r="AE482" s="7" t="s">
        <v>5044</v>
      </c>
      <c r="AF482" s="7" t="s">
        <v>5044</v>
      </c>
      <c r="AG482" s="7">
        <v>1</v>
      </c>
      <c r="AH482" s="7">
        <v>0</v>
      </c>
      <c r="AI482" s="7">
        <v>0</v>
      </c>
      <c r="AJ482" s="7" t="s">
        <v>5044</v>
      </c>
      <c r="AK482" s="7" t="s">
        <v>5833</v>
      </c>
      <c r="AL482" s="7">
        <v>1</v>
      </c>
      <c r="AM482" s="7">
        <v>0</v>
      </c>
      <c r="AO482" s="9">
        <v>0</v>
      </c>
    </row>
    <row r="483" spans="1:41" ht="63" customHeight="1" x14ac:dyDescent="0.2">
      <c r="A483" s="7">
        <v>6157</v>
      </c>
      <c r="B483" s="7" t="s">
        <v>1901</v>
      </c>
      <c r="C483" s="7" t="s">
        <v>1902</v>
      </c>
      <c r="D483" s="7" t="s">
        <v>35</v>
      </c>
      <c r="F483" s="7" t="s">
        <v>36</v>
      </c>
      <c r="G483" s="7" t="s">
        <v>48</v>
      </c>
      <c r="H483" s="7" t="s">
        <v>38</v>
      </c>
      <c r="I483" s="7" t="s">
        <v>13</v>
      </c>
      <c r="J483" s="7" t="s">
        <v>1903</v>
      </c>
      <c r="K483" s="7" t="s">
        <v>1904</v>
      </c>
      <c r="L483" s="11" t="s">
        <v>5044</v>
      </c>
      <c r="M483" s="7">
        <v>0</v>
      </c>
      <c r="N483" s="7" t="s">
        <v>5044</v>
      </c>
      <c r="O483" s="7" t="s">
        <v>5044</v>
      </c>
      <c r="P483" s="7">
        <v>0</v>
      </c>
      <c r="Q483" s="7">
        <v>0</v>
      </c>
      <c r="R483" s="7">
        <v>0</v>
      </c>
      <c r="S483" s="7" t="s">
        <v>5170</v>
      </c>
      <c r="T483" s="7">
        <v>1</v>
      </c>
      <c r="U483" s="7">
        <v>107</v>
      </c>
      <c r="V483" s="7">
        <v>0</v>
      </c>
      <c r="W483" s="7">
        <v>1</v>
      </c>
      <c r="X483" s="7">
        <v>0</v>
      </c>
      <c r="Y483" s="7">
        <v>0</v>
      </c>
      <c r="Z483" s="7">
        <v>0</v>
      </c>
      <c r="AA483" s="7">
        <v>0</v>
      </c>
      <c r="AB483" s="7">
        <v>1</v>
      </c>
      <c r="AC483" s="7">
        <v>1</v>
      </c>
      <c r="AD483" s="7" t="s">
        <v>5044</v>
      </c>
      <c r="AE483" s="7" t="s">
        <v>5044</v>
      </c>
      <c r="AF483" s="7" t="s">
        <v>5044</v>
      </c>
      <c r="AG483" s="7">
        <v>2</v>
      </c>
      <c r="AH483" s="7">
        <v>2</v>
      </c>
      <c r="AI483" s="7">
        <v>2</v>
      </c>
      <c r="AJ483" s="7" t="s">
        <v>5044</v>
      </c>
      <c r="AK483" s="7" t="s">
        <v>5834</v>
      </c>
      <c r="AL483" s="7">
        <v>0</v>
      </c>
      <c r="AM483" s="7">
        <v>0</v>
      </c>
      <c r="AO483" s="11">
        <v>2</v>
      </c>
    </row>
    <row r="484" spans="1:41" ht="63" customHeight="1" x14ac:dyDescent="0.2">
      <c r="A484" s="7">
        <v>6165</v>
      </c>
      <c r="B484" s="7" t="s">
        <v>1905</v>
      </c>
      <c r="C484" s="7" t="s">
        <v>1906</v>
      </c>
      <c r="D484" s="7" t="s">
        <v>101</v>
      </c>
      <c r="F484" s="7" t="s">
        <v>62</v>
      </c>
      <c r="G484" s="7" t="s">
        <v>144</v>
      </c>
      <c r="H484" s="7" t="s">
        <v>202</v>
      </c>
      <c r="I484" s="7" t="s">
        <v>13</v>
      </c>
      <c r="J484" s="7" t="s">
        <v>1907</v>
      </c>
      <c r="K484" s="7" t="s">
        <v>1908</v>
      </c>
      <c r="L484" s="7" t="s">
        <v>5835</v>
      </c>
      <c r="M484" s="7">
        <v>0</v>
      </c>
      <c r="N484" s="7" t="s">
        <v>5044</v>
      </c>
      <c r="O484" s="7" t="s">
        <v>5044</v>
      </c>
      <c r="P484" s="7">
        <v>0</v>
      </c>
      <c r="Q484" s="7">
        <v>0</v>
      </c>
      <c r="R484" s="7">
        <v>0</v>
      </c>
      <c r="S484" s="7">
        <v>9</v>
      </c>
      <c r="T484" s="7">
        <v>1</v>
      </c>
      <c r="U484" s="7">
        <v>85</v>
      </c>
      <c r="V484" s="7">
        <v>0</v>
      </c>
      <c r="W484" s="7">
        <v>1</v>
      </c>
      <c r="X484" s="7">
        <v>0</v>
      </c>
      <c r="Y484" s="7">
        <v>0</v>
      </c>
      <c r="Z484" s="7">
        <v>0</v>
      </c>
      <c r="AA484" s="7">
        <v>0</v>
      </c>
      <c r="AB484" s="7">
        <v>1</v>
      </c>
      <c r="AC484" s="7">
        <v>1</v>
      </c>
      <c r="AD484" s="7" t="s">
        <v>5044</v>
      </c>
      <c r="AE484" s="7" t="s">
        <v>5044</v>
      </c>
      <c r="AF484" s="7" t="s">
        <v>5044</v>
      </c>
      <c r="AG484" s="7">
        <v>2</v>
      </c>
      <c r="AH484" s="7">
        <v>3</v>
      </c>
      <c r="AI484" s="7">
        <v>0</v>
      </c>
      <c r="AJ484" s="7" t="s">
        <v>5044</v>
      </c>
      <c r="AK484" s="7" t="s">
        <v>5836</v>
      </c>
      <c r="AL484" s="7">
        <v>1</v>
      </c>
      <c r="AM484" s="7">
        <v>0</v>
      </c>
      <c r="AN484" s="7" t="s">
        <v>5318</v>
      </c>
      <c r="AO484" s="11">
        <v>3</v>
      </c>
    </row>
    <row r="485" spans="1:41" ht="63" customHeight="1" x14ac:dyDescent="0.2">
      <c r="A485" s="7">
        <v>6178</v>
      </c>
      <c r="B485" s="7" t="s">
        <v>1909</v>
      </c>
      <c r="C485" s="7" t="s">
        <v>1910</v>
      </c>
      <c r="D485" s="7" t="s">
        <v>30</v>
      </c>
      <c r="F485" s="7" t="s">
        <v>697</v>
      </c>
      <c r="G485" s="7" t="s">
        <v>32</v>
      </c>
      <c r="H485" s="7" t="s">
        <v>698</v>
      </c>
      <c r="I485" s="7" t="s">
        <v>13</v>
      </c>
      <c r="J485" s="7" t="s">
        <v>1911</v>
      </c>
      <c r="K485" s="7" t="s">
        <v>1912</v>
      </c>
      <c r="L485" s="11" t="s">
        <v>5044</v>
      </c>
      <c r="M485" s="7">
        <v>0</v>
      </c>
      <c r="N485" s="7" t="s">
        <v>5044</v>
      </c>
      <c r="O485" s="7" t="s">
        <v>5044</v>
      </c>
      <c r="P485" s="7">
        <v>0</v>
      </c>
      <c r="Q485" s="7">
        <v>0</v>
      </c>
      <c r="R485" s="7">
        <v>0</v>
      </c>
      <c r="S485" s="7">
        <v>9</v>
      </c>
      <c r="T485" s="7">
        <v>1</v>
      </c>
      <c r="U485" s="7">
        <v>150</v>
      </c>
      <c r="V485" s="7">
        <v>0</v>
      </c>
      <c r="W485" s="7">
        <v>1</v>
      </c>
      <c r="X485" s="7">
        <v>0</v>
      </c>
      <c r="Y485" s="7">
        <v>0</v>
      </c>
      <c r="Z485" s="7">
        <v>0</v>
      </c>
      <c r="AA485" s="7">
        <v>0</v>
      </c>
      <c r="AB485" s="7">
        <v>1</v>
      </c>
      <c r="AC485" s="7">
        <v>1</v>
      </c>
      <c r="AD485" s="7" t="s">
        <v>5044</v>
      </c>
      <c r="AE485" s="7" t="s">
        <v>5044</v>
      </c>
      <c r="AF485" s="7" t="s">
        <v>5044</v>
      </c>
      <c r="AG485" s="7">
        <v>2</v>
      </c>
      <c r="AH485" s="7">
        <v>3</v>
      </c>
      <c r="AI485" s="7">
        <v>0</v>
      </c>
      <c r="AJ485" s="7" t="s">
        <v>5044</v>
      </c>
      <c r="AK485" s="7" t="s">
        <v>5837</v>
      </c>
      <c r="AL485" s="7">
        <v>1</v>
      </c>
      <c r="AM485" s="7">
        <v>0</v>
      </c>
      <c r="AN485" s="7" t="s">
        <v>5318</v>
      </c>
      <c r="AO485" s="11">
        <v>3</v>
      </c>
    </row>
    <row r="486" spans="1:41" ht="63" customHeight="1" x14ac:dyDescent="0.2">
      <c r="A486" s="7">
        <v>6185</v>
      </c>
      <c r="B486" s="7" t="s">
        <v>1917</v>
      </c>
      <c r="C486" s="7" t="s">
        <v>1918</v>
      </c>
      <c r="D486" s="7" t="s">
        <v>46</v>
      </c>
      <c r="F486" s="7" t="s">
        <v>1919</v>
      </c>
      <c r="G486" s="7" t="s">
        <v>37</v>
      </c>
      <c r="H486" s="7" t="s">
        <v>202</v>
      </c>
      <c r="I486" s="7" t="s">
        <v>13</v>
      </c>
      <c r="J486" s="7" t="s">
        <v>1920</v>
      </c>
      <c r="K486" s="7" t="s">
        <v>1921</v>
      </c>
      <c r="L486" s="7" t="s">
        <v>5839</v>
      </c>
      <c r="M486" s="7">
        <v>0</v>
      </c>
      <c r="N486" s="7" t="s">
        <v>5044</v>
      </c>
      <c r="O486" s="7" t="s">
        <v>5044</v>
      </c>
      <c r="P486" s="7">
        <v>0</v>
      </c>
      <c r="Q486" s="7">
        <v>0</v>
      </c>
      <c r="R486" s="7">
        <v>0</v>
      </c>
      <c r="S486" s="7">
        <v>9</v>
      </c>
      <c r="T486" s="7">
        <v>4</v>
      </c>
      <c r="U486" s="7">
        <v>140</v>
      </c>
      <c r="V486" s="7">
        <v>0</v>
      </c>
      <c r="W486" s="7">
        <v>1</v>
      </c>
      <c r="X486" s="7">
        <v>0</v>
      </c>
      <c r="Y486" s="7">
        <v>0</v>
      </c>
      <c r="Z486" s="7">
        <v>0</v>
      </c>
      <c r="AA486" s="7">
        <v>0</v>
      </c>
      <c r="AB486" s="7">
        <v>1</v>
      </c>
      <c r="AC486" s="7">
        <v>1</v>
      </c>
      <c r="AD486" s="7" t="s">
        <v>5044</v>
      </c>
      <c r="AE486" s="7" t="s">
        <v>5044</v>
      </c>
      <c r="AF486" s="7" t="s">
        <v>5044</v>
      </c>
      <c r="AG486" s="7">
        <v>2</v>
      </c>
      <c r="AH486" s="7">
        <v>3</v>
      </c>
      <c r="AI486" s="7">
        <v>0</v>
      </c>
      <c r="AJ486" s="7" t="s">
        <v>5044</v>
      </c>
      <c r="AK486" s="7">
        <v>1</v>
      </c>
      <c r="AL486" s="7">
        <v>0</v>
      </c>
      <c r="AM486" s="7">
        <v>0</v>
      </c>
      <c r="AN486" s="7" t="s">
        <v>5318</v>
      </c>
      <c r="AO486" s="11">
        <v>3</v>
      </c>
    </row>
    <row r="487" spans="1:41" ht="63" customHeight="1" x14ac:dyDescent="0.2">
      <c r="A487" s="7">
        <v>6188</v>
      </c>
      <c r="B487" s="7" t="s">
        <v>1922</v>
      </c>
      <c r="C487" s="7" t="s">
        <v>1923</v>
      </c>
      <c r="D487" s="7" t="s">
        <v>56</v>
      </c>
      <c r="F487" s="7" t="s">
        <v>325</v>
      </c>
      <c r="G487" s="7" t="s">
        <v>27</v>
      </c>
      <c r="H487" s="7" t="s">
        <v>238</v>
      </c>
      <c r="I487" s="7" t="s">
        <v>13</v>
      </c>
      <c r="J487" s="7" t="s">
        <v>1924</v>
      </c>
      <c r="K487" s="7" t="s">
        <v>1925</v>
      </c>
      <c r="L487" s="11" t="s">
        <v>5044</v>
      </c>
      <c r="M487" s="7">
        <v>0</v>
      </c>
      <c r="N487" s="7" t="s">
        <v>5044</v>
      </c>
      <c r="O487" s="7" t="s">
        <v>5044</v>
      </c>
      <c r="P487" s="7">
        <v>0</v>
      </c>
      <c r="Q487" s="7">
        <v>0</v>
      </c>
      <c r="R487" s="7">
        <v>0</v>
      </c>
      <c r="S487" s="7">
        <v>3</v>
      </c>
      <c r="T487" s="7">
        <v>4</v>
      </c>
      <c r="U487" s="7">
        <v>40</v>
      </c>
      <c r="V487" s="7">
        <v>0</v>
      </c>
      <c r="W487" s="7">
        <v>1</v>
      </c>
      <c r="X487" s="7">
        <v>0</v>
      </c>
      <c r="Y487" s="7">
        <v>0</v>
      </c>
      <c r="Z487" s="7">
        <v>0</v>
      </c>
      <c r="AA487" s="7">
        <v>0</v>
      </c>
      <c r="AB487" s="7">
        <v>1</v>
      </c>
      <c r="AC487" s="7">
        <v>1</v>
      </c>
      <c r="AD487" s="7" t="s">
        <v>5044</v>
      </c>
      <c r="AE487" s="7" t="s">
        <v>5044</v>
      </c>
      <c r="AF487" s="7" t="s">
        <v>5044</v>
      </c>
      <c r="AG487" s="7">
        <v>2</v>
      </c>
      <c r="AH487" s="7">
        <v>3</v>
      </c>
      <c r="AI487" s="7">
        <v>0</v>
      </c>
      <c r="AJ487" s="7" t="s">
        <v>5044</v>
      </c>
      <c r="AK487" s="7" t="s">
        <v>5840</v>
      </c>
      <c r="AL487" s="7">
        <v>0</v>
      </c>
      <c r="AM487" s="7">
        <v>0</v>
      </c>
      <c r="AN487" s="7" t="s">
        <v>5841</v>
      </c>
      <c r="AO487" s="7">
        <v>3</v>
      </c>
    </row>
    <row r="488" spans="1:41" ht="63" customHeight="1" x14ac:dyDescent="0.2">
      <c r="A488" s="7">
        <v>6199</v>
      </c>
      <c r="B488" s="7" t="s">
        <v>1926</v>
      </c>
      <c r="C488" s="7" t="s">
        <v>1927</v>
      </c>
      <c r="D488" s="7" t="s">
        <v>41</v>
      </c>
      <c r="F488" s="7" t="s">
        <v>237</v>
      </c>
      <c r="G488" s="7" t="s">
        <v>18</v>
      </c>
      <c r="H488" s="7" t="s">
        <v>157</v>
      </c>
      <c r="I488" s="7" t="s">
        <v>13</v>
      </c>
      <c r="J488" s="7" t="s">
        <v>1928</v>
      </c>
      <c r="K488" s="7" t="s">
        <v>1929</v>
      </c>
      <c r="L488" s="7" t="s">
        <v>5842</v>
      </c>
      <c r="M488" s="7">
        <v>0</v>
      </c>
      <c r="N488" s="7" t="s">
        <v>5044</v>
      </c>
      <c r="O488" s="7" t="s">
        <v>5044</v>
      </c>
      <c r="P488" s="7">
        <v>0</v>
      </c>
      <c r="Q488" s="7">
        <v>0</v>
      </c>
      <c r="R488" s="7">
        <v>0</v>
      </c>
      <c r="S488" s="7">
        <v>1</v>
      </c>
      <c r="T488" s="7">
        <v>4</v>
      </c>
      <c r="U488" s="7">
        <v>186</v>
      </c>
      <c r="V488" s="7">
        <v>0</v>
      </c>
      <c r="W488" s="7">
        <v>1</v>
      </c>
      <c r="X488" s="7">
        <v>0</v>
      </c>
      <c r="Y488" s="7">
        <v>0</v>
      </c>
      <c r="Z488" s="7">
        <v>0</v>
      </c>
      <c r="AA488" s="7">
        <v>0</v>
      </c>
      <c r="AB488" s="7">
        <v>1</v>
      </c>
      <c r="AC488" s="7">
        <v>1</v>
      </c>
      <c r="AD488" s="7" t="s">
        <v>5044</v>
      </c>
      <c r="AE488" s="7" t="s">
        <v>5044</v>
      </c>
      <c r="AF488" s="7" t="s">
        <v>5044</v>
      </c>
      <c r="AG488" s="7">
        <v>2</v>
      </c>
      <c r="AH488" s="7">
        <v>2</v>
      </c>
      <c r="AI488" s="7">
        <v>2</v>
      </c>
      <c r="AJ488" s="7" t="s">
        <v>5044</v>
      </c>
      <c r="AK488" s="7" t="s">
        <v>5843</v>
      </c>
      <c r="AL488" s="7">
        <v>1</v>
      </c>
      <c r="AM488" s="7">
        <v>0</v>
      </c>
      <c r="AN488" s="7" t="s">
        <v>5217</v>
      </c>
      <c r="AO488" s="11">
        <v>2</v>
      </c>
    </row>
    <row r="489" spans="1:41" ht="63" customHeight="1" x14ac:dyDescent="0.2">
      <c r="A489" s="7">
        <v>6210</v>
      </c>
      <c r="B489" s="7" t="s">
        <v>1930</v>
      </c>
      <c r="C489" s="7" t="s">
        <v>1931</v>
      </c>
      <c r="D489" s="7" t="s">
        <v>101</v>
      </c>
      <c r="F489" s="7" t="s">
        <v>168</v>
      </c>
      <c r="G489" s="7" t="s">
        <v>32</v>
      </c>
      <c r="H489" s="7" t="s">
        <v>1237</v>
      </c>
      <c r="I489" s="7" t="s">
        <v>13</v>
      </c>
      <c r="J489" s="7" t="s">
        <v>1932</v>
      </c>
      <c r="K489" s="7" t="s">
        <v>1933</v>
      </c>
      <c r="L489" s="7" t="s">
        <v>5844</v>
      </c>
      <c r="M489" s="7">
        <v>0</v>
      </c>
      <c r="N489" s="7" t="s">
        <v>5044</v>
      </c>
      <c r="O489" s="7" t="s">
        <v>5044</v>
      </c>
      <c r="P489" s="7">
        <v>1</v>
      </c>
      <c r="Q489" s="7">
        <v>0</v>
      </c>
      <c r="R489" s="7">
        <v>0</v>
      </c>
      <c r="S489" s="7">
        <v>1</v>
      </c>
      <c r="T489" s="7">
        <v>4</v>
      </c>
      <c r="U489" s="7">
        <v>60</v>
      </c>
      <c r="V489" s="7">
        <v>0</v>
      </c>
      <c r="W489" s="7">
        <v>1</v>
      </c>
      <c r="X489" s="7">
        <v>0</v>
      </c>
      <c r="Y489" s="7">
        <v>0</v>
      </c>
      <c r="Z489" s="7">
        <v>0</v>
      </c>
      <c r="AA489" s="7">
        <v>0</v>
      </c>
      <c r="AB489" s="7">
        <v>1</v>
      </c>
      <c r="AC489" s="7">
        <v>1</v>
      </c>
      <c r="AD489" s="7" t="s">
        <v>5044</v>
      </c>
      <c r="AE489" s="7" t="s">
        <v>5044</v>
      </c>
      <c r="AF489" s="7" t="s">
        <v>5044</v>
      </c>
      <c r="AG489" s="7">
        <v>2</v>
      </c>
      <c r="AH489" s="7">
        <v>3</v>
      </c>
      <c r="AI489" s="7">
        <v>0</v>
      </c>
      <c r="AJ489" s="7" t="s">
        <v>5044</v>
      </c>
      <c r="AK489" s="7" t="s">
        <v>5845</v>
      </c>
      <c r="AL489" s="7">
        <v>1</v>
      </c>
      <c r="AM489" s="7">
        <v>0</v>
      </c>
      <c r="AN489" s="7" t="s">
        <v>5318</v>
      </c>
      <c r="AO489" s="11">
        <v>3</v>
      </c>
    </row>
    <row r="490" spans="1:41" ht="63" customHeight="1" x14ac:dyDescent="0.2">
      <c r="A490" s="7">
        <v>6221</v>
      </c>
      <c r="B490" s="7" t="s">
        <v>1934</v>
      </c>
      <c r="C490" s="7" t="s">
        <v>1935</v>
      </c>
      <c r="D490" s="7" t="s">
        <v>56</v>
      </c>
      <c r="F490" s="7" t="s">
        <v>521</v>
      </c>
      <c r="G490" s="7" t="s">
        <v>18</v>
      </c>
      <c r="H490" s="7" t="s">
        <v>38</v>
      </c>
      <c r="I490" s="7" t="s">
        <v>13</v>
      </c>
      <c r="J490" s="7" t="s">
        <v>1936</v>
      </c>
      <c r="K490" s="7" t="s">
        <v>1937</v>
      </c>
      <c r="L490" s="7" t="s">
        <v>5846</v>
      </c>
      <c r="M490" s="7">
        <v>0</v>
      </c>
      <c r="N490" s="7" t="s">
        <v>5044</v>
      </c>
      <c r="O490" s="7" t="s">
        <v>5044</v>
      </c>
      <c r="P490" s="7">
        <v>0</v>
      </c>
      <c r="Q490" s="7">
        <v>0</v>
      </c>
      <c r="R490" s="7">
        <v>0</v>
      </c>
      <c r="S490" s="7">
        <v>1</v>
      </c>
      <c r="T490" s="7">
        <v>4</v>
      </c>
      <c r="U490" s="7">
        <v>200</v>
      </c>
      <c r="V490" s="7">
        <v>0</v>
      </c>
      <c r="W490" s="7">
        <v>1</v>
      </c>
      <c r="X490" s="7">
        <v>0</v>
      </c>
      <c r="Y490" s="7">
        <v>0</v>
      </c>
      <c r="Z490" s="7">
        <v>0</v>
      </c>
      <c r="AA490" s="7">
        <v>0</v>
      </c>
      <c r="AB490" s="7">
        <v>1</v>
      </c>
      <c r="AC490" s="7">
        <v>1</v>
      </c>
      <c r="AD490" s="7" t="s">
        <v>5044</v>
      </c>
      <c r="AE490" s="7" t="s">
        <v>5044</v>
      </c>
      <c r="AF490" s="7" t="s">
        <v>5044</v>
      </c>
      <c r="AG490" s="7">
        <v>1</v>
      </c>
      <c r="AH490" s="7">
        <v>0</v>
      </c>
      <c r="AI490" s="7">
        <v>0</v>
      </c>
      <c r="AJ490" s="7" t="s">
        <v>5044</v>
      </c>
      <c r="AK490" s="7" t="s">
        <v>5318</v>
      </c>
      <c r="AL490" s="7">
        <v>1</v>
      </c>
      <c r="AM490" s="7">
        <v>0</v>
      </c>
      <c r="AO490" s="9">
        <v>0</v>
      </c>
    </row>
    <row r="491" spans="1:41" ht="63" customHeight="1" x14ac:dyDescent="0.2">
      <c r="A491" s="7">
        <v>6226</v>
      </c>
      <c r="B491" s="7" t="s">
        <v>1938</v>
      </c>
      <c r="C491" s="7" t="s">
        <v>1939</v>
      </c>
      <c r="D491" s="7" t="s">
        <v>16</v>
      </c>
      <c r="F491" s="7" t="s">
        <v>571</v>
      </c>
      <c r="H491" s="7" t="s">
        <v>1940</v>
      </c>
      <c r="I491" s="7" t="s">
        <v>13</v>
      </c>
      <c r="J491" s="7" t="s">
        <v>1941</v>
      </c>
      <c r="K491" s="7" t="s">
        <v>1942</v>
      </c>
      <c r="L491" s="11" t="s">
        <v>5044</v>
      </c>
      <c r="M491" s="7">
        <v>0</v>
      </c>
      <c r="N491" s="7" t="s">
        <v>5044</v>
      </c>
      <c r="O491" s="7" t="s">
        <v>5044</v>
      </c>
      <c r="P491" s="7">
        <v>0</v>
      </c>
      <c r="Q491" s="7">
        <v>0</v>
      </c>
      <c r="R491" s="7">
        <v>0</v>
      </c>
      <c r="S491" s="7">
        <v>1</v>
      </c>
      <c r="T491" s="7">
        <v>4</v>
      </c>
      <c r="U491" s="7">
        <v>79</v>
      </c>
      <c r="V491" s="7">
        <v>0</v>
      </c>
      <c r="W491" s="7">
        <v>1</v>
      </c>
      <c r="X491" s="7">
        <v>0</v>
      </c>
      <c r="Y491" s="7">
        <v>0</v>
      </c>
      <c r="Z491" s="7">
        <v>0</v>
      </c>
      <c r="AA491" s="7">
        <v>0</v>
      </c>
      <c r="AB491" s="7">
        <v>1</v>
      </c>
      <c r="AC491" s="7">
        <v>1</v>
      </c>
      <c r="AD491" s="7" t="s">
        <v>5044</v>
      </c>
      <c r="AE491" s="7" t="s">
        <v>5044</v>
      </c>
      <c r="AF491" s="7" t="s">
        <v>5044</v>
      </c>
      <c r="AG491" s="7">
        <v>2</v>
      </c>
      <c r="AH491" s="7">
        <v>2</v>
      </c>
      <c r="AI491" s="7">
        <v>2</v>
      </c>
      <c r="AJ491" s="7" t="s">
        <v>5044</v>
      </c>
      <c r="AK491" s="7" t="s">
        <v>5318</v>
      </c>
      <c r="AL491" s="7">
        <v>1</v>
      </c>
      <c r="AM491" s="7">
        <v>0</v>
      </c>
      <c r="AN491" s="7" t="s">
        <v>5318</v>
      </c>
      <c r="AO491" s="11">
        <v>2</v>
      </c>
    </row>
    <row r="492" spans="1:41" ht="63" customHeight="1" x14ac:dyDescent="0.2">
      <c r="A492" s="7">
        <v>6229</v>
      </c>
      <c r="B492" s="7" t="s">
        <v>1943</v>
      </c>
      <c r="C492" s="7" t="s">
        <v>1944</v>
      </c>
      <c r="D492" s="7" t="s">
        <v>101</v>
      </c>
      <c r="F492" s="7" t="s">
        <v>37</v>
      </c>
      <c r="G492" s="7" t="s">
        <v>48</v>
      </c>
      <c r="H492" s="7" t="s">
        <v>241</v>
      </c>
      <c r="I492" s="7" t="s">
        <v>13</v>
      </c>
      <c r="J492" s="7" t="s">
        <v>1945</v>
      </c>
      <c r="K492" s="7" t="s">
        <v>1946</v>
      </c>
      <c r="L492" s="7" t="s">
        <v>5847</v>
      </c>
      <c r="M492" s="7">
        <v>0</v>
      </c>
      <c r="N492" s="7" t="s">
        <v>5044</v>
      </c>
      <c r="O492" s="7" t="s">
        <v>5044</v>
      </c>
      <c r="P492" s="7">
        <v>0</v>
      </c>
      <c r="Q492" s="7">
        <v>0</v>
      </c>
      <c r="R492" s="7">
        <v>0</v>
      </c>
      <c r="S492" s="7">
        <v>1</v>
      </c>
      <c r="T492" s="7">
        <v>4</v>
      </c>
      <c r="U492" s="7">
        <v>227</v>
      </c>
      <c r="V492" s="7">
        <v>1</v>
      </c>
      <c r="W492" s="7">
        <v>0</v>
      </c>
      <c r="X492" s="7">
        <v>0</v>
      </c>
      <c r="Y492" s="7">
        <v>0</v>
      </c>
      <c r="Z492" s="7">
        <v>0</v>
      </c>
      <c r="AA492" s="7">
        <v>0</v>
      </c>
      <c r="AB492" s="7">
        <v>1</v>
      </c>
      <c r="AC492" s="7">
        <v>1</v>
      </c>
      <c r="AD492" s="7">
        <v>2</v>
      </c>
      <c r="AE492" s="7">
        <v>3</v>
      </c>
      <c r="AF492" s="7">
        <v>0</v>
      </c>
      <c r="AG492" s="7" t="s">
        <v>5044</v>
      </c>
      <c r="AH492" s="7" t="s">
        <v>5044</v>
      </c>
      <c r="AI492" s="7" t="s">
        <v>5044</v>
      </c>
      <c r="AJ492" s="7" t="s">
        <v>5044</v>
      </c>
      <c r="AK492" s="7" t="s">
        <v>5778</v>
      </c>
      <c r="AL492" s="7">
        <v>1</v>
      </c>
      <c r="AM492" s="7">
        <v>0</v>
      </c>
      <c r="AN492" s="7" t="s">
        <v>5217</v>
      </c>
      <c r="AO492" s="11">
        <v>3</v>
      </c>
    </row>
    <row r="493" spans="1:41" ht="63" customHeight="1" x14ac:dyDescent="0.2">
      <c r="A493" s="7">
        <v>6233</v>
      </c>
      <c r="B493" s="7" t="s">
        <v>1947</v>
      </c>
      <c r="C493" s="7" t="s">
        <v>1948</v>
      </c>
      <c r="D493" s="7" t="s">
        <v>41</v>
      </c>
      <c r="F493" s="7" t="s">
        <v>338</v>
      </c>
      <c r="G493" s="7" t="s">
        <v>92</v>
      </c>
      <c r="H493" s="7" t="s">
        <v>1949</v>
      </c>
      <c r="I493" s="7" t="s">
        <v>13</v>
      </c>
      <c r="J493" s="7" t="s">
        <v>1950</v>
      </c>
      <c r="K493" s="7" t="s">
        <v>1951</v>
      </c>
      <c r="L493" s="7" t="s">
        <v>5848</v>
      </c>
      <c r="M493" s="7">
        <v>0</v>
      </c>
      <c r="N493" s="7" t="s">
        <v>5044</v>
      </c>
      <c r="O493" s="7" t="s">
        <v>5044</v>
      </c>
      <c r="P493" s="7">
        <v>0</v>
      </c>
      <c r="Q493" s="7">
        <v>0</v>
      </c>
      <c r="R493" s="7">
        <v>0</v>
      </c>
      <c r="S493" s="7">
        <v>1</v>
      </c>
      <c r="T493" s="7">
        <v>4</v>
      </c>
      <c r="U493" s="7">
        <v>80</v>
      </c>
      <c r="V493" s="7">
        <v>0</v>
      </c>
      <c r="W493" s="7">
        <v>1</v>
      </c>
      <c r="X493" s="7">
        <v>0</v>
      </c>
      <c r="Y493" s="7">
        <v>0</v>
      </c>
      <c r="Z493" s="7">
        <v>0</v>
      </c>
      <c r="AA493" s="7">
        <v>0</v>
      </c>
      <c r="AB493" s="7">
        <v>1</v>
      </c>
      <c r="AC493" s="7">
        <v>1</v>
      </c>
      <c r="AD493" s="7" t="s">
        <v>5044</v>
      </c>
      <c r="AE493" s="7" t="s">
        <v>5044</v>
      </c>
      <c r="AF493" s="7" t="s">
        <v>5044</v>
      </c>
      <c r="AG493" s="7">
        <v>2</v>
      </c>
      <c r="AH493" s="7">
        <v>3</v>
      </c>
      <c r="AI493" s="7">
        <v>0</v>
      </c>
      <c r="AJ493" s="7" t="s">
        <v>5044</v>
      </c>
      <c r="AK493" s="7">
        <v>1</v>
      </c>
      <c r="AL493" s="7">
        <v>1</v>
      </c>
      <c r="AM493" s="7">
        <v>0</v>
      </c>
      <c r="AN493" s="7" t="s">
        <v>5318</v>
      </c>
      <c r="AO493" s="11">
        <v>3</v>
      </c>
    </row>
    <row r="494" spans="1:41" ht="63" customHeight="1" x14ac:dyDescent="0.2">
      <c r="A494" s="7">
        <v>6239</v>
      </c>
      <c r="B494" s="7" t="s">
        <v>1952</v>
      </c>
      <c r="C494" s="7" t="s">
        <v>1953</v>
      </c>
      <c r="D494" s="7" t="s">
        <v>16</v>
      </c>
      <c r="F494" s="7" t="s">
        <v>11</v>
      </c>
      <c r="G494" s="7" t="s">
        <v>32</v>
      </c>
      <c r="H494" s="7" t="s">
        <v>1954</v>
      </c>
      <c r="I494" s="7" t="s">
        <v>13</v>
      </c>
      <c r="J494" s="7" t="s">
        <v>1955</v>
      </c>
      <c r="K494" s="7" t="s">
        <v>1956</v>
      </c>
      <c r="L494" s="11" t="s">
        <v>5044</v>
      </c>
      <c r="M494" s="7">
        <v>0</v>
      </c>
      <c r="N494" s="7" t="s">
        <v>5044</v>
      </c>
      <c r="O494" s="7" t="s">
        <v>5044</v>
      </c>
      <c r="P494" s="7">
        <v>0</v>
      </c>
      <c r="Q494" s="7">
        <v>0</v>
      </c>
      <c r="R494" s="7">
        <v>0</v>
      </c>
      <c r="S494" s="7">
        <v>10</v>
      </c>
      <c r="T494" s="7">
        <v>4</v>
      </c>
      <c r="U494" s="7">
        <v>24</v>
      </c>
      <c r="V494" s="7">
        <v>0</v>
      </c>
      <c r="W494" s="7">
        <v>1</v>
      </c>
      <c r="X494" s="7">
        <v>0</v>
      </c>
      <c r="Y494" s="7">
        <v>0</v>
      </c>
      <c r="Z494" s="7">
        <v>0</v>
      </c>
      <c r="AA494" s="7">
        <v>0</v>
      </c>
      <c r="AB494" s="7">
        <v>1</v>
      </c>
      <c r="AC494" s="7">
        <v>1</v>
      </c>
      <c r="AD494" s="7" t="s">
        <v>5044</v>
      </c>
      <c r="AE494" s="7" t="s">
        <v>5044</v>
      </c>
      <c r="AF494" s="7" t="s">
        <v>5044</v>
      </c>
      <c r="AG494" s="7">
        <v>1</v>
      </c>
      <c r="AH494" s="7">
        <v>0</v>
      </c>
      <c r="AI494" s="7">
        <v>0</v>
      </c>
      <c r="AJ494" s="7" t="s">
        <v>5044</v>
      </c>
      <c r="AK494" s="7" t="s">
        <v>5318</v>
      </c>
      <c r="AL494" s="7">
        <v>0</v>
      </c>
      <c r="AM494" s="7">
        <v>0</v>
      </c>
      <c r="AN494" s="7" t="s">
        <v>5318</v>
      </c>
      <c r="AO494" s="9">
        <v>0</v>
      </c>
    </row>
    <row r="495" spans="1:41" ht="63" customHeight="1" x14ac:dyDescent="0.2">
      <c r="A495" s="7">
        <v>6241</v>
      </c>
      <c r="B495" s="7" t="s">
        <v>1957</v>
      </c>
      <c r="C495" s="7" t="s">
        <v>1958</v>
      </c>
      <c r="D495" s="7" t="s">
        <v>101</v>
      </c>
      <c r="F495" s="7" t="s">
        <v>37</v>
      </c>
      <c r="G495" s="7" t="s">
        <v>32</v>
      </c>
      <c r="H495" s="7" t="s">
        <v>708</v>
      </c>
      <c r="I495" s="7" t="s">
        <v>13</v>
      </c>
      <c r="J495" s="7" t="s">
        <v>1959</v>
      </c>
      <c r="K495" s="7" t="s">
        <v>1960</v>
      </c>
      <c r="L495" s="11" t="s">
        <v>5044</v>
      </c>
      <c r="M495" s="7">
        <v>0</v>
      </c>
      <c r="N495" s="7" t="s">
        <v>5044</v>
      </c>
      <c r="O495" s="7" t="s">
        <v>5044</v>
      </c>
      <c r="P495" s="7">
        <v>0</v>
      </c>
      <c r="Q495" s="7">
        <v>0</v>
      </c>
      <c r="R495" s="7">
        <v>0</v>
      </c>
      <c r="S495" s="7">
        <v>3</v>
      </c>
      <c r="T495" s="7">
        <v>1</v>
      </c>
      <c r="U495" s="7">
        <v>178</v>
      </c>
      <c r="V495" s="7">
        <v>0</v>
      </c>
      <c r="W495" s="7">
        <v>1</v>
      </c>
      <c r="X495" s="7">
        <v>0</v>
      </c>
      <c r="Y495" s="7">
        <v>0</v>
      </c>
      <c r="Z495" s="7">
        <v>0</v>
      </c>
      <c r="AA495" s="7">
        <v>0</v>
      </c>
      <c r="AB495" s="7">
        <v>1</v>
      </c>
      <c r="AC495" s="7">
        <v>1</v>
      </c>
      <c r="AD495" s="7" t="s">
        <v>5044</v>
      </c>
      <c r="AE495" s="7" t="s">
        <v>5044</v>
      </c>
      <c r="AF495" s="7" t="s">
        <v>5044</v>
      </c>
      <c r="AG495" s="7">
        <v>2</v>
      </c>
      <c r="AH495" s="7">
        <v>3</v>
      </c>
      <c r="AI495" s="7">
        <v>0</v>
      </c>
      <c r="AJ495" s="7" t="s">
        <v>5044</v>
      </c>
      <c r="AK495" s="7">
        <v>1</v>
      </c>
      <c r="AL495" s="7">
        <v>0</v>
      </c>
      <c r="AM495" s="7">
        <v>0</v>
      </c>
      <c r="AN495" s="7" t="s">
        <v>5318</v>
      </c>
      <c r="AO495" s="11">
        <v>3</v>
      </c>
    </row>
    <row r="496" spans="1:41" ht="63" customHeight="1" x14ac:dyDescent="0.2">
      <c r="A496" s="7">
        <v>6257</v>
      </c>
      <c r="B496" s="7" t="s">
        <v>1965</v>
      </c>
      <c r="C496" s="7" t="s">
        <v>1966</v>
      </c>
      <c r="D496" s="7" t="s">
        <v>101</v>
      </c>
      <c r="F496" s="7" t="s">
        <v>1967</v>
      </c>
      <c r="G496" s="7" t="s">
        <v>144</v>
      </c>
      <c r="H496" s="7" t="s">
        <v>459</v>
      </c>
      <c r="I496" s="7" t="s">
        <v>13</v>
      </c>
      <c r="J496" s="7" t="s">
        <v>1968</v>
      </c>
      <c r="K496" s="7" t="s">
        <v>1969</v>
      </c>
      <c r="L496" s="7" t="s">
        <v>5849</v>
      </c>
      <c r="M496" s="7">
        <v>0</v>
      </c>
      <c r="N496" s="7" t="s">
        <v>5044</v>
      </c>
      <c r="O496" s="7" t="s">
        <v>5044</v>
      </c>
      <c r="P496" s="7">
        <v>0</v>
      </c>
      <c r="Q496" s="7">
        <v>0</v>
      </c>
      <c r="R496" s="7">
        <v>0</v>
      </c>
      <c r="S496" s="7">
        <v>1</v>
      </c>
      <c r="T496" s="7">
        <v>1</v>
      </c>
      <c r="U496" s="7">
        <v>261</v>
      </c>
      <c r="V496" s="7">
        <v>1</v>
      </c>
      <c r="W496" s="7">
        <v>0</v>
      </c>
      <c r="X496" s="7">
        <v>0</v>
      </c>
      <c r="Y496" s="7">
        <v>1</v>
      </c>
      <c r="Z496" s="7">
        <v>0</v>
      </c>
      <c r="AA496" s="7">
        <v>0</v>
      </c>
      <c r="AB496" s="7">
        <v>1</v>
      </c>
      <c r="AC496" s="7">
        <v>1</v>
      </c>
      <c r="AD496" s="7">
        <v>1</v>
      </c>
      <c r="AE496" s="7">
        <v>0</v>
      </c>
      <c r="AF496" s="7">
        <v>0</v>
      </c>
      <c r="AG496" s="7" t="s">
        <v>5044</v>
      </c>
      <c r="AH496" s="7" t="s">
        <v>5044</v>
      </c>
      <c r="AI496" s="7" t="s">
        <v>5044</v>
      </c>
      <c r="AJ496" s="7">
        <v>0</v>
      </c>
      <c r="AK496" s="7" t="s">
        <v>5318</v>
      </c>
      <c r="AL496" s="7">
        <v>0</v>
      </c>
      <c r="AM496" s="7">
        <v>0</v>
      </c>
      <c r="AN496" s="7" t="s">
        <v>5318</v>
      </c>
      <c r="AO496" s="9">
        <v>0</v>
      </c>
    </row>
    <row r="497" spans="1:41" ht="63" customHeight="1" x14ac:dyDescent="0.2">
      <c r="A497" s="7">
        <v>6266</v>
      </c>
      <c r="B497" s="7" t="s">
        <v>1970</v>
      </c>
      <c r="C497" s="7" t="s">
        <v>1971</v>
      </c>
      <c r="D497" s="7" t="s">
        <v>41</v>
      </c>
      <c r="F497" s="7" t="s">
        <v>254</v>
      </c>
      <c r="G497" s="7" t="s">
        <v>175</v>
      </c>
      <c r="H497" s="7" t="s">
        <v>164</v>
      </c>
      <c r="I497" s="7" t="s">
        <v>13</v>
      </c>
      <c r="J497" s="7" t="s">
        <v>1972</v>
      </c>
      <c r="L497" s="7" t="s">
        <v>6495</v>
      </c>
      <c r="M497" s="7">
        <v>0</v>
      </c>
      <c r="N497" s="7" t="s">
        <v>5044</v>
      </c>
      <c r="O497" s="7" t="s">
        <v>5044</v>
      </c>
      <c r="P497" s="7">
        <v>0</v>
      </c>
      <c r="Q497" s="7">
        <v>0</v>
      </c>
      <c r="R497" s="7">
        <v>0</v>
      </c>
      <c r="S497" s="7">
        <v>9</v>
      </c>
      <c r="T497" s="7">
        <v>4</v>
      </c>
      <c r="U497" s="7">
        <v>52</v>
      </c>
      <c r="V497" s="7">
        <v>0</v>
      </c>
      <c r="W497" s="7">
        <v>1</v>
      </c>
      <c r="X497" s="7">
        <v>0</v>
      </c>
      <c r="Y497" s="7">
        <v>0</v>
      </c>
      <c r="Z497" s="7">
        <v>0</v>
      </c>
      <c r="AA497" s="7">
        <v>0</v>
      </c>
      <c r="AB497" s="7">
        <v>1</v>
      </c>
      <c r="AC497" s="7">
        <v>0</v>
      </c>
      <c r="AD497" s="7" t="s">
        <v>5044</v>
      </c>
      <c r="AE497" s="7" t="s">
        <v>5044</v>
      </c>
      <c r="AF497" s="7" t="s">
        <v>5044</v>
      </c>
      <c r="AG497" s="7">
        <v>0</v>
      </c>
      <c r="AH497" s="7" t="s">
        <v>5044</v>
      </c>
      <c r="AI497" s="7" t="s">
        <v>5044</v>
      </c>
      <c r="AJ497" s="7" t="s">
        <v>5044</v>
      </c>
      <c r="AK497" s="7" t="s">
        <v>5318</v>
      </c>
      <c r="AL497" s="7">
        <v>1</v>
      </c>
      <c r="AM497" s="7">
        <v>0</v>
      </c>
      <c r="AO497" s="11">
        <v>9</v>
      </c>
    </row>
    <row r="498" spans="1:41" ht="63" customHeight="1" x14ac:dyDescent="0.2">
      <c r="A498" s="7">
        <v>6267</v>
      </c>
      <c r="B498" s="7" t="s">
        <v>1973</v>
      </c>
      <c r="C498" s="7" t="s">
        <v>1974</v>
      </c>
      <c r="D498" s="7" t="s">
        <v>101</v>
      </c>
      <c r="F498" s="7" t="s">
        <v>107</v>
      </c>
      <c r="G498" s="7" t="s">
        <v>17</v>
      </c>
      <c r="H498" s="7" t="s">
        <v>1975</v>
      </c>
      <c r="I498" s="7" t="s">
        <v>13</v>
      </c>
      <c r="J498" s="7" t="s">
        <v>1976</v>
      </c>
      <c r="K498" s="7" t="s">
        <v>1977</v>
      </c>
      <c r="L498" s="7" t="s">
        <v>5850</v>
      </c>
      <c r="M498" s="7">
        <v>0</v>
      </c>
      <c r="N498" s="7" t="s">
        <v>5044</v>
      </c>
      <c r="O498" s="7" t="s">
        <v>5044</v>
      </c>
      <c r="P498" s="7">
        <v>0</v>
      </c>
      <c r="Q498" s="7">
        <v>0</v>
      </c>
      <c r="R498" s="7">
        <v>0</v>
      </c>
      <c r="S498" s="7">
        <v>9</v>
      </c>
      <c r="T498" s="7">
        <v>4</v>
      </c>
      <c r="U498" s="7">
        <v>218</v>
      </c>
      <c r="V498" s="7">
        <v>0</v>
      </c>
      <c r="W498" s="7">
        <v>1</v>
      </c>
      <c r="X498" s="7">
        <v>0</v>
      </c>
      <c r="Y498" s="7">
        <v>0</v>
      </c>
      <c r="Z498" s="7">
        <v>0</v>
      </c>
      <c r="AA498" s="7">
        <v>0</v>
      </c>
      <c r="AB498" s="7">
        <v>1</v>
      </c>
      <c r="AC498" s="7">
        <v>0</v>
      </c>
      <c r="AD498" s="7" t="s">
        <v>5044</v>
      </c>
      <c r="AE498" s="7" t="s">
        <v>5044</v>
      </c>
      <c r="AF498" s="7" t="s">
        <v>5044</v>
      </c>
      <c r="AG498" s="7">
        <v>0</v>
      </c>
      <c r="AH498" s="7" t="s">
        <v>5044</v>
      </c>
      <c r="AI498" s="7" t="s">
        <v>5044</v>
      </c>
      <c r="AJ498" s="7" t="s">
        <v>5044</v>
      </c>
      <c r="AK498" s="7" t="s">
        <v>5318</v>
      </c>
      <c r="AL498" s="7">
        <v>1</v>
      </c>
      <c r="AM498" s="7">
        <v>0</v>
      </c>
      <c r="AO498" s="11">
        <v>9</v>
      </c>
    </row>
    <row r="499" spans="1:41" ht="63" customHeight="1" x14ac:dyDescent="0.2">
      <c r="A499" s="7">
        <v>6278</v>
      </c>
      <c r="B499" s="7" t="s">
        <v>1978</v>
      </c>
      <c r="C499" s="7" t="s">
        <v>1979</v>
      </c>
      <c r="D499" s="7" t="s">
        <v>22</v>
      </c>
      <c r="F499" s="7" t="s">
        <v>114</v>
      </c>
      <c r="G499" s="7" t="s">
        <v>52</v>
      </c>
      <c r="H499" s="7" t="s">
        <v>102</v>
      </c>
      <c r="I499" s="7" t="s">
        <v>13</v>
      </c>
      <c r="J499" s="7" t="s">
        <v>1980</v>
      </c>
      <c r="K499" s="7" t="s">
        <v>1981</v>
      </c>
      <c r="L499" s="7" t="s">
        <v>5851</v>
      </c>
      <c r="M499" s="7">
        <v>0</v>
      </c>
      <c r="N499" s="7" t="s">
        <v>5044</v>
      </c>
      <c r="O499" s="7" t="s">
        <v>5044</v>
      </c>
      <c r="P499" s="7">
        <v>0</v>
      </c>
      <c r="Q499" s="7">
        <v>0</v>
      </c>
      <c r="R499" s="7">
        <v>0</v>
      </c>
      <c r="S499" s="7">
        <v>3</v>
      </c>
      <c r="T499" s="7">
        <v>4</v>
      </c>
      <c r="U499" s="7">
        <v>290</v>
      </c>
      <c r="V499" s="7">
        <v>1</v>
      </c>
      <c r="W499" s="7">
        <v>0</v>
      </c>
      <c r="X499" s="7">
        <v>0</v>
      </c>
      <c r="Y499" s="7">
        <v>0</v>
      </c>
      <c r="Z499" s="7">
        <v>0</v>
      </c>
      <c r="AA499" s="7">
        <v>0</v>
      </c>
      <c r="AB499" s="7">
        <v>1</v>
      </c>
      <c r="AC499" s="7">
        <v>1</v>
      </c>
      <c r="AD499" s="7">
        <v>2</v>
      </c>
      <c r="AE499" s="7">
        <v>2</v>
      </c>
      <c r="AF499" s="27" t="s">
        <v>5044</v>
      </c>
      <c r="AG499" s="7" t="s">
        <v>5044</v>
      </c>
      <c r="AH499" s="7" t="s">
        <v>5044</v>
      </c>
      <c r="AI499" s="7" t="s">
        <v>5044</v>
      </c>
      <c r="AJ499" s="7" t="s">
        <v>5044</v>
      </c>
      <c r="AL499" s="7">
        <v>1</v>
      </c>
      <c r="AM499" s="7">
        <v>0</v>
      </c>
      <c r="AN499" s="7" t="s">
        <v>5217</v>
      </c>
      <c r="AO499" s="11">
        <v>2</v>
      </c>
    </row>
    <row r="500" spans="1:41" ht="63" customHeight="1" x14ac:dyDescent="0.2">
      <c r="A500" s="7">
        <v>6279</v>
      </c>
      <c r="B500" s="7" t="s">
        <v>1982</v>
      </c>
      <c r="C500" s="7" t="s">
        <v>1983</v>
      </c>
      <c r="D500" s="7" t="s">
        <v>25</v>
      </c>
      <c r="F500" s="7" t="s">
        <v>791</v>
      </c>
      <c r="G500" s="7" t="s">
        <v>18</v>
      </c>
      <c r="H500" s="7" t="s">
        <v>1984</v>
      </c>
      <c r="I500" s="7" t="s">
        <v>13</v>
      </c>
      <c r="J500" s="7" t="s">
        <v>1985</v>
      </c>
      <c r="K500" s="7" t="s">
        <v>1986</v>
      </c>
      <c r="L500" s="7" t="s">
        <v>5852</v>
      </c>
      <c r="M500" s="7">
        <v>0</v>
      </c>
      <c r="N500" s="7" t="s">
        <v>5044</v>
      </c>
      <c r="O500" s="7" t="s">
        <v>5044</v>
      </c>
      <c r="P500" s="7">
        <v>0</v>
      </c>
      <c r="Q500" s="7">
        <v>0</v>
      </c>
      <c r="R500" s="7">
        <v>0</v>
      </c>
      <c r="S500" s="7">
        <v>3</v>
      </c>
      <c r="T500" s="7">
        <v>4</v>
      </c>
      <c r="U500" s="7">
        <v>73</v>
      </c>
      <c r="V500" s="7">
        <v>0</v>
      </c>
      <c r="W500" s="7">
        <v>1</v>
      </c>
      <c r="X500" s="7">
        <v>0</v>
      </c>
      <c r="Y500" s="7">
        <v>0</v>
      </c>
      <c r="Z500" s="7">
        <v>0</v>
      </c>
      <c r="AA500" s="7">
        <v>0</v>
      </c>
      <c r="AB500" s="7">
        <v>1</v>
      </c>
      <c r="AC500" s="7">
        <v>1</v>
      </c>
      <c r="AD500" s="7" t="s">
        <v>5044</v>
      </c>
      <c r="AE500" s="7" t="s">
        <v>5044</v>
      </c>
      <c r="AF500" s="7" t="s">
        <v>5044</v>
      </c>
      <c r="AG500" s="7">
        <v>2</v>
      </c>
      <c r="AH500" s="7">
        <v>3</v>
      </c>
      <c r="AI500" s="7">
        <v>0</v>
      </c>
      <c r="AJ500" s="7" t="s">
        <v>5044</v>
      </c>
      <c r="AK500" s="7" t="s">
        <v>5853</v>
      </c>
      <c r="AL500" s="7">
        <v>1</v>
      </c>
      <c r="AM500" s="7">
        <v>0</v>
      </c>
      <c r="AO500" s="11">
        <v>3</v>
      </c>
    </row>
    <row r="501" spans="1:41" ht="63" customHeight="1" x14ac:dyDescent="0.2">
      <c r="A501" s="7">
        <v>6282</v>
      </c>
      <c r="B501" s="7" t="s">
        <v>1987</v>
      </c>
      <c r="C501" s="7" t="s">
        <v>1988</v>
      </c>
      <c r="D501" s="7" t="s">
        <v>74</v>
      </c>
      <c r="F501" s="7" t="s">
        <v>1989</v>
      </c>
      <c r="H501" s="7" t="s">
        <v>775</v>
      </c>
      <c r="I501" s="7" t="s">
        <v>13</v>
      </c>
      <c r="J501" s="7" t="s">
        <v>1990</v>
      </c>
      <c r="K501" s="7" t="s">
        <v>1991</v>
      </c>
      <c r="L501" s="7" t="s">
        <v>5854</v>
      </c>
      <c r="M501" s="7">
        <v>0</v>
      </c>
      <c r="N501" s="7" t="s">
        <v>5044</v>
      </c>
      <c r="O501" s="7" t="s">
        <v>5044</v>
      </c>
      <c r="P501" s="7">
        <v>0</v>
      </c>
      <c r="Q501" s="7">
        <v>0</v>
      </c>
      <c r="R501" s="7">
        <v>0</v>
      </c>
      <c r="S501" s="7">
        <v>1</v>
      </c>
      <c r="T501" s="7">
        <v>4</v>
      </c>
      <c r="U501" s="7">
        <v>320</v>
      </c>
      <c r="V501" s="7">
        <v>0</v>
      </c>
      <c r="W501" s="7">
        <v>1</v>
      </c>
      <c r="X501" s="7">
        <v>0</v>
      </c>
      <c r="Y501" s="7">
        <v>0</v>
      </c>
      <c r="Z501" s="7">
        <v>0</v>
      </c>
      <c r="AA501" s="7">
        <v>0</v>
      </c>
      <c r="AB501" s="7">
        <v>1</v>
      </c>
      <c r="AC501" s="7">
        <v>1</v>
      </c>
      <c r="AD501" s="7" t="s">
        <v>5044</v>
      </c>
      <c r="AE501" s="7" t="s">
        <v>5044</v>
      </c>
      <c r="AF501" s="7" t="s">
        <v>5044</v>
      </c>
      <c r="AG501" s="7">
        <v>2</v>
      </c>
      <c r="AH501" s="7">
        <v>2</v>
      </c>
      <c r="AI501" s="7">
        <v>2</v>
      </c>
      <c r="AJ501" s="7" t="s">
        <v>5044</v>
      </c>
      <c r="AK501" s="7" t="s">
        <v>5318</v>
      </c>
      <c r="AL501" s="7">
        <v>1</v>
      </c>
      <c r="AM501" s="7">
        <v>0</v>
      </c>
      <c r="AN501" s="7" t="s">
        <v>5318</v>
      </c>
      <c r="AO501" s="11">
        <v>2</v>
      </c>
    </row>
    <row r="502" spans="1:41" ht="63" customHeight="1" x14ac:dyDescent="0.2">
      <c r="A502" s="7">
        <v>6288</v>
      </c>
      <c r="B502" s="7" t="s">
        <v>1992</v>
      </c>
      <c r="C502" s="7" t="s">
        <v>1993</v>
      </c>
      <c r="D502" s="7" t="s">
        <v>74</v>
      </c>
      <c r="F502" s="7" t="s">
        <v>351</v>
      </c>
      <c r="G502" s="7" t="s">
        <v>52</v>
      </c>
      <c r="H502" s="7" t="s">
        <v>217</v>
      </c>
      <c r="I502" s="7" t="s">
        <v>13</v>
      </c>
      <c r="J502" s="7" t="s">
        <v>1994</v>
      </c>
      <c r="K502" s="7" t="s">
        <v>1995</v>
      </c>
      <c r="L502" s="7" t="s">
        <v>5855</v>
      </c>
      <c r="M502" s="7">
        <v>0</v>
      </c>
      <c r="N502" s="7" t="s">
        <v>5044</v>
      </c>
      <c r="O502" s="7" t="s">
        <v>5044</v>
      </c>
      <c r="P502" s="7">
        <v>0</v>
      </c>
      <c r="Q502" s="7">
        <v>0</v>
      </c>
      <c r="R502" s="7">
        <v>0</v>
      </c>
      <c r="S502" s="7">
        <v>1</v>
      </c>
      <c r="T502" s="7">
        <v>4</v>
      </c>
      <c r="U502" s="7">
        <v>536</v>
      </c>
      <c r="V502" s="7">
        <v>0</v>
      </c>
      <c r="W502" s="7">
        <v>1</v>
      </c>
      <c r="X502" s="7">
        <v>0</v>
      </c>
      <c r="Y502" s="7">
        <v>0</v>
      </c>
      <c r="Z502" s="7">
        <v>0</v>
      </c>
      <c r="AA502" s="7">
        <v>0</v>
      </c>
      <c r="AB502" s="7">
        <v>1</v>
      </c>
      <c r="AC502" s="7">
        <v>1</v>
      </c>
      <c r="AD502" s="7" t="s">
        <v>5044</v>
      </c>
      <c r="AE502" s="7" t="s">
        <v>5044</v>
      </c>
      <c r="AF502" s="7" t="s">
        <v>5044</v>
      </c>
      <c r="AG502" s="7">
        <v>1</v>
      </c>
      <c r="AH502" s="7">
        <v>0</v>
      </c>
      <c r="AI502" s="7">
        <v>0</v>
      </c>
      <c r="AJ502" s="7" t="s">
        <v>5044</v>
      </c>
      <c r="AK502" s="7" t="s">
        <v>5318</v>
      </c>
      <c r="AL502" s="7">
        <v>0</v>
      </c>
      <c r="AM502" s="7">
        <v>0</v>
      </c>
      <c r="AO502" s="9">
        <v>0</v>
      </c>
    </row>
    <row r="503" spans="1:41" ht="63" customHeight="1" x14ac:dyDescent="0.2">
      <c r="A503" s="7">
        <v>6298</v>
      </c>
      <c r="B503" s="7" t="s">
        <v>1996</v>
      </c>
      <c r="C503" s="7" t="s">
        <v>1997</v>
      </c>
      <c r="D503" s="7" t="s">
        <v>41</v>
      </c>
      <c r="F503" s="7" t="s">
        <v>372</v>
      </c>
      <c r="G503" s="7" t="s">
        <v>11</v>
      </c>
      <c r="H503" s="7" t="s">
        <v>578</v>
      </c>
      <c r="I503" s="7" t="s">
        <v>13</v>
      </c>
      <c r="J503" s="7" t="s">
        <v>1998</v>
      </c>
      <c r="K503" s="7" t="s">
        <v>1999</v>
      </c>
      <c r="L503" s="7" t="s">
        <v>5856</v>
      </c>
      <c r="M503" s="7">
        <v>0</v>
      </c>
      <c r="N503" s="7" t="s">
        <v>5044</v>
      </c>
      <c r="O503" s="7" t="s">
        <v>5044</v>
      </c>
      <c r="P503" s="7">
        <v>0</v>
      </c>
      <c r="Q503" s="7">
        <v>0</v>
      </c>
      <c r="R503" s="7">
        <v>0</v>
      </c>
      <c r="S503" s="7">
        <v>4</v>
      </c>
      <c r="T503" s="7">
        <v>5</v>
      </c>
      <c r="U503" s="7">
        <v>60</v>
      </c>
      <c r="V503" s="7">
        <v>0</v>
      </c>
      <c r="W503" s="7">
        <v>1</v>
      </c>
      <c r="X503" s="7">
        <v>0</v>
      </c>
      <c r="Y503" s="7">
        <v>0</v>
      </c>
      <c r="Z503" s="7">
        <v>0</v>
      </c>
      <c r="AA503" s="7">
        <v>0</v>
      </c>
      <c r="AB503" s="7">
        <v>1</v>
      </c>
      <c r="AC503" s="7">
        <v>1</v>
      </c>
      <c r="AD503" s="7" t="s">
        <v>5044</v>
      </c>
      <c r="AE503" s="7" t="s">
        <v>5044</v>
      </c>
      <c r="AF503" s="7" t="s">
        <v>5044</v>
      </c>
      <c r="AG503" s="7">
        <v>2</v>
      </c>
      <c r="AH503" s="7">
        <v>3</v>
      </c>
      <c r="AI503" s="7">
        <v>0</v>
      </c>
      <c r="AJ503" s="7" t="s">
        <v>5044</v>
      </c>
      <c r="AK503" s="7">
        <v>1</v>
      </c>
      <c r="AL503" s="7">
        <v>1</v>
      </c>
      <c r="AM503" s="7">
        <v>0</v>
      </c>
      <c r="AN503" s="7" t="s">
        <v>5318</v>
      </c>
      <c r="AO503" s="11">
        <v>3</v>
      </c>
    </row>
    <row r="504" spans="1:41" ht="63" customHeight="1" x14ac:dyDescent="0.2">
      <c r="A504" s="7">
        <v>6299</v>
      </c>
      <c r="B504" s="7" t="s">
        <v>2000</v>
      </c>
      <c r="C504" s="7" t="s">
        <v>2001</v>
      </c>
      <c r="D504" s="7" t="s">
        <v>16</v>
      </c>
      <c r="F504" s="7" t="s">
        <v>65</v>
      </c>
      <c r="G504" s="7" t="s">
        <v>52</v>
      </c>
      <c r="H504" s="7" t="s">
        <v>2002</v>
      </c>
      <c r="I504" s="7" t="s">
        <v>13</v>
      </c>
      <c r="J504" s="7" t="s">
        <v>2003</v>
      </c>
      <c r="K504" s="7" t="s">
        <v>2004</v>
      </c>
      <c r="L504" s="7" t="s">
        <v>5857</v>
      </c>
      <c r="M504" s="7">
        <v>0</v>
      </c>
      <c r="N504" s="7" t="s">
        <v>5044</v>
      </c>
      <c r="O504" s="7" t="s">
        <v>5044</v>
      </c>
      <c r="P504" s="7">
        <v>0</v>
      </c>
      <c r="Q504" s="7">
        <v>0</v>
      </c>
      <c r="R504" s="7">
        <v>0</v>
      </c>
      <c r="S504" s="7">
        <v>4</v>
      </c>
      <c r="T504" s="7">
        <v>5</v>
      </c>
      <c r="U504" s="7">
        <v>60</v>
      </c>
      <c r="V504" s="7">
        <v>0</v>
      </c>
      <c r="W504" s="7">
        <v>1</v>
      </c>
      <c r="X504" s="7">
        <v>0</v>
      </c>
      <c r="Y504" s="7">
        <v>0</v>
      </c>
      <c r="Z504" s="7">
        <v>0</v>
      </c>
      <c r="AA504" s="7">
        <v>0</v>
      </c>
      <c r="AB504" s="7">
        <v>1</v>
      </c>
      <c r="AC504" s="7">
        <v>1</v>
      </c>
      <c r="AD504" s="7" t="s">
        <v>5044</v>
      </c>
      <c r="AE504" s="7" t="s">
        <v>5044</v>
      </c>
      <c r="AF504" s="7" t="s">
        <v>5044</v>
      </c>
      <c r="AG504" s="7">
        <v>2</v>
      </c>
      <c r="AH504" s="7">
        <v>3</v>
      </c>
      <c r="AI504" s="7">
        <v>0</v>
      </c>
      <c r="AJ504" s="7" t="s">
        <v>5044</v>
      </c>
      <c r="AK504" s="7">
        <v>1</v>
      </c>
      <c r="AL504" s="7">
        <v>1</v>
      </c>
      <c r="AM504" s="7">
        <v>0</v>
      </c>
      <c r="AN504" s="7" t="s">
        <v>5318</v>
      </c>
      <c r="AO504" s="11">
        <v>3</v>
      </c>
    </row>
    <row r="505" spans="1:41" ht="63" customHeight="1" x14ac:dyDescent="0.2">
      <c r="A505" s="7">
        <v>6310</v>
      </c>
      <c r="B505" s="7" t="s">
        <v>2005</v>
      </c>
      <c r="C505" s="7" t="s">
        <v>2006</v>
      </c>
      <c r="D505" s="7" t="s">
        <v>30</v>
      </c>
      <c r="F505" s="7" t="s">
        <v>133</v>
      </c>
      <c r="G505" s="7" t="s">
        <v>37</v>
      </c>
      <c r="H505" s="7" t="s">
        <v>43</v>
      </c>
      <c r="I505" s="7" t="s">
        <v>13</v>
      </c>
      <c r="J505" s="7" t="s">
        <v>2007</v>
      </c>
      <c r="K505" s="7" t="s">
        <v>2008</v>
      </c>
      <c r="L505" s="7" t="s">
        <v>5858</v>
      </c>
      <c r="M505" s="7">
        <v>0</v>
      </c>
      <c r="N505" s="7" t="s">
        <v>5044</v>
      </c>
      <c r="O505" s="7" t="s">
        <v>5044</v>
      </c>
      <c r="P505" s="7">
        <v>0</v>
      </c>
      <c r="Q505" s="7">
        <v>0</v>
      </c>
      <c r="R505" s="7">
        <v>0</v>
      </c>
      <c r="S505" s="7">
        <v>1</v>
      </c>
      <c r="T505" s="7">
        <v>5</v>
      </c>
      <c r="U505" s="7">
        <v>168</v>
      </c>
      <c r="V505" s="7">
        <v>0</v>
      </c>
      <c r="W505" s="7">
        <v>1</v>
      </c>
      <c r="X505" s="7">
        <v>0</v>
      </c>
      <c r="Y505" s="7">
        <v>0</v>
      </c>
      <c r="Z505" s="7">
        <v>0</v>
      </c>
      <c r="AA505" s="7">
        <v>0</v>
      </c>
      <c r="AB505" s="7">
        <v>1</v>
      </c>
      <c r="AC505" s="7">
        <v>1</v>
      </c>
      <c r="AD505" s="7" t="s">
        <v>5044</v>
      </c>
      <c r="AE505" s="7" t="s">
        <v>5044</v>
      </c>
      <c r="AF505" s="7" t="s">
        <v>5044</v>
      </c>
      <c r="AG505" s="7">
        <v>2</v>
      </c>
      <c r="AH505" s="7">
        <v>3</v>
      </c>
      <c r="AI505" s="7">
        <v>0</v>
      </c>
      <c r="AJ505" s="7" t="s">
        <v>5044</v>
      </c>
      <c r="AK505" s="7">
        <v>1</v>
      </c>
      <c r="AL505" s="7">
        <v>0</v>
      </c>
      <c r="AM505" s="7">
        <v>0</v>
      </c>
      <c r="AN505" s="7" t="s">
        <v>5318</v>
      </c>
      <c r="AO505" s="11">
        <v>3</v>
      </c>
    </row>
    <row r="506" spans="1:41" ht="63" customHeight="1" x14ac:dyDescent="0.2">
      <c r="A506" s="7">
        <v>6338</v>
      </c>
      <c r="B506" s="7" t="s">
        <v>2014</v>
      </c>
      <c r="C506" s="7" t="s">
        <v>2015</v>
      </c>
      <c r="D506" s="7" t="s">
        <v>56</v>
      </c>
      <c r="F506" s="7" t="s">
        <v>703</v>
      </c>
      <c r="G506" s="7" t="s">
        <v>37</v>
      </c>
      <c r="H506" s="7" t="s">
        <v>1502</v>
      </c>
      <c r="I506" s="7" t="s">
        <v>13</v>
      </c>
      <c r="J506" s="7" t="s">
        <v>2016</v>
      </c>
      <c r="K506" s="7" t="s">
        <v>2017</v>
      </c>
      <c r="L506" s="7" t="s">
        <v>5859</v>
      </c>
      <c r="M506" s="7">
        <v>0</v>
      </c>
      <c r="N506" s="7" t="s">
        <v>5044</v>
      </c>
      <c r="O506" s="9" t="s">
        <v>5044</v>
      </c>
      <c r="P506" s="7">
        <v>0</v>
      </c>
      <c r="Q506" s="7">
        <v>0</v>
      </c>
      <c r="R506" s="7">
        <v>0</v>
      </c>
      <c r="S506" s="7">
        <v>3</v>
      </c>
      <c r="T506" s="7">
        <v>4</v>
      </c>
      <c r="U506" s="7">
        <v>67</v>
      </c>
      <c r="V506" s="7">
        <v>0</v>
      </c>
      <c r="W506" s="7">
        <v>1</v>
      </c>
      <c r="X506" s="7">
        <v>0</v>
      </c>
      <c r="Y506" s="7">
        <v>0</v>
      </c>
      <c r="Z506" s="7">
        <v>0</v>
      </c>
      <c r="AA506" s="7">
        <v>0</v>
      </c>
      <c r="AB506" s="7">
        <v>1</v>
      </c>
      <c r="AC506" s="7">
        <v>0</v>
      </c>
      <c r="AD506" s="7" t="s">
        <v>5044</v>
      </c>
      <c r="AE506" s="7" t="s">
        <v>5044</v>
      </c>
      <c r="AF506" s="7" t="s">
        <v>5044</v>
      </c>
      <c r="AG506" s="7">
        <v>0</v>
      </c>
      <c r="AH506" s="7" t="s">
        <v>5044</v>
      </c>
      <c r="AI506" s="7" t="s">
        <v>5044</v>
      </c>
      <c r="AJ506" s="7" t="s">
        <v>5044</v>
      </c>
      <c r="AK506" s="7" t="s">
        <v>5318</v>
      </c>
      <c r="AL506" s="7">
        <v>0</v>
      </c>
      <c r="AM506" s="7">
        <v>0</v>
      </c>
      <c r="AO506" s="11">
        <v>9</v>
      </c>
    </row>
    <row r="507" spans="1:41" ht="63" customHeight="1" x14ac:dyDescent="0.2">
      <c r="A507" s="7">
        <v>6361</v>
      </c>
      <c r="B507" s="7" t="s">
        <v>2018</v>
      </c>
      <c r="C507" s="7" t="s">
        <v>2019</v>
      </c>
      <c r="D507" s="7" t="s">
        <v>46</v>
      </c>
      <c r="F507" s="7" t="s">
        <v>332</v>
      </c>
      <c r="G507" s="7" t="s">
        <v>17</v>
      </c>
      <c r="H507" s="7" t="s">
        <v>217</v>
      </c>
      <c r="I507" s="7" t="s">
        <v>13</v>
      </c>
      <c r="J507" s="7" t="s">
        <v>2020</v>
      </c>
      <c r="K507" s="7" t="s">
        <v>2021</v>
      </c>
      <c r="L507" s="7" t="s">
        <v>5860</v>
      </c>
      <c r="M507" s="7">
        <v>0</v>
      </c>
      <c r="N507" s="7" t="s">
        <v>5044</v>
      </c>
      <c r="O507" s="7" t="s">
        <v>5044</v>
      </c>
      <c r="P507" s="7">
        <v>0</v>
      </c>
      <c r="Q507" s="7">
        <v>0</v>
      </c>
      <c r="R507" s="7">
        <v>0</v>
      </c>
      <c r="S507" s="7">
        <v>11</v>
      </c>
      <c r="T507" s="7">
        <v>4</v>
      </c>
      <c r="U507" s="7">
        <v>96</v>
      </c>
      <c r="V507" s="7">
        <v>0</v>
      </c>
      <c r="W507" s="7">
        <v>1</v>
      </c>
      <c r="X507" s="7">
        <v>0</v>
      </c>
      <c r="Y507" s="7">
        <v>0</v>
      </c>
      <c r="Z507" s="7">
        <v>0</v>
      </c>
      <c r="AA507" s="7">
        <v>0</v>
      </c>
      <c r="AB507" s="7">
        <v>1</v>
      </c>
      <c r="AC507" s="7">
        <v>1</v>
      </c>
      <c r="AD507" s="7" t="s">
        <v>5044</v>
      </c>
      <c r="AE507" s="7" t="s">
        <v>5044</v>
      </c>
      <c r="AF507" s="7" t="s">
        <v>5044</v>
      </c>
      <c r="AG507" s="7">
        <v>2</v>
      </c>
      <c r="AH507" s="7">
        <v>3</v>
      </c>
      <c r="AI507" s="7">
        <v>0</v>
      </c>
      <c r="AJ507" s="7" t="s">
        <v>5044</v>
      </c>
      <c r="AK507" s="7" t="s">
        <v>5861</v>
      </c>
      <c r="AL507" s="7" t="s">
        <v>5044</v>
      </c>
      <c r="AM507" s="7">
        <v>0</v>
      </c>
      <c r="AN507" s="7" t="s">
        <v>6293</v>
      </c>
      <c r="AO507" s="11">
        <v>3</v>
      </c>
    </row>
    <row r="508" spans="1:41" ht="63" customHeight="1" x14ac:dyDescent="0.2">
      <c r="A508" s="7">
        <v>6371</v>
      </c>
      <c r="B508" s="7" t="s">
        <v>2022</v>
      </c>
      <c r="C508" s="7" t="s">
        <v>2023</v>
      </c>
      <c r="D508" s="7" t="s">
        <v>41</v>
      </c>
      <c r="F508" s="7" t="s">
        <v>223</v>
      </c>
      <c r="G508" s="7" t="s">
        <v>32</v>
      </c>
      <c r="H508" s="7" t="s">
        <v>224</v>
      </c>
      <c r="I508" s="7" t="s">
        <v>437</v>
      </c>
      <c r="J508" s="7" t="s">
        <v>2024</v>
      </c>
      <c r="K508" s="7" t="s">
        <v>2025</v>
      </c>
      <c r="L508" s="7" t="s">
        <v>5862</v>
      </c>
      <c r="M508" s="7">
        <v>0</v>
      </c>
      <c r="N508" s="7" t="s">
        <v>5044</v>
      </c>
      <c r="O508" s="7" t="s">
        <v>5044</v>
      </c>
      <c r="P508" s="7">
        <v>0</v>
      </c>
      <c r="Q508" s="7">
        <v>0</v>
      </c>
      <c r="R508" s="7">
        <v>0</v>
      </c>
      <c r="S508" s="7" t="s">
        <v>7670</v>
      </c>
      <c r="T508" s="7">
        <v>4</v>
      </c>
      <c r="U508" s="7">
        <v>1802</v>
      </c>
      <c r="V508" s="7">
        <v>0</v>
      </c>
      <c r="W508" s="7">
        <v>1</v>
      </c>
      <c r="X508" s="7">
        <v>0</v>
      </c>
      <c r="Y508" s="7">
        <v>0</v>
      </c>
      <c r="Z508" s="7">
        <v>0</v>
      </c>
      <c r="AA508" s="7">
        <v>0</v>
      </c>
      <c r="AB508" s="7">
        <v>1</v>
      </c>
      <c r="AC508" s="7">
        <v>0</v>
      </c>
      <c r="AD508" s="7" t="s">
        <v>5044</v>
      </c>
      <c r="AE508" s="7" t="s">
        <v>5044</v>
      </c>
      <c r="AF508" s="7" t="s">
        <v>5044</v>
      </c>
      <c r="AG508" s="7">
        <v>2</v>
      </c>
      <c r="AH508" s="7">
        <v>1</v>
      </c>
      <c r="AI508" s="7">
        <v>1</v>
      </c>
      <c r="AJ508" s="7" t="s">
        <v>5044</v>
      </c>
      <c r="AK508" s="7" t="s">
        <v>5863</v>
      </c>
      <c r="AL508" s="7">
        <v>1</v>
      </c>
      <c r="AM508" s="7">
        <v>0</v>
      </c>
      <c r="AN508" s="7" t="s">
        <v>5318</v>
      </c>
      <c r="AO508" s="11">
        <v>1</v>
      </c>
    </row>
    <row r="509" spans="1:41" ht="63" customHeight="1" x14ac:dyDescent="0.2">
      <c r="A509" s="7">
        <v>6379</v>
      </c>
      <c r="B509" s="7" t="s">
        <v>2030</v>
      </c>
      <c r="C509" s="7" t="s">
        <v>2031</v>
      </c>
      <c r="D509" s="7" t="s">
        <v>41</v>
      </c>
      <c r="F509" s="7" t="s">
        <v>201</v>
      </c>
      <c r="G509" s="7" t="s">
        <v>18</v>
      </c>
      <c r="H509" s="7" t="s">
        <v>202</v>
      </c>
      <c r="I509" s="7" t="s">
        <v>13</v>
      </c>
      <c r="J509" s="7" t="s">
        <v>2032</v>
      </c>
      <c r="K509" s="7" t="s">
        <v>2033</v>
      </c>
      <c r="L509" s="7" t="s">
        <v>5865</v>
      </c>
      <c r="M509" s="7">
        <v>0</v>
      </c>
      <c r="N509" s="7" t="s">
        <v>5044</v>
      </c>
      <c r="O509" s="7" t="s">
        <v>5044</v>
      </c>
      <c r="P509" s="7">
        <v>0</v>
      </c>
      <c r="Q509" s="7">
        <v>0</v>
      </c>
      <c r="R509" s="7">
        <v>0</v>
      </c>
      <c r="S509" s="7">
        <v>9</v>
      </c>
      <c r="T509" s="7">
        <v>4</v>
      </c>
      <c r="U509" s="7">
        <v>555</v>
      </c>
      <c r="V509" s="7">
        <v>0</v>
      </c>
      <c r="W509" s="7">
        <v>1</v>
      </c>
      <c r="X509" s="7">
        <v>0</v>
      </c>
      <c r="Y509" s="7">
        <v>0</v>
      </c>
      <c r="Z509" s="7">
        <v>0</v>
      </c>
      <c r="AA509" s="7">
        <v>0</v>
      </c>
      <c r="AB509" s="7">
        <v>1</v>
      </c>
      <c r="AC509" s="7">
        <v>1</v>
      </c>
      <c r="AD509" s="7" t="s">
        <v>5044</v>
      </c>
      <c r="AE509" s="7" t="s">
        <v>5044</v>
      </c>
      <c r="AF509" s="7" t="s">
        <v>5044</v>
      </c>
      <c r="AG509" s="7">
        <v>1</v>
      </c>
      <c r="AH509" s="7">
        <v>0</v>
      </c>
      <c r="AI509" s="7">
        <v>0</v>
      </c>
      <c r="AJ509" s="7" t="s">
        <v>5044</v>
      </c>
      <c r="AK509" s="7" t="s">
        <v>5318</v>
      </c>
      <c r="AL509" s="7">
        <v>0</v>
      </c>
      <c r="AM509" s="7">
        <v>0</v>
      </c>
      <c r="AO509" s="9">
        <v>0</v>
      </c>
    </row>
    <row r="510" spans="1:41" ht="63" customHeight="1" x14ac:dyDescent="0.2">
      <c r="A510" s="7">
        <v>6380</v>
      </c>
      <c r="B510" s="7" t="s">
        <v>2034</v>
      </c>
      <c r="C510" s="7" t="s">
        <v>2035</v>
      </c>
      <c r="D510" s="7" t="s">
        <v>74</v>
      </c>
      <c r="F510" s="7" t="s">
        <v>47</v>
      </c>
      <c r="G510" s="7" t="s">
        <v>52</v>
      </c>
      <c r="H510" s="7" t="s">
        <v>708</v>
      </c>
      <c r="I510" s="7" t="s">
        <v>13</v>
      </c>
      <c r="J510" s="7" t="s">
        <v>2036</v>
      </c>
      <c r="K510" s="7" t="s">
        <v>2037</v>
      </c>
      <c r="L510" s="7" t="s">
        <v>5866</v>
      </c>
      <c r="M510" s="7">
        <v>0</v>
      </c>
      <c r="N510" s="7" t="s">
        <v>5044</v>
      </c>
      <c r="O510" s="7" t="s">
        <v>5044</v>
      </c>
      <c r="P510" s="7">
        <v>0</v>
      </c>
      <c r="Q510" s="7">
        <v>0</v>
      </c>
      <c r="R510" s="7">
        <v>0</v>
      </c>
      <c r="S510" s="7">
        <v>3</v>
      </c>
      <c r="T510" s="7">
        <v>4</v>
      </c>
      <c r="U510" s="7">
        <v>100</v>
      </c>
      <c r="V510" s="7">
        <v>0</v>
      </c>
      <c r="W510" s="7">
        <v>1</v>
      </c>
      <c r="X510" s="7">
        <v>0</v>
      </c>
      <c r="Y510" s="7">
        <v>0</v>
      </c>
      <c r="Z510" s="7">
        <v>0</v>
      </c>
      <c r="AA510" s="7">
        <v>0</v>
      </c>
      <c r="AB510" s="7">
        <v>1</v>
      </c>
      <c r="AC510" s="7">
        <v>1</v>
      </c>
      <c r="AD510" s="7" t="s">
        <v>5044</v>
      </c>
      <c r="AE510" s="7" t="s">
        <v>5044</v>
      </c>
      <c r="AF510" s="7" t="s">
        <v>5044</v>
      </c>
      <c r="AG510" s="7">
        <v>1</v>
      </c>
      <c r="AH510" s="7">
        <v>0</v>
      </c>
      <c r="AI510" s="7">
        <v>0</v>
      </c>
      <c r="AJ510" s="7" t="s">
        <v>5044</v>
      </c>
      <c r="AK510" s="7" t="s">
        <v>5318</v>
      </c>
      <c r="AL510" s="7">
        <v>1</v>
      </c>
      <c r="AM510" s="7">
        <v>0</v>
      </c>
      <c r="AN510" s="7" t="s">
        <v>5217</v>
      </c>
      <c r="AO510" s="9">
        <v>0</v>
      </c>
    </row>
    <row r="511" spans="1:41" ht="63" customHeight="1" x14ac:dyDescent="0.2">
      <c r="A511" s="7">
        <v>6459</v>
      </c>
      <c r="B511" s="7" t="s">
        <v>2038</v>
      </c>
      <c r="C511" s="7" t="s">
        <v>2039</v>
      </c>
      <c r="D511" s="7" t="s">
        <v>101</v>
      </c>
      <c r="F511" s="7" t="s">
        <v>932</v>
      </c>
      <c r="G511" s="7" t="s">
        <v>37</v>
      </c>
      <c r="H511" s="7" t="s">
        <v>38</v>
      </c>
      <c r="I511" s="7" t="s">
        <v>13</v>
      </c>
      <c r="J511" s="7" t="s">
        <v>2040</v>
      </c>
      <c r="K511" s="7" t="s">
        <v>2041</v>
      </c>
      <c r="L511" s="7" t="s">
        <v>5867</v>
      </c>
      <c r="M511" s="7">
        <v>0</v>
      </c>
      <c r="N511" s="7" t="s">
        <v>5044</v>
      </c>
      <c r="O511" s="7" t="s">
        <v>5044</v>
      </c>
      <c r="P511" s="7">
        <v>0</v>
      </c>
      <c r="Q511" s="7">
        <v>0</v>
      </c>
      <c r="R511" s="7">
        <v>0</v>
      </c>
      <c r="S511" s="7">
        <v>7</v>
      </c>
      <c r="T511" s="7">
        <v>4</v>
      </c>
      <c r="U511" s="7">
        <v>400</v>
      </c>
      <c r="V511" s="7">
        <v>0</v>
      </c>
      <c r="W511" s="7">
        <v>1</v>
      </c>
      <c r="X511" s="7">
        <v>0</v>
      </c>
      <c r="Y511" s="7">
        <v>0</v>
      </c>
      <c r="Z511" s="7">
        <v>0</v>
      </c>
      <c r="AA511" s="7">
        <v>0</v>
      </c>
      <c r="AB511" s="7">
        <v>1</v>
      </c>
      <c r="AC511" s="7">
        <v>1</v>
      </c>
      <c r="AD511" s="7" t="s">
        <v>5044</v>
      </c>
      <c r="AE511" s="7" t="s">
        <v>5044</v>
      </c>
      <c r="AF511" s="7" t="s">
        <v>5044</v>
      </c>
      <c r="AG511" s="7">
        <v>2</v>
      </c>
      <c r="AH511" s="7">
        <v>3</v>
      </c>
      <c r="AI511" s="7">
        <v>0</v>
      </c>
      <c r="AJ511" s="7" t="s">
        <v>5044</v>
      </c>
      <c r="AK511" s="7">
        <v>1</v>
      </c>
      <c r="AL511" s="7" t="s">
        <v>5044</v>
      </c>
      <c r="AM511" s="7">
        <v>0</v>
      </c>
      <c r="AN511" s="7" t="s">
        <v>6293</v>
      </c>
      <c r="AO511" s="11">
        <v>3</v>
      </c>
    </row>
    <row r="512" spans="1:41" ht="63" customHeight="1" x14ac:dyDescent="0.2">
      <c r="A512" s="7">
        <v>6462</v>
      </c>
      <c r="B512" s="7" t="s">
        <v>2042</v>
      </c>
      <c r="C512" s="7" t="s">
        <v>2043</v>
      </c>
      <c r="D512" s="7" t="s">
        <v>101</v>
      </c>
      <c r="F512" s="7" t="s">
        <v>254</v>
      </c>
      <c r="G512" s="7" t="s">
        <v>1042</v>
      </c>
      <c r="H512" s="7" t="s">
        <v>255</v>
      </c>
      <c r="I512" s="7" t="s">
        <v>13</v>
      </c>
      <c r="J512" s="7" t="s">
        <v>2044</v>
      </c>
      <c r="K512" s="7" t="s">
        <v>2045</v>
      </c>
      <c r="L512" s="7" t="s">
        <v>5086</v>
      </c>
      <c r="M512" s="7">
        <v>0</v>
      </c>
      <c r="N512" s="7" t="s">
        <v>5044</v>
      </c>
      <c r="O512" s="7" t="s">
        <v>5044</v>
      </c>
      <c r="P512" s="7">
        <v>0</v>
      </c>
      <c r="Q512" s="7">
        <v>0</v>
      </c>
      <c r="R512" s="7">
        <v>0</v>
      </c>
      <c r="S512" s="7">
        <v>3</v>
      </c>
      <c r="T512" s="7">
        <v>1</v>
      </c>
      <c r="U512" s="7">
        <v>820</v>
      </c>
      <c r="V512" s="7">
        <v>0</v>
      </c>
      <c r="W512" s="7">
        <v>1</v>
      </c>
      <c r="X512" s="7">
        <v>0</v>
      </c>
      <c r="Y512" s="7">
        <v>0</v>
      </c>
      <c r="Z512" s="7">
        <v>0</v>
      </c>
      <c r="AA512" s="7">
        <v>0</v>
      </c>
      <c r="AB512" s="7">
        <v>1</v>
      </c>
      <c r="AC512" s="7">
        <v>1</v>
      </c>
      <c r="AD512" s="7" t="s">
        <v>5044</v>
      </c>
      <c r="AE512" s="7" t="s">
        <v>5044</v>
      </c>
      <c r="AF512" s="7" t="s">
        <v>5044</v>
      </c>
      <c r="AG512" s="7">
        <v>1</v>
      </c>
      <c r="AH512" s="7">
        <v>0</v>
      </c>
      <c r="AI512" s="7">
        <v>0</v>
      </c>
      <c r="AJ512" s="7" t="s">
        <v>5044</v>
      </c>
      <c r="AK512" s="7" t="s">
        <v>5318</v>
      </c>
      <c r="AL512" s="7">
        <v>1</v>
      </c>
      <c r="AM512" s="7">
        <v>0</v>
      </c>
      <c r="AN512" s="7" t="s">
        <v>5217</v>
      </c>
      <c r="AO512" s="9">
        <v>0</v>
      </c>
    </row>
    <row r="513" spans="1:41" ht="63" customHeight="1" x14ac:dyDescent="0.2">
      <c r="A513" s="7">
        <v>6470</v>
      </c>
      <c r="B513" s="7" t="s">
        <v>2046</v>
      </c>
      <c r="C513" s="7" t="s">
        <v>2047</v>
      </c>
      <c r="D513" s="7" t="s">
        <v>22</v>
      </c>
      <c r="F513" s="7" t="s">
        <v>2048</v>
      </c>
      <c r="G513" s="7" t="s">
        <v>18</v>
      </c>
      <c r="H513" s="7" t="s">
        <v>740</v>
      </c>
      <c r="I513" s="7" t="s">
        <v>13</v>
      </c>
      <c r="J513" s="7" t="s">
        <v>2049</v>
      </c>
      <c r="K513" s="7" t="s">
        <v>2050</v>
      </c>
      <c r="L513" s="7" t="s">
        <v>5868</v>
      </c>
      <c r="M513" s="7">
        <v>0</v>
      </c>
      <c r="N513" s="7" t="s">
        <v>5044</v>
      </c>
      <c r="O513" s="7" t="s">
        <v>5044</v>
      </c>
      <c r="P513" s="7">
        <v>0</v>
      </c>
      <c r="Q513" s="7">
        <v>0</v>
      </c>
      <c r="R513" s="7">
        <v>0</v>
      </c>
      <c r="S513" s="7">
        <v>1</v>
      </c>
      <c r="T513" s="7">
        <v>2</v>
      </c>
      <c r="U513" s="7">
        <v>121</v>
      </c>
      <c r="V513" s="7">
        <v>0</v>
      </c>
      <c r="W513" s="7">
        <v>1</v>
      </c>
      <c r="X513" s="7">
        <v>0</v>
      </c>
      <c r="Y513" s="7">
        <v>0</v>
      </c>
      <c r="Z513" s="7">
        <v>0</v>
      </c>
      <c r="AA513" s="7">
        <v>0</v>
      </c>
      <c r="AB513" s="7">
        <v>1</v>
      </c>
      <c r="AC513" s="7">
        <v>1</v>
      </c>
      <c r="AD513" s="7" t="s">
        <v>5044</v>
      </c>
      <c r="AE513" s="7" t="s">
        <v>5044</v>
      </c>
      <c r="AF513" s="7" t="s">
        <v>5044</v>
      </c>
      <c r="AG513" s="7">
        <v>1</v>
      </c>
      <c r="AH513" s="7">
        <v>0</v>
      </c>
      <c r="AI513" s="7">
        <v>0</v>
      </c>
      <c r="AJ513" s="7" t="s">
        <v>5044</v>
      </c>
      <c r="AK513" s="7" t="s">
        <v>5318</v>
      </c>
      <c r="AL513" s="7" t="s">
        <v>5044</v>
      </c>
      <c r="AM513" s="7">
        <v>0</v>
      </c>
      <c r="AN513" s="7" t="s">
        <v>5105</v>
      </c>
      <c r="AO513" s="9">
        <v>0</v>
      </c>
    </row>
    <row r="514" spans="1:41" ht="63" customHeight="1" x14ac:dyDescent="0.2">
      <c r="A514" s="7">
        <v>6485</v>
      </c>
      <c r="B514" s="7" t="s">
        <v>2051</v>
      </c>
      <c r="C514" s="7" t="s">
        <v>2052</v>
      </c>
      <c r="D514" s="7" t="s">
        <v>2053</v>
      </c>
      <c r="F514" s="7" t="s">
        <v>2054</v>
      </c>
      <c r="G514" s="7" t="s">
        <v>37</v>
      </c>
      <c r="H514" s="7" t="s">
        <v>43</v>
      </c>
      <c r="I514" s="7" t="s">
        <v>437</v>
      </c>
      <c r="J514" s="7" t="s">
        <v>2055</v>
      </c>
      <c r="K514" s="7" t="s">
        <v>2056</v>
      </c>
      <c r="L514" s="11" t="s">
        <v>5044</v>
      </c>
      <c r="M514" s="7">
        <v>0</v>
      </c>
      <c r="N514" s="7" t="s">
        <v>5044</v>
      </c>
      <c r="O514" s="7" t="s">
        <v>5044</v>
      </c>
      <c r="P514" s="7">
        <v>0</v>
      </c>
      <c r="Q514" s="7">
        <v>0</v>
      </c>
      <c r="R514" s="7">
        <v>0</v>
      </c>
      <c r="S514" s="7">
        <v>1</v>
      </c>
      <c r="T514" s="7">
        <v>1</v>
      </c>
      <c r="U514" s="7">
        <v>100</v>
      </c>
      <c r="V514" s="7">
        <v>0</v>
      </c>
      <c r="W514" s="7">
        <v>1</v>
      </c>
      <c r="X514" s="7">
        <v>0</v>
      </c>
      <c r="Y514" s="7">
        <v>0</v>
      </c>
      <c r="Z514" s="7">
        <v>0</v>
      </c>
      <c r="AA514" s="7">
        <v>0</v>
      </c>
      <c r="AB514" s="7">
        <v>1</v>
      </c>
      <c r="AC514" s="7">
        <v>1</v>
      </c>
      <c r="AD514" s="7" t="s">
        <v>5044</v>
      </c>
      <c r="AE514" s="7" t="s">
        <v>5044</v>
      </c>
      <c r="AF514" s="7" t="s">
        <v>5044</v>
      </c>
      <c r="AG514" s="7">
        <v>2</v>
      </c>
      <c r="AH514" s="7">
        <v>3</v>
      </c>
      <c r="AI514" s="7">
        <v>0</v>
      </c>
      <c r="AJ514" s="7" t="s">
        <v>5044</v>
      </c>
      <c r="AK514" s="7">
        <v>1</v>
      </c>
      <c r="AL514" s="7">
        <v>1</v>
      </c>
      <c r="AM514" s="7">
        <v>0</v>
      </c>
      <c r="AN514" s="7" t="s">
        <v>5318</v>
      </c>
      <c r="AO514" s="11">
        <v>3</v>
      </c>
    </row>
    <row r="515" spans="1:41" ht="63" customHeight="1" x14ac:dyDescent="0.2">
      <c r="A515" s="7">
        <v>6501</v>
      </c>
      <c r="B515" s="7" t="s">
        <v>2057</v>
      </c>
      <c r="C515" s="7" t="s">
        <v>2058</v>
      </c>
      <c r="D515" s="7" t="s">
        <v>46</v>
      </c>
      <c r="F515" s="7" t="s">
        <v>322</v>
      </c>
      <c r="G515" s="7" t="s">
        <v>175</v>
      </c>
      <c r="H515" s="7" t="s">
        <v>251</v>
      </c>
      <c r="I515" s="7" t="s">
        <v>13</v>
      </c>
      <c r="J515" s="7" t="s">
        <v>2059</v>
      </c>
      <c r="K515" s="7" t="s">
        <v>2060</v>
      </c>
      <c r="L515" s="7" t="s">
        <v>5869</v>
      </c>
      <c r="M515" s="7">
        <v>0</v>
      </c>
      <c r="N515" s="7" t="s">
        <v>5044</v>
      </c>
      <c r="O515" s="7" t="s">
        <v>5044</v>
      </c>
      <c r="P515" s="7">
        <v>0</v>
      </c>
      <c r="Q515" s="7">
        <v>0</v>
      </c>
      <c r="R515" s="7">
        <v>0</v>
      </c>
      <c r="S515" s="7">
        <v>1</v>
      </c>
      <c r="T515" s="7">
        <v>2</v>
      </c>
      <c r="U515" s="7">
        <v>35</v>
      </c>
      <c r="V515" s="7">
        <v>1</v>
      </c>
      <c r="W515" s="7">
        <v>0</v>
      </c>
      <c r="X515" s="7">
        <v>0</v>
      </c>
      <c r="Y515" s="7">
        <v>0</v>
      </c>
      <c r="Z515" s="7">
        <v>0</v>
      </c>
      <c r="AA515" s="7">
        <v>0</v>
      </c>
      <c r="AB515" s="7">
        <v>1</v>
      </c>
      <c r="AC515" s="7">
        <v>1</v>
      </c>
      <c r="AD515" s="7">
        <v>2</v>
      </c>
      <c r="AE515" s="7">
        <v>2</v>
      </c>
      <c r="AF515" s="7">
        <v>2</v>
      </c>
      <c r="AG515" s="7" t="s">
        <v>5044</v>
      </c>
      <c r="AH515" s="7" t="s">
        <v>5044</v>
      </c>
      <c r="AI515" s="7" t="s">
        <v>5044</v>
      </c>
      <c r="AJ515" s="7" t="s">
        <v>5044</v>
      </c>
      <c r="AL515" s="7">
        <v>0</v>
      </c>
      <c r="AM515" s="7">
        <v>0</v>
      </c>
      <c r="AN515" s="7" t="s">
        <v>5318</v>
      </c>
      <c r="AO515" s="11">
        <v>2</v>
      </c>
    </row>
    <row r="516" spans="1:41" ht="63" customHeight="1" x14ac:dyDescent="0.2">
      <c r="A516" s="7">
        <v>6504</v>
      </c>
      <c r="B516" s="7" t="s">
        <v>2061</v>
      </c>
      <c r="C516" s="7" t="s">
        <v>2062</v>
      </c>
      <c r="D516" s="7" t="s">
        <v>22</v>
      </c>
      <c r="F516" s="7" t="s">
        <v>2063</v>
      </c>
      <c r="G516" s="7" t="s">
        <v>743</v>
      </c>
      <c r="H516" s="7" t="s">
        <v>663</v>
      </c>
      <c r="I516" s="7" t="s">
        <v>13</v>
      </c>
      <c r="J516" s="7" t="s">
        <v>2064</v>
      </c>
      <c r="K516" s="7" t="s">
        <v>2065</v>
      </c>
      <c r="L516" s="7" t="s">
        <v>5870</v>
      </c>
      <c r="M516" s="7">
        <v>0</v>
      </c>
      <c r="N516" s="7" t="s">
        <v>5044</v>
      </c>
      <c r="O516" s="7" t="s">
        <v>5044</v>
      </c>
      <c r="P516" s="7">
        <v>0</v>
      </c>
      <c r="Q516" s="7">
        <v>0</v>
      </c>
      <c r="R516" s="7">
        <v>0</v>
      </c>
      <c r="S516" s="7">
        <v>1</v>
      </c>
      <c r="T516" s="7">
        <v>5</v>
      </c>
      <c r="U516" s="7">
        <v>102</v>
      </c>
      <c r="V516" s="7">
        <v>0</v>
      </c>
      <c r="W516" s="7">
        <v>1</v>
      </c>
      <c r="X516" s="7">
        <v>0</v>
      </c>
      <c r="Y516" s="7">
        <v>0</v>
      </c>
      <c r="Z516" s="7">
        <v>0</v>
      </c>
      <c r="AA516" s="7">
        <v>0</v>
      </c>
      <c r="AB516" s="7">
        <v>1</v>
      </c>
      <c r="AC516" s="7">
        <v>0</v>
      </c>
      <c r="AD516" s="7" t="s">
        <v>5044</v>
      </c>
      <c r="AE516" s="7" t="s">
        <v>5044</v>
      </c>
      <c r="AF516" s="7" t="s">
        <v>5044</v>
      </c>
      <c r="AG516" s="7">
        <v>0</v>
      </c>
      <c r="AH516" s="7" t="s">
        <v>5044</v>
      </c>
      <c r="AI516" s="7" t="s">
        <v>5044</v>
      </c>
      <c r="AJ516" s="7" t="s">
        <v>5044</v>
      </c>
      <c r="AK516" s="7" t="s">
        <v>5871</v>
      </c>
      <c r="AL516" s="7">
        <v>1</v>
      </c>
      <c r="AM516" s="7">
        <v>0</v>
      </c>
      <c r="AN516" s="7" t="s">
        <v>5318</v>
      </c>
      <c r="AO516" s="11">
        <v>9</v>
      </c>
    </row>
    <row r="517" spans="1:41" ht="63" customHeight="1" x14ac:dyDescent="0.2">
      <c r="A517" s="7">
        <v>6505</v>
      </c>
      <c r="B517" s="7" t="s">
        <v>2066</v>
      </c>
      <c r="C517" s="7" t="s">
        <v>2067</v>
      </c>
      <c r="D517" s="7" t="s">
        <v>30</v>
      </c>
      <c r="F517" s="7" t="s">
        <v>110</v>
      </c>
      <c r="G517" s="7" t="s">
        <v>18</v>
      </c>
      <c r="H517" s="7" t="s">
        <v>38</v>
      </c>
      <c r="I517" s="7" t="s">
        <v>13</v>
      </c>
      <c r="J517" s="7" t="s">
        <v>2068</v>
      </c>
      <c r="K517" s="7" t="s">
        <v>2069</v>
      </c>
      <c r="L517" s="7" t="s">
        <v>5872</v>
      </c>
      <c r="M517" s="7">
        <v>0</v>
      </c>
      <c r="N517" s="7" t="s">
        <v>5044</v>
      </c>
      <c r="O517" s="7" t="s">
        <v>5044</v>
      </c>
      <c r="P517" s="7">
        <v>0</v>
      </c>
      <c r="Q517" s="7">
        <v>0</v>
      </c>
      <c r="R517" s="7">
        <v>0</v>
      </c>
      <c r="S517" s="7">
        <v>1</v>
      </c>
      <c r="T517" s="7">
        <v>5</v>
      </c>
      <c r="U517" s="7">
        <v>106</v>
      </c>
      <c r="V517" s="7">
        <v>0</v>
      </c>
      <c r="W517" s="7">
        <v>1</v>
      </c>
      <c r="X517" s="7">
        <v>0</v>
      </c>
      <c r="Y517" s="7">
        <v>0</v>
      </c>
      <c r="Z517" s="7">
        <v>0</v>
      </c>
      <c r="AA517" s="7">
        <v>0</v>
      </c>
      <c r="AB517" s="7">
        <v>1</v>
      </c>
      <c r="AC517" s="7">
        <v>1</v>
      </c>
      <c r="AD517" s="7" t="s">
        <v>5044</v>
      </c>
      <c r="AE517" s="7" t="s">
        <v>5044</v>
      </c>
      <c r="AF517" s="7" t="s">
        <v>5044</v>
      </c>
      <c r="AG517" s="7">
        <v>2</v>
      </c>
      <c r="AH517" s="7">
        <v>2</v>
      </c>
      <c r="AI517" s="7" t="s">
        <v>5044</v>
      </c>
      <c r="AJ517" s="7" t="s">
        <v>5044</v>
      </c>
      <c r="AK517" s="7" t="s">
        <v>5873</v>
      </c>
      <c r="AL517" s="7">
        <v>1</v>
      </c>
      <c r="AM517" s="7">
        <v>0</v>
      </c>
      <c r="AN517" s="7" t="s">
        <v>5318</v>
      </c>
      <c r="AO517" s="11">
        <v>2</v>
      </c>
    </row>
    <row r="518" spans="1:41" ht="63" customHeight="1" x14ac:dyDescent="0.2">
      <c r="A518" s="7">
        <v>6528</v>
      </c>
      <c r="B518" s="7" t="s">
        <v>2074</v>
      </c>
      <c r="C518" s="7" t="s">
        <v>2075</v>
      </c>
      <c r="D518" s="7" t="s">
        <v>46</v>
      </c>
      <c r="F518" s="7" t="s">
        <v>47</v>
      </c>
      <c r="G518" s="7" t="s">
        <v>52</v>
      </c>
      <c r="H518" s="7" t="s">
        <v>183</v>
      </c>
      <c r="I518" s="7" t="s">
        <v>13</v>
      </c>
      <c r="J518" s="7" t="s">
        <v>2076</v>
      </c>
      <c r="K518" s="7" t="s">
        <v>2077</v>
      </c>
      <c r="L518" s="7" t="s">
        <v>5875</v>
      </c>
      <c r="M518" s="7">
        <v>0</v>
      </c>
      <c r="N518" s="7" t="s">
        <v>5044</v>
      </c>
      <c r="O518" s="7" t="s">
        <v>5044</v>
      </c>
      <c r="P518" s="7">
        <v>0</v>
      </c>
      <c r="Q518" s="7">
        <v>0</v>
      </c>
      <c r="R518" s="7">
        <v>0</v>
      </c>
      <c r="S518" s="7">
        <v>3</v>
      </c>
      <c r="T518" s="7">
        <v>4</v>
      </c>
      <c r="U518" s="7">
        <v>42</v>
      </c>
      <c r="V518" s="7">
        <v>0</v>
      </c>
      <c r="W518" s="7">
        <v>1</v>
      </c>
      <c r="X518" s="7">
        <v>0</v>
      </c>
      <c r="Y518" s="7">
        <v>0</v>
      </c>
      <c r="Z518" s="7">
        <v>0</v>
      </c>
      <c r="AA518" s="7">
        <v>0</v>
      </c>
      <c r="AB518" s="7">
        <v>1</v>
      </c>
      <c r="AC518" s="7">
        <v>1</v>
      </c>
      <c r="AD518" s="7" t="s">
        <v>5044</v>
      </c>
      <c r="AE518" s="7" t="s">
        <v>5044</v>
      </c>
      <c r="AF518" s="7" t="s">
        <v>5044</v>
      </c>
      <c r="AG518" s="7">
        <v>1</v>
      </c>
      <c r="AH518" s="7">
        <v>0</v>
      </c>
      <c r="AI518" s="7">
        <v>0</v>
      </c>
      <c r="AJ518" s="7" t="s">
        <v>5044</v>
      </c>
      <c r="AK518" s="7" t="s">
        <v>5318</v>
      </c>
      <c r="AL518" s="7">
        <v>1</v>
      </c>
      <c r="AM518" s="7">
        <v>0</v>
      </c>
      <c r="AN518" s="7" t="s">
        <v>5318</v>
      </c>
      <c r="AO518" s="9">
        <v>0</v>
      </c>
    </row>
    <row r="519" spans="1:41" ht="63" customHeight="1" x14ac:dyDescent="0.2">
      <c r="A519" s="7">
        <v>6529</v>
      </c>
      <c r="B519" s="7" t="s">
        <v>2078</v>
      </c>
      <c r="C519" s="7" t="s">
        <v>2079</v>
      </c>
      <c r="D519" s="7" t="s">
        <v>56</v>
      </c>
      <c r="F519" s="7" t="s">
        <v>929</v>
      </c>
      <c r="G519" s="7" t="s">
        <v>11</v>
      </c>
      <c r="H519" s="7" t="s">
        <v>43</v>
      </c>
      <c r="I519" s="7" t="s">
        <v>13</v>
      </c>
      <c r="J519" s="7" t="s">
        <v>2080</v>
      </c>
      <c r="K519" s="7" t="s">
        <v>2081</v>
      </c>
      <c r="L519" s="11" t="s">
        <v>5044</v>
      </c>
      <c r="M519" s="7">
        <v>0</v>
      </c>
      <c r="N519" s="9" t="s">
        <v>5044</v>
      </c>
      <c r="O519" s="9" t="s">
        <v>5044</v>
      </c>
      <c r="P519" s="7">
        <v>0</v>
      </c>
      <c r="Q519" s="7">
        <v>0</v>
      </c>
      <c r="R519" s="7">
        <v>0</v>
      </c>
      <c r="S519" s="7">
        <v>1</v>
      </c>
      <c r="T519" s="7">
        <v>1</v>
      </c>
      <c r="U519" s="7">
        <v>393</v>
      </c>
      <c r="V519" s="7">
        <v>1</v>
      </c>
      <c r="W519" s="7">
        <v>0</v>
      </c>
      <c r="X519" s="7">
        <v>0</v>
      </c>
      <c r="Y519" s="7">
        <v>0</v>
      </c>
      <c r="Z519" s="7">
        <v>0</v>
      </c>
      <c r="AA519" s="7">
        <v>0</v>
      </c>
      <c r="AB519" s="7">
        <v>1</v>
      </c>
      <c r="AC519" s="7">
        <v>1</v>
      </c>
      <c r="AD519" s="7">
        <v>2</v>
      </c>
      <c r="AE519" s="7">
        <v>3</v>
      </c>
      <c r="AF519" s="7">
        <v>0</v>
      </c>
      <c r="AG519" s="7" t="s">
        <v>5044</v>
      </c>
      <c r="AH519" s="7" t="s">
        <v>5044</v>
      </c>
      <c r="AI519" s="7" t="s">
        <v>5044</v>
      </c>
      <c r="AJ519" s="7" t="s">
        <v>5044</v>
      </c>
      <c r="AK519" s="7">
        <v>1</v>
      </c>
      <c r="AL519" s="7">
        <v>0</v>
      </c>
      <c r="AM519" s="7">
        <v>0</v>
      </c>
      <c r="AN519" s="7" t="s">
        <v>5318</v>
      </c>
      <c r="AO519" s="11">
        <v>3</v>
      </c>
    </row>
    <row r="520" spans="1:41" ht="63" customHeight="1" x14ac:dyDescent="0.2">
      <c r="A520" s="7">
        <v>6536</v>
      </c>
      <c r="B520" s="7" t="s">
        <v>2082</v>
      </c>
      <c r="C520" s="7" t="s">
        <v>2083</v>
      </c>
      <c r="D520" s="7" t="s">
        <v>56</v>
      </c>
      <c r="F520" s="7" t="s">
        <v>197</v>
      </c>
      <c r="G520" s="7" t="s">
        <v>356</v>
      </c>
      <c r="H520" s="7" t="s">
        <v>329</v>
      </c>
      <c r="I520" s="7" t="s">
        <v>13</v>
      </c>
      <c r="J520" s="7" t="s">
        <v>2084</v>
      </c>
      <c r="K520" s="7" t="s">
        <v>2085</v>
      </c>
      <c r="L520" s="7" t="s">
        <v>5876</v>
      </c>
      <c r="M520" s="7">
        <v>0</v>
      </c>
      <c r="N520" s="7" t="s">
        <v>5044</v>
      </c>
      <c r="O520" s="7" t="s">
        <v>5044</v>
      </c>
      <c r="P520" s="7">
        <v>0</v>
      </c>
      <c r="Q520" s="7">
        <v>0</v>
      </c>
      <c r="R520" s="7">
        <v>0</v>
      </c>
      <c r="S520" s="7">
        <v>1</v>
      </c>
      <c r="T520" s="7">
        <v>1</v>
      </c>
      <c r="U520" s="7">
        <v>265</v>
      </c>
      <c r="V520" s="7">
        <v>0</v>
      </c>
      <c r="W520" s="7">
        <v>1</v>
      </c>
      <c r="X520" s="7">
        <v>0</v>
      </c>
      <c r="Y520" s="7">
        <v>0</v>
      </c>
      <c r="Z520" s="7">
        <v>0</v>
      </c>
      <c r="AA520" s="7">
        <v>0</v>
      </c>
      <c r="AB520" s="7">
        <v>1</v>
      </c>
      <c r="AC520" s="7">
        <v>1</v>
      </c>
      <c r="AD520" s="7" t="s">
        <v>5044</v>
      </c>
      <c r="AE520" s="7" t="s">
        <v>5044</v>
      </c>
      <c r="AF520" s="7" t="s">
        <v>5044</v>
      </c>
      <c r="AG520" s="7">
        <v>2</v>
      </c>
      <c r="AH520" s="7">
        <v>3</v>
      </c>
      <c r="AI520" s="7">
        <v>0</v>
      </c>
      <c r="AJ520" s="7" t="s">
        <v>5044</v>
      </c>
      <c r="AK520" s="7">
        <v>1</v>
      </c>
      <c r="AL520" s="7">
        <v>0</v>
      </c>
      <c r="AM520" s="7">
        <v>0</v>
      </c>
      <c r="AN520" s="7" t="s">
        <v>5318</v>
      </c>
      <c r="AO520" s="11">
        <v>3</v>
      </c>
    </row>
    <row r="521" spans="1:41" ht="63" customHeight="1" x14ac:dyDescent="0.2">
      <c r="A521" s="7">
        <v>6543</v>
      </c>
      <c r="B521" s="7" t="s">
        <v>2090</v>
      </c>
      <c r="C521" s="7" t="s">
        <v>2091</v>
      </c>
      <c r="D521" s="7" t="s">
        <v>41</v>
      </c>
      <c r="F521" s="7" t="s">
        <v>42</v>
      </c>
      <c r="G521" s="7" t="s">
        <v>32</v>
      </c>
      <c r="H521" s="7" t="s">
        <v>43</v>
      </c>
      <c r="I521" s="7" t="s">
        <v>13</v>
      </c>
      <c r="J521" s="7" t="s">
        <v>2092</v>
      </c>
      <c r="K521" s="7" t="s">
        <v>2093</v>
      </c>
      <c r="L521" s="7" t="s">
        <v>5878</v>
      </c>
      <c r="M521" s="7">
        <v>0</v>
      </c>
      <c r="N521" s="7" t="s">
        <v>5044</v>
      </c>
      <c r="O521" s="7" t="s">
        <v>5044</v>
      </c>
      <c r="P521" s="7">
        <v>0</v>
      </c>
      <c r="Q521" s="7">
        <v>0</v>
      </c>
      <c r="R521" s="7">
        <v>0</v>
      </c>
      <c r="S521" s="7">
        <v>1</v>
      </c>
      <c r="T521" s="7">
        <v>4</v>
      </c>
      <c r="U521" s="7">
        <v>388</v>
      </c>
      <c r="V521" s="7">
        <v>1</v>
      </c>
      <c r="W521" s="7">
        <v>0</v>
      </c>
      <c r="X521" s="7">
        <v>0</v>
      </c>
      <c r="Y521" s="7">
        <v>0</v>
      </c>
      <c r="Z521" s="7">
        <v>0</v>
      </c>
      <c r="AA521" s="7">
        <v>0</v>
      </c>
      <c r="AB521" s="7">
        <v>1</v>
      </c>
      <c r="AC521" s="7">
        <v>1</v>
      </c>
      <c r="AD521" s="7">
        <v>1</v>
      </c>
      <c r="AE521" s="7">
        <v>0</v>
      </c>
      <c r="AF521" s="7">
        <v>0</v>
      </c>
      <c r="AG521" s="7" t="s">
        <v>5044</v>
      </c>
      <c r="AH521" s="7" t="s">
        <v>5044</v>
      </c>
      <c r="AI521" s="7" t="s">
        <v>5044</v>
      </c>
      <c r="AJ521" s="7" t="s">
        <v>5044</v>
      </c>
      <c r="AK521" s="7" t="s">
        <v>5318</v>
      </c>
      <c r="AL521" s="7">
        <v>1</v>
      </c>
      <c r="AM521" s="7">
        <v>0</v>
      </c>
      <c r="AN521" s="7" t="s">
        <v>5318</v>
      </c>
      <c r="AO521" s="9">
        <v>0</v>
      </c>
    </row>
    <row r="522" spans="1:41" ht="63" customHeight="1" x14ac:dyDescent="0.2">
      <c r="A522" s="7">
        <v>6569</v>
      </c>
      <c r="B522" s="7" t="s">
        <v>2099</v>
      </c>
      <c r="C522" s="7" t="s">
        <v>2100</v>
      </c>
      <c r="D522" s="7" t="s">
        <v>16</v>
      </c>
      <c r="F522" s="7" t="s">
        <v>191</v>
      </c>
      <c r="G522" s="7" t="s">
        <v>144</v>
      </c>
      <c r="H522" s="7" t="s">
        <v>2101</v>
      </c>
      <c r="I522" s="7" t="s">
        <v>13</v>
      </c>
      <c r="J522" s="7" t="s">
        <v>2102</v>
      </c>
      <c r="K522" s="7" t="s">
        <v>2103</v>
      </c>
      <c r="L522" s="8" t="s">
        <v>6068</v>
      </c>
      <c r="M522" s="7">
        <v>0</v>
      </c>
      <c r="N522" s="9" t="s">
        <v>5044</v>
      </c>
      <c r="O522" s="9" t="s">
        <v>5044</v>
      </c>
      <c r="P522" s="7">
        <v>0</v>
      </c>
      <c r="Q522" s="7">
        <v>0</v>
      </c>
      <c r="R522" s="7">
        <v>0</v>
      </c>
      <c r="S522" s="7">
        <v>5</v>
      </c>
      <c r="T522" s="7">
        <v>4</v>
      </c>
      <c r="U522" s="7">
        <v>86</v>
      </c>
      <c r="V522" s="7">
        <v>0</v>
      </c>
      <c r="W522" s="7">
        <v>1</v>
      </c>
      <c r="X522" s="7">
        <v>0</v>
      </c>
      <c r="Y522" s="7">
        <v>0</v>
      </c>
      <c r="Z522" s="7">
        <v>0</v>
      </c>
      <c r="AA522" s="7">
        <v>0</v>
      </c>
      <c r="AB522" s="7">
        <v>1</v>
      </c>
      <c r="AC522" s="7">
        <v>0</v>
      </c>
      <c r="AD522" s="7" t="s">
        <v>5044</v>
      </c>
      <c r="AE522" s="7" t="s">
        <v>5044</v>
      </c>
      <c r="AF522" s="7" t="s">
        <v>5044</v>
      </c>
      <c r="AG522" s="7">
        <v>0</v>
      </c>
      <c r="AH522" s="7" t="s">
        <v>5044</v>
      </c>
      <c r="AI522" s="7" t="s">
        <v>5044</v>
      </c>
      <c r="AJ522" s="7" t="s">
        <v>5044</v>
      </c>
      <c r="AL522" s="7">
        <v>0</v>
      </c>
      <c r="AM522" s="7">
        <v>0</v>
      </c>
      <c r="AO522" s="11">
        <v>9</v>
      </c>
    </row>
    <row r="523" spans="1:41" ht="63" customHeight="1" x14ac:dyDescent="0.2">
      <c r="A523" s="7">
        <v>6576</v>
      </c>
      <c r="B523" s="7" t="s">
        <v>2108</v>
      </c>
      <c r="C523" s="7" t="s">
        <v>2109</v>
      </c>
      <c r="D523" s="7" t="s">
        <v>341</v>
      </c>
      <c r="F523" s="7" t="s">
        <v>2096</v>
      </c>
      <c r="G523" s="7" t="s">
        <v>175</v>
      </c>
      <c r="H523" s="7" t="s">
        <v>38</v>
      </c>
      <c r="I523" s="7" t="s">
        <v>13</v>
      </c>
      <c r="J523" s="7" t="s">
        <v>2110</v>
      </c>
      <c r="K523" s="7" t="s">
        <v>2111</v>
      </c>
      <c r="L523" s="11" t="s">
        <v>5044</v>
      </c>
      <c r="M523" s="7">
        <v>0</v>
      </c>
      <c r="N523" s="9" t="s">
        <v>5044</v>
      </c>
      <c r="O523" s="9" t="s">
        <v>5044</v>
      </c>
      <c r="P523" s="7">
        <v>0</v>
      </c>
      <c r="Q523" s="7">
        <v>0</v>
      </c>
      <c r="R523" s="7">
        <v>0</v>
      </c>
      <c r="S523" s="7">
        <v>1</v>
      </c>
      <c r="T523" s="7">
        <v>4</v>
      </c>
      <c r="U523" s="7">
        <v>70</v>
      </c>
      <c r="V523" s="7">
        <v>0</v>
      </c>
      <c r="W523" s="7">
        <v>1</v>
      </c>
      <c r="X523" s="7">
        <v>0</v>
      </c>
      <c r="Y523" s="7">
        <v>0</v>
      </c>
      <c r="Z523" s="7">
        <v>0</v>
      </c>
      <c r="AA523" s="7">
        <v>0</v>
      </c>
      <c r="AB523" s="7">
        <v>1</v>
      </c>
      <c r="AC523" s="7">
        <v>0</v>
      </c>
      <c r="AD523" s="7" t="s">
        <v>5044</v>
      </c>
      <c r="AE523" s="7" t="s">
        <v>5044</v>
      </c>
      <c r="AF523" s="7" t="s">
        <v>5044</v>
      </c>
      <c r="AG523" s="7">
        <v>0</v>
      </c>
      <c r="AH523" s="7" t="s">
        <v>5044</v>
      </c>
      <c r="AI523" s="7" t="s">
        <v>5044</v>
      </c>
      <c r="AJ523" s="7" t="s">
        <v>5044</v>
      </c>
      <c r="AL523" s="7">
        <v>0</v>
      </c>
      <c r="AM523" s="7">
        <v>0</v>
      </c>
      <c r="AO523" s="11">
        <v>9</v>
      </c>
    </row>
    <row r="524" spans="1:41" ht="63" customHeight="1" x14ac:dyDescent="0.2">
      <c r="A524" s="7">
        <v>6583</v>
      </c>
      <c r="B524" s="7" t="s">
        <v>2112</v>
      </c>
      <c r="C524" s="7" t="s">
        <v>2113</v>
      </c>
      <c r="D524" s="7" t="s">
        <v>22</v>
      </c>
      <c r="F524" s="7" t="s">
        <v>1048</v>
      </c>
      <c r="G524" s="7" t="s">
        <v>52</v>
      </c>
      <c r="H524" s="7" t="s">
        <v>43</v>
      </c>
      <c r="I524" s="7" t="s">
        <v>13</v>
      </c>
      <c r="J524" s="7" t="s">
        <v>2114</v>
      </c>
      <c r="K524" s="7" t="s">
        <v>2115</v>
      </c>
      <c r="L524" s="8" t="s">
        <v>6070</v>
      </c>
      <c r="M524" s="7">
        <v>0</v>
      </c>
      <c r="N524" s="9" t="s">
        <v>5044</v>
      </c>
      <c r="O524" s="9" t="s">
        <v>5044</v>
      </c>
      <c r="P524" s="7">
        <v>0</v>
      </c>
      <c r="Q524" s="7">
        <v>0</v>
      </c>
      <c r="R524" s="7">
        <v>0</v>
      </c>
      <c r="S524" s="7">
        <v>1</v>
      </c>
      <c r="T524" s="7">
        <v>2</v>
      </c>
      <c r="U524" s="7">
        <v>165</v>
      </c>
      <c r="V524" s="7">
        <v>0</v>
      </c>
      <c r="W524" s="7">
        <v>1</v>
      </c>
      <c r="X524" s="7">
        <v>0</v>
      </c>
      <c r="Y524" s="7">
        <v>0</v>
      </c>
      <c r="Z524" s="7">
        <v>0</v>
      </c>
      <c r="AA524" s="7">
        <v>0</v>
      </c>
      <c r="AB524" s="7">
        <v>1</v>
      </c>
      <c r="AC524" s="7">
        <v>1</v>
      </c>
      <c r="AD524" s="7" t="s">
        <v>5044</v>
      </c>
      <c r="AE524" s="7" t="s">
        <v>5044</v>
      </c>
      <c r="AF524" s="7" t="s">
        <v>5044</v>
      </c>
      <c r="AG524" s="7">
        <v>2</v>
      </c>
      <c r="AH524" s="7">
        <v>3</v>
      </c>
      <c r="AI524" s="7">
        <v>0</v>
      </c>
      <c r="AJ524" s="7" t="s">
        <v>5044</v>
      </c>
      <c r="AK524" s="7">
        <v>1</v>
      </c>
      <c r="AL524" s="7">
        <v>0</v>
      </c>
      <c r="AM524" s="7">
        <v>0</v>
      </c>
      <c r="AO524" s="11">
        <v>3</v>
      </c>
    </row>
    <row r="525" spans="1:41" ht="63" customHeight="1" x14ac:dyDescent="0.2">
      <c r="A525" s="7">
        <v>6590</v>
      </c>
      <c r="B525" s="7" t="s">
        <v>2116</v>
      </c>
      <c r="C525" s="7" t="s">
        <v>2117</v>
      </c>
      <c r="D525" s="7" t="s">
        <v>22</v>
      </c>
      <c r="F525" s="7" t="s">
        <v>114</v>
      </c>
      <c r="G525" s="7" t="s">
        <v>18</v>
      </c>
      <c r="H525" s="7" t="s">
        <v>102</v>
      </c>
      <c r="I525" s="7" t="s">
        <v>13</v>
      </c>
      <c r="J525" s="7" t="s">
        <v>2118</v>
      </c>
      <c r="K525" s="7" t="s">
        <v>2119</v>
      </c>
      <c r="L525" s="8" t="s">
        <v>6071</v>
      </c>
      <c r="M525" s="7">
        <v>0</v>
      </c>
      <c r="N525" s="9" t="s">
        <v>5044</v>
      </c>
      <c r="O525" s="9" t="s">
        <v>5044</v>
      </c>
      <c r="P525" s="7">
        <v>0</v>
      </c>
      <c r="Q525" s="7">
        <v>0</v>
      </c>
      <c r="R525" s="7">
        <v>0</v>
      </c>
      <c r="S525" s="7">
        <v>3</v>
      </c>
      <c r="T525" s="7">
        <v>4</v>
      </c>
      <c r="U525" s="7">
        <v>99</v>
      </c>
      <c r="V525" s="7">
        <v>0</v>
      </c>
      <c r="W525" s="7">
        <v>1</v>
      </c>
      <c r="X525" s="7">
        <v>0</v>
      </c>
      <c r="Y525" s="7">
        <v>0</v>
      </c>
      <c r="Z525" s="7">
        <v>0</v>
      </c>
      <c r="AA525" s="7">
        <v>0</v>
      </c>
      <c r="AB525" s="7">
        <v>1</v>
      </c>
      <c r="AC525" s="7">
        <v>1</v>
      </c>
      <c r="AD525" s="7" t="s">
        <v>5044</v>
      </c>
      <c r="AE525" s="7" t="s">
        <v>5044</v>
      </c>
      <c r="AF525" s="7" t="s">
        <v>5044</v>
      </c>
      <c r="AG525" s="7">
        <v>2</v>
      </c>
      <c r="AH525" s="7">
        <v>3</v>
      </c>
      <c r="AI525" s="7">
        <v>0</v>
      </c>
      <c r="AJ525" s="7" t="s">
        <v>5044</v>
      </c>
      <c r="AK525" s="7">
        <v>1</v>
      </c>
      <c r="AL525" s="7">
        <v>0</v>
      </c>
      <c r="AM525" s="7">
        <v>0</v>
      </c>
      <c r="AO525" s="11">
        <v>3</v>
      </c>
    </row>
    <row r="526" spans="1:41" ht="63" customHeight="1" x14ac:dyDescent="0.2">
      <c r="A526" s="7">
        <v>6592</v>
      </c>
      <c r="B526" s="7" t="s">
        <v>2120</v>
      </c>
      <c r="C526" s="7" t="s">
        <v>2121</v>
      </c>
      <c r="D526" s="7" t="s">
        <v>22</v>
      </c>
      <c r="F526" s="7" t="s">
        <v>1042</v>
      </c>
      <c r="G526" s="7" t="s">
        <v>48</v>
      </c>
      <c r="H526" s="7" t="s">
        <v>290</v>
      </c>
      <c r="I526" s="7" t="s">
        <v>13</v>
      </c>
      <c r="J526" s="7" t="s">
        <v>2122</v>
      </c>
      <c r="K526" s="7" t="s">
        <v>2123</v>
      </c>
      <c r="L526" s="6" t="s">
        <v>6072</v>
      </c>
      <c r="M526" s="7">
        <v>0</v>
      </c>
      <c r="N526" s="9" t="s">
        <v>5044</v>
      </c>
      <c r="O526" s="9" t="s">
        <v>5044</v>
      </c>
      <c r="P526" s="7">
        <v>0</v>
      </c>
      <c r="Q526" s="7">
        <v>0</v>
      </c>
      <c r="R526" s="7">
        <v>0</v>
      </c>
      <c r="S526" s="7">
        <v>1</v>
      </c>
      <c r="T526" s="7">
        <v>4</v>
      </c>
      <c r="U526" s="7">
        <v>103</v>
      </c>
      <c r="V526" s="7">
        <v>1</v>
      </c>
      <c r="W526" s="7">
        <v>0</v>
      </c>
      <c r="X526" s="7">
        <v>0</v>
      </c>
      <c r="Y526" s="7">
        <v>0</v>
      </c>
      <c r="Z526" s="7">
        <v>0</v>
      </c>
      <c r="AA526" s="7">
        <v>0</v>
      </c>
      <c r="AB526" s="7">
        <v>1</v>
      </c>
      <c r="AC526" s="7">
        <v>1</v>
      </c>
      <c r="AD526" s="7">
        <v>2</v>
      </c>
      <c r="AE526" s="7">
        <v>3</v>
      </c>
      <c r="AF526" s="7">
        <v>0</v>
      </c>
      <c r="AG526" s="7" t="s">
        <v>5044</v>
      </c>
      <c r="AH526" s="7" t="s">
        <v>5044</v>
      </c>
      <c r="AI526" s="7" t="s">
        <v>5044</v>
      </c>
      <c r="AJ526" s="7" t="s">
        <v>5044</v>
      </c>
      <c r="AK526" s="7">
        <v>1</v>
      </c>
      <c r="AL526" s="7">
        <v>0</v>
      </c>
      <c r="AM526" s="7">
        <v>0</v>
      </c>
      <c r="AO526" s="11">
        <v>3</v>
      </c>
    </row>
    <row r="527" spans="1:41" ht="63" customHeight="1" x14ac:dyDescent="0.2">
      <c r="A527" s="7">
        <v>6595</v>
      </c>
      <c r="B527" s="7" t="s">
        <v>2128</v>
      </c>
      <c r="C527" s="7" t="s">
        <v>2129</v>
      </c>
      <c r="D527" s="7" t="s">
        <v>35</v>
      </c>
      <c r="F527" s="7" t="s">
        <v>36</v>
      </c>
      <c r="G527" s="7" t="s">
        <v>47</v>
      </c>
      <c r="H527" s="7" t="s">
        <v>38</v>
      </c>
      <c r="I527" s="7" t="s">
        <v>13</v>
      </c>
      <c r="J527" s="7" t="s">
        <v>2130</v>
      </c>
      <c r="K527" s="7" t="s">
        <v>2131</v>
      </c>
      <c r="L527" s="6" t="s">
        <v>6073</v>
      </c>
      <c r="M527" s="7">
        <v>0</v>
      </c>
      <c r="N527" s="9" t="s">
        <v>5044</v>
      </c>
      <c r="O527" s="9" t="s">
        <v>5044</v>
      </c>
      <c r="P527" s="7">
        <v>0</v>
      </c>
      <c r="Q527" s="7">
        <v>0</v>
      </c>
      <c r="R527" s="7">
        <v>0</v>
      </c>
      <c r="S527" s="7">
        <v>1</v>
      </c>
      <c r="T527" s="7">
        <v>4</v>
      </c>
      <c r="U527" s="7">
        <v>126</v>
      </c>
      <c r="V527" s="7">
        <v>0</v>
      </c>
      <c r="W527" s="7">
        <v>1</v>
      </c>
      <c r="X527" s="7">
        <v>0</v>
      </c>
      <c r="Y527" s="7">
        <v>0</v>
      </c>
      <c r="Z527" s="7">
        <v>0</v>
      </c>
      <c r="AA527" s="7">
        <v>0</v>
      </c>
      <c r="AB527" s="7">
        <v>1</v>
      </c>
      <c r="AC527" s="7">
        <v>1</v>
      </c>
      <c r="AD527" s="7" t="s">
        <v>5044</v>
      </c>
      <c r="AE527" s="7" t="s">
        <v>5044</v>
      </c>
      <c r="AF527" s="7" t="s">
        <v>5044</v>
      </c>
      <c r="AG527" s="7">
        <v>1</v>
      </c>
      <c r="AH527" s="7">
        <v>0</v>
      </c>
      <c r="AI527" s="7">
        <v>0</v>
      </c>
      <c r="AJ527" s="7" t="s">
        <v>5044</v>
      </c>
      <c r="AL527" s="7">
        <v>0</v>
      </c>
      <c r="AM527" s="7">
        <v>0</v>
      </c>
      <c r="AO527" s="9">
        <v>0</v>
      </c>
    </row>
    <row r="528" spans="1:41" ht="63" customHeight="1" x14ac:dyDescent="0.2">
      <c r="A528" s="7">
        <v>6597</v>
      </c>
      <c r="B528" s="7" t="s">
        <v>2132</v>
      </c>
      <c r="C528" s="7" t="s">
        <v>2133</v>
      </c>
      <c r="D528" s="7" t="s">
        <v>41</v>
      </c>
      <c r="F528" s="7" t="s">
        <v>703</v>
      </c>
      <c r="G528" s="7" t="s">
        <v>32</v>
      </c>
      <c r="H528" s="7" t="s">
        <v>160</v>
      </c>
      <c r="I528" s="7" t="s">
        <v>13</v>
      </c>
      <c r="J528" s="7" t="s">
        <v>2134</v>
      </c>
      <c r="K528" s="7" t="s">
        <v>2135</v>
      </c>
      <c r="L528" s="8" t="s">
        <v>6074</v>
      </c>
      <c r="M528" s="7">
        <v>0</v>
      </c>
      <c r="N528" s="9" t="s">
        <v>5044</v>
      </c>
      <c r="O528" s="9" t="s">
        <v>5044</v>
      </c>
      <c r="P528" s="7">
        <v>0</v>
      </c>
      <c r="Q528" s="7">
        <v>0</v>
      </c>
      <c r="R528" s="7">
        <v>0</v>
      </c>
      <c r="S528" s="7">
        <v>1</v>
      </c>
      <c r="T528" s="7">
        <v>4</v>
      </c>
      <c r="U528" s="7">
        <v>84</v>
      </c>
      <c r="V528" s="7">
        <v>0</v>
      </c>
      <c r="W528" s="7">
        <v>1</v>
      </c>
      <c r="X528" s="7">
        <v>0</v>
      </c>
      <c r="Y528" s="7">
        <v>0</v>
      </c>
      <c r="Z528" s="7">
        <v>0</v>
      </c>
      <c r="AA528" s="7">
        <v>0</v>
      </c>
      <c r="AB528" s="7">
        <v>1</v>
      </c>
      <c r="AC528" s="7">
        <v>1</v>
      </c>
      <c r="AD528" s="7" t="s">
        <v>5044</v>
      </c>
      <c r="AE528" s="7" t="s">
        <v>5044</v>
      </c>
      <c r="AF528" s="7" t="s">
        <v>5044</v>
      </c>
      <c r="AG528" s="7">
        <v>2</v>
      </c>
      <c r="AH528" s="7">
        <v>3</v>
      </c>
      <c r="AI528" s="7">
        <v>0</v>
      </c>
      <c r="AJ528" s="7" t="s">
        <v>5044</v>
      </c>
      <c r="AK528" s="7" t="s">
        <v>6075</v>
      </c>
      <c r="AL528" s="7">
        <v>1</v>
      </c>
      <c r="AM528" s="7">
        <v>0</v>
      </c>
      <c r="AO528" s="11">
        <v>3</v>
      </c>
    </row>
    <row r="529" spans="1:41" ht="63" customHeight="1" x14ac:dyDescent="0.2">
      <c r="A529" s="7">
        <v>6599</v>
      </c>
      <c r="B529" s="7" t="s">
        <v>2136</v>
      </c>
      <c r="C529" s="7" t="s">
        <v>2137</v>
      </c>
      <c r="D529" s="7" t="s">
        <v>149</v>
      </c>
      <c r="F529" s="7" t="s">
        <v>234</v>
      </c>
      <c r="G529" s="7" t="s">
        <v>11</v>
      </c>
      <c r="H529" s="7" t="s">
        <v>490</v>
      </c>
      <c r="I529" s="7" t="s">
        <v>13</v>
      </c>
      <c r="J529" s="7" t="s">
        <v>2138</v>
      </c>
      <c r="K529" s="7" t="s">
        <v>2139</v>
      </c>
      <c r="L529" s="8" t="s">
        <v>6076</v>
      </c>
      <c r="M529" s="7">
        <v>0</v>
      </c>
      <c r="N529" s="9" t="s">
        <v>5044</v>
      </c>
      <c r="O529" s="9" t="s">
        <v>5044</v>
      </c>
      <c r="P529" s="7">
        <v>0</v>
      </c>
      <c r="Q529" s="7">
        <v>0</v>
      </c>
      <c r="R529" s="7">
        <v>0</v>
      </c>
      <c r="S529" s="7">
        <v>3</v>
      </c>
      <c r="T529" s="7">
        <v>4</v>
      </c>
      <c r="U529" s="7">
        <v>70</v>
      </c>
      <c r="V529" s="7">
        <v>0</v>
      </c>
      <c r="W529" s="7">
        <v>1</v>
      </c>
      <c r="X529" s="7">
        <v>0</v>
      </c>
      <c r="Y529" s="7">
        <v>0</v>
      </c>
      <c r="Z529" s="7">
        <v>0</v>
      </c>
      <c r="AA529" s="7">
        <v>0</v>
      </c>
      <c r="AB529" s="7">
        <v>1</v>
      </c>
      <c r="AC529" s="7">
        <v>1</v>
      </c>
      <c r="AD529" s="7" t="s">
        <v>5044</v>
      </c>
      <c r="AE529" s="7" t="s">
        <v>5044</v>
      </c>
      <c r="AF529" s="7" t="s">
        <v>5044</v>
      </c>
      <c r="AG529" s="7">
        <v>1</v>
      </c>
      <c r="AH529" s="7">
        <v>0</v>
      </c>
      <c r="AI529" s="7">
        <v>0</v>
      </c>
      <c r="AJ529" s="7" t="s">
        <v>5044</v>
      </c>
      <c r="AL529" s="7">
        <v>0</v>
      </c>
      <c r="AM529" s="7">
        <v>0</v>
      </c>
      <c r="AO529" s="9">
        <v>0</v>
      </c>
    </row>
    <row r="530" spans="1:41" ht="63" customHeight="1" x14ac:dyDescent="0.2">
      <c r="A530" s="7">
        <v>6618</v>
      </c>
      <c r="B530" s="7" t="s">
        <v>2140</v>
      </c>
      <c r="C530" s="7" t="s">
        <v>2141</v>
      </c>
      <c r="D530" s="7" t="s">
        <v>46</v>
      </c>
      <c r="F530" s="7" t="s">
        <v>900</v>
      </c>
      <c r="G530" s="7" t="s">
        <v>37</v>
      </c>
      <c r="H530" s="7" t="s">
        <v>43</v>
      </c>
      <c r="I530" s="7" t="s">
        <v>13</v>
      </c>
      <c r="J530" s="7" t="s">
        <v>2142</v>
      </c>
      <c r="K530" s="7" t="s">
        <v>2143</v>
      </c>
      <c r="L530" s="8" t="s">
        <v>5660</v>
      </c>
      <c r="M530" s="7">
        <v>0</v>
      </c>
      <c r="N530" s="9" t="s">
        <v>5044</v>
      </c>
      <c r="O530" s="9" t="s">
        <v>5044</v>
      </c>
      <c r="P530" s="7">
        <v>0</v>
      </c>
      <c r="Q530" s="7">
        <v>0</v>
      </c>
      <c r="R530" s="7">
        <v>0</v>
      </c>
      <c r="S530" s="7">
        <v>1</v>
      </c>
      <c r="T530" s="7">
        <v>4</v>
      </c>
      <c r="U530" s="7">
        <v>1050</v>
      </c>
      <c r="V530" s="7">
        <v>0</v>
      </c>
      <c r="W530" s="7">
        <v>1</v>
      </c>
      <c r="X530" s="7">
        <v>0</v>
      </c>
      <c r="Y530" s="7">
        <v>0</v>
      </c>
      <c r="Z530" s="7">
        <v>0</v>
      </c>
      <c r="AA530" s="7">
        <v>0</v>
      </c>
      <c r="AB530" s="7">
        <v>1</v>
      </c>
      <c r="AC530" s="7">
        <v>1</v>
      </c>
      <c r="AD530" s="7" t="s">
        <v>5044</v>
      </c>
      <c r="AE530" s="7" t="s">
        <v>5044</v>
      </c>
      <c r="AF530" s="7" t="s">
        <v>5044</v>
      </c>
      <c r="AG530" s="7">
        <v>1</v>
      </c>
      <c r="AH530" s="7">
        <v>0</v>
      </c>
      <c r="AI530" s="7">
        <v>0</v>
      </c>
      <c r="AJ530" s="7" t="s">
        <v>5044</v>
      </c>
      <c r="AL530" s="7" t="s">
        <v>5044</v>
      </c>
      <c r="AM530" s="7">
        <v>0</v>
      </c>
      <c r="AN530" s="7" t="s">
        <v>6293</v>
      </c>
      <c r="AO530" s="9">
        <v>0</v>
      </c>
    </row>
    <row r="531" spans="1:41" ht="63" customHeight="1" x14ac:dyDescent="0.2">
      <c r="A531" s="7">
        <v>6684</v>
      </c>
      <c r="B531" s="7" t="s">
        <v>2144</v>
      </c>
      <c r="C531" s="7" t="s">
        <v>2145</v>
      </c>
      <c r="D531" s="7" t="s">
        <v>46</v>
      </c>
      <c r="F531" s="7" t="s">
        <v>1346</v>
      </c>
      <c r="G531" s="7" t="s">
        <v>18</v>
      </c>
      <c r="H531" s="7" t="s">
        <v>390</v>
      </c>
      <c r="I531" s="7" t="s">
        <v>13</v>
      </c>
      <c r="J531" s="7" t="s">
        <v>2146</v>
      </c>
      <c r="K531" s="7" t="s">
        <v>2147</v>
      </c>
      <c r="L531" s="6" t="s">
        <v>6077</v>
      </c>
      <c r="M531" s="7">
        <v>0</v>
      </c>
      <c r="N531" s="9" t="s">
        <v>5044</v>
      </c>
      <c r="O531" s="9" t="s">
        <v>5044</v>
      </c>
      <c r="P531" s="7">
        <v>0</v>
      </c>
      <c r="Q531" s="7">
        <v>0</v>
      </c>
      <c r="R531" s="7">
        <v>0</v>
      </c>
      <c r="S531" s="7">
        <v>5</v>
      </c>
      <c r="T531" s="7">
        <v>2</v>
      </c>
      <c r="U531" s="7">
        <v>154</v>
      </c>
      <c r="V531" s="7">
        <v>0</v>
      </c>
      <c r="W531" s="7">
        <v>1</v>
      </c>
      <c r="X531" s="7">
        <v>0</v>
      </c>
      <c r="Y531" s="7">
        <v>0</v>
      </c>
      <c r="Z531" s="7">
        <v>0</v>
      </c>
      <c r="AA531" s="7">
        <v>0</v>
      </c>
      <c r="AB531" s="7">
        <v>1</v>
      </c>
      <c r="AC531" s="7">
        <v>1</v>
      </c>
      <c r="AD531" s="7" t="s">
        <v>5044</v>
      </c>
      <c r="AE531" s="7" t="s">
        <v>5044</v>
      </c>
      <c r="AF531" s="7" t="s">
        <v>5044</v>
      </c>
      <c r="AG531" s="7">
        <v>2</v>
      </c>
      <c r="AH531" s="7">
        <v>1</v>
      </c>
      <c r="AI531" s="7">
        <v>1</v>
      </c>
      <c r="AJ531" s="7" t="s">
        <v>5044</v>
      </c>
      <c r="AL531" s="7">
        <v>0</v>
      </c>
      <c r="AM531" s="7">
        <v>0</v>
      </c>
      <c r="AO531" s="11">
        <v>1</v>
      </c>
    </row>
    <row r="532" spans="1:41" ht="63" customHeight="1" x14ac:dyDescent="0.2">
      <c r="A532" s="7">
        <v>6691</v>
      </c>
      <c r="B532" s="7" t="s">
        <v>2148</v>
      </c>
      <c r="C532" s="7" t="s">
        <v>2149</v>
      </c>
      <c r="D532" s="7" t="s">
        <v>95</v>
      </c>
      <c r="F532" s="7" t="s">
        <v>416</v>
      </c>
      <c r="G532" s="7" t="s">
        <v>47</v>
      </c>
      <c r="H532" s="7" t="s">
        <v>1299</v>
      </c>
      <c r="I532" s="7" t="s">
        <v>13</v>
      </c>
      <c r="J532" s="7" t="s">
        <v>2150</v>
      </c>
      <c r="K532" s="7" t="s">
        <v>2151</v>
      </c>
      <c r="L532" s="8" t="s">
        <v>6078</v>
      </c>
      <c r="M532" s="7">
        <v>0</v>
      </c>
      <c r="N532" s="9" t="s">
        <v>5044</v>
      </c>
      <c r="O532" s="9" t="s">
        <v>5044</v>
      </c>
      <c r="P532" s="7">
        <v>0</v>
      </c>
      <c r="Q532" s="7">
        <v>0</v>
      </c>
      <c r="R532" s="7">
        <v>0</v>
      </c>
      <c r="S532" s="7">
        <v>9</v>
      </c>
      <c r="T532" s="7">
        <v>1</v>
      </c>
      <c r="U532" s="7">
        <v>100</v>
      </c>
      <c r="V532" s="7">
        <v>0</v>
      </c>
      <c r="W532" s="7">
        <v>1</v>
      </c>
      <c r="X532" s="7">
        <v>0</v>
      </c>
      <c r="Y532" s="7">
        <v>0</v>
      </c>
      <c r="Z532" s="7">
        <v>0</v>
      </c>
      <c r="AA532" s="7">
        <v>0</v>
      </c>
      <c r="AB532" s="7">
        <v>1</v>
      </c>
      <c r="AC532" s="7">
        <v>1</v>
      </c>
      <c r="AD532" s="7" t="s">
        <v>5044</v>
      </c>
      <c r="AE532" s="7" t="s">
        <v>5044</v>
      </c>
      <c r="AF532" s="7" t="s">
        <v>5044</v>
      </c>
      <c r="AG532" s="7">
        <v>2</v>
      </c>
      <c r="AH532" s="7">
        <v>3</v>
      </c>
      <c r="AI532" s="7">
        <v>0</v>
      </c>
      <c r="AJ532" s="7" t="s">
        <v>5044</v>
      </c>
      <c r="AK532" s="7" t="s">
        <v>6079</v>
      </c>
      <c r="AL532" s="7">
        <v>0</v>
      </c>
      <c r="AM532" s="7">
        <v>0</v>
      </c>
      <c r="AO532" s="11">
        <v>3</v>
      </c>
    </row>
    <row r="533" spans="1:41" ht="63" customHeight="1" x14ac:dyDescent="0.2">
      <c r="A533" s="7">
        <v>6696</v>
      </c>
      <c r="B533" s="7" t="s">
        <v>2152</v>
      </c>
      <c r="C533" s="7" t="s">
        <v>2153</v>
      </c>
      <c r="D533" s="7" t="s">
        <v>16</v>
      </c>
      <c r="F533" s="7" t="s">
        <v>27</v>
      </c>
      <c r="G533" s="7" t="s">
        <v>37</v>
      </c>
      <c r="H533" s="7" t="s">
        <v>708</v>
      </c>
      <c r="I533" s="7" t="s">
        <v>13</v>
      </c>
      <c r="J533" s="7" t="s">
        <v>2154</v>
      </c>
      <c r="K533" s="7" t="s">
        <v>2155</v>
      </c>
      <c r="L533" s="8" t="s">
        <v>6080</v>
      </c>
      <c r="M533" s="7">
        <v>0</v>
      </c>
      <c r="N533" s="9" t="s">
        <v>5044</v>
      </c>
      <c r="O533" s="9" t="s">
        <v>5044</v>
      </c>
      <c r="P533" s="7">
        <v>0</v>
      </c>
      <c r="Q533" s="7">
        <v>0</v>
      </c>
      <c r="R533" s="7">
        <v>0</v>
      </c>
      <c r="S533" s="7" t="s">
        <v>7670</v>
      </c>
      <c r="T533" s="7">
        <v>1</v>
      </c>
      <c r="U533" s="7">
        <v>104</v>
      </c>
      <c r="V533" s="7">
        <v>0</v>
      </c>
      <c r="W533" s="7">
        <v>1</v>
      </c>
      <c r="X533" s="7">
        <v>0</v>
      </c>
      <c r="Y533" s="7">
        <v>0</v>
      </c>
      <c r="Z533" s="7">
        <v>0</v>
      </c>
      <c r="AA533" s="7">
        <v>0</v>
      </c>
      <c r="AB533" s="7">
        <v>1</v>
      </c>
      <c r="AC533" s="7">
        <v>1</v>
      </c>
      <c r="AD533" s="7" t="s">
        <v>5044</v>
      </c>
      <c r="AE533" s="7" t="s">
        <v>5044</v>
      </c>
      <c r="AF533" s="7" t="s">
        <v>5044</v>
      </c>
      <c r="AG533" s="7">
        <v>2</v>
      </c>
      <c r="AH533" s="7">
        <v>2</v>
      </c>
      <c r="AI533" s="7">
        <v>2</v>
      </c>
      <c r="AJ533" s="7" t="s">
        <v>5044</v>
      </c>
      <c r="AL533" s="7">
        <v>0</v>
      </c>
      <c r="AM533" s="7">
        <v>0</v>
      </c>
      <c r="AO533" s="11">
        <v>2</v>
      </c>
    </row>
    <row r="534" spans="1:41" ht="63" customHeight="1" x14ac:dyDescent="0.2">
      <c r="A534" s="7">
        <v>6719</v>
      </c>
      <c r="B534" s="7" t="s">
        <v>2156</v>
      </c>
      <c r="C534" s="7" t="s">
        <v>2157</v>
      </c>
      <c r="D534" s="7" t="s">
        <v>56</v>
      </c>
      <c r="F534" s="7" t="s">
        <v>587</v>
      </c>
      <c r="G534" s="7" t="s">
        <v>175</v>
      </c>
      <c r="H534" s="7" t="s">
        <v>290</v>
      </c>
      <c r="I534" s="7" t="s">
        <v>13</v>
      </c>
      <c r="J534" s="7" t="s">
        <v>2158</v>
      </c>
      <c r="K534" s="7" t="s">
        <v>2159</v>
      </c>
      <c r="L534" s="11" t="s">
        <v>5044</v>
      </c>
      <c r="M534" s="7">
        <v>0</v>
      </c>
      <c r="N534" s="9" t="s">
        <v>5044</v>
      </c>
      <c r="O534" s="9" t="s">
        <v>5044</v>
      </c>
      <c r="P534" s="7">
        <v>0</v>
      </c>
      <c r="Q534" s="7">
        <v>0</v>
      </c>
      <c r="R534" s="7">
        <v>0</v>
      </c>
      <c r="S534" s="7">
        <v>1</v>
      </c>
      <c r="T534" s="7">
        <v>1</v>
      </c>
      <c r="U534" s="7">
        <v>26</v>
      </c>
      <c r="V534" s="7">
        <v>0</v>
      </c>
      <c r="W534" s="7">
        <v>1</v>
      </c>
      <c r="X534" s="7">
        <v>0</v>
      </c>
      <c r="Y534" s="7">
        <v>0</v>
      </c>
      <c r="Z534" s="7">
        <v>0</v>
      </c>
      <c r="AA534" s="7">
        <v>0</v>
      </c>
      <c r="AB534" s="7">
        <v>1</v>
      </c>
      <c r="AC534" s="7">
        <v>0</v>
      </c>
      <c r="AD534" s="7" t="s">
        <v>5044</v>
      </c>
      <c r="AE534" s="7" t="s">
        <v>5044</v>
      </c>
      <c r="AF534" s="7" t="s">
        <v>5044</v>
      </c>
      <c r="AG534" s="7">
        <v>0</v>
      </c>
      <c r="AH534" s="7" t="s">
        <v>5044</v>
      </c>
      <c r="AI534" s="7" t="s">
        <v>5044</v>
      </c>
      <c r="AJ534" s="7" t="s">
        <v>5044</v>
      </c>
      <c r="AL534" s="7" t="s">
        <v>5044</v>
      </c>
      <c r="AM534" s="7">
        <v>0</v>
      </c>
      <c r="AN534" s="7" t="s">
        <v>5105</v>
      </c>
      <c r="AO534" s="11">
        <v>9</v>
      </c>
    </row>
    <row r="535" spans="1:41" ht="63" customHeight="1" x14ac:dyDescent="0.2">
      <c r="A535" s="7">
        <v>6721</v>
      </c>
      <c r="B535" s="7" t="s">
        <v>2160</v>
      </c>
      <c r="C535" s="7" t="s">
        <v>2161</v>
      </c>
      <c r="D535" s="7" t="s">
        <v>56</v>
      </c>
      <c r="F535" s="7" t="s">
        <v>147</v>
      </c>
      <c r="G535" s="7" t="s">
        <v>92</v>
      </c>
      <c r="H535" s="7" t="s">
        <v>296</v>
      </c>
      <c r="I535" s="7" t="s">
        <v>13</v>
      </c>
      <c r="J535" s="7" t="s">
        <v>2162</v>
      </c>
      <c r="K535" s="7" t="s">
        <v>2163</v>
      </c>
      <c r="L535" s="6" t="s">
        <v>6081</v>
      </c>
      <c r="M535" s="7">
        <v>0</v>
      </c>
      <c r="N535" s="9" t="s">
        <v>5044</v>
      </c>
      <c r="O535" s="9" t="s">
        <v>5044</v>
      </c>
      <c r="P535" s="7">
        <v>0</v>
      </c>
      <c r="Q535" s="7">
        <v>0</v>
      </c>
      <c r="R535" s="7">
        <v>0</v>
      </c>
      <c r="S535" s="7">
        <v>1</v>
      </c>
      <c r="T535" s="7">
        <v>2</v>
      </c>
      <c r="U535" s="7">
        <v>34</v>
      </c>
      <c r="V535" s="7">
        <v>0</v>
      </c>
      <c r="W535" s="7">
        <v>1</v>
      </c>
      <c r="X535" s="7">
        <v>0</v>
      </c>
      <c r="Y535" s="7">
        <v>0</v>
      </c>
      <c r="Z535" s="7">
        <v>0</v>
      </c>
      <c r="AA535" s="7">
        <v>0</v>
      </c>
      <c r="AB535" s="7">
        <v>1</v>
      </c>
      <c r="AC535" s="7">
        <v>0</v>
      </c>
      <c r="AD535" s="7" t="s">
        <v>5044</v>
      </c>
      <c r="AE535" s="7" t="s">
        <v>5044</v>
      </c>
      <c r="AF535" s="7" t="s">
        <v>5044</v>
      </c>
      <c r="AG535" s="7">
        <v>0</v>
      </c>
      <c r="AH535" s="7" t="s">
        <v>5044</v>
      </c>
      <c r="AI535" s="7" t="s">
        <v>5044</v>
      </c>
      <c r="AJ535" s="7" t="s">
        <v>5044</v>
      </c>
      <c r="AL535" s="7">
        <v>1</v>
      </c>
      <c r="AM535" s="7">
        <v>0</v>
      </c>
      <c r="AO535" s="11">
        <v>9</v>
      </c>
    </row>
    <row r="536" spans="1:41" ht="63" customHeight="1" x14ac:dyDescent="0.2">
      <c r="A536" s="7">
        <v>6744</v>
      </c>
      <c r="B536" s="7" t="s">
        <v>2169</v>
      </c>
      <c r="C536" s="7" t="s">
        <v>2170</v>
      </c>
      <c r="D536" s="7" t="s">
        <v>25</v>
      </c>
      <c r="F536" s="7" t="s">
        <v>865</v>
      </c>
      <c r="G536" s="7" t="s">
        <v>144</v>
      </c>
      <c r="H536" s="7" t="s">
        <v>413</v>
      </c>
      <c r="I536" s="7" t="s">
        <v>13</v>
      </c>
      <c r="J536" s="7" t="s">
        <v>2171</v>
      </c>
      <c r="K536" s="7" t="s">
        <v>2172</v>
      </c>
      <c r="L536" s="8" t="s">
        <v>6083</v>
      </c>
      <c r="M536" s="7">
        <v>0</v>
      </c>
      <c r="N536" s="9" t="s">
        <v>5044</v>
      </c>
      <c r="O536" s="9" t="s">
        <v>5044</v>
      </c>
      <c r="P536" s="7">
        <v>0</v>
      </c>
      <c r="Q536" s="7">
        <v>0</v>
      </c>
      <c r="R536" s="7">
        <v>0</v>
      </c>
      <c r="S536" s="7">
        <v>1</v>
      </c>
      <c r="T536" s="7">
        <v>1</v>
      </c>
      <c r="U536" s="7">
        <v>100</v>
      </c>
      <c r="V536" s="7">
        <v>0</v>
      </c>
      <c r="W536" s="7">
        <v>1</v>
      </c>
      <c r="X536" s="7">
        <v>0</v>
      </c>
      <c r="Y536" s="7">
        <v>0</v>
      </c>
      <c r="Z536" s="7">
        <v>0</v>
      </c>
      <c r="AA536" s="7">
        <v>0</v>
      </c>
      <c r="AB536" s="7">
        <v>1</v>
      </c>
      <c r="AC536" s="7">
        <v>0</v>
      </c>
      <c r="AD536" s="7" t="s">
        <v>5044</v>
      </c>
      <c r="AE536" s="7" t="s">
        <v>5044</v>
      </c>
      <c r="AF536" s="7" t="s">
        <v>5044</v>
      </c>
      <c r="AG536" s="7">
        <v>0</v>
      </c>
      <c r="AH536" s="7" t="s">
        <v>5044</v>
      </c>
      <c r="AI536" s="7" t="s">
        <v>5044</v>
      </c>
      <c r="AJ536" s="7" t="s">
        <v>5044</v>
      </c>
      <c r="AL536" s="7">
        <v>1</v>
      </c>
      <c r="AM536" s="7">
        <v>0</v>
      </c>
      <c r="AO536" s="11">
        <v>9</v>
      </c>
    </row>
    <row r="537" spans="1:41" ht="63" customHeight="1" x14ac:dyDescent="0.2">
      <c r="A537" s="7">
        <v>6753</v>
      </c>
      <c r="B537" s="7" t="s">
        <v>2173</v>
      </c>
      <c r="C537" s="7" t="s">
        <v>2174</v>
      </c>
      <c r="D537" s="7" t="s">
        <v>16</v>
      </c>
      <c r="F537" s="7" t="s">
        <v>114</v>
      </c>
      <c r="G537" s="7" t="s">
        <v>37</v>
      </c>
      <c r="H537" s="7" t="s">
        <v>160</v>
      </c>
      <c r="I537" s="7" t="s">
        <v>13</v>
      </c>
      <c r="J537" s="7" t="s">
        <v>2175</v>
      </c>
      <c r="K537" s="7" t="s">
        <v>2176</v>
      </c>
      <c r="L537" s="8" t="s">
        <v>6084</v>
      </c>
      <c r="M537" s="7">
        <v>0</v>
      </c>
      <c r="N537" s="9" t="s">
        <v>5044</v>
      </c>
      <c r="O537" s="9" t="s">
        <v>5044</v>
      </c>
      <c r="P537" s="7">
        <v>0</v>
      </c>
      <c r="Q537" s="7">
        <v>0</v>
      </c>
      <c r="R537" s="7">
        <v>0</v>
      </c>
      <c r="S537" s="7">
        <v>1</v>
      </c>
      <c r="T537" s="7">
        <v>1</v>
      </c>
      <c r="U537" s="7">
        <v>152</v>
      </c>
      <c r="V537" s="7">
        <v>0</v>
      </c>
      <c r="W537" s="7">
        <v>1</v>
      </c>
      <c r="X537" s="7">
        <v>0</v>
      </c>
      <c r="Y537" s="7">
        <v>0</v>
      </c>
      <c r="Z537" s="7">
        <v>0</v>
      </c>
      <c r="AA537" s="7">
        <v>0</v>
      </c>
      <c r="AB537" s="7">
        <v>1</v>
      </c>
      <c r="AC537" s="7">
        <v>1</v>
      </c>
      <c r="AD537" s="7" t="s">
        <v>5044</v>
      </c>
      <c r="AE537" s="7" t="s">
        <v>5044</v>
      </c>
      <c r="AF537" s="7" t="s">
        <v>5044</v>
      </c>
      <c r="AG537" s="7">
        <v>2</v>
      </c>
      <c r="AH537" s="7">
        <v>1</v>
      </c>
      <c r="AI537" s="7">
        <v>2</v>
      </c>
      <c r="AJ537" s="7" t="s">
        <v>5044</v>
      </c>
      <c r="AL537" s="7">
        <v>0</v>
      </c>
      <c r="AM537" s="7">
        <v>0</v>
      </c>
      <c r="AO537" s="11">
        <v>1</v>
      </c>
    </row>
    <row r="538" spans="1:41" ht="63" customHeight="1" x14ac:dyDescent="0.2">
      <c r="A538" s="7">
        <v>6766</v>
      </c>
      <c r="B538" s="7" t="s">
        <v>2177</v>
      </c>
      <c r="C538" s="7" t="s">
        <v>2178</v>
      </c>
      <c r="D538" s="7" t="s">
        <v>46</v>
      </c>
      <c r="F538" s="7" t="s">
        <v>18</v>
      </c>
      <c r="G538" s="7" t="s">
        <v>27</v>
      </c>
      <c r="H538" s="7" t="s">
        <v>362</v>
      </c>
      <c r="I538" s="7" t="s">
        <v>13</v>
      </c>
      <c r="J538" s="7" t="s">
        <v>2179</v>
      </c>
      <c r="K538" s="7" t="s">
        <v>2180</v>
      </c>
      <c r="L538" s="6" t="s">
        <v>6085</v>
      </c>
      <c r="M538" s="7">
        <v>0</v>
      </c>
      <c r="N538" s="9" t="s">
        <v>5044</v>
      </c>
      <c r="O538" s="9" t="s">
        <v>5044</v>
      </c>
      <c r="P538" s="7">
        <v>0</v>
      </c>
      <c r="Q538" s="7">
        <v>0</v>
      </c>
      <c r="R538" s="7">
        <v>0</v>
      </c>
      <c r="S538" s="7">
        <v>1</v>
      </c>
      <c r="T538" s="7">
        <v>1</v>
      </c>
      <c r="U538" s="7">
        <v>133</v>
      </c>
      <c r="V538" s="7">
        <v>0</v>
      </c>
      <c r="W538" s="7">
        <v>1</v>
      </c>
      <c r="X538" s="7">
        <v>0</v>
      </c>
      <c r="Y538" s="7">
        <v>0</v>
      </c>
      <c r="Z538" s="7">
        <v>0</v>
      </c>
      <c r="AA538" s="7">
        <v>0</v>
      </c>
      <c r="AB538" s="7">
        <v>1</v>
      </c>
      <c r="AC538" s="7">
        <v>1</v>
      </c>
      <c r="AD538" s="7" t="s">
        <v>5044</v>
      </c>
      <c r="AE538" s="7" t="s">
        <v>5044</v>
      </c>
      <c r="AF538" s="7" t="s">
        <v>5044</v>
      </c>
      <c r="AG538" s="7">
        <v>1</v>
      </c>
      <c r="AH538" s="7">
        <v>0</v>
      </c>
      <c r="AI538" s="7">
        <v>0</v>
      </c>
      <c r="AJ538" s="7" t="s">
        <v>5044</v>
      </c>
      <c r="AL538" s="7">
        <v>1</v>
      </c>
      <c r="AM538" s="7">
        <v>0</v>
      </c>
      <c r="AO538" s="9">
        <v>0</v>
      </c>
    </row>
    <row r="539" spans="1:41" ht="63" customHeight="1" x14ac:dyDescent="0.2">
      <c r="A539" s="7">
        <v>6790</v>
      </c>
      <c r="B539" s="7" t="s">
        <v>2181</v>
      </c>
      <c r="C539" s="7" t="s">
        <v>2182</v>
      </c>
      <c r="D539" s="7" t="s">
        <v>95</v>
      </c>
      <c r="F539" s="7" t="s">
        <v>2183</v>
      </c>
      <c r="H539" s="7" t="s">
        <v>1449</v>
      </c>
      <c r="I539" s="7" t="s">
        <v>13</v>
      </c>
      <c r="J539" s="7" t="s">
        <v>2184</v>
      </c>
      <c r="K539" s="7" t="s">
        <v>2185</v>
      </c>
      <c r="L539" s="11" t="s">
        <v>5044</v>
      </c>
      <c r="M539" s="7">
        <v>0</v>
      </c>
      <c r="N539" s="9" t="s">
        <v>5044</v>
      </c>
      <c r="O539" s="9" t="s">
        <v>5044</v>
      </c>
      <c r="P539" s="7">
        <v>0</v>
      </c>
      <c r="Q539" s="7">
        <v>0</v>
      </c>
      <c r="R539" s="7">
        <v>0</v>
      </c>
      <c r="S539" s="7">
        <v>7</v>
      </c>
      <c r="T539" s="7">
        <v>4</v>
      </c>
      <c r="U539" s="7">
        <v>60</v>
      </c>
      <c r="V539" s="7">
        <v>1</v>
      </c>
      <c r="W539" s="7">
        <v>0</v>
      </c>
      <c r="X539" s="7">
        <v>0</v>
      </c>
      <c r="Y539" s="7">
        <v>0</v>
      </c>
      <c r="Z539" s="7">
        <v>0</v>
      </c>
      <c r="AA539" s="7">
        <v>0</v>
      </c>
      <c r="AB539" s="7">
        <v>1</v>
      </c>
      <c r="AC539" s="7">
        <v>1</v>
      </c>
      <c r="AD539" s="7">
        <v>2</v>
      </c>
      <c r="AE539" s="7">
        <v>3</v>
      </c>
      <c r="AF539" s="7">
        <v>0</v>
      </c>
      <c r="AG539" s="7" t="s">
        <v>5044</v>
      </c>
      <c r="AH539" s="7" t="s">
        <v>5044</v>
      </c>
      <c r="AI539" s="7" t="s">
        <v>5044</v>
      </c>
      <c r="AJ539" s="7" t="s">
        <v>5044</v>
      </c>
      <c r="AK539" s="7">
        <v>1</v>
      </c>
      <c r="AL539" s="7">
        <v>1</v>
      </c>
      <c r="AM539" s="7">
        <v>0</v>
      </c>
      <c r="AO539" s="11">
        <v>3</v>
      </c>
    </row>
    <row r="540" spans="1:41" ht="63" customHeight="1" x14ac:dyDescent="0.2">
      <c r="A540" s="7">
        <v>6803</v>
      </c>
      <c r="B540" s="7" t="s">
        <v>2186</v>
      </c>
      <c r="C540" s="7" t="s">
        <v>2187</v>
      </c>
      <c r="D540" s="7" t="s">
        <v>22</v>
      </c>
      <c r="F540" s="7" t="s">
        <v>322</v>
      </c>
      <c r="G540" s="7" t="s">
        <v>32</v>
      </c>
      <c r="H540" s="7" t="s">
        <v>2188</v>
      </c>
      <c r="I540" s="7" t="s">
        <v>13</v>
      </c>
      <c r="J540" s="7" t="s">
        <v>2189</v>
      </c>
      <c r="K540" s="7" t="s">
        <v>2190</v>
      </c>
      <c r="L540" s="8" t="s">
        <v>6087</v>
      </c>
      <c r="M540" s="7">
        <v>0</v>
      </c>
      <c r="N540" s="9" t="s">
        <v>5044</v>
      </c>
      <c r="O540" s="9" t="s">
        <v>5044</v>
      </c>
      <c r="P540" s="7">
        <v>0</v>
      </c>
      <c r="Q540" s="7">
        <v>0</v>
      </c>
      <c r="R540" s="7">
        <v>0</v>
      </c>
      <c r="S540" s="7">
        <v>1</v>
      </c>
      <c r="T540" s="7">
        <v>3</v>
      </c>
      <c r="U540" s="7">
        <v>40</v>
      </c>
      <c r="V540" s="7">
        <v>0</v>
      </c>
      <c r="W540" s="7">
        <v>1</v>
      </c>
      <c r="X540" s="7">
        <v>0</v>
      </c>
      <c r="Y540" s="7">
        <v>0</v>
      </c>
      <c r="Z540" s="7">
        <v>0</v>
      </c>
      <c r="AA540" s="7">
        <v>0</v>
      </c>
      <c r="AB540" s="7">
        <v>1</v>
      </c>
      <c r="AC540" s="7">
        <v>0</v>
      </c>
      <c r="AD540" s="7" t="s">
        <v>5044</v>
      </c>
      <c r="AE540" s="7" t="s">
        <v>5044</v>
      </c>
      <c r="AF540" s="7" t="s">
        <v>5044</v>
      </c>
      <c r="AG540" s="7">
        <v>0</v>
      </c>
      <c r="AH540" s="7" t="s">
        <v>5044</v>
      </c>
      <c r="AI540" s="7" t="s">
        <v>5044</v>
      </c>
      <c r="AJ540" s="7" t="s">
        <v>5044</v>
      </c>
      <c r="AL540" s="7">
        <v>0</v>
      </c>
      <c r="AM540" s="7">
        <v>0</v>
      </c>
      <c r="AO540" s="11">
        <v>9</v>
      </c>
    </row>
    <row r="541" spans="1:41" ht="63" customHeight="1" x14ac:dyDescent="0.2">
      <c r="A541" s="7">
        <v>6827</v>
      </c>
      <c r="B541" s="7" t="s">
        <v>2199</v>
      </c>
      <c r="C541" s="7" t="s">
        <v>2200</v>
      </c>
      <c r="D541" s="7" t="s">
        <v>56</v>
      </c>
      <c r="F541" s="7" t="s">
        <v>929</v>
      </c>
      <c r="G541" s="7" t="s">
        <v>11</v>
      </c>
      <c r="H541" s="7" t="s">
        <v>43</v>
      </c>
      <c r="I541" s="7" t="s">
        <v>13</v>
      </c>
      <c r="J541" s="7" t="s">
        <v>2201</v>
      </c>
      <c r="K541" s="7" t="s">
        <v>2202</v>
      </c>
      <c r="L541" s="6" t="s">
        <v>5177</v>
      </c>
      <c r="M541" s="7">
        <v>0</v>
      </c>
      <c r="N541" s="9" t="s">
        <v>5044</v>
      </c>
      <c r="O541" s="9" t="s">
        <v>5044</v>
      </c>
      <c r="P541" s="7">
        <v>0</v>
      </c>
      <c r="Q541" s="7">
        <v>0</v>
      </c>
      <c r="R541" s="7">
        <v>0</v>
      </c>
      <c r="S541" s="7">
        <v>1</v>
      </c>
      <c r="T541" s="7">
        <v>1</v>
      </c>
      <c r="U541" s="7">
        <v>155</v>
      </c>
      <c r="V541" s="7">
        <v>0</v>
      </c>
      <c r="W541" s="7">
        <v>1</v>
      </c>
      <c r="X541" s="7">
        <v>0</v>
      </c>
      <c r="Y541" s="7">
        <v>0</v>
      </c>
      <c r="Z541" s="7">
        <v>0</v>
      </c>
      <c r="AA541" s="7">
        <v>0</v>
      </c>
      <c r="AB541" s="7">
        <v>1</v>
      </c>
      <c r="AC541" s="7">
        <v>1</v>
      </c>
      <c r="AD541" s="7" t="s">
        <v>5044</v>
      </c>
      <c r="AE541" s="7" t="s">
        <v>5044</v>
      </c>
      <c r="AF541" s="7" t="s">
        <v>5044</v>
      </c>
      <c r="AG541" s="7">
        <v>2</v>
      </c>
      <c r="AH541" s="7">
        <v>1</v>
      </c>
      <c r="AI541" s="7">
        <v>2</v>
      </c>
      <c r="AJ541" s="7" t="s">
        <v>5044</v>
      </c>
      <c r="AL541" s="7">
        <v>0</v>
      </c>
      <c r="AM541" s="7">
        <v>0</v>
      </c>
      <c r="AO541" s="11">
        <v>1</v>
      </c>
    </row>
    <row r="542" spans="1:41" ht="63" customHeight="1" x14ac:dyDescent="0.2">
      <c r="A542" s="7">
        <v>6828</v>
      </c>
      <c r="B542" s="7" t="s">
        <v>2203</v>
      </c>
      <c r="C542" s="7" t="s">
        <v>2204</v>
      </c>
      <c r="D542" s="7" t="s">
        <v>74</v>
      </c>
      <c r="H542" s="7" t="s">
        <v>296</v>
      </c>
      <c r="I542" s="7" t="s">
        <v>13</v>
      </c>
      <c r="J542" s="7" t="s">
        <v>2205</v>
      </c>
      <c r="K542" s="7" t="s">
        <v>2206</v>
      </c>
      <c r="L542" s="6" t="s">
        <v>6090</v>
      </c>
      <c r="M542" s="7">
        <v>0</v>
      </c>
      <c r="N542" s="9" t="s">
        <v>5044</v>
      </c>
      <c r="O542" s="9" t="s">
        <v>5044</v>
      </c>
      <c r="P542" s="7">
        <v>0</v>
      </c>
      <c r="Q542" s="7">
        <v>0</v>
      </c>
      <c r="R542" s="7">
        <v>0</v>
      </c>
      <c r="S542" s="7">
        <v>1</v>
      </c>
      <c r="T542" s="7">
        <v>1</v>
      </c>
      <c r="U542" s="7">
        <v>116</v>
      </c>
      <c r="V542" s="7">
        <v>0</v>
      </c>
      <c r="W542" s="7">
        <v>1</v>
      </c>
      <c r="X542" s="7">
        <v>0</v>
      </c>
      <c r="Y542" s="7">
        <v>0</v>
      </c>
      <c r="Z542" s="7">
        <v>0</v>
      </c>
      <c r="AA542" s="7">
        <v>0</v>
      </c>
      <c r="AB542" s="7">
        <v>1</v>
      </c>
      <c r="AC542" s="7">
        <v>1</v>
      </c>
      <c r="AD542" s="7" t="s">
        <v>5044</v>
      </c>
      <c r="AE542" s="7" t="s">
        <v>5044</v>
      </c>
      <c r="AF542" s="7" t="s">
        <v>5044</v>
      </c>
      <c r="AG542" s="7">
        <v>2</v>
      </c>
      <c r="AH542" s="7">
        <v>3</v>
      </c>
      <c r="AI542" s="7">
        <v>0</v>
      </c>
      <c r="AJ542" s="7" t="s">
        <v>5044</v>
      </c>
      <c r="AK542" s="7">
        <v>1</v>
      </c>
      <c r="AL542" s="7">
        <v>1</v>
      </c>
      <c r="AM542" s="7">
        <v>0</v>
      </c>
      <c r="AO542" s="11">
        <v>3</v>
      </c>
    </row>
    <row r="543" spans="1:41" ht="63" customHeight="1" x14ac:dyDescent="0.2">
      <c r="A543" s="7">
        <v>6844</v>
      </c>
      <c r="B543" s="7" t="s">
        <v>2207</v>
      </c>
      <c r="C543" s="7" t="s">
        <v>2208</v>
      </c>
      <c r="D543" s="7" t="s">
        <v>46</v>
      </c>
      <c r="F543" s="7" t="s">
        <v>220</v>
      </c>
      <c r="G543" s="7" t="s">
        <v>52</v>
      </c>
      <c r="H543" s="7" t="s">
        <v>2002</v>
      </c>
      <c r="I543" s="7" t="s">
        <v>13</v>
      </c>
      <c r="J543" s="7" t="s">
        <v>2209</v>
      </c>
      <c r="K543" s="7" t="s">
        <v>2210</v>
      </c>
      <c r="L543" s="6" t="s">
        <v>6091</v>
      </c>
      <c r="M543" s="7">
        <v>0</v>
      </c>
      <c r="N543" s="9" t="s">
        <v>5044</v>
      </c>
      <c r="O543" s="9" t="s">
        <v>5044</v>
      </c>
      <c r="P543" s="7">
        <v>0</v>
      </c>
      <c r="Q543" s="7">
        <v>0</v>
      </c>
      <c r="R543" s="7">
        <v>0</v>
      </c>
      <c r="S543" s="7">
        <v>1</v>
      </c>
      <c r="T543" s="7">
        <v>1</v>
      </c>
      <c r="U543" s="7">
        <v>70</v>
      </c>
      <c r="V543" s="7">
        <v>0</v>
      </c>
      <c r="W543" s="7">
        <v>1</v>
      </c>
      <c r="X543" s="7">
        <v>0</v>
      </c>
      <c r="Y543" s="7">
        <v>0</v>
      </c>
      <c r="Z543" s="7">
        <v>0</v>
      </c>
      <c r="AA543" s="7">
        <v>0</v>
      </c>
      <c r="AB543" s="7">
        <v>1</v>
      </c>
      <c r="AC543" s="7">
        <v>1</v>
      </c>
      <c r="AD543" s="7" t="s">
        <v>5044</v>
      </c>
      <c r="AE543" s="7" t="s">
        <v>5044</v>
      </c>
      <c r="AF543" s="7" t="s">
        <v>5044</v>
      </c>
      <c r="AG543" s="7">
        <v>1</v>
      </c>
      <c r="AH543" s="7">
        <v>0</v>
      </c>
      <c r="AI543" s="7">
        <v>0</v>
      </c>
      <c r="AJ543" s="7" t="s">
        <v>5044</v>
      </c>
      <c r="AL543" s="7">
        <v>0</v>
      </c>
      <c r="AM543" s="7">
        <v>0</v>
      </c>
      <c r="AO543" s="9">
        <v>0</v>
      </c>
    </row>
    <row r="544" spans="1:41" ht="63" customHeight="1" x14ac:dyDescent="0.2">
      <c r="A544" s="7">
        <v>6847</v>
      </c>
      <c r="B544" s="7" t="s">
        <v>2211</v>
      </c>
      <c r="C544" s="7" t="s">
        <v>2212</v>
      </c>
      <c r="D544" s="7" t="s">
        <v>46</v>
      </c>
      <c r="F544" s="7" t="s">
        <v>788</v>
      </c>
      <c r="G544" s="7" t="s">
        <v>17</v>
      </c>
      <c r="H544" s="7" t="s">
        <v>290</v>
      </c>
      <c r="I544" s="7" t="s">
        <v>13</v>
      </c>
      <c r="J544" s="7" t="s">
        <v>2213</v>
      </c>
      <c r="K544" s="7" t="s">
        <v>2214</v>
      </c>
      <c r="L544" s="6" t="s">
        <v>6092</v>
      </c>
      <c r="M544" s="7">
        <v>0</v>
      </c>
      <c r="N544" s="9" t="s">
        <v>5044</v>
      </c>
      <c r="O544" s="9" t="s">
        <v>5044</v>
      </c>
      <c r="P544" s="7">
        <v>0</v>
      </c>
      <c r="Q544" s="7">
        <v>0</v>
      </c>
      <c r="R544" s="7">
        <v>0</v>
      </c>
      <c r="S544" s="7">
        <v>1</v>
      </c>
      <c r="T544" s="7">
        <v>1</v>
      </c>
      <c r="U544" s="7">
        <v>126</v>
      </c>
      <c r="V544" s="7">
        <v>0</v>
      </c>
      <c r="W544" s="7">
        <v>1</v>
      </c>
      <c r="X544" s="7">
        <v>0</v>
      </c>
      <c r="Y544" s="7">
        <v>0</v>
      </c>
      <c r="Z544" s="7">
        <v>0</v>
      </c>
      <c r="AA544" s="7">
        <v>0</v>
      </c>
      <c r="AB544" s="7">
        <v>1</v>
      </c>
      <c r="AC544" s="7">
        <v>1</v>
      </c>
      <c r="AD544" s="7" t="s">
        <v>5044</v>
      </c>
      <c r="AE544" s="7" t="s">
        <v>5044</v>
      </c>
      <c r="AF544" s="7" t="s">
        <v>5044</v>
      </c>
      <c r="AG544" s="7">
        <v>2</v>
      </c>
      <c r="AH544" s="7">
        <v>3</v>
      </c>
      <c r="AI544" s="7">
        <v>0</v>
      </c>
      <c r="AJ544" s="7" t="s">
        <v>5044</v>
      </c>
      <c r="AK544" s="7">
        <v>1</v>
      </c>
      <c r="AL544" s="7">
        <v>0</v>
      </c>
      <c r="AM544" s="7">
        <v>0</v>
      </c>
      <c r="AO544" s="11">
        <v>3</v>
      </c>
    </row>
    <row r="545" spans="1:41" ht="63" customHeight="1" x14ac:dyDescent="0.2">
      <c r="A545" s="7">
        <v>6879</v>
      </c>
      <c r="B545" s="7" t="s">
        <v>2219</v>
      </c>
      <c r="C545" s="7" t="s">
        <v>2220</v>
      </c>
      <c r="D545" s="7" t="s">
        <v>41</v>
      </c>
      <c r="F545" s="7" t="s">
        <v>2221</v>
      </c>
      <c r="G545" s="7" t="s">
        <v>18</v>
      </c>
      <c r="H545" s="7" t="s">
        <v>71</v>
      </c>
      <c r="I545" s="7" t="s">
        <v>13</v>
      </c>
      <c r="J545" s="7" t="s">
        <v>2222</v>
      </c>
      <c r="K545" s="7" t="s">
        <v>2223</v>
      </c>
      <c r="L545" s="8" t="s">
        <v>6093</v>
      </c>
      <c r="M545" s="7">
        <v>0</v>
      </c>
      <c r="N545" s="9" t="s">
        <v>5044</v>
      </c>
      <c r="O545" s="9" t="s">
        <v>5044</v>
      </c>
      <c r="P545" s="7">
        <v>0</v>
      </c>
      <c r="Q545" s="7">
        <v>0</v>
      </c>
      <c r="R545" s="7">
        <v>0</v>
      </c>
      <c r="S545" s="7">
        <v>1</v>
      </c>
      <c r="T545" s="7">
        <v>4</v>
      </c>
      <c r="U545" s="7">
        <v>141</v>
      </c>
      <c r="V545" s="7">
        <v>0</v>
      </c>
      <c r="W545" s="7">
        <v>1</v>
      </c>
      <c r="X545" s="7">
        <v>0</v>
      </c>
      <c r="Y545" s="7">
        <v>0</v>
      </c>
      <c r="Z545" s="7">
        <v>0</v>
      </c>
      <c r="AA545" s="7">
        <v>0</v>
      </c>
      <c r="AB545" s="7">
        <v>1</v>
      </c>
      <c r="AC545" s="7">
        <v>1</v>
      </c>
      <c r="AD545" s="7" t="s">
        <v>5044</v>
      </c>
      <c r="AE545" s="7" t="s">
        <v>5044</v>
      </c>
      <c r="AF545" s="7" t="s">
        <v>5044</v>
      </c>
      <c r="AG545" s="7">
        <v>2</v>
      </c>
      <c r="AH545" s="7">
        <v>3</v>
      </c>
      <c r="AI545" s="7">
        <v>0</v>
      </c>
      <c r="AJ545" s="7" t="s">
        <v>5044</v>
      </c>
      <c r="AK545" s="7" t="s">
        <v>6094</v>
      </c>
      <c r="AL545" s="7">
        <v>0</v>
      </c>
      <c r="AM545" s="7">
        <v>0</v>
      </c>
      <c r="AO545" s="11">
        <v>3</v>
      </c>
    </row>
    <row r="546" spans="1:41" ht="63" customHeight="1" x14ac:dyDescent="0.2">
      <c r="A546" s="7">
        <v>6889</v>
      </c>
      <c r="B546" s="7" t="s">
        <v>2224</v>
      </c>
      <c r="C546" s="7" t="s">
        <v>2225</v>
      </c>
      <c r="D546" s="7" t="s">
        <v>375</v>
      </c>
      <c r="F546" s="7" t="s">
        <v>163</v>
      </c>
      <c r="G546" s="7" t="s">
        <v>144</v>
      </c>
      <c r="H546" s="7" t="s">
        <v>238</v>
      </c>
      <c r="I546" s="7" t="s">
        <v>13</v>
      </c>
      <c r="J546" s="7" t="s">
        <v>2226</v>
      </c>
      <c r="K546" s="7" t="s">
        <v>2227</v>
      </c>
      <c r="L546" s="11" t="s">
        <v>5044</v>
      </c>
      <c r="M546" s="7">
        <v>0</v>
      </c>
      <c r="N546" s="9" t="s">
        <v>5044</v>
      </c>
      <c r="O546" s="9" t="s">
        <v>5044</v>
      </c>
      <c r="P546" s="7">
        <v>0</v>
      </c>
      <c r="Q546" s="7">
        <v>0</v>
      </c>
      <c r="R546" s="7">
        <v>0</v>
      </c>
      <c r="S546" s="7">
        <v>3</v>
      </c>
      <c r="T546" s="7">
        <v>4</v>
      </c>
      <c r="U546" s="7">
        <v>50</v>
      </c>
      <c r="V546" s="7">
        <v>0</v>
      </c>
      <c r="W546" s="7">
        <v>1</v>
      </c>
      <c r="X546" s="7">
        <v>0</v>
      </c>
      <c r="Y546" s="7">
        <v>0</v>
      </c>
      <c r="Z546" s="7">
        <v>0</v>
      </c>
      <c r="AA546" s="7">
        <v>0</v>
      </c>
      <c r="AB546" s="7">
        <v>1</v>
      </c>
      <c r="AC546" s="7">
        <v>1</v>
      </c>
      <c r="AD546" s="7" t="s">
        <v>5044</v>
      </c>
      <c r="AE546" s="7" t="s">
        <v>5044</v>
      </c>
      <c r="AF546" s="7" t="s">
        <v>5044</v>
      </c>
      <c r="AG546" s="7">
        <v>1</v>
      </c>
      <c r="AH546" s="7">
        <v>0</v>
      </c>
      <c r="AI546" s="7">
        <v>0</v>
      </c>
      <c r="AJ546" s="7" t="s">
        <v>5044</v>
      </c>
      <c r="AL546" s="7">
        <v>1</v>
      </c>
      <c r="AM546" s="7">
        <v>0</v>
      </c>
      <c r="AO546" s="9">
        <v>0</v>
      </c>
    </row>
    <row r="547" spans="1:41" ht="63" customHeight="1" x14ac:dyDescent="0.2">
      <c r="A547" s="7">
        <v>6912</v>
      </c>
      <c r="B547" s="7" t="s">
        <v>2228</v>
      </c>
      <c r="C547" s="7" t="s">
        <v>2229</v>
      </c>
      <c r="D547" s="7" t="s">
        <v>30</v>
      </c>
      <c r="F547" s="7" t="s">
        <v>58</v>
      </c>
      <c r="G547" s="7" t="s">
        <v>48</v>
      </c>
      <c r="H547" s="7" t="s">
        <v>238</v>
      </c>
      <c r="I547" s="7" t="s">
        <v>13</v>
      </c>
      <c r="J547" s="7" t="s">
        <v>2230</v>
      </c>
      <c r="K547" s="7" t="s">
        <v>2231</v>
      </c>
      <c r="L547" s="11" t="s">
        <v>5044</v>
      </c>
      <c r="M547" s="7">
        <v>0</v>
      </c>
      <c r="N547" s="9" t="s">
        <v>5044</v>
      </c>
      <c r="O547" s="9" t="s">
        <v>5044</v>
      </c>
      <c r="P547" s="7">
        <v>0</v>
      </c>
      <c r="Q547" s="7">
        <v>0</v>
      </c>
      <c r="R547" s="7">
        <v>0</v>
      </c>
      <c r="S547" s="7">
        <v>3</v>
      </c>
      <c r="T547" s="7">
        <v>4</v>
      </c>
      <c r="U547" s="7">
        <v>186</v>
      </c>
      <c r="V547" s="7">
        <v>0</v>
      </c>
      <c r="W547" s="7">
        <v>1</v>
      </c>
      <c r="X547" s="7">
        <v>0</v>
      </c>
      <c r="Y547" s="7">
        <v>0</v>
      </c>
      <c r="Z547" s="7">
        <v>0</v>
      </c>
      <c r="AA547" s="7">
        <v>0</v>
      </c>
      <c r="AB547" s="7">
        <v>1</v>
      </c>
      <c r="AC547" s="7">
        <v>1</v>
      </c>
      <c r="AD547" s="7" t="s">
        <v>5044</v>
      </c>
      <c r="AE547" s="7" t="s">
        <v>5044</v>
      </c>
      <c r="AF547" s="7" t="s">
        <v>5044</v>
      </c>
      <c r="AG547" s="7">
        <v>1</v>
      </c>
      <c r="AH547" s="7">
        <v>0</v>
      </c>
      <c r="AI547" s="7">
        <v>0</v>
      </c>
      <c r="AJ547" s="7" t="s">
        <v>5044</v>
      </c>
      <c r="AL547" s="7">
        <v>0</v>
      </c>
      <c r="AM547" s="7">
        <v>0</v>
      </c>
      <c r="AO547" s="9">
        <v>0</v>
      </c>
    </row>
    <row r="548" spans="1:41" ht="63" customHeight="1" x14ac:dyDescent="0.2">
      <c r="A548" s="7">
        <v>6913</v>
      </c>
      <c r="B548" s="7" t="s">
        <v>2232</v>
      </c>
      <c r="C548" s="7" t="s">
        <v>2233</v>
      </c>
      <c r="D548" s="7" t="s">
        <v>149</v>
      </c>
      <c r="F548" s="7" t="s">
        <v>2234</v>
      </c>
      <c r="G548" s="7" t="s">
        <v>52</v>
      </c>
      <c r="H548" s="7" t="s">
        <v>730</v>
      </c>
      <c r="I548" s="7" t="s">
        <v>13</v>
      </c>
      <c r="J548" s="7" t="s">
        <v>2235</v>
      </c>
      <c r="K548" s="7" t="s">
        <v>2236</v>
      </c>
      <c r="L548" s="11" t="s">
        <v>5044</v>
      </c>
      <c r="M548" s="7">
        <v>0</v>
      </c>
      <c r="N548" s="9" t="s">
        <v>5044</v>
      </c>
      <c r="O548" s="9" t="s">
        <v>5044</v>
      </c>
      <c r="P548" s="7">
        <v>0</v>
      </c>
      <c r="Q548" s="7">
        <v>0</v>
      </c>
      <c r="R548" s="7">
        <v>0</v>
      </c>
      <c r="S548" s="7">
        <v>3</v>
      </c>
      <c r="T548" s="7">
        <v>4</v>
      </c>
      <c r="U548" s="7">
        <v>158</v>
      </c>
      <c r="V548" s="7">
        <v>0</v>
      </c>
      <c r="W548" s="7">
        <v>1</v>
      </c>
      <c r="X548" s="7">
        <v>0</v>
      </c>
      <c r="Y548" s="7">
        <v>0</v>
      </c>
      <c r="Z548" s="7">
        <v>0</v>
      </c>
      <c r="AA548" s="7">
        <v>0</v>
      </c>
      <c r="AB548" s="7">
        <v>0</v>
      </c>
      <c r="AC548" s="7">
        <v>1</v>
      </c>
      <c r="AD548" s="7" t="s">
        <v>5044</v>
      </c>
      <c r="AE548" s="7" t="s">
        <v>5044</v>
      </c>
      <c r="AF548" s="7" t="s">
        <v>5044</v>
      </c>
      <c r="AG548" s="7">
        <v>1</v>
      </c>
      <c r="AH548" s="7">
        <v>0</v>
      </c>
      <c r="AI548" s="7">
        <v>0</v>
      </c>
      <c r="AJ548" s="7" t="s">
        <v>5044</v>
      </c>
      <c r="AL548" s="7" t="s">
        <v>5044</v>
      </c>
      <c r="AM548" s="7">
        <v>0</v>
      </c>
      <c r="AN548" s="7" t="s">
        <v>5105</v>
      </c>
      <c r="AO548" s="9">
        <v>0</v>
      </c>
    </row>
    <row r="549" spans="1:41" ht="63" customHeight="1" x14ac:dyDescent="0.2">
      <c r="A549" s="7">
        <v>6924</v>
      </c>
      <c r="B549" s="7" t="s">
        <v>2241</v>
      </c>
      <c r="C549" s="7" t="s">
        <v>2242</v>
      </c>
      <c r="D549" s="7" t="s">
        <v>101</v>
      </c>
      <c r="F549" s="7" t="s">
        <v>356</v>
      </c>
      <c r="G549" s="7" t="s">
        <v>48</v>
      </c>
      <c r="H549" s="7" t="s">
        <v>86</v>
      </c>
      <c r="I549" s="7" t="s">
        <v>13</v>
      </c>
      <c r="J549" s="7" t="s">
        <v>2243</v>
      </c>
      <c r="K549" s="7" t="s">
        <v>2244</v>
      </c>
      <c r="L549" s="11" t="s">
        <v>5044</v>
      </c>
      <c r="M549" s="7">
        <v>0</v>
      </c>
      <c r="N549" s="9" t="s">
        <v>5044</v>
      </c>
      <c r="O549" s="9" t="s">
        <v>5044</v>
      </c>
      <c r="P549" s="7">
        <v>0</v>
      </c>
      <c r="Q549" s="7">
        <v>0</v>
      </c>
      <c r="R549" s="7">
        <v>0</v>
      </c>
      <c r="S549" s="7">
        <v>5</v>
      </c>
      <c r="T549" s="7">
        <v>5</v>
      </c>
      <c r="U549" s="7">
        <v>101</v>
      </c>
      <c r="V549" s="7">
        <v>0</v>
      </c>
      <c r="W549" s="7">
        <v>1</v>
      </c>
      <c r="X549" s="7">
        <v>0</v>
      </c>
      <c r="Y549" s="7">
        <v>0</v>
      </c>
      <c r="Z549" s="7">
        <v>0</v>
      </c>
      <c r="AA549" s="7">
        <v>0</v>
      </c>
      <c r="AB549" s="7">
        <v>1</v>
      </c>
      <c r="AC549" s="7">
        <v>1</v>
      </c>
      <c r="AD549" s="7" t="s">
        <v>5044</v>
      </c>
      <c r="AE549" s="7" t="s">
        <v>5044</v>
      </c>
      <c r="AF549" s="7" t="s">
        <v>5044</v>
      </c>
      <c r="AG549" s="7">
        <v>2</v>
      </c>
      <c r="AH549" s="7">
        <v>3</v>
      </c>
      <c r="AI549" s="7">
        <v>0</v>
      </c>
      <c r="AJ549" s="7" t="s">
        <v>5044</v>
      </c>
      <c r="AK549" s="7">
        <v>1</v>
      </c>
      <c r="AL549" s="7">
        <v>0</v>
      </c>
      <c r="AM549" s="7">
        <v>0</v>
      </c>
      <c r="AO549" s="11">
        <v>3</v>
      </c>
    </row>
    <row r="550" spans="1:41" ht="63" customHeight="1" x14ac:dyDescent="0.2">
      <c r="A550" s="7">
        <v>6927</v>
      </c>
      <c r="B550" s="7" t="s">
        <v>2245</v>
      </c>
      <c r="C550" s="7" t="s">
        <v>2246</v>
      </c>
      <c r="D550" s="7" t="s">
        <v>41</v>
      </c>
      <c r="F550" s="7" t="s">
        <v>1144</v>
      </c>
      <c r="G550" s="7" t="s">
        <v>17</v>
      </c>
      <c r="H550" s="7" t="s">
        <v>2247</v>
      </c>
      <c r="I550" s="7" t="s">
        <v>13</v>
      </c>
      <c r="J550" s="7" t="s">
        <v>2248</v>
      </c>
      <c r="K550" s="7" t="s">
        <v>2249</v>
      </c>
      <c r="L550" s="8">
        <v>201700041</v>
      </c>
      <c r="M550" s="7">
        <v>0</v>
      </c>
      <c r="N550" s="9" t="s">
        <v>5044</v>
      </c>
      <c r="O550" s="9" t="s">
        <v>5044</v>
      </c>
      <c r="P550" s="7">
        <v>0</v>
      </c>
      <c r="Q550" s="7">
        <v>0</v>
      </c>
      <c r="R550" s="7">
        <v>0</v>
      </c>
      <c r="S550" s="7" t="s">
        <v>5772</v>
      </c>
      <c r="T550" s="7">
        <v>1</v>
      </c>
      <c r="U550" s="7">
        <v>73</v>
      </c>
      <c r="V550" s="7">
        <v>1</v>
      </c>
      <c r="W550" s="7">
        <v>0</v>
      </c>
      <c r="X550" s="7">
        <v>0</v>
      </c>
      <c r="Y550" s="7">
        <v>0</v>
      </c>
      <c r="Z550" s="7">
        <v>0</v>
      </c>
      <c r="AA550" s="7">
        <v>0</v>
      </c>
      <c r="AB550" s="7">
        <v>1</v>
      </c>
      <c r="AC550" s="7">
        <v>1</v>
      </c>
      <c r="AD550" s="7">
        <v>2</v>
      </c>
      <c r="AE550" s="7">
        <v>2</v>
      </c>
      <c r="AF550" s="7">
        <v>4</v>
      </c>
      <c r="AG550" s="7" t="s">
        <v>5044</v>
      </c>
      <c r="AH550" s="7" t="s">
        <v>5044</v>
      </c>
      <c r="AI550" s="7" t="s">
        <v>5044</v>
      </c>
      <c r="AJ550" s="7" t="s">
        <v>5044</v>
      </c>
      <c r="AL550" s="7">
        <v>0</v>
      </c>
      <c r="AM550" s="7">
        <v>0</v>
      </c>
      <c r="AO550" s="11">
        <v>2</v>
      </c>
    </row>
    <row r="551" spans="1:41" ht="63" customHeight="1" x14ac:dyDescent="0.2">
      <c r="A551" s="7">
        <v>6970</v>
      </c>
      <c r="B551" s="23" t="s">
        <v>2250</v>
      </c>
      <c r="C551" s="7" t="s">
        <v>2251</v>
      </c>
      <c r="D551" s="7" t="s">
        <v>41</v>
      </c>
      <c r="F551" s="7" t="s">
        <v>118</v>
      </c>
      <c r="G551" s="7" t="s">
        <v>48</v>
      </c>
      <c r="H551" s="7" t="s">
        <v>296</v>
      </c>
      <c r="I551" s="7" t="s">
        <v>13</v>
      </c>
      <c r="J551" s="7" t="s">
        <v>2252</v>
      </c>
      <c r="K551" s="7" t="s">
        <v>2253</v>
      </c>
      <c r="L551" s="8" t="s">
        <v>6096</v>
      </c>
      <c r="M551" s="7">
        <v>0</v>
      </c>
      <c r="N551" s="9" t="s">
        <v>5044</v>
      </c>
      <c r="O551" s="9" t="s">
        <v>5044</v>
      </c>
      <c r="P551" s="7">
        <v>0</v>
      </c>
      <c r="Q551" s="7">
        <v>0</v>
      </c>
      <c r="R551" s="7">
        <v>0</v>
      </c>
      <c r="S551" s="7">
        <v>1</v>
      </c>
      <c r="T551" s="7">
        <v>1</v>
      </c>
      <c r="U551" s="7">
        <v>130</v>
      </c>
      <c r="V551" s="7">
        <v>0</v>
      </c>
      <c r="W551" s="7">
        <v>1</v>
      </c>
      <c r="X551" s="7">
        <v>0</v>
      </c>
      <c r="Y551" s="7">
        <v>0</v>
      </c>
      <c r="Z551" s="7">
        <v>0</v>
      </c>
      <c r="AA551" s="7">
        <v>0</v>
      </c>
      <c r="AB551" s="7">
        <v>1</v>
      </c>
      <c r="AC551" s="7">
        <v>1</v>
      </c>
      <c r="AD551" s="7" t="s">
        <v>5044</v>
      </c>
      <c r="AE551" s="7" t="s">
        <v>5044</v>
      </c>
      <c r="AF551" s="7" t="s">
        <v>5044</v>
      </c>
      <c r="AG551" s="7">
        <v>2</v>
      </c>
      <c r="AH551" s="7">
        <v>2</v>
      </c>
      <c r="AI551" s="7">
        <v>2</v>
      </c>
      <c r="AJ551" s="7" t="s">
        <v>5044</v>
      </c>
      <c r="AL551" s="7" t="s">
        <v>5044</v>
      </c>
      <c r="AM551" s="7">
        <v>0</v>
      </c>
      <c r="AN551" s="7" t="s">
        <v>5105</v>
      </c>
      <c r="AO551" s="11">
        <v>2</v>
      </c>
    </row>
    <row r="552" spans="1:41" ht="63" customHeight="1" x14ac:dyDescent="0.2">
      <c r="A552" s="7">
        <v>6975</v>
      </c>
      <c r="B552" s="7" t="s">
        <v>2254</v>
      </c>
      <c r="C552" s="7" t="s">
        <v>2255</v>
      </c>
      <c r="D552" s="7" t="s">
        <v>74</v>
      </c>
      <c r="F552" s="7" t="s">
        <v>37</v>
      </c>
      <c r="G552" s="7" t="s">
        <v>11</v>
      </c>
      <c r="H552" s="7" t="s">
        <v>140</v>
      </c>
      <c r="I552" s="7" t="s">
        <v>13</v>
      </c>
      <c r="J552" s="7" t="s">
        <v>2256</v>
      </c>
      <c r="K552" s="7" t="s">
        <v>2257</v>
      </c>
      <c r="L552" s="6" t="s">
        <v>6097</v>
      </c>
      <c r="M552" s="7">
        <v>0</v>
      </c>
      <c r="N552" s="9" t="s">
        <v>5044</v>
      </c>
      <c r="O552" s="9" t="s">
        <v>5044</v>
      </c>
      <c r="P552" s="7">
        <v>0</v>
      </c>
      <c r="Q552" s="7">
        <v>0</v>
      </c>
      <c r="R552" s="7">
        <v>0</v>
      </c>
      <c r="S552" s="7" t="s">
        <v>5728</v>
      </c>
      <c r="T552" s="7">
        <v>1</v>
      </c>
      <c r="U552" s="7">
        <v>272</v>
      </c>
      <c r="V552" s="7">
        <v>0</v>
      </c>
      <c r="W552" s="7">
        <v>1</v>
      </c>
      <c r="X552" s="7">
        <v>0</v>
      </c>
      <c r="Y552" s="7">
        <v>0</v>
      </c>
      <c r="Z552" s="7">
        <v>0</v>
      </c>
      <c r="AA552" s="7">
        <v>0</v>
      </c>
      <c r="AB552" s="7">
        <v>1</v>
      </c>
      <c r="AC552" s="7">
        <v>1</v>
      </c>
      <c r="AD552" s="7" t="s">
        <v>5044</v>
      </c>
      <c r="AE552" s="7" t="s">
        <v>5044</v>
      </c>
      <c r="AF552" s="7" t="s">
        <v>5044</v>
      </c>
      <c r="AG552" s="7">
        <v>1</v>
      </c>
      <c r="AH552" s="7">
        <v>0</v>
      </c>
      <c r="AI552" s="7">
        <v>0</v>
      </c>
      <c r="AJ552" s="7" t="s">
        <v>5044</v>
      </c>
      <c r="AL552" s="7">
        <v>0</v>
      </c>
      <c r="AM552" s="7">
        <v>0</v>
      </c>
      <c r="AO552" s="9">
        <v>0</v>
      </c>
    </row>
    <row r="553" spans="1:41" ht="63" customHeight="1" x14ac:dyDescent="0.2">
      <c r="A553" s="7">
        <v>6985</v>
      </c>
      <c r="B553" s="7" t="s">
        <v>2258</v>
      </c>
      <c r="C553" s="7" t="s">
        <v>2259</v>
      </c>
      <c r="D553" s="7" t="s">
        <v>41</v>
      </c>
      <c r="F553" s="7" t="s">
        <v>312</v>
      </c>
      <c r="G553" s="7" t="s">
        <v>32</v>
      </c>
      <c r="H553" s="7" t="s">
        <v>38</v>
      </c>
      <c r="I553" s="7" t="s">
        <v>13</v>
      </c>
      <c r="J553" s="7" t="s">
        <v>2260</v>
      </c>
      <c r="K553" s="7" t="s">
        <v>2261</v>
      </c>
      <c r="L553" s="6" t="s">
        <v>6098</v>
      </c>
      <c r="M553" s="7">
        <v>0</v>
      </c>
      <c r="N553" s="9" t="s">
        <v>5044</v>
      </c>
      <c r="O553" s="9" t="s">
        <v>5044</v>
      </c>
      <c r="P553" s="7">
        <v>0</v>
      </c>
      <c r="Q553" s="7">
        <v>0</v>
      </c>
      <c r="R553" s="7">
        <v>0</v>
      </c>
      <c r="S553" s="7">
        <v>1</v>
      </c>
      <c r="T553" s="7">
        <v>1</v>
      </c>
      <c r="U553" s="7">
        <v>406</v>
      </c>
      <c r="V553" s="7">
        <v>0</v>
      </c>
      <c r="W553" s="7">
        <v>1</v>
      </c>
      <c r="X553" s="7">
        <v>0</v>
      </c>
      <c r="Y553" s="7">
        <v>0</v>
      </c>
      <c r="Z553" s="7">
        <v>0</v>
      </c>
      <c r="AA553" s="7">
        <v>0</v>
      </c>
      <c r="AB553" s="7">
        <v>1</v>
      </c>
      <c r="AC553" s="7">
        <v>1</v>
      </c>
      <c r="AD553" s="7" t="s">
        <v>5044</v>
      </c>
      <c r="AE553" s="7" t="s">
        <v>5044</v>
      </c>
      <c r="AF553" s="7" t="s">
        <v>5044</v>
      </c>
      <c r="AG553" s="7">
        <v>1</v>
      </c>
      <c r="AH553" s="7">
        <v>0</v>
      </c>
      <c r="AI553" s="7">
        <v>0</v>
      </c>
      <c r="AJ553" s="7" t="s">
        <v>5044</v>
      </c>
      <c r="AL553" s="7">
        <v>1</v>
      </c>
      <c r="AM553" s="7">
        <v>0</v>
      </c>
      <c r="AO553" s="9">
        <v>0</v>
      </c>
    </row>
    <row r="554" spans="1:41" ht="63" customHeight="1" x14ac:dyDescent="0.2">
      <c r="A554" s="7">
        <v>6988</v>
      </c>
      <c r="B554" s="7" t="s">
        <v>2262</v>
      </c>
      <c r="C554" s="7" t="s">
        <v>2263</v>
      </c>
      <c r="D554" s="7" t="s">
        <v>16</v>
      </c>
      <c r="F554" s="7" t="s">
        <v>37</v>
      </c>
      <c r="G554" s="7" t="s">
        <v>144</v>
      </c>
      <c r="H554" s="7" t="s">
        <v>396</v>
      </c>
      <c r="I554" s="7" t="s">
        <v>13</v>
      </c>
      <c r="J554" s="7" t="s">
        <v>2264</v>
      </c>
      <c r="K554" s="7" t="s">
        <v>2265</v>
      </c>
      <c r="L554" s="8" t="s">
        <v>5139</v>
      </c>
      <c r="M554" s="7">
        <v>0</v>
      </c>
      <c r="N554" s="9" t="s">
        <v>5044</v>
      </c>
      <c r="O554" s="9" t="s">
        <v>5044</v>
      </c>
      <c r="P554" s="7">
        <v>0</v>
      </c>
      <c r="Q554" s="7">
        <v>0</v>
      </c>
      <c r="R554" s="7">
        <v>0</v>
      </c>
      <c r="S554" s="7">
        <v>9</v>
      </c>
      <c r="T554" s="7">
        <v>1</v>
      </c>
      <c r="U554" s="7">
        <v>131</v>
      </c>
      <c r="V554" s="7">
        <v>0</v>
      </c>
      <c r="W554" s="7">
        <v>1</v>
      </c>
      <c r="X554" s="7">
        <v>0</v>
      </c>
      <c r="Y554" s="7">
        <v>0</v>
      </c>
      <c r="Z554" s="7">
        <v>0</v>
      </c>
      <c r="AA554" s="7">
        <v>0</v>
      </c>
      <c r="AB554" s="7">
        <v>1</v>
      </c>
      <c r="AC554" s="7">
        <v>1</v>
      </c>
      <c r="AD554" s="7" t="s">
        <v>5044</v>
      </c>
      <c r="AE554" s="7" t="s">
        <v>5044</v>
      </c>
      <c r="AF554" s="7" t="s">
        <v>5044</v>
      </c>
      <c r="AG554" s="7">
        <v>1</v>
      </c>
      <c r="AH554" s="7">
        <v>0</v>
      </c>
      <c r="AI554" s="7">
        <v>0</v>
      </c>
      <c r="AJ554" s="7" t="s">
        <v>5044</v>
      </c>
      <c r="AL554" s="7">
        <v>1</v>
      </c>
      <c r="AM554" s="7">
        <v>0</v>
      </c>
      <c r="AO554" s="9">
        <v>0</v>
      </c>
    </row>
    <row r="555" spans="1:41" ht="63" customHeight="1" x14ac:dyDescent="0.2">
      <c r="A555" s="7">
        <v>6990</v>
      </c>
      <c r="B555" s="7" t="s">
        <v>2266</v>
      </c>
      <c r="C555" s="7" t="s">
        <v>2267</v>
      </c>
      <c r="D555" s="7" t="s">
        <v>41</v>
      </c>
      <c r="F555" s="7" t="s">
        <v>829</v>
      </c>
      <c r="G555" s="7" t="s">
        <v>52</v>
      </c>
      <c r="H555" s="7" t="s">
        <v>679</v>
      </c>
      <c r="I555" s="7" t="s">
        <v>13</v>
      </c>
      <c r="J555" s="7" t="s">
        <v>2268</v>
      </c>
      <c r="K555" s="7" t="s">
        <v>2269</v>
      </c>
      <c r="L555" s="8" t="s">
        <v>6099</v>
      </c>
      <c r="M555" s="7">
        <v>0</v>
      </c>
      <c r="N555" s="9" t="s">
        <v>5044</v>
      </c>
      <c r="O555" s="9" t="s">
        <v>5044</v>
      </c>
      <c r="P555" s="7">
        <v>0</v>
      </c>
      <c r="Q555" s="7">
        <v>0</v>
      </c>
      <c r="R555" s="7">
        <v>0</v>
      </c>
      <c r="S555" s="7">
        <v>3</v>
      </c>
      <c r="T555" s="7">
        <v>1</v>
      </c>
      <c r="U555" s="7">
        <v>225</v>
      </c>
      <c r="V555" s="7">
        <v>0</v>
      </c>
      <c r="W555" s="7">
        <v>1</v>
      </c>
      <c r="X555" s="7">
        <v>0</v>
      </c>
      <c r="Y555" s="7">
        <v>0</v>
      </c>
      <c r="Z555" s="7">
        <v>0</v>
      </c>
      <c r="AA555" s="7">
        <v>0</v>
      </c>
      <c r="AB555" s="7">
        <v>1</v>
      </c>
      <c r="AC555" s="7">
        <v>1</v>
      </c>
      <c r="AD555" s="7" t="s">
        <v>5044</v>
      </c>
      <c r="AE555" s="7" t="s">
        <v>5044</v>
      </c>
      <c r="AF555" s="7" t="s">
        <v>5044</v>
      </c>
      <c r="AG555" s="7">
        <v>2</v>
      </c>
      <c r="AH555" s="7">
        <v>1</v>
      </c>
      <c r="AI555" s="7">
        <v>2</v>
      </c>
      <c r="AJ555" s="7" t="s">
        <v>5044</v>
      </c>
      <c r="AL555" s="7">
        <v>1</v>
      </c>
      <c r="AM555" s="7">
        <v>0</v>
      </c>
      <c r="AO555" s="11">
        <v>1</v>
      </c>
    </row>
    <row r="556" spans="1:41" ht="63" customHeight="1" x14ac:dyDescent="0.2">
      <c r="A556" s="7">
        <v>6992</v>
      </c>
      <c r="B556" s="7" t="s">
        <v>2270</v>
      </c>
      <c r="C556" s="7" t="s">
        <v>2271</v>
      </c>
      <c r="D556" s="7" t="s">
        <v>56</v>
      </c>
      <c r="F556" s="7" t="s">
        <v>118</v>
      </c>
      <c r="G556" s="7" t="s">
        <v>11</v>
      </c>
      <c r="H556" s="7" t="s">
        <v>2272</v>
      </c>
      <c r="I556" s="7" t="s">
        <v>13</v>
      </c>
      <c r="J556" s="7" t="s">
        <v>2273</v>
      </c>
      <c r="K556" s="7" t="s">
        <v>2274</v>
      </c>
      <c r="L556" s="11" t="s">
        <v>5044</v>
      </c>
      <c r="M556" s="7">
        <v>0</v>
      </c>
      <c r="N556" s="9" t="s">
        <v>5044</v>
      </c>
      <c r="O556" s="9" t="s">
        <v>5044</v>
      </c>
      <c r="P556" s="7">
        <v>0</v>
      </c>
      <c r="Q556" s="7">
        <v>0</v>
      </c>
      <c r="R556" s="7">
        <v>0</v>
      </c>
      <c r="S556" s="7">
        <v>3</v>
      </c>
      <c r="T556" s="7">
        <v>1</v>
      </c>
      <c r="U556" s="7">
        <v>106</v>
      </c>
      <c r="V556" s="7">
        <v>1</v>
      </c>
      <c r="W556" s="7">
        <v>0</v>
      </c>
      <c r="X556" s="7">
        <v>0</v>
      </c>
      <c r="Y556" s="7">
        <v>0</v>
      </c>
      <c r="Z556" s="7">
        <v>0</v>
      </c>
      <c r="AA556" s="7">
        <v>0</v>
      </c>
      <c r="AB556" s="7">
        <v>1</v>
      </c>
      <c r="AC556" s="7">
        <v>0</v>
      </c>
      <c r="AD556" s="7">
        <v>0</v>
      </c>
      <c r="AE556" s="7" t="s">
        <v>5044</v>
      </c>
      <c r="AF556" s="7" t="s">
        <v>5044</v>
      </c>
      <c r="AG556" s="7" t="s">
        <v>5044</v>
      </c>
      <c r="AH556" s="7" t="s">
        <v>5044</v>
      </c>
      <c r="AI556" s="7" t="s">
        <v>5044</v>
      </c>
      <c r="AJ556" s="7" t="s">
        <v>5044</v>
      </c>
      <c r="AL556" s="7">
        <v>0</v>
      </c>
      <c r="AM556" s="7">
        <v>0</v>
      </c>
      <c r="AO556" s="7">
        <v>9</v>
      </c>
    </row>
    <row r="557" spans="1:41" ht="63" customHeight="1" x14ac:dyDescent="0.2">
      <c r="A557" s="7">
        <v>7003</v>
      </c>
      <c r="B557" s="7" t="s">
        <v>2275</v>
      </c>
      <c r="C557" s="7" t="s">
        <v>2276</v>
      </c>
      <c r="D557" s="7" t="s">
        <v>25</v>
      </c>
      <c r="F557" s="7" t="s">
        <v>1042</v>
      </c>
      <c r="G557" s="7" t="s">
        <v>32</v>
      </c>
      <c r="H557" s="7" t="s">
        <v>891</v>
      </c>
      <c r="I557" s="7" t="s">
        <v>13</v>
      </c>
      <c r="J557" s="7" t="s">
        <v>2277</v>
      </c>
      <c r="K557" s="7" t="s">
        <v>2278</v>
      </c>
      <c r="L557" s="8" t="s">
        <v>6100</v>
      </c>
      <c r="M557" s="7">
        <v>0</v>
      </c>
      <c r="N557" s="9" t="s">
        <v>5044</v>
      </c>
      <c r="O557" s="9" t="s">
        <v>5044</v>
      </c>
      <c r="P557" s="7">
        <v>0</v>
      </c>
      <c r="Q557" s="7">
        <v>0</v>
      </c>
      <c r="R557" s="7">
        <v>0</v>
      </c>
      <c r="S557" s="7">
        <v>9</v>
      </c>
      <c r="T557" s="7">
        <v>1</v>
      </c>
      <c r="U557" s="7">
        <v>41</v>
      </c>
      <c r="V557" s="7">
        <v>0</v>
      </c>
      <c r="W557" s="7">
        <v>1</v>
      </c>
      <c r="X557" s="7">
        <v>0</v>
      </c>
      <c r="Y557" s="7">
        <v>0</v>
      </c>
      <c r="Z557" s="7">
        <v>0</v>
      </c>
      <c r="AA557" s="7">
        <v>0</v>
      </c>
      <c r="AB557" s="7">
        <v>1</v>
      </c>
      <c r="AC557" s="7">
        <v>1</v>
      </c>
      <c r="AD557" s="7" t="s">
        <v>5044</v>
      </c>
      <c r="AE557" s="7" t="s">
        <v>5044</v>
      </c>
      <c r="AF557" s="7" t="s">
        <v>5044</v>
      </c>
      <c r="AG557" s="7">
        <v>1</v>
      </c>
      <c r="AH557" s="7">
        <v>0</v>
      </c>
      <c r="AI557" s="7">
        <v>0</v>
      </c>
      <c r="AJ557" s="7" t="s">
        <v>5044</v>
      </c>
      <c r="AL557" s="7">
        <v>1</v>
      </c>
      <c r="AM557" s="7">
        <v>0</v>
      </c>
      <c r="AO557" s="9">
        <v>0</v>
      </c>
    </row>
    <row r="558" spans="1:41" ht="63" customHeight="1" x14ac:dyDescent="0.2">
      <c r="A558" s="7">
        <v>7010</v>
      </c>
      <c r="B558" s="7" t="s">
        <v>2287</v>
      </c>
      <c r="C558" s="7" t="s">
        <v>2288</v>
      </c>
      <c r="D558" s="7" t="s">
        <v>46</v>
      </c>
      <c r="F558" s="7" t="s">
        <v>299</v>
      </c>
      <c r="G558" s="7" t="s">
        <v>32</v>
      </c>
      <c r="H558" s="7" t="s">
        <v>692</v>
      </c>
      <c r="I558" s="7" t="s">
        <v>13</v>
      </c>
      <c r="J558" s="7" t="s">
        <v>2289</v>
      </c>
      <c r="K558" s="7" t="s">
        <v>2290</v>
      </c>
      <c r="L558" s="11" t="s">
        <v>5044</v>
      </c>
      <c r="M558" s="7">
        <v>0</v>
      </c>
      <c r="N558" s="9" t="s">
        <v>5044</v>
      </c>
      <c r="O558" s="9" t="s">
        <v>5044</v>
      </c>
      <c r="P558" s="7">
        <v>0</v>
      </c>
      <c r="Q558" s="7">
        <v>0</v>
      </c>
      <c r="R558" s="7">
        <v>0</v>
      </c>
      <c r="S558" s="7">
        <v>1</v>
      </c>
      <c r="T558" s="7">
        <v>1</v>
      </c>
      <c r="U558" s="7">
        <v>77</v>
      </c>
      <c r="V558" s="7">
        <v>0</v>
      </c>
      <c r="W558" s="7">
        <v>1</v>
      </c>
      <c r="X558" s="7">
        <v>0</v>
      </c>
      <c r="Y558" s="7">
        <v>0</v>
      </c>
      <c r="Z558" s="7">
        <v>0</v>
      </c>
      <c r="AA558" s="7">
        <v>0</v>
      </c>
      <c r="AB558" s="7">
        <v>1</v>
      </c>
      <c r="AC558" s="7">
        <v>1</v>
      </c>
      <c r="AD558" s="7" t="s">
        <v>5044</v>
      </c>
      <c r="AE558" s="7" t="s">
        <v>5044</v>
      </c>
      <c r="AF558" s="7" t="s">
        <v>5044</v>
      </c>
      <c r="AG558" s="7">
        <v>1</v>
      </c>
      <c r="AH558" s="7">
        <v>0</v>
      </c>
      <c r="AI558" s="7">
        <v>0</v>
      </c>
      <c r="AJ558" s="7" t="s">
        <v>5044</v>
      </c>
      <c r="AL558" s="7" t="s">
        <v>5044</v>
      </c>
      <c r="AM558" s="7">
        <v>0</v>
      </c>
      <c r="AN558" s="7" t="s">
        <v>5105</v>
      </c>
      <c r="AO558" s="9">
        <v>0</v>
      </c>
    </row>
    <row r="559" spans="1:41" ht="63" customHeight="1" x14ac:dyDescent="0.2">
      <c r="A559" s="7">
        <v>7035</v>
      </c>
      <c r="B559" s="7" t="s">
        <v>2299</v>
      </c>
      <c r="C559" s="7" t="s">
        <v>2300</v>
      </c>
      <c r="D559" s="7" t="s">
        <v>46</v>
      </c>
      <c r="F559" s="7" t="s">
        <v>2301</v>
      </c>
      <c r="G559" s="7" t="s">
        <v>2302</v>
      </c>
      <c r="H559" s="7" t="s">
        <v>180</v>
      </c>
      <c r="I559" s="7" t="s">
        <v>13</v>
      </c>
      <c r="J559" s="7" t="s">
        <v>2303</v>
      </c>
      <c r="K559" s="7" t="s">
        <v>2304</v>
      </c>
      <c r="L559" s="7" t="s">
        <v>6104</v>
      </c>
      <c r="M559" s="7">
        <v>0</v>
      </c>
      <c r="N559" s="9" t="s">
        <v>5044</v>
      </c>
      <c r="O559" s="9" t="s">
        <v>5044</v>
      </c>
      <c r="P559" s="7">
        <v>0</v>
      </c>
      <c r="Q559" s="7">
        <v>0</v>
      </c>
      <c r="R559" s="7">
        <v>0</v>
      </c>
      <c r="S559" s="7">
        <v>1</v>
      </c>
      <c r="T559" s="7">
        <v>1</v>
      </c>
      <c r="U559" s="7">
        <v>417</v>
      </c>
      <c r="V559" s="7">
        <v>0</v>
      </c>
      <c r="W559" s="7">
        <v>1</v>
      </c>
      <c r="X559" s="7">
        <v>0</v>
      </c>
      <c r="Y559" s="7">
        <v>0</v>
      </c>
      <c r="Z559" s="7">
        <v>1</v>
      </c>
      <c r="AA559" s="7">
        <v>0</v>
      </c>
      <c r="AB559" s="7">
        <v>1</v>
      </c>
      <c r="AC559" s="7">
        <v>1</v>
      </c>
      <c r="AD559" s="7" t="s">
        <v>5044</v>
      </c>
      <c r="AE559" s="7" t="s">
        <v>5044</v>
      </c>
      <c r="AF559" s="7" t="s">
        <v>5044</v>
      </c>
      <c r="AG559" s="7">
        <v>1</v>
      </c>
      <c r="AH559" s="7">
        <v>0</v>
      </c>
      <c r="AI559" s="7">
        <v>0</v>
      </c>
      <c r="AJ559" s="7">
        <v>0</v>
      </c>
      <c r="AL559" s="7">
        <v>0</v>
      </c>
      <c r="AM559" s="7">
        <v>0</v>
      </c>
      <c r="AO559" s="9">
        <v>0</v>
      </c>
    </row>
    <row r="560" spans="1:41" ht="63" customHeight="1" x14ac:dyDescent="0.2">
      <c r="A560" s="7">
        <v>7049</v>
      </c>
      <c r="B560" s="7" t="s">
        <v>2305</v>
      </c>
      <c r="C560" s="7" t="s">
        <v>2306</v>
      </c>
      <c r="D560" s="7" t="s">
        <v>101</v>
      </c>
      <c r="F560" s="7" t="s">
        <v>1353</v>
      </c>
      <c r="G560" s="7" t="s">
        <v>52</v>
      </c>
      <c r="H560" s="7" t="s">
        <v>2307</v>
      </c>
      <c r="I560" s="7" t="s">
        <v>13</v>
      </c>
      <c r="J560" s="7" t="s">
        <v>2308</v>
      </c>
      <c r="L560" s="11" t="s">
        <v>5044</v>
      </c>
      <c r="M560" s="7">
        <v>0</v>
      </c>
      <c r="N560" s="9" t="s">
        <v>5044</v>
      </c>
      <c r="O560" s="9" t="s">
        <v>5044</v>
      </c>
      <c r="P560" s="7">
        <v>0</v>
      </c>
      <c r="Q560" s="7">
        <v>0</v>
      </c>
      <c r="R560" s="7">
        <v>0</v>
      </c>
      <c r="S560" s="7">
        <v>3</v>
      </c>
      <c r="T560" s="7">
        <v>1</v>
      </c>
      <c r="U560" s="7">
        <v>88</v>
      </c>
      <c r="V560" s="7">
        <v>0</v>
      </c>
      <c r="W560" s="7">
        <v>1</v>
      </c>
      <c r="X560" s="7">
        <v>0</v>
      </c>
      <c r="Y560" s="7">
        <v>0</v>
      </c>
      <c r="Z560" s="7">
        <v>0</v>
      </c>
      <c r="AA560" s="7">
        <v>0</v>
      </c>
      <c r="AB560" s="7">
        <v>1</v>
      </c>
      <c r="AC560" s="7">
        <v>1</v>
      </c>
      <c r="AD560" s="7" t="s">
        <v>5044</v>
      </c>
      <c r="AE560" s="7" t="s">
        <v>5044</v>
      </c>
      <c r="AF560" s="7" t="s">
        <v>5044</v>
      </c>
      <c r="AG560" s="7">
        <v>2</v>
      </c>
      <c r="AH560" s="7">
        <v>3</v>
      </c>
      <c r="AI560" s="7">
        <v>0</v>
      </c>
      <c r="AJ560" s="7" t="s">
        <v>5044</v>
      </c>
      <c r="AK560" s="7" t="s">
        <v>6499</v>
      </c>
      <c r="AL560" s="7" t="s">
        <v>5044</v>
      </c>
      <c r="AM560" s="7">
        <v>0</v>
      </c>
      <c r="AN560" s="7" t="s">
        <v>5105</v>
      </c>
      <c r="AO560" s="11">
        <v>3</v>
      </c>
    </row>
    <row r="561" spans="1:41" ht="63" customHeight="1" x14ac:dyDescent="0.2">
      <c r="A561" s="7">
        <v>7057</v>
      </c>
      <c r="B561" s="7" t="s">
        <v>2313</v>
      </c>
      <c r="C561" s="7" t="s">
        <v>2314</v>
      </c>
      <c r="D561" s="7" t="s">
        <v>16</v>
      </c>
      <c r="F561" s="7" t="s">
        <v>92</v>
      </c>
      <c r="G561" s="7" t="s">
        <v>746</v>
      </c>
      <c r="H561" s="7" t="s">
        <v>862</v>
      </c>
      <c r="I561" s="7" t="s">
        <v>13</v>
      </c>
      <c r="J561" s="7" t="s">
        <v>2315</v>
      </c>
      <c r="K561" s="7" t="s">
        <v>2316</v>
      </c>
      <c r="L561" s="8" t="s">
        <v>6106</v>
      </c>
      <c r="M561" s="7">
        <v>0</v>
      </c>
      <c r="N561" s="9" t="s">
        <v>5044</v>
      </c>
      <c r="O561" s="9" t="s">
        <v>5044</v>
      </c>
      <c r="P561" s="7">
        <v>0</v>
      </c>
      <c r="Q561" s="7">
        <v>0</v>
      </c>
      <c r="R561" s="7">
        <v>0</v>
      </c>
      <c r="S561" s="7">
        <v>9</v>
      </c>
      <c r="T561" s="7">
        <v>4</v>
      </c>
      <c r="U561" s="7">
        <v>70</v>
      </c>
      <c r="V561" s="7">
        <v>0</v>
      </c>
      <c r="W561" s="7">
        <v>1</v>
      </c>
      <c r="X561" s="7">
        <v>0</v>
      </c>
      <c r="Y561" s="7">
        <v>0</v>
      </c>
      <c r="Z561" s="7">
        <v>0</v>
      </c>
      <c r="AA561" s="7">
        <v>0</v>
      </c>
      <c r="AB561" s="7">
        <v>1</v>
      </c>
      <c r="AC561" s="7">
        <v>0</v>
      </c>
      <c r="AD561" s="7" t="s">
        <v>5044</v>
      </c>
      <c r="AE561" s="7" t="s">
        <v>5044</v>
      </c>
      <c r="AF561" s="7" t="s">
        <v>5044</v>
      </c>
      <c r="AG561" s="7">
        <v>0</v>
      </c>
      <c r="AH561" s="7" t="s">
        <v>5044</v>
      </c>
      <c r="AI561" s="7" t="s">
        <v>5044</v>
      </c>
      <c r="AJ561" s="7" t="s">
        <v>5044</v>
      </c>
      <c r="AL561" s="7">
        <v>1</v>
      </c>
      <c r="AM561" s="7">
        <v>0</v>
      </c>
      <c r="AO561" s="11">
        <v>9</v>
      </c>
    </row>
    <row r="562" spans="1:41" ht="63" customHeight="1" x14ac:dyDescent="0.2">
      <c r="A562" s="7">
        <v>7066</v>
      </c>
      <c r="B562" s="7" t="s">
        <v>2317</v>
      </c>
      <c r="C562" s="7" t="s">
        <v>2318</v>
      </c>
      <c r="D562" s="7" t="s">
        <v>22</v>
      </c>
      <c r="F562" s="7" t="s">
        <v>543</v>
      </c>
      <c r="G562" s="7" t="s">
        <v>37</v>
      </c>
      <c r="H562" s="7" t="s">
        <v>71</v>
      </c>
      <c r="I562" s="7" t="s">
        <v>13</v>
      </c>
      <c r="J562" s="7" t="s">
        <v>2319</v>
      </c>
      <c r="K562" s="7" t="s">
        <v>2320</v>
      </c>
      <c r="L562" s="11" t="s">
        <v>5044</v>
      </c>
      <c r="M562" s="7">
        <v>0</v>
      </c>
      <c r="N562" s="9" t="s">
        <v>5044</v>
      </c>
      <c r="O562" s="9" t="s">
        <v>5044</v>
      </c>
      <c r="P562" s="7">
        <v>0</v>
      </c>
      <c r="Q562" s="7">
        <v>0</v>
      </c>
      <c r="R562" s="7">
        <v>0</v>
      </c>
      <c r="S562" s="7">
        <v>1</v>
      </c>
      <c r="T562" s="7">
        <v>4</v>
      </c>
      <c r="U562" s="7">
        <v>144</v>
      </c>
      <c r="V562" s="7">
        <v>1</v>
      </c>
      <c r="W562" s="7">
        <v>0</v>
      </c>
      <c r="X562" s="7">
        <v>0</v>
      </c>
      <c r="Y562" s="7">
        <v>0</v>
      </c>
      <c r="Z562" s="7">
        <v>0</v>
      </c>
      <c r="AA562" s="7">
        <v>0</v>
      </c>
      <c r="AB562" s="7">
        <v>1</v>
      </c>
      <c r="AC562" s="7">
        <v>1</v>
      </c>
      <c r="AD562" s="7">
        <v>2</v>
      </c>
      <c r="AE562" s="7">
        <v>1</v>
      </c>
      <c r="AF562" s="7">
        <v>1</v>
      </c>
      <c r="AG562" s="7" t="s">
        <v>5044</v>
      </c>
      <c r="AH562" s="7" t="s">
        <v>5044</v>
      </c>
      <c r="AI562" s="7" t="s">
        <v>5044</v>
      </c>
      <c r="AJ562" s="7" t="s">
        <v>5044</v>
      </c>
      <c r="AL562" s="7">
        <v>0</v>
      </c>
      <c r="AM562" s="7">
        <v>0</v>
      </c>
      <c r="AO562" s="11">
        <v>1</v>
      </c>
    </row>
    <row r="563" spans="1:41" ht="63" customHeight="1" x14ac:dyDescent="0.2">
      <c r="A563" s="7">
        <v>7080</v>
      </c>
      <c r="B563" s="7" t="s">
        <v>2321</v>
      </c>
      <c r="C563" s="7" t="s">
        <v>2322</v>
      </c>
      <c r="D563" s="7" t="s">
        <v>46</v>
      </c>
      <c r="F563" s="7" t="s">
        <v>143</v>
      </c>
      <c r="G563" s="7" t="s">
        <v>11</v>
      </c>
      <c r="H563" s="7" t="s">
        <v>157</v>
      </c>
      <c r="I563" s="7" t="s">
        <v>13</v>
      </c>
      <c r="J563" s="7" t="s">
        <v>2323</v>
      </c>
      <c r="K563" s="7" t="s">
        <v>2324</v>
      </c>
      <c r="L563" s="8" t="s">
        <v>6107</v>
      </c>
      <c r="M563" s="7">
        <v>0</v>
      </c>
      <c r="N563" s="9" t="s">
        <v>5044</v>
      </c>
      <c r="O563" s="9" t="s">
        <v>5044</v>
      </c>
      <c r="P563" s="7">
        <v>0</v>
      </c>
      <c r="Q563" s="7">
        <v>0</v>
      </c>
      <c r="R563" s="7">
        <v>0</v>
      </c>
      <c r="S563" s="7">
        <v>1</v>
      </c>
      <c r="T563" s="7">
        <v>4</v>
      </c>
      <c r="U563" s="7">
        <v>122</v>
      </c>
      <c r="V563" s="7">
        <v>0</v>
      </c>
      <c r="W563" s="7">
        <v>1</v>
      </c>
      <c r="X563" s="7">
        <v>0</v>
      </c>
      <c r="Y563" s="7">
        <v>0</v>
      </c>
      <c r="Z563" s="7">
        <v>0</v>
      </c>
      <c r="AA563" s="7">
        <v>0</v>
      </c>
      <c r="AB563" s="7">
        <v>1</v>
      </c>
      <c r="AC563" s="7">
        <v>1</v>
      </c>
      <c r="AD563" s="7" t="s">
        <v>5044</v>
      </c>
      <c r="AE563" s="7" t="s">
        <v>5044</v>
      </c>
      <c r="AF563" s="7" t="s">
        <v>5044</v>
      </c>
      <c r="AG563" s="7">
        <v>2</v>
      </c>
      <c r="AH563" s="7">
        <v>3</v>
      </c>
      <c r="AI563" s="7">
        <v>0</v>
      </c>
      <c r="AJ563" s="7" t="s">
        <v>5044</v>
      </c>
      <c r="AK563" s="7">
        <v>1</v>
      </c>
      <c r="AL563" s="7">
        <v>0</v>
      </c>
      <c r="AM563" s="7">
        <v>0</v>
      </c>
      <c r="AO563" s="11">
        <v>3</v>
      </c>
    </row>
    <row r="564" spans="1:41" ht="63" customHeight="1" x14ac:dyDescent="0.2">
      <c r="A564" s="7">
        <v>7086</v>
      </c>
      <c r="B564" s="23" t="s">
        <v>2325</v>
      </c>
      <c r="C564" s="7" t="s">
        <v>2326</v>
      </c>
      <c r="D564" s="7" t="s">
        <v>149</v>
      </c>
      <c r="F564" s="7" t="s">
        <v>2327</v>
      </c>
      <c r="G564" s="7" t="s">
        <v>18</v>
      </c>
      <c r="H564" s="7" t="s">
        <v>679</v>
      </c>
      <c r="I564" s="7" t="s">
        <v>13</v>
      </c>
      <c r="J564" s="7" t="s">
        <v>2328</v>
      </c>
      <c r="K564" s="7" t="s">
        <v>2329</v>
      </c>
      <c r="L564" s="8" t="s">
        <v>6108</v>
      </c>
      <c r="M564" s="7">
        <v>0</v>
      </c>
      <c r="N564" s="9" t="s">
        <v>5044</v>
      </c>
      <c r="O564" s="9" t="s">
        <v>5044</v>
      </c>
      <c r="P564" s="7">
        <v>0</v>
      </c>
      <c r="Q564" s="7">
        <v>0</v>
      </c>
      <c r="R564" s="7">
        <v>0</v>
      </c>
      <c r="S564" s="7">
        <v>3</v>
      </c>
      <c r="T564" s="7">
        <v>4</v>
      </c>
      <c r="U564" s="7">
        <v>136</v>
      </c>
      <c r="V564" s="7">
        <v>0</v>
      </c>
      <c r="W564" s="7">
        <v>1</v>
      </c>
      <c r="X564" s="7">
        <v>0</v>
      </c>
      <c r="Y564" s="7">
        <v>0</v>
      </c>
      <c r="Z564" s="7">
        <v>0</v>
      </c>
      <c r="AA564" s="7">
        <v>0</v>
      </c>
      <c r="AB564" s="7">
        <v>1</v>
      </c>
      <c r="AC564" s="7">
        <v>0</v>
      </c>
      <c r="AD564" s="7" t="s">
        <v>5044</v>
      </c>
      <c r="AE564" s="7" t="s">
        <v>5044</v>
      </c>
      <c r="AF564" s="7" t="s">
        <v>5044</v>
      </c>
      <c r="AG564" s="7">
        <v>0</v>
      </c>
      <c r="AH564" s="23" t="s">
        <v>5044</v>
      </c>
      <c r="AI564" s="7" t="s">
        <v>5044</v>
      </c>
      <c r="AJ564" s="7" t="s">
        <v>5044</v>
      </c>
      <c r="AL564" s="7" t="s">
        <v>5044</v>
      </c>
      <c r="AM564" s="7">
        <v>0</v>
      </c>
      <c r="AN564" s="7" t="s">
        <v>5105</v>
      </c>
      <c r="AO564" s="11">
        <v>9</v>
      </c>
    </row>
    <row r="565" spans="1:41" ht="63" customHeight="1" x14ac:dyDescent="0.2">
      <c r="A565" s="7">
        <v>7115</v>
      </c>
      <c r="B565" s="7" t="s">
        <v>2330</v>
      </c>
      <c r="C565" s="7" t="s">
        <v>2331</v>
      </c>
      <c r="D565" s="7" t="s">
        <v>101</v>
      </c>
      <c r="F565" s="7" t="s">
        <v>65</v>
      </c>
      <c r="G565" s="7" t="s">
        <v>37</v>
      </c>
      <c r="H565" s="7" t="s">
        <v>427</v>
      </c>
      <c r="I565" s="7" t="s">
        <v>13</v>
      </c>
      <c r="J565" s="7" t="s">
        <v>2332</v>
      </c>
      <c r="K565" s="7" t="s">
        <v>2333</v>
      </c>
      <c r="L565" s="6" t="s">
        <v>6109</v>
      </c>
      <c r="M565" s="7">
        <v>0</v>
      </c>
      <c r="N565" s="9" t="s">
        <v>5044</v>
      </c>
      <c r="O565" s="9" t="s">
        <v>5044</v>
      </c>
      <c r="P565" s="7">
        <v>0</v>
      </c>
      <c r="Q565" s="7">
        <v>0</v>
      </c>
      <c r="R565" s="7">
        <v>0</v>
      </c>
      <c r="S565" s="7">
        <v>1</v>
      </c>
      <c r="T565" s="7">
        <v>1</v>
      </c>
      <c r="U565" s="7">
        <v>150</v>
      </c>
      <c r="V565" s="7">
        <v>0</v>
      </c>
      <c r="W565" s="7">
        <v>1</v>
      </c>
      <c r="X565" s="7">
        <v>0</v>
      </c>
      <c r="Y565" s="7">
        <v>0</v>
      </c>
      <c r="Z565" s="7">
        <v>0</v>
      </c>
      <c r="AA565" s="7">
        <v>0</v>
      </c>
      <c r="AB565" s="7">
        <v>1</v>
      </c>
      <c r="AC565" s="7">
        <v>1</v>
      </c>
      <c r="AD565" s="7" t="s">
        <v>5044</v>
      </c>
      <c r="AE565" s="7" t="s">
        <v>5044</v>
      </c>
      <c r="AF565" s="7" t="s">
        <v>5044</v>
      </c>
      <c r="AG565" s="7">
        <v>2</v>
      </c>
      <c r="AH565" s="7">
        <v>3</v>
      </c>
      <c r="AI565" s="7">
        <v>0</v>
      </c>
      <c r="AJ565" s="7" t="s">
        <v>5044</v>
      </c>
      <c r="AK565" s="7">
        <v>1</v>
      </c>
      <c r="AL565" s="7">
        <v>0</v>
      </c>
      <c r="AM565" s="7">
        <v>0</v>
      </c>
      <c r="AO565" s="11">
        <v>3</v>
      </c>
    </row>
    <row r="566" spans="1:41" ht="63" customHeight="1" x14ac:dyDescent="0.2">
      <c r="A566" s="7">
        <v>7160</v>
      </c>
      <c r="B566" s="7" t="s">
        <v>2334</v>
      </c>
      <c r="C566" s="7" t="s">
        <v>2335</v>
      </c>
      <c r="D566" s="7" t="s">
        <v>56</v>
      </c>
      <c r="F566" s="7" t="s">
        <v>325</v>
      </c>
      <c r="G566" s="7" t="s">
        <v>92</v>
      </c>
      <c r="H566" s="7" t="s">
        <v>160</v>
      </c>
      <c r="I566" s="7" t="s">
        <v>13</v>
      </c>
      <c r="J566" s="7" t="s">
        <v>2336</v>
      </c>
      <c r="K566" s="7" t="s">
        <v>2337</v>
      </c>
      <c r="L566" s="8" t="s">
        <v>6110</v>
      </c>
      <c r="M566" s="7">
        <v>0</v>
      </c>
      <c r="N566" s="9" t="s">
        <v>5044</v>
      </c>
      <c r="O566" s="9" t="s">
        <v>5044</v>
      </c>
      <c r="P566" s="7">
        <v>0</v>
      </c>
      <c r="Q566" s="7">
        <v>0</v>
      </c>
      <c r="R566" s="7">
        <v>0</v>
      </c>
      <c r="S566" s="7">
        <v>1</v>
      </c>
      <c r="T566" s="7">
        <v>4</v>
      </c>
      <c r="U566" s="7">
        <v>120</v>
      </c>
      <c r="V566" s="7">
        <v>0</v>
      </c>
      <c r="W566" s="7">
        <v>1</v>
      </c>
      <c r="X566" s="7">
        <v>0</v>
      </c>
      <c r="Y566" s="7">
        <v>0</v>
      </c>
      <c r="Z566" s="7">
        <v>0</v>
      </c>
      <c r="AA566" s="7">
        <v>0</v>
      </c>
      <c r="AB566" s="7">
        <v>1</v>
      </c>
      <c r="AC566" s="7">
        <v>1</v>
      </c>
      <c r="AD566" s="7" t="s">
        <v>5044</v>
      </c>
      <c r="AE566" s="7" t="s">
        <v>5044</v>
      </c>
      <c r="AF566" s="7" t="s">
        <v>5044</v>
      </c>
      <c r="AG566" s="7">
        <v>1</v>
      </c>
      <c r="AH566" s="7">
        <v>0</v>
      </c>
      <c r="AI566" s="7">
        <v>0</v>
      </c>
      <c r="AJ566" s="7" t="s">
        <v>5044</v>
      </c>
      <c r="AL566" s="7">
        <v>1</v>
      </c>
      <c r="AM566" s="7">
        <v>0</v>
      </c>
      <c r="AO566" s="9">
        <v>0</v>
      </c>
    </row>
    <row r="567" spans="1:41" ht="63" customHeight="1" x14ac:dyDescent="0.2">
      <c r="A567" s="7">
        <v>7179</v>
      </c>
      <c r="B567" s="7" t="s">
        <v>2342</v>
      </c>
      <c r="C567" s="7" t="s">
        <v>2343</v>
      </c>
      <c r="D567" s="7" t="s">
        <v>41</v>
      </c>
      <c r="F567" s="7" t="s">
        <v>92</v>
      </c>
      <c r="G567" s="7" t="s">
        <v>37</v>
      </c>
      <c r="H567" s="7" t="s">
        <v>19</v>
      </c>
      <c r="I567" s="7" t="s">
        <v>13</v>
      </c>
      <c r="J567" s="7" t="s">
        <v>2344</v>
      </c>
      <c r="K567" s="7" t="s">
        <v>2345</v>
      </c>
      <c r="L567" s="6" t="s">
        <v>6111</v>
      </c>
      <c r="M567" s="7">
        <v>0</v>
      </c>
      <c r="N567" s="9" t="s">
        <v>5044</v>
      </c>
      <c r="O567" s="9" t="s">
        <v>5044</v>
      </c>
      <c r="P567" s="7">
        <v>0</v>
      </c>
      <c r="Q567" s="7">
        <v>0</v>
      </c>
      <c r="R567" s="7">
        <v>0</v>
      </c>
      <c r="S567" s="7">
        <v>4</v>
      </c>
      <c r="T567" s="7">
        <v>1</v>
      </c>
      <c r="U567" s="7">
        <v>143</v>
      </c>
      <c r="V567" s="7">
        <v>0</v>
      </c>
      <c r="W567" s="7">
        <v>1</v>
      </c>
      <c r="X567" s="7">
        <v>0</v>
      </c>
      <c r="Y567" s="7">
        <v>0</v>
      </c>
      <c r="Z567" s="7">
        <v>0</v>
      </c>
      <c r="AA567" s="7">
        <v>0</v>
      </c>
      <c r="AB567" s="7">
        <v>1</v>
      </c>
      <c r="AC567" s="7">
        <v>1</v>
      </c>
      <c r="AD567" s="7" t="s">
        <v>5044</v>
      </c>
      <c r="AE567" s="7" t="s">
        <v>5044</v>
      </c>
      <c r="AF567" s="7" t="s">
        <v>5044</v>
      </c>
      <c r="AG567" s="7">
        <v>1</v>
      </c>
      <c r="AH567" s="7">
        <v>0</v>
      </c>
      <c r="AI567" s="7">
        <v>0</v>
      </c>
      <c r="AJ567" s="7" t="s">
        <v>5044</v>
      </c>
      <c r="AL567" s="7">
        <v>0</v>
      </c>
      <c r="AM567" s="7">
        <v>0</v>
      </c>
      <c r="AO567" s="9">
        <v>0</v>
      </c>
    </row>
    <row r="568" spans="1:41" ht="63" customHeight="1" x14ac:dyDescent="0.2">
      <c r="A568" s="7">
        <v>7183</v>
      </c>
      <c r="B568" s="7" t="s">
        <v>2346</v>
      </c>
      <c r="C568" s="7" t="s">
        <v>2347</v>
      </c>
      <c r="D568" s="7" t="s">
        <v>25</v>
      </c>
      <c r="F568" s="7" t="s">
        <v>325</v>
      </c>
      <c r="G568" s="7" t="s">
        <v>52</v>
      </c>
      <c r="H568" s="7" t="s">
        <v>670</v>
      </c>
      <c r="I568" s="7" t="s">
        <v>13</v>
      </c>
      <c r="J568" s="7" t="s">
        <v>2348</v>
      </c>
      <c r="K568" s="7" t="s">
        <v>2349</v>
      </c>
      <c r="L568" s="11" t="s">
        <v>5044</v>
      </c>
      <c r="M568" s="7">
        <v>0</v>
      </c>
      <c r="N568" s="9" t="s">
        <v>5044</v>
      </c>
      <c r="O568" s="9" t="s">
        <v>5044</v>
      </c>
      <c r="P568" s="7">
        <v>0</v>
      </c>
      <c r="Q568" s="7">
        <v>0</v>
      </c>
      <c r="R568" s="7">
        <v>0</v>
      </c>
      <c r="S568" s="7" t="s">
        <v>5728</v>
      </c>
      <c r="T568" s="7">
        <v>1</v>
      </c>
      <c r="U568" s="7">
        <v>29</v>
      </c>
      <c r="V568" s="7">
        <v>0</v>
      </c>
      <c r="W568" s="7">
        <v>1</v>
      </c>
      <c r="X568" s="7">
        <v>0</v>
      </c>
      <c r="Y568" s="7">
        <v>0</v>
      </c>
      <c r="Z568" s="7">
        <v>0</v>
      </c>
      <c r="AA568" s="7">
        <v>0</v>
      </c>
      <c r="AB568" s="7">
        <v>1</v>
      </c>
      <c r="AC568" s="7">
        <v>1</v>
      </c>
      <c r="AD568" s="7" t="s">
        <v>5044</v>
      </c>
      <c r="AE568" s="7" t="s">
        <v>5044</v>
      </c>
      <c r="AF568" s="7" t="s">
        <v>5044</v>
      </c>
      <c r="AG568" s="7">
        <v>1</v>
      </c>
      <c r="AH568" s="7">
        <v>0</v>
      </c>
      <c r="AI568" s="7">
        <v>0</v>
      </c>
      <c r="AJ568" s="7" t="s">
        <v>5044</v>
      </c>
      <c r="AL568" s="7" t="s">
        <v>5044</v>
      </c>
      <c r="AM568" s="7">
        <v>0</v>
      </c>
      <c r="AN568" s="7" t="s">
        <v>5105</v>
      </c>
      <c r="AO568" s="9">
        <v>0</v>
      </c>
    </row>
    <row r="569" spans="1:41" ht="63" customHeight="1" x14ac:dyDescent="0.2">
      <c r="A569" s="7">
        <v>7184</v>
      </c>
      <c r="B569" s="7" t="s">
        <v>2350</v>
      </c>
      <c r="C569" s="7" t="s">
        <v>2351</v>
      </c>
      <c r="D569" s="7" t="s">
        <v>35</v>
      </c>
      <c r="F569" s="7" t="s">
        <v>289</v>
      </c>
      <c r="G569" s="7" t="s">
        <v>92</v>
      </c>
      <c r="H569" s="7" t="s">
        <v>2352</v>
      </c>
      <c r="I569" s="7" t="s">
        <v>13</v>
      </c>
      <c r="J569" s="7" t="s">
        <v>2353</v>
      </c>
      <c r="K569" s="7" t="s">
        <v>2354</v>
      </c>
      <c r="L569" s="11" t="s">
        <v>5044</v>
      </c>
      <c r="M569" s="7">
        <v>0</v>
      </c>
      <c r="N569" s="9" t="s">
        <v>5044</v>
      </c>
      <c r="O569" s="9" t="s">
        <v>5044</v>
      </c>
      <c r="P569" s="7">
        <v>0</v>
      </c>
      <c r="Q569" s="7">
        <v>0</v>
      </c>
      <c r="R569" s="7">
        <v>0</v>
      </c>
      <c r="S569" s="7" t="s">
        <v>5728</v>
      </c>
      <c r="T569" s="7">
        <v>1</v>
      </c>
      <c r="U569" s="7">
        <v>107</v>
      </c>
      <c r="V569" s="7">
        <v>0</v>
      </c>
      <c r="W569" s="7">
        <v>1</v>
      </c>
      <c r="X569" s="7">
        <v>0</v>
      </c>
      <c r="Y569" s="7">
        <v>0</v>
      </c>
      <c r="Z569" s="7">
        <v>0</v>
      </c>
      <c r="AA569" s="7">
        <v>0</v>
      </c>
      <c r="AB569" s="7">
        <v>1</v>
      </c>
      <c r="AC569" s="7">
        <v>1</v>
      </c>
      <c r="AD569" s="7" t="s">
        <v>5044</v>
      </c>
      <c r="AE569" s="7" t="s">
        <v>5044</v>
      </c>
      <c r="AF569" s="7" t="s">
        <v>5044</v>
      </c>
      <c r="AG569" s="7">
        <v>1</v>
      </c>
      <c r="AH569" s="7">
        <v>0</v>
      </c>
      <c r="AI569" s="7">
        <v>0</v>
      </c>
      <c r="AJ569" s="7" t="s">
        <v>5044</v>
      </c>
      <c r="AL569" s="7" t="s">
        <v>5044</v>
      </c>
      <c r="AM569" s="7">
        <v>0</v>
      </c>
      <c r="AN569" s="7" t="s">
        <v>5105</v>
      </c>
      <c r="AO569" s="9">
        <v>0</v>
      </c>
    </row>
    <row r="570" spans="1:41" ht="63" customHeight="1" x14ac:dyDescent="0.2">
      <c r="A570" s="7">
        <v>7191</v>
      </c>
      <c r="B570" s="7" t="s">
        <v>2359</v>
      </c>
      <c r="C570" s="7" t="s">
        <v>2360</v>
      </c>
      <c r="D570" s="7" t="s">
        <v>101</v>
      </c>
      <c r="F570" s="7" t="s">
        <v>107</v>
      </c>
      <c r="G570" s="7" t="s">
        <v>92</v>
      </c>
      <c r="H570" s="7" t="s">
        <v>1975</v>
      </c>
      <c r="I570" s="7" t="s">
        <v>13</v>
      </c>
      <c r="J570" s="7" t="s">
        <v>2361</v>
      </c>
      <c r="K570" s="7" t="s">
        <v>2362</v>
      </c>
      <c r="L570" s="11" t="s">
        <v>5044</v>
      </c>
      <c r="M570" s="7">
        <v>0</v>
      </c>
      <c r="N570" s="9" t="s">
        <v>5044</v>
      </c>
      <c r="O570" s="9" t="s">
        <v>5044</v>
      </c>
      <c r="P570" s="7">
        <v>0</v>
      </c>
      <c r="Q570" s="7">
        <v>0</v>
      </c>
      <c r="R570" s="7">
        <v>0</v>
      </c>
      <c r="S570" s="7">
        <v>9</v>
      </c>
      <c r="T570" s="7">
        <v>1</v>
      </c>
      <c r="U570" s="7">
        <v>281</v>
      </c>
      <c r="V570" s="7">
        <v>0</v>
      </c>
      <c r="W570" s="7">
        <v>1</v>
      </c>
      <c r="X570" s="7">
        <v>0</v>
      </c>
      <c r="Y570" s="7">
        <v>0</v>
      </c>
      <c r="Z570" s="7">
        <v>0</v>
      </c>
      <c r="AA570" s="7">
        <v>0</v>
      </c>
      <c r="AB570" s="7">
        <v>1</v>
      </c>
      <c r="AC570" s="7">
        <v>1</v>
      </c>
      <c r="AD570" s="7" t="s">
        <v>5044</v>
      </c>
      <c r="AE570" s="7" t="s">
        <v>5044</v>
      </c>
      <c r="AF570" s="7" t="s">
        <v>5044</v>
      </c>
      <c r="AG570" s="7">
        <v>2</v>
      </c>
      <c r="AH570" s="7">
        <v>2</v>
      </c>
      <c r="AI570" s="7">
        <v>2</v>
      </c>
      <c r="AJ570" s="7" t="s">
        <v>5044</v>
      </c>
      <c r="AL570" s="7">
        <v>1</v>
      </c>
      <c r="AM570" s="7">
        <v>0</v>
      </c>
      <c r="AO570" s="11">
        <v>2</v>
      </c>
    </row>
    <row r="571" spans="1:41" ht="63" customHeight="1" x14ac:dyDescent="0.2">
      <c r="A571" s="7">
        <v>7194</v>
      </c>
      <c r="B571" s="7" t="s">
        <v>2363</v>
      </c>
      <c r="C571" s="7" t="s">
        <v>2364</v>
      </c>
      <c r="D571" s="7" t="s">
        <v>101</v>
      </c>
      <c r="F571" s="7" t="s">
        <v>293</v>
      </c>
      <c r="G571" s="7" t="s">
        <v>144</v>
      </c>
      <c r="H571" s="7" t="s">
        <v>319</v>
      </c>
      <c r="I571" s="7" t="s">
        <v>13</v>
      </c>
      <c r="J571" s="7" t="s">
        <v>2365</v>
      </c>
      <c r="K571" s="7" t="s">
        <v>2366</v>
      </c>
      <c r="L571" s="15" t="s">
        <v>6113</v>
      </c>
      <c r="M571" s="7">
        <v>0</v>
      </c>
      <c r="N571" s="9" t="s">
        <v>5044</v>
      </c>
      <c r="O571" s="9" t="s">
        <v>5044</v>
      </c>
      <c r="P571" s="7">
        <v>0</v>
      </c>
      <c r="Q571" s="7">
        <v>0</v>
      </c>
      <c r="R571" s="7">
        <v>0</v>
      </c>
      <c r="S571" s="7">
        <v>1</v>
      </c>
      <c r="T571" s="7">
        <v>1</v>
      </c>
      <c r="U571" s="7">
        <v>71</v>
      </c>
      <c r="V571" s="7">
        <v>0</v>
      </c>
      <c r="W571" s="7">
        <v>0</v>
      </c>
      <c r="X571" s="7">
        <v>1</v>
      </c>
      <c r="Y571" s="7">
        <v>0</v>
      </c>
      <c r="Z571" s="7">
        <v>0</v>
      </c>
      <c r="AA571" s="7">
        <v>1</v>
      </c>
      <c r="AB571" s="7">
        <v>1</v>
      </c>
      <c r="AC571" s="7">
        <v>1</v>
      </c>
      <c r="AD571" s="7" t="s">
        <v>5044</v>
      </c>
      <c r="AE571" s="7" t="s">
        <v>5044</v>
      </c>
      <c r="AF571" s="7" t="s">
        <v>5044</v>
      </c>
      <c r="AG571" s="7">
        <v>2</v>
      </c>
      <c r="AH571" s="7">
        <v>1</v>
      </c>
      <c r="AI571" s="7">
        <v>2</v>
      </c>
      <c r="AJ571" s="7">
        <v>0</v>
      </c>
      <c r="AL571" s="7" t="s">
        <v>5044</v>
      </c>
      <c r="AM571" s="7">
        <v>0</v>
      </c>
      <c r="AO571" s="11">
        <v>1</v>
      </c>
    </row>
    <row r="572" spans="1:41" ht="63" customHeight="1" x14ac:dyDescent="0.2">
      <c r="A572" s="7">
        <v>7207</v>
      </c>
      <c r="B572" s="7" t="s">
        <v>2378</v>
      </c>
      <c r="C572" s="7" t="s">
        <v>2379</v>
      </c>
      <c r="D572" s="7" t="s">
        <v>149</v>
      </c>
      <c r="F572" s="7" t="s">
        <v>194</v>
      </c>
      <c r="G572" s="7" t="s">
        <v>175</v>
      </c>
      <c r="H572" s="7" t="s">
        <v>1321</v>
      </c>
      <c r="I572" s="7" t="s">
        <v>13</v>
      </c>
      <c r="J572" s="7" t="s">
        <v>2380</v>
      </c>
      <c r="K572" s="7" t="s">
        <v>2381</v>
      </c>
      <c r="L572" s="6" t="s">
        <v>6117</v>
      </c>
      <c r="M572" s="7">
        <v>0</v>
      </c>
      <c r="N572" s="9" t="s">
        <v>5044</v>
      </c>
      <c r="O572" s="9" t="s">
        <v>5044</v>
      </c>
      <c r="P572" s="7">
        <v>0</v>
      </c>
      <c r="Q572" s="7">
        <v>0</v>
      </c>
      <c r="R572" s="7">
        <v>0</v>
      </c>
      <c r="S572" s="7">
        <v>1</v>
      </c>
      <c r="T572" s="7">
        <v>1</v>
      </c>
      <c r="U572" s="7">
        <v>181</v>
      </c>
      <c r="V572" s="7">
        <v>0</v>
      </c>
      <c r="W572" s="7">
        <v>1</v>
      </c>
      <c r="X572" s="7">
        <v>0</v>
      </c>
      <c r="Y572" s="7">
        <v>0</v>
      </c>
      <c r="Z572" s="7">
        <v>1</v>
      </c>
      <c r="AA572" s="7">
        <v>0</v>
      </c>
      <c r="AB572" s="7">
        <v>1</v>
      </c>
      <c r="AC572" s="7">
        <v>1</v>
      </c>
      <c r="AD572" s="7" t="s">
        <v>5044</v>
      </c>
      <c r="AE572" s="7" t="s">
        <v>5044</v>
      </c>
      <c r="AF572" s="7" t="s">
        <v>5044</v>
      </c>
      <c r="AG572" s="7">
        <v>1</v>
      </c>
      <c r="AH572" s="7">
        <v>0</v>
      </c>
      <c r="AI572" s="7">
        <v>0</v>
      </c>
      <c r="AJ572" s="7">
        <v>0</v>
      </c>
      <c r="AL572" s="7" t="s">
        <v>5044</v>
      </c>
      <c r="AM572" s="7">
        <v>0</v>
      </c>
      <c r="AN572" s="7" t="s">
        <v>6118</v>
      </c>
      <c r="AO572" s="9">
        <v>0</v>
      </c>
    </row>
    <row r="573" spans="1:41" ht="63" customHeight="1" x14ac:dyDescent="0.2">
      <c r="A573" s="7">
        <v>7211</v>
      </c>
      <c r="B573" s="7" t="s">
        <v>2386</v>
      </c>
      <c r="C573" s="7" t="s">
        <v>2387</v>
      </c>
      <c r="D573" s="7" t="s">
        <v>16</v>
      </c>
      <c r="F573" s="7" t="s">
        <v>675</v>
      </c>
      <c r="H573" s="7" t="s">
        <v>1940</v>
      </c>
      <c r="I573" s="7" t="s">
        <v>13</v>
      </c>
      <c r="J573" s="7" t="s">
        <v>2388</v>
      </c>
      <c r="K573" s="7" t="s">
        <v>2389</v>
      </c>
      <c r="L573" s="8" t="s">
        <v>6120</v>
      </c>
      <c r="M573" s="7">
        <v>0</v>
      </c>
      <c r="N573" s="9" t="s">
        <v>5044</v>
      </c>
      <c r="O573" s="9" t="s">
        <v>5044</v>
      </c>
      <c r="P573" s="7">
        <v>0</v>
      </c>
      <c r="Q573" s="7">
        <v>0</v>
      </c>
      <c r="R573" s="7">
        <v>0</v>
      </c>
      <c r="S573" s="7">
        <v>1</v>
      </c>
      <c r="T573" s="7">
        <v>1</v>
      </c>
      <c r="U573" s="7">
        <v>299</v>
      </c>
      <c r="V573" s="7">
        <v>1</v>
      </c>
      <c r="W573" s="7">
        <v>0</v>
      </c>
      <c r="X573" s="7">
        <v>0</v>
      </c>
      <c r="Y573" s="7">
        <v>0</v>
      </c>
      <c r="Z573" s="7">
        <v>0</v>
      </c>
      <c r="AA573" s="7">
        <v>0</v>
      </c>
      <c r="AB573" s="7">
        <v>1</v>
      </c>
      <c r="AC573" s="7">
        <v>1</v>
      </c>
      <c r="AD573" s="7">
        <v>2</v>
      </c>
      <c r="AE573" s="7">
        <v>3</v>
      </c>
      <c r="AF573" s="7">
        <v>0</v>
      </c>
      <c r="AG573" s="7" t="s">
        <v>5044</v>
      </c>
      <c r="AH573" s="7" t="s">
        <v>5044</v>
      </c>
      <c r="AI573" s="7" t="s">
        <v>5044</v>
      </c>
      <c r="AJ573" s="7" t="s">
        <v>5044</v>
      </c>
      <c r="AK573" s="7">
        <v>1</v>
      </c>
      <c r="AL573" s="7">
        <v>0</v>
      </c>
      <c r="AM573" s="7">
        <v>0</v>
      </c>
      <c r="AO573" s="11">
        <v>3</v>
      </c>
    </row>
    <row r="574" spans="1:41" ht="63" customHeight="1" x14ac:dyDescent="0.2">
      <c r="A574" s="7">
        <v>7220</v>
      </c>
      <c r="B574" s="7" t="s">
        <v>2390</v>
      </c>
      <c r="C574" s="7" t="s">
        <v>2391</v>
      </c>
      <c r="D574" s="7" t="s">
        <v>101</v>
      </c>
      <c r="F574" s="7" t="s">
        <v>1031</v>
      </c>
      <c r="G574" s="7" t="s">
        <v>11</v>
      </c>
      <c r="H574" s="7" t="s">
        <v>596</v>
      </c>
      <c r="I574" s="7" t="s">
        <v>13</v>
      </c>
      <c r="J574" s="7" t="s">
        <v>2392</v>
      </c>
      <c r="K574" s="7" t="s">
        <v>2393</v>
      </c>
      <c r="L574" s="8" t="s">
        <v>6121</v>
      </c>
      <c r="M574" s="7">
        <v>0</v>
      </c>
      <c r="N574" s="9" t="s">
        <v>5044</v>
      </c>
      <c r="O574" s="9" t="s">
        <v>5044</v>
      </c>
      <c r="P574" s="7">
        <v>0</v>
      </c>
      <c r="Q574" s="7">
        <v>0</v>
      </c>
      <c r="R574" s="7">
        <v>0</v>
      </c>
      <c r="S574" s="7">
        <v>1</v>
      </c>
      <c r="T574" s="7">
        <v>1</v>
      </c>
      <c r="U574" s="7">
        <v>193</v>
      </c>
      <c r="V574" s="7">
        <v>0</v>
      </c>
      <c r="W574" s="7">
        <v>1</v>
      </c>
      <c r="X574" s="7">
        <v>0</v>
      </c>
      <c r="Y574" s="7">
        <v>0</v>
      </c>
      <c r="Z574" s="7">
        <v>0</v>
      </c>
      <c r="AA574" s="7">
        <v>0</v>
      </c>
      <c r="AB574" s="7">
        <v>1</v>
      </c>
      <c r="AC574" s="7">
        <v>1</v>
      </c>
      <c r="AD574" s="7" t="s">
        <v>5044</v>
      </c>
      <c r="AE574" s="7" t="s">
        <v>5044</v>
      </c>
      <c r="AF574" s="7" t="s">
        <v>5044</v>
      </c>
      <c r="AG574" s="7">
        <v>2</v>
      </c>
      <c r="AH574" s="7">
        <v>3</v>
      </c>
      <c r="AI574" s="7">
        <v>0</v>
      </c>
      <c r="AJ574" s="7" t="s">
        <v>5044</v>
      </c>
      <c r="AK574" s="7">
        <v>1</v>
      </c>
      <c r="AL574" s="7">
        <v>1</v>
      </c>
      <c r="AM574" s="7">
        <v>0</v>
      </c>
      <c r="AO574" s="11">
        <v>3</v>
      </c>
    </row>
    <row r="575" spans="1:41" ht="63" customHeight="1" x14ac:dyDescent="0.2">
      <c r="A575" s="7">
        <v>7222</v>
      </c>
      <c r="B575" s="7" t="s">
        <v>2394</v>
      </c>
      <c r="C575" s="7" t="s">
        <v>2395</v>
      </c>
      <c r="D575" s="7" t="s">
        <v>95</v>
      </c>
      <c r="F575" s="7" t="s">
        <v>260</v>
      </c>
      <c r="G575" s="7" t="s">
        <v>18</v>
      </c>
      <c r="H575" s="7" t="s">
        <v>38</v>
      </c>
      <c r="I575" s="7" t="s">
        <v>13</v>
      </c>
      <c r="J575" s="7" t="s">
        <v>2396</v>
      </c>
      <c r="K575" s="7" t="s">
        <v>2397</v>
      </c>
      <c r="L575" s="6" t="s">
        <v>6122</v>
      </c>
      <c r="M575" s="7">
        <v>0</v>
      </c>
      <c r="N575" s="9" t="s">
        <v>5044</v>
      </c>
      <c r="O575" s="9" t="s">
        <v>5044</v>
      </c>
      <c r="P575" s="7">
        <v>0</v>
      </c>
      <c r="Q575" s="7">
        <v>0</v>
      </c>
      <c r="R575" s="7">
        <v>0</v>
      </c>
      <c r="S575" s="7">
        <v>1</v>
      </c>
      <c r="T575" s="7">
        <v>1</v>
      </c>
      <c r="U575" s="7">
        <v>120</v>
      </c>
      <c r="V575" s="7">
        <v>0</v>
      </c>
      <c r="W575" s="7">
        <v>1</v>
      </c>
      <c r="X575" s="7">
        <v>0</v>
      </c>
      <c r="Y575" s="7">
        <v>0</v>
      </c>
      <c r="Z575" s="7">
        <v>0</v>
      </c>
      <c r="AA575" s="7">
        <v>0</v>
      </c>
      <c r="AB575" s="7">
        <v>1</v>
      </c>
      <c r="AC575" s="7">
        <v>1</v>
      </c>
      <c r="AD575" s="7" t="s">
        <v>5044</v>
      </c>
      <c r="AE575" s="7" t="s">
        <v>5044</v>
      </c>
      <c r="AF575" s="7" t="s">
        <v>5044</v>
      </c>
      <c r="AG575" s="7">
        <v>2</v>
      </c>
      <c r="AH575" s="7">
        <v>3</v>
      </c>
      <c r="AI575" s="7">
        <v>0</v>
      </c>
      <c r="AJ575" s="7" t="s">
        <v>5044</v>
      </c>
      <c r="AK575" s="7">
        <v>1</v>
      </c>
      <c r="AL575" s="7">
        <v>0</v>
      </c>
      <c r="AM575" s="7">
        <v>0</v>
      </c>
      <c r="AO575" s="11">
        <v>3</v>
      </c>
    </row>
    <row r="576" spans="1:41" ht="63" customHeight="1" x14ac:dyDescent="0.2">
      <c r="A576" s="7">
        <v>7223</v>
      </c>
      <c r="B576" s="7" t="s">
        <v>2398</v>
      </c>
      <c r="C576" s="7" t="s">
        <v>2399</v>
      </c>
      <c r="D576" s="7" t="s">
        <v>22</v>
      </c>
      <c r="F576" s="7" t="s">
        <v>1015</v>
      </c>
      <c r="G576" s="7" t="s">
        <v>11</v>
      </c>
      <c r="H576" s="7" t="s">
        <v>202</v>
      </c>
      <c r="I576" s="7" t="s">
        <v>13</v>
      </c>
      <c r="J576" s="7" t="s">
        <v>2400</v>
      </c>
      <c r="K576" s="7" t="s">
        <v>2401</v>
      </c>
      <c r="L576" s="6" t="s">
        <v>6123</v>
      </c>
      <c r="M576" s="7">
        <v>0</v>
      </c>
      <c r="N576" s="9" t="s">
        <v>5044</v>
      </c>
      <c r="O576" s="9" t="s">
        <v>5044</v>
      </c>
      <c r="P576" s="7">
        <v>0</v>
      </c>
      <c r="Q576" s="7">
        <v>0</v>
      </c>
      <c r="R576" s="7">
        <v>0</v>
      </c>
      <c r="S576" s="7">
        <v>1</v>
      </c>
      <c r="T576" s="7">
        <v>1</v>
      </c>
      <c r="U576" s="7">
        <v>78</v>
      </c>
      <c r="V576" s="7">
        <v>0</v>
      </c>
      <c r="W576" s="7">
        <v>1</v>
      </c>
      <c r="X576" s="7">
        <v>0</v>
      </c>
      <c r="Y576" s="7">
        <v>0</v>
      </c>
      <c r="Z576" s="7">
        <v>0</v>
      </c>
      <c r="AA576" s="7">
        <v>0</v>
      </c>
      <c r="AB576" s="7">
        <v>1</v>
      </c>
      <c r="AC576" s="7">
        <v>1</v>
      </c>
      <c r="AD576" s="7" t="s">
        <v>5044</v>
      </c>
      <c r="AE576" s="7" t="s">
        <v>5044</v>
      </c>
      <c r="AF576" s="7" t="s">
        <v>5044</v>
      </c>
      <c r="AG576" s="7">
        <v>2</v>
      </c>
      <c r="AH576" s="7">
        <v>3</v>
      </c>
      <c r="AI576" s="7">
        <v>0</v>
      </c>
      <c r="AJ576" s="7" t="s">
        <v>5044</v>
      </c>
      <c r="AK576" s="7">
        <v>1</v>
      </c>
      <c r="AL576" s="7">
        <v>0</v>
      </c>
      <c r="AM576" s="7">
        <v>0</v>
      </c>
      <c r="AO576" s="11">
        <v>3</v>
      </c>
    </row>
    <row r="577" spans="1:41" ht="63" customHeight="1" x14ac:dyDescent="0.2">
      <c r="A577" s="7">
        <v>7232</v>
      </c>
      <c r="B577" s="7" t="s">
        <v>2402</v>
      </c>
      <c r="C577" s="7" t="s">
        <v>2403</v>
      </c>
      <c r="D577" s="7" t="s">
        <v>30</v>
      </c>
      <c r="F577" s="7" t="s">
        <v>31</v>
      </c>
      <c r="G577" s="7" t="s">
        <v>48</v>
      </c>
      <c r="H577" s="7" t="s">
        <v>290</v>
      </c>
      <c r="I577" s="7" t="s">
        <v>13</v>
      </c>
      <c r="J577" s="7" t="s">
        <v>2404</v>
      </c>
      <c r="K577" s="7" t="s">
        <v>2405</v>
      </c>
      <c r="L577" s="6" t="s">
        <v>6124</v>
      </c>
      <c r="M577" s="7">
        <v>0</v>
      </c>
      <c r="N577" s="9" t="s">
        <v>5044</v>
      </c>
      <c r="O577" s="9" t="s">
        <v>5044</v>
      </c>
      <c r="P577" s="7">
        <v>0</v>
      </c>
      <c r="Q577" s="7">
        <v>0</v>
      </c>
      <c r="R577" s="7">
        <v>0</v>
      </c>
      <c r="S577" s="7">
        <v>1</v>
      </c>
      <c r="T577" s="7">
        <v>3</v>
      </c>
      <c r="U577" s="7">
        <v>336</v>
      </c>
      <c r="V577" s="7">
        <v>1</v>
      </c>
      <c r="W577" s="7">
        <v>0</v>
      </c>
      <c r="X577" s="7">
        <v>0</v>
      </c>
      <c r="Y577" s="7">
        <v>0</v>
      </c>
      <c r="Z577" s="7">
        <v>0</v>
      </c>
      <c r="AA577" s="7">
        <v>0</v>
      </c>
      <c r="AB577" s="7">
        <v>1</v>
      </c>
      <c r="AC577" s="7">
        <v>1</v>
      </c>
      <c r="AD577" s="7">
        <v>1</v>
      </c>
      <c r="AE577" s="7">
        <v>0</v>
      </c>
      <c r="AF577" s="7">
        <v>0</v>
      </c>
      <c r="AG577" s="7" t="s">
        <v>5044</v>
      </c>
      <c r="AH577" s="7" t="s">
        <v>5044</v>
      </c>
      <c r="AI577" s="7" t="s">
        <v>5044</v>
      </c>
      <c r="AJ577" s="7" t="s">
        <v>5044</v>
      </c>
      <c r="AL577" s="7">
        <v>0</v>
      </c>
      <c r="AM577" s="7">
        <v>0</v>
      </c>
      <c r="AO577" s="9">
        <v>0</v>
      </c>
    </row>
    <row r="578" spans="1:41" ht="63" customHeight="1" x14ac:dyDescent="0.2">
      <c r="A578" s="7">
        <v>7233</v>
      </c>
      <c r="B578" s="7" t="s">
        <v>2406</v>
      </c>
      <c r="C578" s="7" t="s">
        <v>2407</v>
      </c>
      <c r="D578" s="7" t="s">
        <v>22</v>
      </c>
      <c r="F578" s="7" t="s">
        <v>220</v>
      </c>
      <c r="G578" s="7" t="s">
        <v>52</v>
      </c>
      <c r="H578" s="7" t="s">
        <v>53</v>
      </c>
      <c r="I578" s="7" t="s">
        <v>13</v>
      </c>
      <c r="J578" s="7" t="s">
        <v>2408</v>
      </c>
      <c r="K578" s="7" t="s">
        <v>2409</v>
      </c>
      <c r="L578" s="8" t="s">
        <v>6011</v>
      </c>
      <c r="M578" s="7">
        <v>0</v>
      </c>
      <c r="N578" s="9" t="s">
        <v>5044</v>
      </c>
      <c r="O578" s="9" t="s">
        <v>5044</v>
      </c>
      <c r="P578" s="7">
        <v>0</v>
      </c>
      <c r="Q578" s="7">
        <v>0</v>
      </c>
      <c r="R578" s="7">
        <v>0</v>
      </c>
      <c r="S578" s="7">
        <v>1</v>
      </c>
      <c r="T578" s="7">
        <v>1</v>
      </c>
      <c r="U578" s="7">
        <v>248</v>
      </c>
      <c r="V578" s="7">
        <v>0</v>
      </c>
      <c r="W578" s="7">
        <v>1</v>
      </c>
      <c r="X578" s="7">
        <v>0</v>
      </c>
      <c r="Y578" s="7">
        <v>0</v>
      </c>
      <c r="Z578" s="7">
        <v>0</v>
      </c>
      <c r="AA578" s="7">
        <v>0</v>
      </c>
      <c r="AB578" s="7">
        <v>1</v>
      </c>
      <c r="AC578" s="7">
        <v>1</v>
      </c>
      <c r="AD578" s="7" t="s">
        <v>5044</v>
      </c>
      <c r="AE578" s="7" t="s">
        <v>5044</v>
      </c>
      <c r="AF578" s="7" t="s">
        <v>5044</v>
      </c>
      <c r="AG578" s="7">
        <v>2</v>
      </c>
      <c r="AH578" s="7">
        <v>1</v>
      </c>
      <c r="AI578" s="7">
        <v>4</v>
      </c>
      <c r="AJ578" s="7" t="s">
        <v>5044</v>
      </c>
      <c r="AL578" s="7">
        <v>0</v>
      </c>
      <c r="AM578" s="7">
        <v>0</v>
      </c>
      <c r="AO578" s="11">
        <v>1</v>
      </c>
    </row>
    <row r="579" spans="1:41" ht="63" customHeight="1" x14ac:dyDescent="0.2">
      <c r="A579" s="7">
        <v>7234</v>
      </c>
      <c r="B579" s="7" t="s">
        <v>2410</v>
      </c>
      <c r="C579" s="7" t="s">
        <v>2411</v>
      </c>
      <c r="D579" s="7" t="s">
        <v>46</v>
      </c>
      <c r="F579" s="7" t="s">
        <v>47</v>
      </c>
      <c r="G579" s="7" t="s">
        <v>144</v>
      </c>
      <c r="H579" s="7" t="s">
        <v>19</v>
      </c>
      <c r="I579" s="7" t="s">
        <v>13</v>
      </c>
      <c r="J579" s="7" t="s">
        <v>2412</v>
      </c>
      <c r="K579" s="7" t="s">
        <v>2413</v>
      </c>
      <c r="L579" s="6" t="s">
        <v>6125</v>
      </c>
      <c r="M579" s="7">
        <v>0</v>
      </c>
      <c r="N579" s="9" t="s">
        <v>5044</v>
      </c>
      <c r="O579" s="9" t="s">
        <v>5044</v>
      </c>
      <c r="P579" s="7">
        <v>0</v>
      </c>
      <c r="Q579" s="7">
        <v>0</v>
      </c>
      <c r="R579" s="7">
        <v>0</v>
      </c>
      <c r="S579" s="7">
        <v>9</v>
      </c>
      <c r="T579" s="7">
        <v>1</v>
      </c>
      <c r="U579" s="7">
        <v>80</v>
      </c>
      <c r="V579" s="7">
        <v>0</v>
      </c>
      <c r="W579" s="7">
        <v>1</v>
      </c>
      <c r="X579" s="7">
        <v>0</v>
      </c>
      <c r="Y579" s="7">
        <v>0</v>
      </c>
      <c r="Z579" s="7">
        <v>0</v>
      </c>
      <c r="AA579" s="7">
        <v>0</v>
      </c>
      <c r="AB579" s="7">
        <v>1</v>
      </c>
      <c r="AC579" s="7">
        <v>1</v>
      </c>
      <c r="AD579" s="7" t="s">
        <v>5044</v>
      </c>
      <c r="AE579" s="7" t="s">
        <v>5044</v>
      </c>
      <c r="AF579" s="7" t="s">
        <v>5044</v>
      </c>
      <c r="AG579" s="7">
        <v>2</v>
      </c>
      <c r="AH579" s="7">
        <v>3</v>
      </c>
      <c r="AI579" s="7">
        <v>0</v>
      </c>
      <c r="AJ579" s="7" t="s">
        <v>5044</v>
      </c>
      <c r="AK579" s="7">
        <v>1</v>
      </c>
      <c r="AL579" s="7">
        <v>1</v>
      </c>
      <c r="AM579" s="7">
        <v>0</v>
      </c>
      <c r="AO579" s="11">
        <v>3</v>
      </c>
    </row>
    <row r="580" spans="1:41" ht="63" customHeight="1" x14ac:dyDescent="0.2">
      <c r="A580" s="7">
        <v>7253</v>
      </c>
      <c r="B580" s="7" t="s">
        <v>2414</v>
      </c>
      <c r="C580" s="7" t="s">
        <v>2415</v>
      </c>
      <c r="D580" s="7" t="s">
        <v>41</v>
      </c>
      <c r="F580" s="7" t="s">
        <v>587</v>
      </c>
      <c r="G580" s="7" t="s">
        <v>37</v>
      </c>
      <c r="H580" s="7" t="s">
        <v>115</v>
      </c>
      <c r="I580" s="7" t="s">
        <v>13</v>
      </c>
      <c r="J580" s="7" t="s">
        <v>2416</v>
      </c>
      <c r="K580" s="7" t="s">
        <v>2417</v>
      </c>
      <c r="L580" s="8" t="s">
        <v>6126</v>
      </c>
      <c r="M580" s="7">
        <v>0</v>
      </c>
      <c r="N580" s="9" t="s">
        <v>5044</v>
      </c>
      <c r="O580" s="9" t="s">
        <v>5044</v>
      </c>
      <c r="P580" s="7">
        <v>0</v>
      </c>
      <c r="Q580" s="7">
        <v>0</v>
      </c>
      <c r="R580" s="7">
        <v>0</v>
      </c>
      <c r="S580" s="7">
        <v>1</v>
      </c>
      <c r="T580" s="7">
        <v>4</v>
      </c>
      <c r="U580" s="7">
        <v>87</v>
      </c>
      <c r="V580" s="7">
        <v>0</v>
      </c>
      <c r="W580" s="7">
        <v>1</v>
      </c>
      <c r="X580" s="7">
        <v>0</v>
      </c>
      <c r="Y580" s="7">
        <v>0</v>
      </c>
      <c r="Z580" s="7">
        <v>0</v>
      </c>
      <c r="AA580" s="7">
        <v>0</v>
      </c>
      <c r="AB580" s="7">
        <v>1</v>
      </c>
      <c r="AC580" s="7">
        <v>0</v>
      </c>
      <c r="AD580" s="7" t="s">
        <v>5044</v>
      </c>
      <c r="AE580" s="7" t="s">
        <v>5044</v>
      </c>
      <c r="AF580" s="7" t="s">
        <v>5044</v>
      </c>
      <c r="AG580" s="7">
        <v>0</v>
      </c>
      <c r="AH580" s="7" t="s">
        <v>5044</v>
      </c>
      <c r="AI580" s="7" t="s">
        <v>5044</v>
      </c>
      <c r="AJ580" s="7" t="s">
        <v>5044</v>
      </c>
      <c r="AL580" s="7" t="s">
        <v>5044</v>
      </c>
      <c r="AM580" s="7">
        <v>0</v>
      </c>
      <c r="AN580" s="7" t="s">
        <v>5105</v>
      </c>
      <c r="AO580" s="11">
        <v>9</v>
      </c>
    </row>
    <row r="581" spans="1:41" ht="63" customHeight="1" x14ac:dyDescent="0.2">
      <c r="A581" s="7">
        <v>7272</v>
      </c>
      <c r="B581" s="7" t="s">
        <v>2426</v>
      </c>
      <c r="C581" s="7" t="s">
        <v>2427</v>
      </c>
      <c r="D581" s="7" t="s">
        <v>30</v>
      </c>
      <c r="F581" s="7" t="s">
        <v>2428</v>
      </c>
      <c r="G581" s="7" t="s">
        <v>144</v>
      </c>
      <c r="H581" s="7" t="s">
        <v>490</v>
      </c>
      <c r="I581" s="7" t="s">
        <v>13</v>
      </c>
      <c r="J581" s="7" t="s">
        <v>2429</v>
      </c>
      <c r="K581" s="7" t="s">
        <v>2430</v>
      </c>
      <c r="L581" s="11" t="s">
        <v>5044</v>
      </c>
      <c r="M581" s="7">
        <v>0</v>
      </c>
      <c r="N581" s="9" t="s">
        <v>5044</v>
      </c>
      <c r="O581" s="9" t="s">
        <v>5044</v>
      </c>
      <c r="P581" s="7">
        <v>0</v>
      </c>
      <c r="Q581" s="7">
        <v>0</v>
      </c>
      <c r="R581" s="7">
        <v>0</v>
      </c>
      <c r="S581" s="7">
        <v>3</v>
      </c>
      <c r="T581" s="7">
        <v>1</v>
      </c>
      <c r="U581" s="7">
        <v>121</v>
      </c>
      <c r="V581" s="7">
        <v>0</v>
      </c>
      <c r="W581" s="7">
        <v>1</v>
      </c>
      <c r="X581" s="7">
        <v>0</v>
      </c>
      <c r="Y581" s="7">
        <v>0</v>
      </c>
      <c r="Z581" s="7">
        <v>0</v>
      </c>
      <c r="AA581" s="7">
        <v>0</v>
      </c>
      <c r="AB581" s="7">
        <v>1</v>
      </c>
      <c r="AC581" s="7">
        <v>1</v>
      </c>
      <c r="AD581" s="7" t="s">
        <v>5044</v>
      </c>
      <c r="AE581" s="7" t="s">
        <v>5044</v>
      </c>
      <c r="AF581" s="7" t="s">
        <v>5044</v>
      </c>
      <c r="AG581" s="7">
        <v>2</v>
      </c>
      <c r="AH581" s="7">
        <v>3</v>
      </c>
      <c r="AI581" s="7">
        <v>0</v>
      </c>
      <c r="AJ581" s="7" t="s">
        <v>5044</v>
      </c>
      <c r="AK581" s="7">
        <v>1</v>
      </c>
      <c r="AL581" s="7">
        <v>1</v>
      </c>
      <c r="AM581" s="7">
        <v>0</v>
      </c>
      <c r="AO581" s="11">
        <v>3</v>
      </c>
    </row>
    <row r="582" spans="1:41" ht="63" customHeight="1" x14ac:dyDescent="0.2">
      <c r="A582" s="7">
        <v>7281</v>
      </c>
      <c r="B582" s="7" t="s">
        <v>2431</v>
      </c>
      <c r="C582" s="7" t="s">
        <v>2432</v>
      </c>
      <c r="D582" s="7" t="s">
        <v>46</v>
      </c>
      <c r="F582" s="7" t="s">
        <v>65</v>
      </c>
      <c r="G582" s="7" t="s">
        <v>32</v>
      </c>
      <c r="H582" s="7" t="s">
        <v>442</v>
      </c>
      <c r="I582" s="7" t="s">
        <v>13</v>
      </c>
      <c r="J582" s="7" t="s">
        <v>2433</v>
      </c>
      <c r="K582" s="7" t="s">
        <v>2434</v>
      </c>
      <c r="L582" s="8">
        <v>22710</v>
      </c>
      <c r="M582" s="7">
        <v>0</v>
      </c>
      <c r="N582" s="9" t="s">
        <v>5044</v>
      </c>
      <c r="O582" s="9" t="s">
        <v>5044</v>
      </c>
      <c r="P582" s="7">
        <v>0</v>
      </c>
      <c r="Q582" s="7">
        <v>0</v>
      </c>
      <c r="R582" s="7">
        <v>0</v>
      </c>
      <c r="S582" s="7">
        <v>1</v>
      </c>
      <c r="T582" s="7">
        <v>4</v>
      </c>
      <c r="U582" s="7">
        <v>120</v>
      </c>
      <c r="V582" s="7">
        <v>0</v>
      </c>
      <c r="W582" s="7">
        <v>1</v>
      </c>
      <c r="X582" s="7">
        <v>0</v>
      </c>
      <c r="Y582" s="7">
        <v>0</v>
      </c>
      <c r="Z582" s="7">
        <v>0</v>
      </c>
      <c r="AA582" s="7">
        <v>0</v>
      </c>
      <c r="AB582" s="7">
        <v>1</v>
      </c>
      <c r="AC582" s="7">
        <v>1</v>
      </c>
      <c r="AD582" s="7" t="s">
        <v>5044</v>
      </c>
      <c r="AE582" s="7" t="s">
        <v>5044</v>
      </c>
      <c r="AF582" s="7" t="s">
        <v>5044</v>
      </c>
      <c r="AG582" s="7">
        <v>2</v>
      </c>
      <c r="AH582" s="7">
        <v>1</v>
      </c>
      <c r="AI582" s="7">
        <v>1</v>
      </c>
      <c r="AJ582" s="7" t="s">
        <v>5044</v>
      </c>
      <c r="AL582" s="7">
        <v>1</v>
      </c>
      <c r="AM582" s="7">
        <v>0</v>
      </c>
      <c r="AO582" s="11">
        <v>1</v>
      </c>
    </row>
    <row r="583" spans="1:41" ht="63" customHeight="1" x14ac:dyDescent="0.2">
      <c r="A583" s="7">
        <v>7298</v>
      </c>
      <c r="B583" s="7" t="s">
        <v>2435</v>
      </c>
      <c r="C583" s="7" t="s">
        <v>2436</v>
      </c>
      <c r="D583" s="7" t="s">
        <v>30</v>
      </c>
      <c r="F583" s="7" t="s">
        <v>58</v>
      </c>
      <c r="G583" s="7" t="s">
        <v>92</v>
      </c>
      <c r="H583" s="7" t="s">
        <v>160</v>
      </c>
      <c r="I583" s="7" t="s">
        <v>13</v>
      </c>
      <c r="J583" s="7" t="s">
        <v>2437</v>
      </c>
      <c r="K583" s="7" t="s">
        <v>2438</v>
      </c>
      <c r="L583" s="8" t="s">
        <v>6129</v>
      </c>
      <c r="M583" s="7">
        <v>0</v>
      </c>
      <c r="N583" s="9" t="s">
        <v>5044</v>
      </c>
      <c r="O583" s="9" t="s">
        <v>5044</v>
      </c>
      <c r="P583" s="7">
        <v>0</v>
      </c>
      <c r="Q583" s="7">
        <v>0</v>
      </c>
      <c r="R583" s="7">
        <v>0</v>
      </c>
      <c r="S583" s="7">
        <v>1</v>
      </c>
      <c r="T583" s="7">
        <v>4</v>
      </c>
      <c r="U583" s="7">
        <v>164</v>
      </c>
      <c r="V583" s="7">
        <v>0</v>
      </c>
      <c r="W583" s="7">
        <v>1</v>
      </c>
      <c r="X583" s="7">
        <v>0</v>
      </c>
      <c r="Y583" s="7">
        <v>0</v>
      </c>
      <c r="Z583" s="7">
        <v>0</v>
      </c>
      <c r="AA583" s="7">
        <v>0</v>
      </c>
      <c r="AB583" s="7">
        <v>1</v>
      </c>
      <c r="AC583" s="7">
        <v>1</v>
      </c>
      <c r="AD583" s="7" t="s">
        <v>5044</v>
      </c>
      <c r="AE583" s="7" t="s">
        <v>5044</v>
      </c>
      <c r="AF583" s="7" t="s">
        <v>5044</v>
      </c>
      <c r="AG583" s="7">
        <v>1</v>
      </c>
      <c r="AH583" s="7">
        <v>0</v>
      </c>
      <c r="AI583" s="7">
        <v>0</v>
      </c>
      <c r="AJ583" s="7" t="s">
        <v>5044</v>
      </c>
      <c r="AL583" s="7">
        <v>0</v>
      </c>
      <c r="AM583" s="7">
        <v>0</v>
      </c>
      <c r="AO583" s="9">
        <v>0</v>
      </c>
    </row>
    <row r="584" spans="1:41" ht="63" customHeight="1" x14ac:dyDescent="0.2">
      <c r="A584" s="7">
        <v>7304</v>
      </c>
      <c r="B584" s="7" t="s">
        <v>2439</v>
      </c>
      <c r="C584" s="7" t="s">
        <v>2440</v>
      </c>
      <c r="D584" s="7" t="s">
        <v>46</v>
      </c>
      <c r="F584" s="7" t="s">
        <v>47</v>
      </c>
      <c r="H584" s="7" t="s">
        <v>130</v>
      </c>
      <c r="I584" s="7" t="s">
        <v>13</v>
      </c>
      <c r="J584" s="7" t="s">
        <v>2441</v>
      </c>
      <c r="K584" s="7" t="s">
        <v>2442</v>
      </c>
      <c r="L584" s="11" t="s">
        <v>5044</v>
      </c>
      <c r="M584" s="7">
        <v>0</v>
      </c>
      <c r="N584" s="9" t="s">
        <v>5044</v>
      </c>
      <c r="O584" s="9" t="s">
        <v>5044</v>
      </c>
      <c r="P584" s="7">
        <v>0</v>
      </c>
      <c r="Q584" s="7">
        <v>0</v>
      </c>
      <c r="R584" s="7">
        <v>0</v>
      </c>
      <c r="S584" s="7">
        <v>1</v>
      </c>
      <c r="T584" s="7">
        <v>4</v>
      </c>
      <c r="U584" s="7">
        <v>97</v>
      </c>
      <c r="V584" s="7">
        <v>0</v>
      </c>
      <c r="W584" s="7">
        <v>1</v>
      </c>
      <c r="X584" s="7">
        <v>0</v>
      </c>
      <c r="Y584" s="7">
        <v>0</v>
      </c>
      <c r="Z584" s="7">
        <v>0</v>
      </c>
      <c r="AA584" s="7">
        <v>0</v>
      </c>
      <c r="AB584" s="7">
        <v>1</v>
      </c>
      <c r="AC584" s="7">
        <v>1</v>
      </c>
      <c r="AD584" s="7" t="s">
        <v>5044</v>
      </c>
      <c r="AE584" s="7" t="s">
        <v>5044</v>
      </c>
      <c r="AF584" s="7" t="s">
        <v>5044</v>
      </c>
      <c r="AG584" s="7">
        <v>1</v>
      </c>
      <c r="AH584" s="7">
        <v>0</v>
      </c>
      <c r="AI584" s="7">
        <v>0</v>
      </c>
      <c r="AJ584" s="7" t="s">
        <v>5044</v>
      </c>
      <c r="AL584" s="7">
        <v>0</v>
      </c>
      <c r="AM584" s="7">
        <v>0</v>
      </c>
      <c r="AO584" s="9">
        <v>0</v>
      </c>
    </row>
    <row r="585" spans="1:41" ht="63" customHeight="1" x14ac:dyDescent="0.2">
      <c r="A585" s="7">
        <v>7324</v>
      </c>
      <c r="B585" s="7" t="s">
        <v>2443</v>
      </c>
      <c r="C585" s="7" t="s">
        <v>2444</v>
      </c>
      <c r="D585" s="7" t="s">
        <v>22</v>
      </c>
      <c r="F585" s="7" t="s">
        <v>626</v>
      </c>
      <c r="G585" s="7" t="s">
        <v>32</v>
      </c>
      <c r="H585" s="7" t="s">
        <v>43</v>
      </c>
      <c r="I585" s="7" t="s">
        <v>437</v>
      </c>
      <c r="J585" s="7" t="s">
        <v>2445</v>
      </c>
      <c r="K585" s="7" t="s">
        <v>2446</v>
      </c>
      <c r="L585" s="8" t="s">
        <v>6130</v>
      </c>
      <c r="M585" s="7">
        <v>0</v>
      </c>
      <c r="N585" s="9" t="s">
        <v>5044</v>
      </c>
      <c r="O585" s="9" t="s">
        <v>5044</v>
      </c>
      <c r="P585" s="7">
        <v>0</v>
      </c>
      <c r="Q585" s="7">
        <v>0</v>
      </c>
      <c r="R585" s="7">
        <v>0</v>
      </c>
      <c r="S585" s="7">
        <v>1</v>
      </c>
      <c r="T585" s="7">
        <v>4</v>
      </c>
      <c r="U585" s="7">
        <v>163</v>
      </c>
      <c r="V585" s="7">
        <v>0</v>
      </c>
      <c r="W585" s="7">
        <v>1</v>
      </c>
      <c r="X585" s="7">
        <v>0</v>
      </c>
      <c r="Y585" s="7">
        <v>0</v>
      </c>
      <c r="Z585" s="7">
        <v>0</v>
      </c>
      <c r="AA585" s="7">
        <v>0</v>
      </c>
      <c r="AB585" s="7">
        <v>1</v>
      </c>
      <c r="AC585" s="7">
        <v>1</v>
      </c>
      <c r="AD585" s="7" t="s">
        <v>5044</v>
      </c>
      <c r="AE585" s="7" t="s">
        <v>5044</v>
      </c>
      <c r="AF585" s="7" t="s">
        <v>5044</v>
      </c>
      <c r="AG585" s="7">
        <v>1</v>
      </c>
      <c r="AH585" s="7">
        <v>0</v>
      </c>
      <c r="AI585" s="7">
        <v>0</v>
      </c>
      <c r="AJ585" s="7" t="s">
        <v>5044</v>
      </c>
      <c r="AL585" s="7">
        <v>0</v>
      </c>
      <c r="AM585" s="7">
        <v>0</v>
      </c>
      <c r="AO585" s="9">
        <v>0</v>
      </c>
    </row>
    <row r="586" spans="1:41" ht="63" customHeight="1" x14ac:dyDescent="0.2">
      <c r="A586" s="7">
        <v>7338</v>
      </c>
      <c r="B586" s="7" t="s">
        <v>2447</v>
      </c>
      <c r="C586" s="7" t="s">
        <v>2448</v>
      </c>
      <c r="D586" s="7" t="s">
        <v>16</v>
      </c>
      <c r="F586" s="7" t="s">
        <v>27</v>
      </c>
      <c r="G586" s="7" t="s">
        <v>32</v>
      </c>
      <c r="H586" s="7" t="s">
        <v>708</v>
      </c>
      <c r="I586" s="7" t="s">
        <v>13</v>
      </c>
      <c r="J586" s="7" t="s">
        <v>2449</v>
      </c>
      <c r="K586" s="7" t="s">
        <v>2450</v>
      </c>
      <c r="L586" s="8" t="s">
        <v>6131</v>
      </c>
      <c r="M586" s="7">
        <v>0</v>
      </c>
      <c r="N586" s="9" t="s">
        <v>5044</v>
      </c>
      <c r="O586" s="9" t="s">
        <v>5044</v>
      </c>
      <c r="P586" s="7">
        <v>0</v>
      </c>
      <c r="Q586" s="7">
        <v>0</v>
      </c>
      <c r="R586" s="7">
        <v>0</v>
      </c>
      <c r="S586" s="7">
        <v>3</v>
      </c>
      <c r="T586" s="7">
        <v>4</v>
      </c>
      <c r="U586" s="7">
        <v>100</v>
      </c>
      <c r="V586" s="7">
        <v>0</v>
      </c>
      <c r="W586" s="7">
        <v>1</v>
      </c>
      <c r="X586" s="7">
        <v>0</v>
      </c>
      <c r="Y586" s="7">
        <v>0</v>
      </c>
      <c r="Z586" s="7">
        <v>0</v>
      </c>
      <c r="AA586" s="7">
        <v>0</v>
      </c>
      <c r="AB586" s="7">
        <v>1</v>
      </c>
      <c r="AC586" s="7">
        <v>1</v>
      </c>
      <c r="AD586" s="7" t="s">
        <v>5044</v>
      </c>
      <c r="AE586" s="7" t="s">
        <v>5044</v>
      </c>
      <c r="AF586" s="7" t="s">
        <v>5044</v>
      </c>
      <c r="AG586" s="7">
        <v>1</v>
      </c>
      <c r="AH586" s="7">
        <v>0</v>
      </c>
      <c r="AI586" s="7">
        <v>0</v>
      </c>
      <c r="AJ586" s="7" t="s">
        <v>5044</v>
      </c>
      <c r="AL586" s="7">
        <v>1</v>
      </c>
      <c r="AM586" s="7">
        <v>0</v>
      </c>
      <c r="AO586" s="9">
        <v>0</v>
      </c>
    </row>
    <row r="587" spans="1:41" ht="63" customHeight="1" x14ac:dyDescent="0.2">
      <c r="A587" s="7">
        <v>7348</v>
      </c>
      <c r="B587" s="7" t="s">
        <v>2451</v>
      </c>
      <c r="C587" s="7" t="s">
        <v>2452</v>
      </c>
      <c r="D587" s="7" t="s">
        <v>46</v>
      </c>
      <c r="F587" s="7" t="s">
        <v>399</v>
      </c>
      <c r="G587" s="7" t="s">
        <v>18</v>
      </c>
      <c r="H587" s="7" t="s">
        <v>2453</v>
      </c>
      <c r="I587" s="7" t="s">
        <v>13</v>
      </c>
      <c r="J587" s="7" t="s">
        <v>2454</v>
      </c>
      <c r="K587" s="7" t="s">
        <v>2455</v>
      </c>
      <c r="L587" s="8" t="s">
        <v>6132</v>
      </c>
      <c r="M587" s="7">
        <v>0</v>
      </c>
      <c r="N587" s="9" t="s">
        <v>5044</v>
      </c>
      <c r="O587" s="9" t="s">
        <v>5044</v>
      </c>
      <c r="P587" s="7">
        <v>0</v>
      </c>
      <c r="Q587" s="7">
        <v>0</v>
      </c>
      <c r="R587" s="7">
        <v>0</v>
      </c>
      <c r="S587" s="7">
        <v>9</v>
      </c>
      <c r="T587" s="7">
        <v>4</v>
      </c>
      <c r="U587" s="7">
        <v>143</v>
      </c>
      <c r="V587" s="7">
        <v>0</v>
      </c>
      <c r="W587" s="7">
        <v>1</v>
      </c>
      <c r="X587" s="7">
        <v>0</v>
      </c>
      <c r="Y587" s="7">
        <v>0</v>
      </c>
      <c r="Z587" s="7">
        <v>0</v>
      </c>
      <c r="AA587" s="7">
        <v>0</v>
      </c>
      <c r="AB587" s="7">
        <v>1</v>
      </c>
      <c r="AC587" s="7">
        <v>0</v>
      </c>
      <c r="AD587" s="7" t="s">
        <v>5044</v>
      </c>
      <c r="AE587" s="7" t="s">
        <v>5044</v>
      </c>
      <c r="AF587" s="7" t="s">
        <v>5044</v>
      </c>
      <c r="AG587" s="7">
        <v>0</v>
      </c>
      <c r="AH587" s="7" t="s">
        <v>5044</v>
      </c>
      <c r="AI587" s="7" t="s">
        <v>5044</v>
      </c>
      <c r="AJ587" s="7" t="s">
        <v>5044</v>
      </c>
      <c r="AL587" s="7">
        <v>0</v>
      </c>
      <c r="AM587" s="7">
        <v>0</v>
      </c>
      <c r="AO587" s="11">
        <v>9</v>
      </c>
    </row>
    <row r="588" spans="1:41" ht="63" customHeight="1" x14ac:dyDescent="0.2">
      <c r="A588" s="7">
        <v>7367</v>
      </c>
      <c r="B588" s="7" t="s">
        <v>2456</v>
      </c>
      <c r="C588" s="7" t="s">
        <v>2457</v>
      </c>
      <c r="D588" s="7" t="s">
        <v>46</v>
      </c>
      <c r="F588" s="7" t="s">
        <v>168</v>
      </c>
      <c r="G588" s="7" t="s">
        <v>175</v>
      </c>
      <c r="H588" s="7" t="s">
        <v>160</v>
      </c>
      <c r="I588" s="7" t="s">
        <v>13</v>
      </c>
      <c r="J588" s="7" t="s">
        <v>2458</v>
      </c>
      <c r="K588" s="7" t="s">
        <v>2459</v>
      </c>
      <c r="L588" s="8" t="s">
        <v>6133</v>
      </c>
      <c r="M588" s="7">
        <v>0</v>
      </c>
      <c r="N588" s="9" t="s">
        <v>5044</v>
      </c>
      <c r="O588" s="9" t="s">
        <v>5044</v>
      </c>
      <c r="P588" s="7">
        <v>0</v>
      </c>
      <c r="Q588" s="7">
        <v>0</v>
      </c>
      <c r="R588" s="7">
        <v>0</v>
      </c>
      <c r="S588" s="7">
        <v>5</v>
      </c>
      <c r="T588" s="7">
        <v>4</v>
      </c>
      <c r="U588" s="7">
        <v>62</v>
      </c>
      <c r="V588" s="7">
        <v>0</v>
      </c>
      <c r="W588" s="7">
        <v>1</v>
      </c>
      <c r="X588" s="7">
        <v>0</v>
      </c>
      <c r="Y588" s="7">
        <v>0</v>
      </c>
      <c r="Z588" s="7">
        <v>0</v>
      </c>
      <c r="AA588" s="7">
        <v>0</v>
      </c>
      <c r="AB588" s="7">
        <v>1</v>
      </c>
      <c r="AC588" s="7">
        <v>1</v>
      </c>
      <c r="AD588" s="7" t="s">
        <v>5044</v>
      </c>
      <c r="AE588" s="7" t="s">
        <v>5044</v>
      </c>
      <c r="AF588" s="7" t="s">
        <v>5044</v>
      </c>
      <c r="AG588" s="7">
        <v>1</v>
      </c>
      <c r="AH588" s="7">
        <v>0</v>
      </c>
      <c r="AI588" s="7">
        <v>0</v>
      </c>
      <c r="AJ588" s="7" t="s">
        <v>5044</v>
      </c>
      <c r="AL588" s="7">
        <v>1</v>
      </c>
      <c r="AM588" s="7">
        <v>0</v>
      </c>
      <c r="AO588" s="9">
        <v>0</v>
      </c>
    </row>
    <row r="589" spans="1:41" ht="63" customHeight="1" x14ac:dyDescent="0.2">
      <c r="A589" s="7">
        <v>7404</v>
      </c>
      <c r="B589" s="7" t="s">
        <v>2464</v>
      </c>
      <c r="C589" s="7" t="s">
        <v>2465</v>
      </c>
      <c r="D589" s="7" t="s">
        <v>16</v>
      </c>
      <c r="F589" s="7" t="s">
        <v>194</v>
      </c>
      <c r="G589" s="7" t="s">
        <v>52</v>
      </c>
      <c r="H589" s="7" t="s">
        <v>1502</v>
      </c>
      <c r="I589" s="7" t="s">
        <v>13</v>
      </c>
      <c r="J589" s="7" t="s">
        <v>2466</v>
      </c>
      <c r="K589" s="7" t="s">
        <v>2467</v>
      </c>
      <c r="L589" s="11" t="s">
        <v>5044</v>
      </c>
      <c r="M589" s="7">
        <v>0</v>
      </c>
      <c r="N589" s="9" t="s">
        <v>5044</v>
      </c>
      <c r="O589" s="9" t="s">
        <v>5044</v>
      </c>
      <c r="P589" s="7">
        <v>0</v>
      </c>
      <c r="Q589" s="7">
        <v>0</v>
      </c>
      <c r="R589" s="7">
        <v>0</v>
      </c>
      <c r="S589" s="7">
        <v>3</v>
      </c>
      <c r="T589" s="7">
        <v>1</v>
      </c>
      <c r="U589" s="7">
        <v>120</v>
      </c>
      <c r="V589" s="7">
        <v>0</v>
      </c>
      <c r="W589" s="7">
        <v>1</v>
      </c>
      <c r="X589" s="7">
        <v>0</v>
      </c>
      <c r="Y589" s="7">
        <v>0</v>
      </c>
      <c r="Z589" s="7">
        <v>0</v>
      </c>
      <c r="AA589" s="7">
        <v>0</v>
      </c>
      <c r="AB589" s="7">
        <v>1</v>
      </c>
      <c r="AC589" s="7">
        <v>1</v>
      </c>
      <c r="AD589" s="7" t="s">
        <v>5044</v>
      </c>
      <c r="AE589" s="7" t="s">
        <v>5044</v>
      </c>
      <c r="AF589" s="7" t="s">
        <v>5044</v>
      </c>
      <c r="AG589" s="7">
        <v>1</v>
      </c>
      <c r="AH589" s="7">
        <v>0</v>
      </c>
      <c r="AI589" s="7">
        <v>0</v>
      </c>
      <c r="AJ589" s="7" t="s">
        <v>5044</v>
      </c>
      <c r="AL589" s="7">
        <v>0</v>
      </c>
      <c r="AM589" s="7">
        <v>0</v>
      </c>
      <c r="AO589" s="9">
        <v>0</v>
      </c>
    </row>
    <row r="590" spans="1:41" ht="63" customHeight="1" x14ac:dyDescent="0.2">
      <c r="A590" s="7">
        <v>7408</v>
      </c>
      <c r="B590" s="7" t="s">
        <v>2468</v>
      </c>
      <c r="C590" s="7" t="s">
        <v>2469</v>
      </c>
      <c r="D590" s="7" t="s">
        <v>56</v>
      </c>
      <c r="F590" s="7" t="s">
        <v>118</v>
      </c>
      <c r="G590" s="7" t="s">
        <v>92</v>
      </c>
      <c r="H590" s="7" t="s">
        <v>157</v>
      </c>
      <c r="I590" s="7" t="s">
        <v>13</v>
      </c>
      <c r="J590" s="7" t="s">
        <v>2470</v>
      </c>
      <c r="K590" s="7" t="s">
        <v>2471</v>
      </c>
      <c r="L590" s="8">
        <v>4244</v>
      </c>
      <c r="M590" s="7">
        <v>0</v>
      </c>
      <c r="N590" s="9" t="s">
        <v>5044</v>
      </c>
      <c r="O590" s="9" t="s">
        <v>5044</v>
      </c>
      <c r="P590" s="7">
        <v>0</v>
      </c>
      <c r="Q590" s="7">
        <v>0</v>
      </c>
      <c r="R590" s="7">
        <v>0</v>
      </c>
      <c r="S590" s="7">
        <v>1</v>
      </c>
      <c r="T590" s="7">
        <v>4</v>
      </c>
      <c r="U590" s="7">
        <v>77</v>
      </c>
      <c r="V590" s="7">
        <v>0</v>
      </c>
      <c r="W590" s="7">
        <v>1</v>
      </c>
      <c r="X590" s="7">
        <v>0</v>
      </c>
      <c r="Y590" s="7">
        <v>0</v>
      </c>
      <c r="Z590" s="7">
        <v>0</v>
      </c>
      <c r="AA590" s="7">
        <v>0</v>
      </c>
      <c r="AB590" s="7">
        <v>1</v>
      </c>
      <c r="AC590" s="7">
        <v>1</v>
      </c>
      <c r="AD590" s="7" t="s">
        <v>5044</v>
      </c>
      <c r="AE590" s="7" t="s">
        <v>5044</v>
      </c>
      <c r="AF590" s="7" t="s">
        <v>5044</v>
      </c>
      <c r="AG590" s="7">
        <v>1</v>
      </c>
      <c r="AH590" s="7">
        <v>0</v>
      </c>
      <c r="AI590" s="7">
        <v>0</v>
      </c>
      <c r="AJ590" s="7" t="s">
        <v>5044</v>
      </c>
      <c r="AL590" s="7">
        <v>0</v>
      </c>
      <c r="AM590" s="7">
        <v>0</v>
      </c>
      <c r="AO590" s="9">
        <v>0</v>
      </c>
    </row>
    <row r="591" spans="1:41" ht="63" customHeight="1" x14ac:dyDescent="0.2">
      <c r="A591" s="7">
        <v>7423</v>
      </c>
      <c r="B591" s="23" t="s">
        <v>2476</v>
      </c>
      <c r="C591" s="7" t="s">
        <v>2477</v>
      </c>
      <c r="D591" s="7" t="s">
        <v>22</v>
      </c>
      <c r="F591" s="7" t="s">
        <v>17</v>
      </c>
      <c r="G591" s="7" t="s">
        <v>52</v>
      </c>
      <c r="H591" s="7" t="s">
        <v>2478</v>
      </c>
      <c r="I591" s="7" t="s">
        <v>13</v>
      </c>
      <c r="J591" s="7" t="s">
        <v>2479</v>
      </c>
      <c r="K591" s="7" t="s">
        <v>2480</v>
      </c>
      <c r="L591" s="11" t="s">
        <v>5044</v>
      </c>
      <c r="M591" s="7">
        <v>0</v>
      </c>
      <c r="N591" s="9" t="s">
        <v>5044</v>
      </c>
      <c r="O591" s="9" t="s">
        <v>5044</v>
      </c>
      <c r="P591" s="7">
        <v>0</v>
      </c>
      <c r="Q591" s="7">
        <v>0</v>
      </c>
      <c r="R591" s="7">
        <v>0</v>
      </c>
      <c r="S591" s="7">
        <v>3</v>
      </c>
      <c r="T591" s="7">
        <v>1</v>
      </c>
      <c r="U591" s="7">
        <v>80</v>
      </c>
      <c r="V591" s="7">
        <v>0</v>
      </c>
      <c r="W591" s="7">
        <v>1</v>
      </c>
      <c r="X591" s="7">
        <v>0</v>
      </c>
      <c r="Y591" s="7">
        <v>0</v>
      </c>
      <c r="Z591" s="7">
        <v>0</v>
      </c>
      <c r="AA591" s="7">
        <v>0</v>
      </c>
      <c r="AB591" s="7">
        <v>1</v>
      </c>
      <c r="AC591" s="7">
        <v>0</v>
      </c>
      <c r="AD591" s="7" t="s">
        <v>5044</v>
      </c>
      <c r="AE591" s="7" t="s">
        <v>5044</v>
      </c>
      <c r="AF591" s="7" t="s">
        <v>5044</v>
      </c>
      <c r="AG591" s="7">
        <v>0</v>
      </c>
      <c r="AH591" s="7" t="s">
        <v>5044</v>
      </c>
      <c r="AI591" s="7" t="s">
        <v>5044</v>
      </c>
      <c r="AJ591" s="7" t="s">
        <v>5044</v>
      </c>
      <c r="AL591" s="7" t="s">
        <v>5044</v>
      </c>
      <c r="AM591" s="7">
        <v>0</v>
      </c>
      <c r="AN591" s="7" t="s">
        <v>5105</v>
      </c>
      <c r="AO591" s="11">
        <v>9</v>
      </c>
    </row>
    <row r="592" spans="1:41" ht="63" customHeight="1" x14ac:dyDescent="0.2">
      <c r="A592" s="7">
        <v>7446</v>
      </c>
      <c r="B592" s="7" t="s">
        <v>2481</v>
      </c>
      <c r="C592" s="7" t="s">
        <v>2482</v>
      </c>
      <c r="D592" s="7" t="s">
        <v>56</v>
      </c>
      <c r="F592" s="7" t="s">
        <v>556</v>
      </c>
      <c r="G592" s="7" t="s">
        <v>18</v>
      </c>
      <c r="H592" s="7" t="s">
        <v>12</v>
      </c>
      <c r="I592" s="7" t="s">
        <v>13</v>
      </c>
      <c r="J592" s="7" t="s">
        <v>2483</v>
      </c>
      <c r="K592" s="7" t="s">
        <v>2484</v>
      </c>
      <c r="L592" s="8" t="s">
        <v>6135</v>
      </c>
      <c r="M592" s="7">
        <v>0</v>
      </c>
      <c r="N592" s="9" t="s">
        <v>5044</v>
      </c>
      <c r="O592" s="9" t="s">
        <v>5044</v>
      </c>
      <c r="P592" s="7">
        <v>0</v>
      </c>
      <c r="Q592" s="7">
        <v>0</v>
      </c>
      <c r="R592" s="7">
        <v>0</v>
      </c>
      <c r="S592" s="7">
        <v>3</v>
      </c>
      <c r="T592" s="7">
        <v>1</v>
      </c>
      <c r="U592" s="7">
        <v>60</v>
      </c>
      <c r="V592" s="7">
        <v>1</v>
      </c>
      <c r="W592" s="7">
        <v>0</v>
      </c>
      <c r="X592" s="7">
        <v>0</v>
      </c>
      <c r="Y592" s="7">
        <v>0</v>
      </c>
      <c r="Z592" s="7">
        <v>0</v>
      </c>
      <c r="AA592" s="7">
        <v>0</v>
      </c>
      <c r="AB592" s="7">
        <v>1</v>
      </c>
      <c r="AC592" s="7">
        <v>1</v>
      </c>
      <c r="AD592" s="7">
        <v>2</v>
      </c>
      <c r="AE592" s="7">
        <v>3</v>
      </c>
      <c r="AF592" s="7">
        <v>0</v>
      </c>
      <c r="AG592" s="7" t="s">
        <v>5044</v>
      </c>
      <c r="AH592" s="7" t="s">
        <v>5044</v>
      </c>
      <c r="AI592" s="7" t="s">
        <v>5044</v>
      </c>
      <c r="AJ592" s="7" t="s">
        <v>5044</v>
      </c>
      <c r="AK592" s="7">
        <v>1</v>
      </c>
      <c r="AL592" s="7">
        <v>1</v>
      </c>
      <c r="AM592" s="7">
        <v>0</v>
      </c>
      <c r="AO592" s="11">
        <v>3</v>
      </c>
    </row>
    <row r="593" spans="1:41" ht="63" customHeight="1" x14ac:dyDescent="0.2">
      <c r="A593" s="7">
        <v>7458</v>
      </c>
      <c r="B593" s="7" t="s">
        <v>2485</v>
      </c>
      <c r="C593" s="7" t="s">
        <v>2486</v>
      </c>
      <c r="D593" s="7" t="s">
        <v>16</v>
      </c>
      <c r="F593" s="7" t="s">
        <v>2487</v>
      </c>
      <c r="H593" s="7" t="s">
        <v>1449</v>
      </c>
      <c r="I593" s="7" t="s">
        <v>13</v>
      </c>
      <c r="K593" s="7" t="s">
        <v>2488</v>
      </c>
      <c r="L593" s="11" t="s">
        <v>5044</v>
      </c>
      <c r="M593" s="7">
        <v>0</v>
      </c>
      <c r="N593" s="9" t="s">
        <v>5044</v>
      </c>
      <c r="O593" s="9" t="s">
        <v>5044</v>
      </c>
      <c r="P593" s="7">
        <v>0</v>
      </c>
      <c r="Q593" s="7">
        <v>0</v>
      </c>
      <c r="R593" s="7">
        <v>0</v>
      </c>
      <c r="S593" s="7">
        <v>1</v>
      </c>
      <c r="T593" s="7">
        <v>1</v>
      </c>
      <c r="U593" s="7">
        <v>208</v>
      </c>
      <c r="V593" s="7">
        <v>1</v>
      </c>
      <c r="W593" s="7">
        <v>0</v>
      </c>
      <c r="X593" s="7">
        <v>0</v>
      </c>
      <c r="Y593" s="7">
        <v>0</v>
      </c>
      <c r="Z593" s="7">
        <v>0</v>
      </c>
      <c r="AA593" s="7">
        <v>0</v>
      </c>
      <c r="AB593" s="7">
        <v>1</v>
      </c>
      <c r="AC593" s="7">
        <v>0</v>
      </c>
      <c r="AD593" s="7">
        <v>0</v>
      </c>
      <c r="AE593" s="7" t="s">
        <v>5044</v>
      </c>
      <c r="AF593" s="7" t="s">
        <v>5044</v>
      </c>
      <c r="AG593" s="7" t="s">
        <v>5044</v>
      </c>
      <c r="AH593" s="7" t="s">
        <v>5044</v>
      </c>
      <c r="AI593" s="7" t="s">
        <v>5044</v>
      </c>
      <c r="AJ593" s="7" t="s">
        <v>5044</v>
      </c>
      <c r="AL593" s="7">
        <v>0</v>
      </c>
      <c r="AM593" s="7">
        <v>0</v>
      </c>
      <c r="AO593" s="7">
        <v>9</v>
      </c>
    </row>
    <row r="594" spans="1:41" ht="63" customHeight="1" x14ac:dyDescent="0.2">
      <c r="A594" s="7">
        <v>7472</v>
      </c>
      <c r="B594" s="7" t="s">
        <v>2489</v>
      </c>
      <c r="C594" s="7" t="s">
        <v>2490</v>
      </c>
      <c r="D594" s="7" t="s">
        <v>25</v>
      </c>
      <c r="F594" s="7" t="s">
        <v>83</v>
      </c>
      <c r="G594" s="7" t="s">
        <v>136</v>
      </c>
      <c r="H594" s="7" t="s">
        <v>329</v>
      </c>
      <c r="I594" s="7" t="s">
        <v>13</v>
      </c>
      <c r="J594" s="7" t="s">
        <v>2491</v>
      </c>
      <c r="K594" s="7" t="s">
        <v>2492</v>
      </c>
      <c r="L594" s="11" t="s">
        <v>5044</v>
      </c>
      <c r="M594" s="7">
        <v>0</v>
      </c>
      <c r="N594" s="9" t="s">
        <v>5044</v>
      </c>
      <c r="O594" s="9" t="s">
        <v>5044</v>
      </c>
      <c r="P594" s="7">
        <v>0</v>
      </c>
      <c r="Q594" s="7">
        <v>0</v>
      </c>
      <c r="R594" s="7">
        <v>0</v>
      </c>
      <c r="S594" s="7" t="s">
        <v>5708</v>
      </c>
      <c r="T594" s="7">
        <v>1</v>
      </c>
      <c r="U594" s="7">
        <v>204</v>
      </c>
      <c r="V594" s="7">
        <v>0</v>
      </c>
      <c r="W594" s="7">
        <v>1</v>
      </c>
      <c r="X594" s="7">
        <v>0</v>
      </c>
      <c r="Y594" s="7">
        <v>0</v>
      </c>
      <c r="Z594" s="7">
        <v>0</v>
      </c>
      <c r="AA594" s="7">
        <v>0</v>
      </c>
      <c r="AB594" s="7">
        <v>1</v>
      </c>
      <c r="AC594" s="7">
        <v>1</v>
      </c>
      <c r="AD594" s="7" t="s">
        <v>5044</v>
      </c>
      <c r="AE594" s="7" t="s">
        <v>5044</v>
      </c>
      <c r="AF594" s="7" t="s">
        <v>5044</v>
      </c>
      <c r="AG594" s="7">
        <v>2</v>
      </c>
      <c r="AH594" s="7">
        <v>2</v>
      </c>
      <c r="AI594" s="7">
        <v>2</v>
      </c>
      <c r="AJ594" s="7" t="s">
        <v>5044</v>
      </c>
      <c r="AL594" s="7">
        <v>0</v>
      </c>
      <c r="AM594" s="7">
        <v>0</v>
      </c>
      <c r="AO594" s="11">
        <v>2</v>
      </c>
    </row>
    <row r="595" spans="1:41" ht="63" customHeight="1" x14ac:dyDescent="0.2">
      <c r="A595" s="7">
        <v>7495</v>
      </c>
      <c r="B595" s="7" t="s">
        <v>2497</v>
      </c>
      <c r="C595" s="7" t="s">
        <v>2498</v>
      </c>
      <c r="D595" s="7" t="s">
        <v>95</v>
      </c>
      <c r="F595" s="7" t="s">
        <v>260</v>
      </c>
      <c r="G595" s="7" t="s">
        <v>144</v>
      </c>
      <c r="H595" s="7" t="s">
        <v>38</v>
      </c>
      <c r="I595" s="7" t="s">
        <v>13</v>
      </c>
      <c r="J595" s="7" t="s">
        <v>2499</v>
      </c>
      <c r="K595" s="7" t="s">
        <v>2500</v>
      </c>
      <c r="L595" s="8" t="s">
        <v>6137</v>
      </c>
      <c r="M595" s="7">
        <v>0</v>
      </c>
      <c r="N595" s="9" t="s">
        <v>5044</v>
      </c>
      <c r="O595" s="9" t="s">
        <v>5044</v>
      </c>
      <c r="P595" s="7">
        <v>0</v>
      </c>
      <c r="Q595" s="7">
        <v>0</v>
      </c>
      <c r="R595" s="7">
        <v>0</v>
      </c>
      <c r="S595" s="7">
        <v>1</v>
      </c>
      <c r="T595" s="7">
        <v>1</v>
      </c>
      <c r="U595" s="7">
        <v>116</v>
      </c>
      <c r="V595" s="7">
        <v>0</v>
      </c>
      <c r="W595" s="7">
        <v>1</v>
      </c>
      <c r="X595" s="7">
        <v>0</v>
      </c>
      <c r="Y595" s="7">
        <v>0</v>
      </c>
      <c r="Z595" s="7">
        <v>0</v>
      </c>
      <c r="AA595" s="7">
        <v>0</v>
      </c>
      <c r="AB595" s="7">
        <v>1</v>
      </c>
      <c r="AC595" s="7">
        <v>0</v>
      </c>
      <c r="AD595" s="7" t="s">
        <v>5044</v>
      </c>
      <c r="AE595" s="7" t="s">
        <v>5044</v>
      </c>
      <c r="AF595" s="7" t="s">
        <v>5044</v>
      </c>
      <c r="AG595" s="7">
        <v>0</v>
      </c>
      <c r="AH595" s="7" t="s">
        <v>5044</v>
      </c>
      <c r="AI595" s="7" t="s">
        <v>5044</v>
      </c>
      <c r="AJ595" s="7" t="s">
        <v>5044</v>
      </c>
      <c r="AL595" s="7">
        <v>0</v>
      </c>
      <c r="AM595" s="7">
        <v>0</v>
      </c>
      <c r="AO595" s="11">
        <v>9</v>
      </c>
    </row>
    <row r="596" spans="1:41" ht="63" customHeight="1" x14ac:dyDescent="0.2">
      <c r="A596" s="7">
        <v>7511</v>
      </c>
      <c r="B596" s="7" t="s">
        <v>2501</v>
      </c>
      <c r="C596" s="7" t="s">
        <v>2502</v>
      </c>
      <c r="D596" s="7" t="s">
        <v>74</v>
      </c>
      <c r="F596" s="7" t="s">
        <v>829</v>
      </c>
      <c r="G596" s="7" t="s">
        <v>11</v>
      </c>
      <c r="H596" s="7" t="s">
        <v>251</v>
      </c>
      <c r="I596" s="7" t="s">
        <v>13</v>
      </c>
      <c r="J596" s="7" t="s">
        <v>2503</v>
      </c>
      <c r="K596" s="7" t="s">
        <v>2504</v>
      </c>
      <c r="L596" s="8" t="s">
        <v>6138</v>
      </c>
      <c r="M596" s="7">
        <v>0</v>
      </c>
      <c r="N596" s="9" t="s">
        <v>5044</v>
      </c>
      <c r="O596" s="9" t="s">
        <v>5044</v>
      </c>
      <c r="P596" s="7">
        <v>0</v>
      </c>
      <c r="Q596" s="7">
        <v>0</v>
      </c>
      <c r="R596" s="7">
        <v>0</v>
      </c>
      <c r="S596" s="7">
        <v>4</v>
      </c>
      <c r="T596" s="7">
        <v>2</v>
      </c>
      <c r="U596" s="7">
        <v>85</v>
      </c>
      <c r="V596" s="7">
        <v>0</v>
      </c>
      <c r="W596" s="7">
        <v>1</v>
      </c>
      <c r="X596" s="7">
        <v>0</v>
      </c>
      <c r="Y596" s="7">
        <v>0</v>
      </c>
      <c r="Z596" s="7">
        <v>0</v>
      </c>
      <c r="AA596" s="7">
        <v>0</v>
      </c>
      <c r="AB596" s="7">
        <v>1</v>
      </c>
      <c r="AC596" s="7">
        <v>1</v>
      </c>
      <c r="AD596" s="7" t="s">
        <v>5044</v>
      </c>
      <c r="AE596" s="7" t="s">
        <v>5044</v>
      </c>
      <c r="AF596" s="7" t="s">
        <v>5044</v>
      </c>
      <c r="AG596" s="7">
        <v>2</v>
      </c>
      <c r="AH596" s="7">
        <v>3</v>
      </c>
      <c r="AI596" s="7">
        <v>0</v>
      </c>
      <c r="AJ596" s="7" t="s">
        <v>5044</v>
      </c>
      <c r="AK596" s="7">
        <v>1</v>
      </c>
      <c r="AL596" s="7" t="s">
        <v>5044</v>
      </c>
      <c r="AM596" s="7">
        <v>0</v>
      </c>
      <c r="AN596" s="7" t="s">
        <v>5105</v>
      </c>
      <c r="AO596" s="11">
        <v>3</v>
      </c>
    </row>
    <row r="597" spans="1:41" ht="63" customHeight="1" x14ac:dyDescent="0.2">
      <c r="A597" s="7">
        <v>7538</v>
      </c>
      <c r="B597" s="7" t="s">
        <v>2505</v>
      </c>
      <c r="C597" s="7" t="s">
        <v>2506</v>
      </c>
      <c r="D597" s="7" t="s">
        <v>56</v>
      </c>
      <c r="F597" s="7" t="s">
        <v>929</v>
      </c>
      <c r="G597" s="7" t="s">
        <v>52</v>
      </c>
      <c r="H597" s="7" t="s">
        <v>43</v>
      </c>
      <c r="I597" s="7" t="s">
        <v>13</v>
      </c>
      <c r="J597" s="7" t="s">
        <v>2507</v>
      </c>
      <c r="K597" s="7" t="s">
        <v>2508</v>
      </c>
      <c r="L597" s="6" t="s">
        <v>6139</v>
      </c>
      <c r="M597" s="7">
        <v>0</v>
      </c>
      <c r="N597" s="9" t="s">
        <v>5044</v>
      </c>
      <c r="O597" s="9" t="s">
        <v>5044</v>
      </c>
      <c r="P597" s="7">
        <v>0</v>
      </c>
      <c r="Q597" s="7">
        <v>0</v>
      </c>
      <c r="R597" s="7">
        <v>0</v>
      </c>
      <c r="S597" s="7">
        <v>1</v>
      </c>
      <c r="T597" s="7">
        <v>4</v>
      </c>
      <c r="U597" s="7">
        <v>136</v>
      </c>
      <c r="V597" s="7">
        <v>0</v>
      </c>
      <c r="W597" s="7">
        <v>1</v>
      </c>
      <c r="X597" s="7">
        <v>0</v>
      </c>
      <c r="Y597" s="7">
        <v>0</v>
      </c>
      <c r="Z597" s="7">
        <v>0</v>
      </c>
      <c r="AA597" s="7">
        <v>0</v>
      </c>
      <c r="AB597" s="7">
        <v>1</v>
      </c>
      <c r="AC597" s="7">
        <v>1</v>
      </c>
      <c r="AD597" s="7" t="s">
        <v>5044</v>
      </c>
      <c r="AE597" s="7" t="s">
        <v>5044</v>
      </c>
      <c r="AF597" s="7" t="s">
        <v>5044</v>
      </c>
      <c r="AG597" s="7">
        <v>1</v>
      </c>
      <c r="AH597" s="7">
        <v>0</v>
      </c>
      <c r="AI597" s="7">
        <v>0</v>
      </c>
      <c r="AJ597" s="7" t="s">
        <v>5044</v>
      </c>
      <c r="AL597" s="7">
        <v>0</v>
      </c>
      <c r="AM597" s="7">
        <v>0</v>
      </c>
      <c r="AO597" s="9">
        <v>0</v>
      </c>
    </row>
    <row r="598" spans="1:41" ht="63" customHeight="1" x14ac:dyDescent="0.2">
      <c r="A598" s="7">
        <v>7546</v>
      </c>
      <c r="B598" s="7" t="s">
        <v>2509</v>
      </c>
      <c r="C598" s="7" t="s">
        <v>2510</v>
      </c>
      <c r="D598" s="7" t="s">
        <v>149</v>
      </c>
      <c r="F598" s="7" t="s">
        <v>110</v>
      </c>
      <c r="G598" s="7" t="s">
        <v>92</v>
      </c>
      <c r="H598" s="7" t="s">
        <v>871</v>
      </c>
      <c r="I598" s="7" t="s">
        <v>13</v>
      </c>
      <c r="J598" s="7" t="s">
        <v>2511</v>
      </c>
      <c r="K598" s="7" t="s">
        <v>2512</v>
      </c>
      <c r="L598" s="8">
        <v>8628</v>
      </c>
      <c r="M598" s="7">
        <v>0</v>
      </c>
      <c r="N598" s="9" t="s">
        <v>5044</v>
      </c>
      <c r="O598" s="9" t="s">
        <v>5044</v>
      </c>
      <c r="P598" s="7">
        <v>0</v>
      </c>
      <c r="Q598" s="7">
        <v>0</v>
      </c>
      <c r="R598" s="7">
        <v>0</v>
      </c>
      <c r="S598" s="7">
        <v>1</v>
      </c>
      <c r="T598" s="7">
        <v>4</v>
      </c>
      <c r="U598" s="7">
        <v>63</v>
      </c>
      <c r="V598" s="7">
        <v>0</v>
      </c>
      <c r="W598" s="7">
        <v>1</v>
      </c>
      <c r="X598" s="7">
        <v>0</v>
      </c>
      <c r="Y598" s="7">
        <v>0</v>
      </c>
      <c r="Z598" s="7">
        <v>0</v>
      </c>
      <c r="AA598" s="7">
        <v>0</v>
      </c>
      <c r="AB598" s="7">
        <v>1</v>
      </c>
      <c r="AC598" s="7">
        <v>1</v>
      </c>
      <c r="AD598" s="7" t="s">
        <v>5044</v>
      </c>
      <c r="AE598" s="7" t="s">
        <v>5044</v>
      </c>
      <c r="AF598" s="7" t="s">
        <v>5044</v>
      </c>
      <c r="AG598" s="7">
        <v>1</v>
      </c>
      <c r="AH598" s="7">
        <v>0</v>
      </c>
      <c r="AI598" s="7">
        <v>0</v>
      </c>
      <c r="AJ598" s="7" t="s">
        <v>5044</v>
      </c>
      <c r="AL598" s="7">
        <v>0</v>
      </c>
      <c r="AM598" s="7">
        <v>0</v>
      </c>
      <c r="AO598" s="9">
        <v>0</v>
      </c>
    </row>
    <row r="599" spans="1:41" ht="63" customHeight="1" x14ac:dyDescent="0.2">
      <c r="A599" s="7">
        <v>7572</v>
      </c>
      <c r="B599" s="7" t="s">
        <v>2513</v>
      </c>
      <c r="C599" s="7" t="s">
        <v>2514</v>
      </c>
      <c r="D599" s="7" t="s">
        <v>41</v>
      </c>
      <c r="F599" s="7" t="s">
        <v>325</v>
      </c>
      <c r="G599" s="7" t="s">
        <v>37</v>
      </c>
      <c r="H599" s="7" t="s">
        <v>2515</v>
      </c>
      <c r="I599" s="7" t="s">
        <v>13</v>
      </c>
      <c r="J599" s="7" t="s">
        <v>2516</v>
      </c>
      <c r="K599" s="7" t="s">
        <v>2517</v>
      </c>
      <c r="L599" s="6" t="s">
        <v>6140</v>
      </c>
      <c r="M599" s="7">
        <v>0</v>
      </c>
      <c r="N599" s="9" t="s">
        <v>5044</v>
      </c>
      <c r="O599" s="9" t="s">
        <v>5044</v>
      </c>
      <c r="P599" s="7">
        <v>0</v>
      </c>
      <c r="Q599" s="7">
        <v>0</v>
      </c>
      <c r="R599" s="7">
        <v>0</v>
      </c>
      <c r="S599" s="7">
        <v>5</v>
      </c>
      <c r="T599" s="7">
        <v>1</v>
      </c>
      <c r="U599" s="7">
        <v>525</v>
      </c>
      <c r="V599" s="7">
        <v>0</v>
      </c>
      <c r="W599" s="7">
        <v>1</v>
      </c>
      <c r="X599" s="7">
        <v>0</v>
      </c>
      <c r="Y599" s="7">
        <v>0</v>
      </c>
      <c r="Z599" s="7">
        <v>0</v>
      </c>
      <c r="AA599" s="7">
        <v>0</v>
      </c>
      <c r="AB599" s="7">
        <v>1</v>
      </c>
      <c r="AC599" s="7">
        <v>1</v>
      </c>
      <c r="AD599" s="7" t="s">
        <v>5044</v>
      </c>
      <c r="AE599" s="7" t="s">
        <v>5044</v>
      </c>
      <c r="AF599" s="7" t="s">
        <v>5044</v>
      </c>
      <c r="AG599" s="7">
        <v>2</v>
      </c>
      <c r="AH599" s="7">
        <v>3</v>
      </c>
      <c r="AI599" s="7">
        <v>0</v>
      </c>
      <c r="AJ599" s="7" t="s">
        <v>5044</v>
      </c>
      <c r="AK599" s="7">
        <v>1</v>
      </c>
      <c r="AL599" s="7">
        <v>1</v>
      </c>
      <c r="AM599" s="7">
        <v>0</v>
      </c>
      <c r="AO599" s="11">
        <v>3</v>
      </c>
    </row>
    <row r="600" spans="1:41" ht="63" customHeight="1" x14ac:dyDescent="0.2">
      <c r="A600" s="7">
        <v>7574</v>
      </c>
      <c r="B600" s="7" t="s">
        <v>2518</v>
      </c>
      <c r="C600" s="7" t="s">
        <v>2519</v>
      </c>
      <c r="D600" s="7" t="s">
        <v>35</v>
      </c>
      <c r="F600" s="7" t="s">
        <v>2063</v>
      </c>
      <c r="G600" s="7" t="s">
        <v>144</v>
      </c>
      <c r="H600" s="7" t="s">
        <v>307</v>
      </c>
      <c r="I600" s="7" t="s">
        <v>13</v>
      </c>
      <c r="J600" s="7" t="s">
        <v>2520</v>
      </c>
      <c r="K600" s="7" t="s">
        <v>2521</v>
      </c>
      <c r="L600" s="11" t="s">
        <v>5044</v>
      </c>
      <c r="M600" s="7">
        <v>0</v>
      </c>
      <c r="N600" s="9" t="s">
        <v>5044</v>
      </c>
      <c r="O600" s="9" t="s">
        <v>5044</v>
      </c>
      <c r="P600" s="7">
        <v>0</v>
      </c>
      <c r="Q600" s="7">
        <v>0</v>
      </c>
      <c r="R600" s="7">
        <v>0</v>
      </c>
      <c r="S600" s="7">
        <v>3</v>
      </c>
      <c r="T600" s="7">
        <v>6</v>
      </c>
      <c r="U600" s="7">
        <v>80</v>
      </c>
      <c r="V600" s="7">
        <v>0</v>
      </c>
      <c r="W600" s="7">
        <v>1</v>
      </c>
      <c r="X600" s="7">
        <v>0</v>
      </c>
      <c r="Y600" s="7">
        <v>0</v>
      </c>
      <c r="Z600" s="7">
        <v>0</v>
      </c>
      <c r="AA600" s="7">
        <v>0</v>
      </c>
      <c r="AB600" s="7">
        <v>1</v>
      </c>
      <c r="AC600" s="7">
        <v>1</v>
      </c>
      <c r="AD600" s="7" t="s">
        <v>5044</v>
      </c>
      <c r="AE600" s="7" t="s">
        <v>5044</v>
      </c>
      <c r="AF600" s="7" t="s">
        <v>5044</v>
      </c>
      <c r="AG600" s="7">
        <v>2</v>
      </c>
      <c r="AH600" s="7">
        <v>3</v>
      </c>
      <c r="AI600" s="7">
        <v>0</v>
      </c>
      <c r="AJ600" s="7" t="s">
        <v>5044</v>
      </c>
      <c r="AL600" s="7" t="s">
        <v>5044</v>
      </c>
      <c r="AM600" s="7">
        <v>0</v>
      </c>
      <c r="AN600" s="7" t="s">
        <v>5105</v>
      </c>
      <c r="AO600" s="11">
        <v>3</v>
      </c>
    </row>
    <row r="601" spans="1:41" ht="63" customHeight="1" x14ac:dyDescent="0.2">
      <c r="A601" s="7">
        <v>7577</v>
      </c>
      <c r="B601" s="7" t="s">
        <v>2522</v>
      </c>
      <c r="C601" s="7" t="s">
        <v>2523</v>
      </c>
      <c r="D601" s="7" t="s">
        <v>22</v>
      </c>
      <c r="F601" s="7" t="s">
        <v>163</v>
      </c>
      <c r="G601" s="7" t="s">
        <v>144</v>
      </c>
      <c r="H601" s="7" t="s">
        <v>2524</v>
      </c>
      <c r="I601" s="7" t="s">
        <v>13</v>
      </c>
      <c r="J601" s="7" t="s">
        <v>2525</v>
      </c>
      <c r="L601" s="11" t="s">
        <v>5044</v>
      </c>
      <c r="M601" s="7">
        <v>0</v>
      </c>
      <c r="N601" s="9" t="s">
        <v>5044</v>
      </c>
      <c r="O601" s="9" t="s">
        <v>5044</v>
      </c>
      <c r="P601" s="7">
        <v>0</v>
      </c>
      <c r="Q601" s="7">
        <v>0</v>
      </c>
      <c r="R601" s="7">
        <v>0</v>
      </c>
      <c r="S601" s="7">
        <v>1</v>
      </c>
      <c r="T601" s="7">
        <v>1</v>
      </c>
      <c r="U601" s="7">
        <v>93</v>
      </c>
      <c r="V601" s="7">
        <v>0</v>
      </c>
      <c r="W601" s="7">
        <v>1</v>
      </c>
      <c r="X601" s="7">
        <v>0</v>
      </c>
      <c r="Y601" s="7">
        <v>0</v>
      </c>
      <c r="Z601" s="7">
        <v>0</v>
      </c>
      <c r="AA601" s="7">
        <v>0</v>
      </c>
      <c r="AB601" s="7">
        <v>1</v>
      </c>
      <c r="AC601" s="7">
        <v>1</v>
      </c>
      <c r="AD601" s="7" t="s">
        <v>5044</v>
      </c>
      <c r="AE601" s="7" t="s">
        <v>5044</v>
      </c>
      <c r="AF601" s="7" t="s">
        <v>5044</v>
      </c>
      <c r="AG601" s="7">
        <v>2</v>
      </c>
      <c r="AH601" s="7">
        <v>2</v>
      </c>
      <c r="AI601" s="7">
        <v>1</v>
      </c>
      <c r="AJ601" s="7" t="s">
        <v>5044</v>
      </c>
      <c r="AL601" s="7">
        <v>0</v>
      </c>
      <c r="AM601" s="7">
        <v>0</v>
      </c>
      <c r="AO601" s="11">
        <v>2</v>
      </c>
    </row>
    <row r="602" spans="1:41" ht="63" customHeight="1" x14ac:dyDescent="0.2">
      <c r="A602" s="7">
        <v>7590</v>
      </c>
      <c r="B602" s="7" t="s">
        <v>2526</v>
      </c>
      <c r="C602" s="7" t="s">
        <v>2527</v>
      </c>
      <c r="D602" s="7" t="s">
        <v>101</v>
      </c>
      <c r="F602" s="7" t="s">
        <v>2528</v>
      </c>
      <c r="G602" s="7" t="s">
        <v>18</v>
      </c>
      <c r="H602" s="7" t="s">
        <v>43</v>
      </c>
      <c r="I602" s="7" t="s">
        <v>13</v>
      </c>
      <c r="J602" s="7" t="s">
        <v>2529</v>
      </c>
      <c r="K602" s="7" t="s">
        <v>2530</v>
      </c>
      <c r="L602" s="6" t="s">
        <v>6158</v>
      </c>
      <c r="M602" s="7">
        <v>0</v>
      </c>
      <c r="N602" s="9" t="s">
        <v>5044</v>
      </c>
      <c r="O602" s="9" t="s">
        <v>5044</v>
      </c>
      <c r="P602" s="7">
        <v>0</v>
      </c>
      <c r="Q602" s="7">
        <v>0</v>
      </c>
      <c r="R602" s="7">
        <v>0</v>
      </c>
      <c r="S602" s="7" t="s">
        <v>5708</v>
      </c>
      <c r="T602" s="7">
        <v>1</v>
      </c>
      <c r="U602" s="7">
        <v>120</v>
      </c>
      <c r="V602" s="7">
        <v>0</v>
      </c>
      <c r="W602" s="7">
        <v>1</v>
      </c>
      <c r="X602" s="7">
        <v>0</v>
      </c>
      <c r="Y602" s="7">
        <v>0</v>
      </c>
      <c r="Z602" s="7">
        <v>0</v>
      </c>
      <c r="AA602" s="7">
        <v>0</v>
      </c>
      <c r="AB602" s="7">
        <v>1</v>
      </c>
      <c r="AC602" s="7">
        <v>1</v>
      </c>
      <c r="AD602" s="7" t="s">
        <v>5044</v>
      </c>
      <c r="AE602" s="7" t="s">
        <v>5044</v>
      </c>
      <c r="AF602" s="7" t="s">
        <v>5044</v>
      </c>
      <c r="AG602" s="7">
        <v>2</v>
      </c>
      <c r="AH602" s="7">
        <v>2</v>
      </c>
      <c r="AI602" s="7">
        <v>2</v>
      </c>
      <c r="AJ602" s="7" t="s">
        <v>5044</v>
      </c>
      <c r="AL602" s="7">
        <v>1</v>
      </c>
      <c r="AM602" s="7">
        <v>0</v>
      </c>
      <c r="AO602" s="11">
        <v>2</v>
      </c>
    </row>
    <row r="603" spans="1:41" ht="63" customHeight="1" x14ac:dyDescent="0.2">
      <c r="A603" s="7">
        <v>7593</v>
      </c>
      <c r="B603" s="23" t="s">
        <v>2535</v>
      </c>
      <c r="C603" s="7" t="s">
        <v>2536</v>
      </c>
      <c r="D603" s="7" t="s">
        <v>46</v>
      </c>
      <c r="E603" s="7" t="s">
        <v>2539</v>
      </c>
      <c r="F603" s="7" t="s">
        <v>299</v>
      </c>
      <c r="G603" s="7" t="s">
        <v>175</v>
      </c>
      <c r="H603" s="7" t="s">
        <v>319</v>
      </c>
      <c r="I603" s="7" t="s">
        <v>13</v>
      </c>
      <c r="J603" s="7" t="s">
        <v>2537</v>
      </c>
      <c r="K603" s="7" t="s">
        <v>2538</v>
      </c>
      <c r="L603" s="8" t="s">
        <v>6160</v>
      </c>
      <c r="M603" s="7">
        <v>0</v>
      </c>
      <c r="N603" s="9" t="s">
        <v>5044</v>
      </c>
      <c r="O603" s="9" t="s">
        <v>5044</v>
      </c>
      <c r="P603" s="7">
        <v>0</v>
      </c>
      <c r="Q603" s="7">
        <v>0</v>
      </c>
      <c r="R603" s="7">
        <v>0</v>
      </c>
      <c r="S603" s="7" t="s">
        <v>7669</v>
      </c>
      <c r="T603" s="7">
        <v>1</v>
      </c>
      <c r="U603" s="7">
        <v>23</v>
      </c>
      <c r="V603" s="7">
        <v>0</v>
      </c>
      <c r="W603" s="7">
        <v>1</v>
      </c>
      <c r="X603" s="7">
        <v>0</v>
      </c>
      <c r="Y603" s="7">
        <v>0</v>
      </c>
      <c r="Z603" s="7">
        <v>0</v>
      </c>
      <c r="AA603" s="7">
        <v>0</v>
      </c>
      <c r="AB603" s="7">
        <v>1</v>
      </c>
      <c r="AC603" s="7">
        <v>1</v>
      </c>
      <c r="AD603" s="7" t="s">
        <v>5044</v>
      </c>
      <c r="AE603" s="7" t="s">
        <v>5044</v>
      </c>
      <c r="AF603" s="7" t="s">
        <v>5044</v>
      </c>
      <c r="AG603" s="7">
        <v>2</v>
      </c>
      <c r="AH603" s="7">
        <v>3</v>
      </c>
      <c r="AI603" s="7">
        <v>0</v>
      </c>
      <c r="AJ603" s="7" t="s">
        <v>5044</v>
      </c>
      <c r="AK603" s="7">
        <v>1</v>
      </c>
      <c r="AL603" s="7">
        <v>0</v>
      </c>
      <c r="AM603" s="7">
        <v>0</v>
      </c>
      <c r="AO603" s="11">
        <v>3</v>
      </c>
    </row>
    <row r="604" spans="1:41" ht="63" customHeight="1" x14ac:dyDescent="0.2">
      <c r="A604" s="7">
        <v>7596</v>
      </c>
      <c r="B604" s="7" t="s">
        <v>2540</v>
      </c>
      <c r="C604" s="7" t="s">
        <v>2541</v>
      </c>
      <c r="D604" s="7" t="s">
        <v>101</v>
      </c>
      <c r="F604" s="7" t="s">
        <v>2528</v>
      </c>
      <c r="G604" s="7" t="s">
        <v>11</v>
      </c>
      <c r="H604" s="7" t="s">
        <v>43</v>
      </c>
      <c r="I604" s="7" t="s">
        <v>13</v>
      </c>
      <c r="J604" s="7" t="s">
        <v>2542</v>
      </c>
      <c r="K604" s="7" t="s">
        <v>2543</v>
      </c>
      <c r="L604" s="8" t="s">
        <v>6161</v>
      </c>
      <c r="M604" s="7">
        <v>0</v>
      </c>
      <c r="N604" s="9" t="s">
        <v>5044</v>
      </c>
      <c r="O604" s="9" t="s">
        <v>5044</v>
      </c>
      <c r="P604" s="7">
        <v>0</v>
      </c>
      <c r="Q604" s="7">
        <v>0</v>
      </c>
      <c r="R604" s="7">
        <v>0</v>
      </c>
      <c r="S604" s="7">
        <v>1</v>
      </c>
      <c r="T604" s="7">
        <v>2</v>
      </c>
      <c r="U604" s="7">
        <v>30</v>
      </c>
      <c r="V604" s="7">
        <v>0</v>
      </c>
      <c r="W604" s="7">
        <v>1</v>
      </c>
      <c r="X604" s="7">
        <v>0</v>
      </c>
      <c r="Y604" s="7">
        <v>0</v>
      </c>
      <c r="Z604" s="7">
        <v>0</v>
      </c>
      <c r="AA604" s="7">
        <v>0</v>
      </c>
      <c r="AB604" s="7">
        <v>1</v>
      </c>
      <c r="AC604" s="7">
        <v>1</v>
      </c>
      <c r="AD604" s="7" t="s">
        <v>5044</v>
      </c>
      <c r="AE604" s="7" t="s">
        <v>5044</v>
      </c>
      <c r="AF604" s="7" t="s">
        <v>5044</v>
      </c>
      <c r="AG604" s="7">
        <v>2</v>
      </c>
      <c r="AH604" s="7">
        <v>2</v>
      </c>
      <c r="AI604" s="7">
        <v>2</v>
      </c>
      <c r="AJ604" s="7" t="s">
        <v>5044</v>
      </c>
      <c r="AL604" s="7">
        <v>0</v>
      </c>
      <c r="AM604" s="7">
        <v>0</v>
      </c>
      <c r="AO604" s="11">
        <v>2</v>
      </c>
    </row>
    <row r="605" spans="1:41" ht="63" customHeight="1" x14ac:dyDescent="0.2">
      <c r="A605" s="7">
        <v>7602</v>
      </c>
      <c r="B605" s="7" t="s">
        <v>2548</v>
      </c>
      <c r="C605" s="7" t="s">
        <v>2549</v>
      </c>
      <c r="D605" s="7" t="s">
        <v>22</v>
      </c>
      <c r="F605" s="7" t="s">
        <v>1048</v>
      </c>
      <c r="G605" s="7" t="s">
        <v>32</v>
      </c>
      <c r="H605" s="7" t="s">
        <v>43</v>
      </c>
      <c r="I605" s="7" t="s">
        <v>13</v>
      </c>
      <c r="J605" s="7" t="s">
        <v>2550</v>
      </c>
      <c r="K605" s="7" t="s">
        <v>2551</v>
      </c>
      <c r="L605" s="6" t="s">
        <v>6163</v>
      </c>
      <c r="M605" s="7">
        <v>0</v>
      </c>
      <c r="N605" s="9" t="s">
        <v>5044</v>
      </c>
      <c r="O605" s="9" t="s">
        <v>5044</v>
      </c>
      <c r="P605" s="7">
        <v>0</v>
      </c>
      <c r="Q605" s="7">
        <v>0</v>
      </c>
      <c r="R605" s="7">
        <v>0</v>
      </c>
      <c r="S605" s="7">
        <v>9</v>
      </c>
      <c r="T605" s="7">
        <v>2</v>
      </c>
      <c r="U605" s="7">
        <v>146</v>
      </c>
      <c r="V605" s="7">
        <v>0</v>
      </c>
      <c r="W605" s="7">
        <v>1</v>
      </c>
      <c r="X605" s="7">
        <v>0</v>
      </c>
      <c r="Y605" s="7">
        <v>0</v>
      </c>
      <c r="Z605" s="7">
        <v>0</v>
      </c>
      <c r="AA605" s="7">
        <v>0</v>
      </c>
      <c r="AB605" s="7">
        <v>1</v>
      </c>
      <c r="AC605" s="7">
        <v>1</v>
      </c>
      <c r="AD605" s="7" t="s">
        <v>5044</v>
      </c>
      <c r="AE605" s="7" t="s">
        <v>5044</v>
      </c>
      <c r="AF605" s="7" t="s">
        <v>5044</v>
      </c>
      <c r="AG605" s="7">
        <v>2</v>
      </c>
      <c r="AH605" s="7">
        <v>2</v>
      </c>
      <c r="AI605" s="7">
        <v>2</v>
      </c>
      <c r="AJ605" s="7" t="s">
        <v>5044</v>
      </c>
      <c r="AL605" s="7">
        <v>1</v>
      </c>
      <c r="AM605" s="7">
        <v>0</v>
      </c>
      <c r="AO605" s="11">
        <v>2</v>
      </c>
    </row>
    <row r="606" spans="1:41" ht="63" customHeight="1" x14ac:dyDescent="0.2">
      <c r="A606" s="7">
        <v>7614</v>
      </c>
      <c r="B606" s="7" t="s">
        <v>2552</v>
      </c>
      <c r="C606" s="7" t="s">
        <v>2553</v>
      </c>
      <c r="D606" s="7" t="s">
        <v>149</v>
      </c>
      <c r="F606" s="7" t="s">
        <v>788</v>
      </c>
      <c r="G606" s="7" t="s">
        <v>144</v>
      </c>
      <c r="H606" s="7" t="s">
        <v>1043</v>
      </c>
      <c r="I606" s="7" t="s">
        <v>13</v>
      </c>
      <c r="J606" s="7" t="s">
        <v>2554</v>
      </c>
      <c r="K606" s="7" t="s">
        <v>2555</v>
      </c>
      <c r="L606" s="11" t="s">
        <v>5044</v>
      </c>
      <c r="M606" s="7">
        <v>0</v>
      </c>
      <c r="N606" s="9" t="s">
        <v>5044</v>
      </c>
      <c r="O606" s="9" t="s">
        <v>5044</v>
      </c>
      <c r="P606" s="7">
        <v>0</v>
      </c>
      <c r="Q606" s="7">
        <v>0</v>
      </c>
      <c r="R606" s="7">
        <v>0</v>
      </c>
      <c r="S606" s="7">
        <v>3</v>
      </c>
      <c r="T606" s="7">
        <v>1</v>
      </c>
      <c r="U606" s="7">
        <v>60</v>
      </c>
      <c r="V606" s="7">
        <v>0</v>
      </c>
      <c r="W606" s="7">
        <v>1</v>
      </c>
      <c r="X606" s="7">
        <v>0</v>
      </c>
      <c r="Y606" s="7">
        <v>0</v>
      </c>
      <c r="Z606" s="7">
        <v>0</v>
      </c>
      <c r="AA606" s="7">
        <v>0</v>
      </c>
      <c r="AB606" s="7">
        <v>1</v>
      </c>
      <c r="AC606" s="7">
        <v>1</v>
      </c>
      <c r="AD606" s="7" t="s">
        <v>5044</v>
      </c>
      <c r="AE606" s="7" t="s">
        <v>5044</v>
      </c>
      <c r="AF606" s="7" t="s">
        <v>5044</v>
      </c>
      <c r="AG606" s="7">
        <v>1</v>
      </c>
      <c r="AH606" s="7">
        <v>0</v>
      </c>
      <c r="AI606" s="7">
        <v>0</v>
      </c>
      <c r="AJ606" s="7" t="s">
        <v>5044</v>
      </c>
      <c r="AL606" s="7" t="s">
        <v>5044</v>
      </c>
      <c r="AM606" s="7">
        <v>0</v>
      </c>
      <c r="AN606" s="7" t="s">
        <v>5105</v>
      </c>
      <c r="AO606" s="9">
        <v>0</v>
      </c>
    </row>
    <row r="607" spans="1:41" ht="63" customHeight="1" x14ac:dyDescent="0.2">
      <c r="A607" s="7">
        <v>7616</v>
      </c>
      <c r="B607" s="7" t="s">
        <v>2556</v>
      </c>
      <c r="C607" s="7" t="s">
        <v>2557</v>
      </c>
      <c r="D607" s="7" t="s">
        <v>41</v>
      </c>
      <c r="F607" s="7" t="s">
        <v>338</v>
      </c>
      <c r="G607" s="7" t="s">
        <v>27</v>
      </c>
      <c r="H607" s="7" t="s">
        <v>2558</v>
      </c>
      <c r="I607" s="7" t="s">
        <v>13</v>
      </c>
      <c r="J607" s="7" t="s">
        <v>2559</v>
      </c>
      <c r="K607" s="7" t="s">
        <v>2560</v>
      </c>
      <c r="L607" s="7" t="s">
        <v>6164</v>
      </c>
      <c r="M607" s="7">
        <v>0</v>
      </c>
      <c r="N607" s="9" t="s">
        <v>5044</v>
      </c>
      <c r="O607" s="9" t="s">
        <v>5044</v>
      </c>
      <c r="P607" s="7">
        <v>0</v>
      </c>
      <c r="Q607" s="7">
        <v>0</v>
      </c>
      <c r="R607" s="7">
        <v>0</v>
      </c>
      <c r="S607" s="7">
        <v>3</v>
      </c>
      <c r="T607" s="7">
        <v>1</v>
      </c>
      <c r="U607" s="7">
        <v>204</v>
      </c>
      <c r="V607" s="7">
        <v>0</v>
      </c>
      <c r="W607" s="7">
        <v>1</v>
      </c>
      <c r="X607" s="7">
        <v>0</v>
      </c>
      <c r="Y607" s="7">
        <v>0</v>
      </c>
      <c r="Z607" s="7">
        <v>0</v>
      </c>
      <c r="AA607" s="7">
        <v>0</v>
      </c>
      <c r="AB607" s="7">
        <v>1</v>
      </c>
      <c r="AC607" s="7">
        <v>1</v>
      </c>
      <c r="AD607" s="7" t="s">
        <v>5044</v>
      </c>
      <c r="AE607" s="7" t="s">
        <v>5044</v>
      </c>
      <c r="AF607" s="7" t="s">
        <v>5044</v>
      </c>
      <c r="AG607" s="7">
        <v>2</v>
      </c>
      <c r="AH607" s="7">
        <v>3</v>
      </c>
      <c r="AI607" s="7">
        <v>0</v>
      </c>
      <c r="AJ607" s="7" t="s">
        <v>5044</v>
      </c>
      <c r="AK607" s="7">
        <v>1</v>
      </c>
      <c r="AL607" s="7">
        <v>1</v>
      </c>
      <c r="AM607" s="7">
        <v>0</v>
      </c>
      <c r="AO607" s="11">
        <v>3</v>
      </c>
    </row>
    <row r="608" spans="1:41" ht="63" customHeight="1" x14ac:dyDescent="0.2">
      <c r="A608" s="7">
        <v>7620</v>
      </c>
      <c r="B608" s="7" t="s">
        <v>2561</v>
      </c>
      <c r="C608" s="7" t="s">
        <v>2562</v>
      </c>
      <c r="D608" s="7" t="s">
        <v>101</v>
      </c>
      <c r="F608" s="7" t="s">
        <v>932</v>
      </c>
      <c r="G608" s="7" t="s">
        <v>11</v>
      </c>
      <c r="H608" s="7" t="s">
        <v>38</v>
      </c>
      <c r="I608" s="7" t="s">
        <v>13</v>
      </c>
      <c r="J608" s="7" t="s">
        <v>2563</v>
      </c>
      <c r="K608" s="7" t="s">
        <v>2564</v>
      </c>
      <c r="L608" s="6" t="s">
        <v>6165</v>
      </c>
      <c r="M608" s="7">
        <v>0</v>
      </c>
      <c r="N608" s="9" t="s">
        <v>5044</v>
      </c>
      <c r="O608" s="9" t="s">
        <v>5044</v>
      </c>
      <c r="P608" s="7">
        <v>0</v>
      </c>
      <c r="Q608" s="7">
        <v>0</v>
      </c>
      <c r="R608" s="7">
        <v>0</v>
      </c>
      <c r="S608" s="7">
        <v>1</v>
      </c>
      <c r="T608" s="7">
        <v>4</v>
      </c>
      <c r="U608" s="7">
        <v>100</v>
      </c>
      <c r="V608" s="7">
        <v>0</v>
      </c>
      <c r="W608" s="7">
        <v>1</v>
      </c>
      <c r="X608" s="7">
        <v>0</v>
      </c>
      <c r="Y608" s="7">
        <v>0</v>
      </c>
      <c r="Z608" s="7">
        <v>0</v>
      </c>
      <c r="AA608" s="7">
        <v>0</v>
      </c>
      <c r="AB608" s="7">
        <v>1</v>
      </c>
      <c r="AC608" s="7">
        <v>1</v>
      </c>
      <c r="AD608" s="7" t="s">
        <v>5044</v>
      </c>
      <c r="AE608" s="7" t="s">
        <v>5044</v>
      </c>
      <c r="AF608" s="7" t="s">
        <v>5044</v>
      </c>
      <c r="AG608" s="7">
        <v>2</v>
      </c>
      <c r="AH608" s="7">
        <v>3</v>
      </c>
      <c r="AI608" s="7">
        <v>0</v>
      </c>
      <c r="AJ608" s="7" t="s">
        <v>5044</v>
      </c>
      <c r="AK608" s="7">
        <v>1</v>
      </c>
      <c r="AL608" s="7" t="s">
        <v>5044</v>
      </c>
      <c r="AM608" s="7">
        <v>0</v>
      </c>
      <c r="AN608" s="7" t="s">
        <v>6294</v>
      </c>
      <c r="AO608" s="11">
        <v>3</v>
      </c>
    </row>
    <row r="609" spans="1:41" ht="63" customHeight="1" x14ac:dyDescent="0.2">
      <c r="A609" s="7">
        <v>7626</v>
      </c>
      <c r="B609" s="7" t="s">
        <v>2573</v>
      </c>
      <c r="C609" s="7" t="s">
        <v>2574</v>
      </c>
      <c r="D609" s="7" t="s">
        <v>74</v>
      </c>
      <c r="F609" s="7" t="s">
        <v>74</v>
      </c>
      <c r="H609" s="7" t="s">
        <v>126</v>
      </c>
      <c r="I609" s="7" t="s">
        <v>13</v>
      </c>
      <c r="J609" s="7" t="s">
        <v>2575</v>
      </c>
      <c r="K609" s="7" t="s">
        <v>2576</v>
      </c>
      <c r="L609" s="11" t="s">
        <v>5044</v>
      </c>
      <c r="M609" s="7">
        <v>0</v>
      </c>
      <c r="N609" s="9" t="s">
        <v>5044</v>
      </c>
      <c r="O609" s="9" t="s">
        <v>5044</v>
      </c>
      <c r="P609" s="7">
        <v>0</v>
      </c>
      <c r="Q609" s="7">
        <v>0</v>
      </c>
      <c r="R609" s="7">
        <v>0</v>
      </c>
      <c r="S609" s="7">
        <v>2</v>
      </c>
      <c r="T609" s="7">
        <v>4</v>
      </c>
      <c r="U609" s="7">
        <v>60</v>
      </c>
      <c r="V609" s="7">
        <v>0</v>
      </c>
      <c r="W609" s="7">
        <v>1</v>
      </c>
      <c r="X609" s="7">
        <v>0</v>
      </c>
      <c r="Y609" s="7">
        <v>0</v>
      </c>
      <c r="Z609" s="7">
        <v>0</v>
      </c>
      <c r="AA609" s="7">
        <v>0</v>
      </c>
      <c r="AB609" s="7">
        <v>1</v>
      </c>
      <c r="AC609" s="7">
        <v>1</v>
      </c>
      <c r="AD609" s="7" t="s">
        <v>5044</v>
      </c>
      <c r="AE609" s="7" t="s">
        <v>5044</v>
      </c>
      <c r="AF609" s="7" t="s">
        <v>5044</v>
      </c>
      <c r="AG609" s="7">
        <v>1</v>
      </c>
      <c r="AH609" s="7">
        <v>0</v>
      </c>
      <c r="AI609" s="7">
        <v>0</v>
      </c>
      <c r="AJ609" s="7" t="s">
        <v>5044</v>
      </c>
      <c r="AL609" s="7">
        <v>0</v>
      </c>
      <c r="AM609" s="7">
        <v>0</v>
      </c>
      <c r="AO609" s="9">
        <v>0</v>
      </c>
    </row>
    <row r="610" spans="1:41" ht="63" customHeight="1" x14ac:dyDescent="0.2">
      <c r="A610" s="7">
        <v>7657</v>
      </c>
      <c r="B610" s="7" t="s">
        <v>2577</v>
      </c>
      <c r="C610" s="7" t="s">
        <v>2578</v>
      </c>
      <c r="D610" s="7" t="s">
        <v>22</v>
      </c>
      <c r="F610" s="7" t="s">
        <v>83</v>
      </c>
      <c r="G610" s="7" t="s">
        <v>144</v>
      </c>
      <c r="H610" s="7" t="s">
        <v>160</v>
      </c>
      <c r="I610" s="7" t="s">
        <v>13</v>
      </c>
      <c r="J610" s="7" t="s">
        <v>2579</v>
      </c>
      <c r="K610" s="7" t="s">
        <v>2580</v>
      </c>
      <c r="L610" s="6" t="s">
        <v>5878</v>
      </c>
      <c r="M610" s="7">
        <v>0</v>
      </c>
      <c r="N610" s="9" t="s">
        <v>5044</v>
      </c>
      <c r="O610" s="9" t="s">
        <v>5044</v>
      </c>
      <c r="P610" s="7">
        <v>0</v>
      </c>
      <c r="Q610" s="7">
        <v>0</v>
      </c>
      <c r="R610" s="7">
        <v>0</v>
      </c>
      <c r="S610" s="7">
        <v>1</v>
      </c>
      <c r="T610" s="7">
        <v>4</v>
      </c>
      <c r="U610" s="7">
        <v>194</v>
      </c>
      <c r="V610" s="7">
        <v>1</v>
      </c>
      <c r="W610" s="7">
        <v>0</v>
      </c>
      <c r="X610" s="7">
        <v>0</v>
      </c>
      <c r="Y610" s="7">
        <v>0</v>
      </c>
      <c r="Z610" s="7">
        <v>0</v>
      </c>
      <c r="AA610" s="7">
        <v>0</v>
      </c>
      <c r="AB610" s="7">
        <v>1</v>
      </c>
      <c r="AC610" s="7">
        <v>1</v>
      </c>
      <c r="AD610" s="7">
        <v>1</v>
      </c>
      <c r="AE610" s="7">
        <v>0</v>
      </c>
      <c r="AF610" s="7">
        <v>0</v>
      </c>
      <c r="AG610" s="7" t="s">
        <v>5044</v>
      </c>
      <c r="AH610" s="7" t="s">
        <v>5044</v>
      </c>
      <c r="AI610" s="7" t="s">
        <v>5044</v>
      </c>
      <c r="AJ610" s="7" t="s">
        <v>5044</v>
      </c>
      <c r="AL610" s="7">
        <v>0</v>
      </c>
      <c r="AM610" s="7">
        <v>0</v>
      </c>
      <c r="AO610" s="9">
        <v>0</v>
      </c>
    </row>
    <row r="611" spans="1:41" ht="63" customHeight="1" x14ac:dyDescent="0.2">
      <c r="A611" s="7">
        <v>7659</v>
      </c>
      <c r="B611" s="7" t="s">
        <v>2581</v>
      </c>
      <c r="C611" s="7" t="s">
        <v>2582</v>
      </c>
      <c r="D611" s="7" t="s">
        <v>22</v>
      </c>
      <c r="F611" s="7" t="s">
        <v>83</v>
      </c>
      <c r="G611" s="7" t="s">
        <v>175</v>
      </c>
      <c r="H611" s="7" t="s">
        <v>160</v>
      </c>
      <c r="I611" s="7" t="s">
        <v>13</v>
      </c>
      <c r="J611" s="7" t="s">
        <v>2583</v>
      </c>
      <c r="K611" s="7" t="s">
        <v>2584</v>
      </c>
      <c r="L611" s="8" t="s">
        <v>6168</v>
      </c>
      <c r="M611" s="7">
        <v>0</v>
      </c>
      <c r="N611" s="9" t="s">
        <v>5044</v>
      </c>
      <c r="O611" s="9" t="s">
        <v>5044</v>
      </c>
      <c r="P611" s="7">
        <v>0</v>
      </c>
      <c r="Q611" s="7">
        <v>0</v>
      </c>
      <c r="R611" s="7">
        <v>0</v>
      </c>
      <c r="S611" s="7">
        <v>1</v>
      </c>
      <c r="T611" s="7">
        <v>4</v>
      </c>
      <c r="U611" s="7">
        <v>194</v>
      </c>
      <c r="V611" s="7">
        <v>1</v>
      </c>
      <c r="W611" s="7">
        <v>0</v>
      </c>
      <c r="X611" s="7">
        <v>0</v>
      </c>
      <c r="Y611" s="7">
        <v>0</v>
      </c>
      <c r="Z611" s="7">
        <v>0</v>
      </c>
      <c r="AA611" s="7">
        <v>0</v>
      </c>
      <c r="AB611" s="7">
        <v>1</v>
      </c>
      <c r="AC611" s="7">
        <v>1</v>
      </c>
      <c r="AD611" s="7">
        <v>1</v>
      </c>
      <c r="AE611" s="7">
        <v>0</v>
      </c>
      <c r="AF611" s="7">
        <v>0</v>
      </c>
      <c r="AG611" s="7" t="s">
        <v>5044</v>
      </c>
      <c r="AH611" s="7" t="s">
        <v>5044</v>
      </c>
      <c r="AI611" s="7" t="s">
        <v>5044</v>
      </c>
      <c r="AJ611" s="7" t="s">
        <v>5044</v>
      </c>
      <c r="AL611" s="7">
        <v>0</v>
      </c>
      <c r="AM611" s="7">
        <v>0</v>
      </c>
      <c r="AO611" s="9">
        <v>0</v>
      </c>
    </row>
    <row r="612" spans="1:41" ht="63" customHeight="1" x14ac:dyDescent="0.2">
      <c r="A612" s="7">
        <v>7664</v>
      </c>
      <c r="B612" s="7" t="s">
        <v>2585</v>
      </c>
      <c r="C612" s="7" t="s">
        <v>2586</v>
      </c>
      <c r="D612" s="7" t="s">
        <v>46</v>
      </c>
      <c r="F612" s="7" t="s">
        <v>867</v>
      </c>
      <c r="H612" s="7" t="s">
        <v>1940</v>
      </c>
      <c r="I612" s="7" t="s">
        <v>13</v>
      </c>
      <c r="J612" s="7" t="s">
        <v>2587</v>
      </c>
      <c r="K612" s="7" t="s">
        <v>2588</v>
      </c>
      <c r="L612" s="11" t="s">
        <v>5044</v>
      </c>
      <c r="M612" s="7">
        <v>0</v>
      </c>
      <c r="N612" s="9" t="s">
        <v>5044</v>
      </c>
      <c r="O612" s="9" t="s">
        <v>5044</v>
      </c>
      <c r="P612" s="7">
        <v>0</v>
      </c>
      <c r="Q612" s="7">
        <v>0</v>
      </c>
      <c r="R612" s="7">
        <v>0</v>
      </c>
      <c r="S612" s="7">
        <v>1</v>
      </c>
      <c r="T612" s="7">
        <v>4</v>
      </c>
      <c r="U612" s="7">
        <v>40</v>
      </c>
      <c r="V612" s="7">
        <v>0</v>
      </c>
      <c r="W612" s="7">
        <v>1</v>
      </c>
      <c r="X612" s="7">
        <v>0</v>
      </c>
      <c r="Y612" s="7">
        <v>0</v>
      </c>
      <c r="Z612" s="7">
        <v>0</v>
      </c>
      <c r="AA612" s="7">
        <v>0</v>
      </c>
      <c r="AB612" s="7">
        <v>1</v>
      </c>
      <c r="AC612" s="7">
        <v>0</v>
      </c>
      <c r="AD612" s="7" t="s">
        <v>5044</v>
      </c>
      <c r="AE612" s="7" t="s">
        <v>5044</v>
      </c>
      <c r="AF612" s="7" t="s">
        <v>5044</v>
      </c>
      <c r="AG612" s="7">
        <v>0</v>
      </c>
      <c r="AH612" s="7" t="s">
        <v>5044</v>
      </c>
      <c r="AI612" s="7" t="s">
        <v>5044</v>
      </c>
      <c r="AJ612" s="7" t="s">
        <v>5044</v>
      </c>
      <c r="AL612" s="7">
        <v>0</v>
      </c>
      <c r="AM612" s="7">
        <v>0</v>
      </c>
      <c r="AO612" s="11">
        <v>9</v>
      </c>
    </row>
    <row r="613" spans="1:41" ht="63" customHeight="1" x14ac:dyDescent="0.2">
      <c r="A613" s="7">
        <v>7677</v>
      </c>
      <c r="B613" s="7" t="s">
        <v>2589</v>
      </c>
      <c r="C613" s="7" t="s">
        <v>2590</v>
      </c>
      <c r="D613" s="7" t="s">
        <v>16</v>
      </c>
      <c r="F613" s="7" t="s">
        <v>1700</v>
      </c>
      <c r="G613" s="7" t="s">
        <v>52</v>
      </c>
      <c r="H613" s="7" t="s">
        <v>596</v>
      </c>
      <c r="I613" s="7" t="s">
        <v>13</v>
      </c>
      <c r="J613" s="7" t="s">
        <v>2591</v>
      </c>
      <c r="K613" s="7" t="s">
        <v>2592</v>
      </c>
      <c r="L613" s="8" t="s">
        <v>6169</v>
      </c>
      <c r="M613" s="7">
        <v>0</v>
      </c>
      <c r="N613" s="9" t="s">
        <v>5044</v>
      </c>
      <c r="O613" s="9" t="s">
        <v>5044</v>
      </c>
      <c r="P613" s="7">
        <v>0</v>
      </c>
      <c r="Q613" s="7">
        <v>0</v>
      </c>
      <c r="R613" s="7">
        <v>0</v>
      </c>
      <c r="S613" s="7">
        <v>1</v>
      </c>
      <c r="T613" s="7">
        <v>4</v>
      </c>
      <c r="U613" s="7">
        <v>50</v>
      </c>
      <c r="V613" s="7">
        <v>0</v>
      </c>
      <c r="W613" s="7">
        <v>1</v>
      </c>
      <c r="X613" s="7">
        <v>0</v>
      </c>
      <c r="Y613" s="7">
        <v>0</v>
      </c>
      <c r="Z613" s="7">
        <v>0</v>
      </c>
      <c r="AA613" s="7">
        <v>0</v>
      </c>
      <c r="AB613" s="7">
        <v>1</v>
      </c>
      <c r="AC613" s="7">
        <v>0</v>
      </c>
      <c r="AD613" s="7" t="s">
        <v>5044</v>
      </c>
      <c r="AE613" s="7" t="s">
        <v>5044</v>
      </c>
      <c r="AF613" s="7" t="s">
        <v>5044</v>
      </c>
      <c r="AG613" s="7">
        <v>0</v>
      </c>
      <c r="AH613" s="7" t="s">
        <v>5044</v>
      </c>
      <c r="AI613" s="7" t="s">
        <v>5044</v>
      </c>
      <c r="AJ613" s="7" t="s">
        <v>5044</v>
      </c>
      <c r="AL613" s="7">
        <v>0</v>
      </c>
      <c r="AM613" s="7">
        <v>0</v>
      </c>
      <c r="AO613" s="11">
        <v>9</v>
      </c>
    </row>
    <row r="614" spans="1:41" ht="63" customHeight="1" x14ac:dyDescent="0.2">
      <c r="A614" s="7">
        <v>7705</v>
      </c>
      <c r="B614" s="7" t="s">
        <v>2593</v>
      </c>
      <c r="C614" s="7" t="s">
        <v>2594</v>
      </c>
      <c r="D614" s="7" t="s">
        <v>95</v>
      </c>
      <c r="F614" s="7" t="s">
        <v>356</v>
      </c>
      <c r="H614" s="7" t="s">
        <v>238</v>
      </c>
      <c r="I614" s="7" t="s">
        <v>13</v>
      </c>
      <c r="J614" s="7" t="s">
        <v>2595</v>
      </c>
      <c r="K614" s="7" t="s">
        <v>2596</v>
      </c>
      <c r="L614" s="8" t="s">
        <v>6170</v>
      </c>
      <c r="M614" s="7">
        <v>0</v>
      </c>
      <c r="N614" s="9" t="s">
        <v>5044</v>
      </c>
      <c r="O614" s="9" t="s">
        <v>5044</v>
      </c>
      <c r="P614" s="7">
        <v>0</v>
      </c>
      <c r="Q614" s="7">
        <v>0</v>
      </c>
      <c r="R614" s="7">
        <v>0</v>
      </c>
      <c r="S614" s="7">
        <v>3</v>
      </c>
      <c r="T614" s="7">
        <v>1</v>
      </c>
      <c r="U614" s="7">
        <v>55</v>
      </c>
      <c r="V614" s="7">
        <v>0</v>
      </c>
      <c r="W614" s="7">
        <v>1</v>
      </c>
      <c r="X614" s="7">
        <v>0</v>
      </c>
      <c r="Y614" s="7">
        <v>0</v>
      </c>
      <c r="Z614" s="7">
        <v>0</v>
      </c>
      <c r="AA614" s="7">
        <v>0</v>
      </c>
      <c r="AB614" s="7">
        <v>1</v>
      </c>
      <c r="AC614" s="7">
        <v>1</v>
      </c>
      <c r="AD614" s="7" t="s">
        <v>5044</v>
      </c>
      <c r="AE614" s="7" t="s">
        <v>5044</v>
      </c>
      <c r="AF614" s="7" t="s">
        <v>5044</v>
      </c>
      <c r="AG614" s="7">
        <v>1</v>
      </c>
      <c r="AH614" s="7">
        <v>0</v>
      </c>
      <c r="AI614" s="7">
        <v>0</v>
      </c>
      <c r="AJ614" s="7" t="s">
        <v>5044</v>
      </c>
      <c r="AL614" s="7">
        <v>0</v>
      </c>
      <c r="AM614" s="7">
        <v>0</v>
      </c>
      <c r="AO614" s="9">
        <v>0</v>
      </c>
    </row>
    <row r="615" spans="1:41" ht="63" customHeight="1" x14ac:dyDescent="0.2">
      <c r="A615" s="7">
        <v>7710</v>
      </c>
      <c r="B615" s="7" t="s">
        <v>2597</v>
      </c>
      <c r="C615" s="7" t="s">
        <v>2598</v>
      </c>
      <c r="D615" s="7" t="s">
        <v>16</v>
      </c>
      <c r="F615" s="7" t="s">
        <v>65</v>
      </c>
      <c r="G615" s="7" t="s">
        <v>52</v>
      </c>
      <c r="H615" s="7" t="s">
        <v>2599</v>
      </c>
      <c r="I615" s="7" t="s">
        <v>13</v>
      </c>
      <c r="J615" s="7" t="s">
        <v>2600</v>
      </c>
      <c r="K615" s="7" t="s">
        <v>2601</v>
      </c>
      <c r="L615" s="6" t="s">
        <v>6171</v>
      </c>
      <c r="M615" s="7">
        <v>0</v>
      </c>
      <c r="N615" s="9" t="s">
        <v>5044</v>
      </c>
      <c r="O615" s="9" t="s">
        <v>5044</v>
      </c>
      <c r="P615" s="7">
        <v>0</v>
      </c>
      <c r="Q615" s="7">
        <v>0</v>
      </c>
      <c r="R615" s="7">
        <v>0</v>
      </c>
      <c r="S615" s="7">
        <v>5</v>
      </c>
      <c r="T615" s="7">
        <v>1</v>
      </c>
      <c r="U615" s="7">
        <v>160</v>
      </c>
      <c r="V615" s="7">
        <v>0</v>
      </c>
      <c r="W615" s="7">
        <v>1</v>
      </c>
      <c r="X615" s="7">
        <v>0</v>
      </c>
      <c r="Y615" s="7">
        <v>0</v>
      </c>
      <c r="Z615" s="7">
        <v>0</v>
      </c>
      <c r="AA615" s="7">
        <v>0</v>
      </c>
      <c r="AB615" s="7">
        <v>1</v>
      </c>
      <c r="AC615" s="7">
        <v>1</v>
      </c>
      <c r="AD615" s="7" t="s">
        <v>5044</v>
      </c>
      <c r="AE615" s="7" t="s">
        <v>5044</v>
      </c>
      <c r="AF615" s="7" t="s">
        <v>5044</v>
      </c>
      <c r="AG615" s="7">
        <v>1</v>
      </c>
      <c r="AH615" s="7">
        <v>0</v>
      </c>
      <c r="AI615" s="7">
        <v>0</v>
      </c>
      <c r="AJ615" s="7" t="s">
        <v>5044</v>
      </c>
      <c r="AL615" s="7" t="s">
        <v>5044</v>
      </c>
      <c r="AM615" s="7">
        <v>0</v>
      </c>
      <c r="AN615" s="7" t="s">
        <v>5105</v>
      </c>
      <c r="AO615" s="9">
        <v>0</v>
      </c>
    </row>
    <row r="616" spans="1:41" ht="63" customHeight="1" x14ac:dyDescent="0.2">
      <c r="A616" s="7">
        <v>7726</v>
      </c>
      <c r="B616" s="7" t="s">
        <v>2606</v>
      </c>
      <c r="C616" s="7" t="s">
        <v>2607</v>
      </c>
      <c r="D616" s="7" t="s">
        <v>95</v>
      </c>
      <c r="F616" s="7" t="s">
        <v>2608</v>
      </c>
      <c r="H616" s="7" t="s">
        <v>2609</v>
      </c>
      <c r="I616" s="7" t="s">
        <v>13</v>
      </c>
      <c r="J616" s="7" t="s">
        <v>2610</v>
      </c>
      <c r="K616" s="7" t="s">
        <v>2611</v>
      </c>
      <c r="L616" s="11" t="s">
        <v>5044</v>
      </c>
      <c r="M616" s="7">
        <v>0</v>
      </c>
      <c r="N616" s="9" t="s">
        <v>5044</v>
      </c>
      <c r="O616" s="9" t="s">
        <v>5044</v>
      </c>
      <c r="P616" s="7">
        <v>0</v>
      </c>
      <c r="Q616" s="7">
        <v>0</v>
      </c>
      <c r="R616" s="7">
        <v>0</v>
      </c>
      <c r="S616" s="7" t="s">
        <v>5772</v>
      </c>
      <c r="T616" s="7">
        <v>1</v>
      </c>
      <c r="U616" s="7">
        <v>110</v>
      </c>
      <c r="V616" s="7">
        <v>0</v>
      </c>
      <c r="W616" s="7">
        <v>1</v>
      </c>
      <c r="X616" s="7">
        <v>0</v>
      </c>
      <c r="Y616" s="7">
        <v>0</v>
      </c>
      <c r="Z616" s="7">
        <v>0</v>
      </c>
      <c r="AA616" s="7">
        <v>0</v>
      </c>
      <c r="AB616" s="7">
        <v>1</v>
      </c>
      <c r="AC616" s="7">
        <v>1</v>
      </c>
      <c r="AD616" s="7" t="s">
        <v>5044</v>
      </c>
      <c r="AE616" s="7" t="s">
        <v>5044</v>
      </c>
      <c r="AF616" s="7" t="s">
        <v>5044</v>
      </c>
      <c r="AG616" s="7">
        <v>2</v>
      </c>
      <c r="AH616" s="7">
        <v>2</v>
      </c>
      <c r="AI616" s="7">
        <v>3</v>
      </c>
      <c r="AJ616" s="7" t="s">
        <v>5044</v>
      </c>
      <c r="AL616" s="7">
        <v>0</v>
      </c>
      <c r="AM616" s="7">
        <v>0</v>
      </c>
      <c r="AO616" s="11">
        <v>2</v>
      </c>
    </row>
    <row r="617" spans="1:41" ht="63" customHeight="1" x14ac:dyDescent="0.2">
      <c r="A617" s="7">
        <v>7734</v>
      </c>
      <c r="B617" s="7" t="s">
        <v>2613</v>
      </c>
      <c r="C617" s="7" t="s">
        <v>2614</v>
      </c>
      <c r="D617" s="7" t="s">
        <v>30</v>
      </c>
      <c r="F617" s="7" t="s">
        <v>332</v>
      </c>
      <c r="G617" s="7" t="s">
        <v>11</v>
      </c>
      <c r="H617" s="7" t="s">
        <v>71</v>
      </c>
      <c r="I617" s="7" t="s">
        <v>13</v>
      </c>
      <c r="J617" s="7" t="s">
        <v>2615</v>
      </c>
      <c r="K617" s="7" t="s">
        <v>2616</v>
      </c>
      <c r="L617" s="11" t="s">
        <v>5044</v>
      </c>
      <c r="M617" s="7">
        <v>0</v>
      </c>
      <c r="N617" s="9" t="s">
        <v>5044</v>
      </c>
      <c r="O617" s="9" t="s">
        <v>5044</v>
      </c>
      <c r="P617" s="7">
        <v>0</v>
      </c>
      <c r="Q617" s="7">
        <v>0</v>
      </c>
      <c r="R617" s="7">
        <v>0</v>
      </c>
      <c r="S617" s="7">
        <v>1</v>
      </c>
      <c r="T617" s="7">
        <v>4</v>
      </c>
      <c r="U617" s="7">
        <v>110</v>
      </c>
      <c r="V617" s="7">
        <v>0</v>
      </c>
      <c r="W617" s="7">
        <v>1</v>
      </c>
      <c r="X617" s="7">
        <v>0</v>
      </c>
      <c r="Y617" s="7">
        <v>0</v>
      </c>
      <c r="Z617" s="7">
        <v>0</v>
      </c>
      <c r="AA617" s="7">
        <v>0</v>
      </c>
      <c r="AB617" s="7">
        <v>1</v>
      </c>
      <c r="AC617" s="7">
        <v>1</v>
      </c>
      <c r="AD617" s="7" t="s">
        <v>5044</v>
      </c>
      <c r="AE617" s="7" t="s">
        <v>5044</v>
      </c>
      <c r="AF617" s="7" t="s">
        <v>5044</v>
      </c>
      <c r="AG617" s="7">
        <v>1</v>
      </c>
      <c r="AH617" s="7">
        <v>0</v>
      </c>
      <c r="AI617" s="7">
        <v>0</v>
      </c>
      <c r="AJ617" s="7" t="s">
        <v>5044</v>
      </c>
      <c r="AL617" s="7">
        <v>1</v>
      </c>
      <c r="AM617" s="7">
        <v>0</v>
      </c>
      <c r="AO617" s="9">
        <v>0</v>
      </c>
    </row>
    <row r="618" spans="1:41" ht="63" customHeight="1" x14ac:dyDescent="0.2">
      <c r="A618" s="7">
        <v>7740</v>
      </c>
      <c r="B618" s="7" t="s">
        <v>2621</v>
      </c>
      <c r="C618" s="7" t="s">
        <v>2622</v>
      </c>
      <c r="D618" s="7" t="s">
        <v>375</v>
      </c>
      <c r="F618" s="7" t="s">
        <v>2623</v>
      </c>
      <c r="G618" s="7" t="s">
        <v>52</v>
      </c>
      <c r="H618" s="7" t="s">
        <v>2624</v>
      </c>
      <c r="I618" s="7" t="s">
        <v>13</v>
      </c>
      <c r="J618" s="7" t="s">
        <v>2625</v>
      </c>
      <c r="K618" s="7" t="s">
        <v>2626</v>
      </c>
      <c r="L618" s="11" t="s">
        <v>5044</v>
      </c>
      <c r="M618" s="7">
        <v>0</v>
      </c>
      <c r="N618" s="9" t="s">
        <v>5044</v>
      </c>
      <c r="O618" s="9" t="s">
        <v>5044</v>
      </c>
      <c r="P618" s="7">
        <v>0</v>
      </c>
      <c r="Q618" s="7">
        <v>0</v>
      </c>
      <c r="R618" s="7">
        <v>0</v>
      </c>
      <c r="S618" s="7">
        <v>1</v>
      </c>
      <c r="T618" s="7">
        <v>4</v>
      </c>
      <c r="U618" s="7">
        <v>109</v>
      </c>
      <c r="V618" s="7">
        <v>0</v>
      </c>
      <c r="W618" s="7">
        <v>1</v>
      </c>
      <c r="X618" s="7">
        <v>0</v>
      </c>
      <c r="Y618" s="7">
        <v>0</v>
      </c>
      <c r="Z618" s="7">
        <v>0</v>
      </c>
      <c r="AA618" s="7">
        <v>0</v>
      </c>
      <c r="AB618" s="7">
        <v>1</v>
      </c>
      <c r="AC618" s="7">
        <v>1</v>
      </c>
      <c r="AD618" s="7" t="s">
        <v>5044</v>
      </c>
      <c r="AE618" s="7" t="s">
        <v>5044</v>
      </c>
      <c r="AF618" s="7" t="s">
        <v>5044</v>
      </c>
      <c r="AG618" s="7">
        <v>1</v>
      </c>
      <c r="AH618" s="7">
        <v>0</v>
      </c>
      <c r="AI618" s="7">
        <v>0</v>
      </c>
      <c r="AJ618" s="7" t="s">
        <v>5044</v>
      </c>
      <c r="AL618" s="7">
        <v>1</v>
      </c>
      <c r="AM618" s="7">
        <v>0</v>
      </c>
      <c r="AO618" s="9">
        <v>0</v>
      </c>
    </row>
    <row r="619" spans="1:41" ht="63" customHeight="1" x14ac:dyDescent="0.2">
      <c r="A619" s="7">
        <v>7744</v>
      </c>
      <c r="B619" s="7" t="s">
        <v>2627</v>
      </c>
      <c r="C619" s="7" t="s">
        <v>2628</v>
      </c>
      <c r="D619" s="7" t="s">
        <v>375</v>
      </c>
      <c r="F619" s="7" t="s">
        <v>2629</v>
      </c>
      <c r="G619" s="7" t="s">
        <v>52</v>
      </c>
      <c r="H619" s="7" t="s">
        <v>43</v>
      </c>
      <c r="I619" s="7" t="s">
        <v>13</v>
      </c>
      <c r="J619" s="7" t="s">
        <v>2630</v>
      </c>
      <c r="K619" s="7" t="s">
        <v>2631</v>
      </c>
      <c r="L619" s="6" t="s">
        <v>6174</v>
      </c>
      <c r="M619" s="7">
        <v>0</v>
      </c>
      <c r="N619" s="9" t="s">
        <v>5044</v>
      </c>
      <c r="O619" s="9" t="s">
        <v>5044</v>
      </c>
      <c r="P619" s="7">
        <v>0</v>
      </c>
      <c r="Q619" s="7">
        <v>0</v>
      </c>
      <c r="R619" s="7">
        <v>0</v>
      </c>
      <c r="S619" s="7">
        <v>1</v>
      </c>
      <c r="T619" s="7">
        <v>5</v>
      </c>
      <c r="U619" s="7">
        <v>62</v>
      </c>
      <c r="V619" s="7">
        <v>0</v>
      </c>
      <c r="W619" s="7">
        <v>1</v>
      </c>
      <c r="X619" s="7">
        <v>0</v>
      </c>
      <c r="Y619" s="7">
        <v>0</v>
      </c>
      <c r="Z619" s="7">
        <v>0</v>
      </c>
      <c r="AA619" s="7">
        <v>0</v>
      </c>
      <c r="AB619" s="7">
        <v>1</v>
      </c>
      <c r="AC619" s="7">
        <v>1</v>
      </c>
      <c r="AD619" s="7" t="s">
        <v>5044</v>
      </c>
      <c r="AE619" s="7" t="s">
        <v>5044</v>
      </c>
      <c r="AF619" s="7" t="s">
        <v>5044</v>
      </c>
      <c r="AG619" s="7">
        <v>2</v>
      </c>
      <c r="AH619" s="7">
        <v>3</v>
      </c>
      <c r="AI619" s="7">
        <v>0</v>
      </c>
      <c r="AJ619" s="7" t="s">
        <v>5044</v>
      </c>
      <c r="AK619" s="7">
        <v>1</v>
      </c>
      <c r="AL619" s="7">
        <v>1</v>
      </c>
      <c r="AM619" s="7">
        <v>0</v>
      </c>
      <c r="AO619" s="11">
        <v>3</v>
      </c>
    </row>
    <row r="620" spans="1:41" ht="63" customHeight="1" x14ac:dyDescent="0.2">
      <c r="A620" s="7">
        <v>7750</v>
      </c>
      <c r="B620" s="7" t="s">
        <v>2632</v>
      </c>
      <c r="C620" s="7" t="s">
        <v>2633</v>
      </c>
      <c r="D620" s="7" t="s">
        <v>101</v>
      </c>
      <c r="F620" s="7" t="s">
        <v>587</v>
      </c>
      <c r="G620" s="7" t="s">
        <v>47</v>
      </c>
      <c r="H620" s="7" t="s">
        <v>2634</v>
      </c>
      <c r="I620" s="7" t="s">
        <v>13</v>
      </c>
      <c r="J620" s="7" t="s">
        <v>2635</v>
      </c>
      <c r="K620" s="7" t="s">
        <v>2636</v>
      </c>
      <c r="L620" s="11" t="s">
        <v>5044</v>
      </c>
      <c r="M620" s="7">
        <v>0</v>
      </c>
      <c r="N620" s="9" t="s">
        <v>5044</v>
      </c>
      <c r="O620" s="9" t="s">
        <v>5044</v>
      </c>
      <c r="P620" s="7">
        <v>0</v>
      </c>
      <c r="Q620" s="7">
        <v>0</v>
      </c>
      <c r="R620" s="7">
        <v>0</v>
      </c>
      <c r="S620" s="7">
        <v>3</v>
      </c>
      <c r="T620" s="7">
        <v>4</v>
      </c>
      <c r="U620" s="7">
        <v>160</v>
      </c>
      <c r="V620" s="7">
        <v>0</v>
      </c>
      <c r="W620" s="7">
        <v>1</v>
      </c>
      <c r="X620" s="7">
        <v>0</v>
      </c>
      <c r="Y620" s="7">
        <v>0</v>
      </c>
      <c r="Z620" s="7">
        <v>0</v>
      </c>
      <c r="AA620" s="7">
        <v>0</v>
      </c>
      <c r="AB620" s="7">
        <v>0</v>
      </c>
      <c r="AC620" s="7">
        <v>1</v>
      </c>
      <c r="AD620" s="7" t="s">
        <v>5044</v>
      </c>
      <c r="AE620" s="7" t="s">
        <v>5044</v>
      </c>
      <c r="AF620" s="7" t="s">
        <v>5044</v>
      </c>
      <c r="AG620" s="7">
        <v>2</v>
      </c>
      <c r="AH620" s="7">
        <v>3</v>
      </c>
      <c r="AI620" s="7">
        <v>0</v>
      </c>
      <c r="AJ620" s="7" t="s">
        <v>5044</v>
      </c>
      <c r="AK620" s="7">
        <v>1</v>
      </c>
      <c r="AL620" s="7">
        <v>0</v>
      </c>
      <c r="AM620" s="7">
        <v>0</v>
      </c>
      <c r="AO620" s="11">
        <v>3</v>
      </c>
    </row>
    <row r="621" spans="1:41" ht="63" customHeight="1" x14ac:dyDescent="0.2">
      <c r="A621" s="7">
        <v>7771</v>
      </c>
      <c r="B621" s="7" t="s">
        <v>2637</v>
      </c>
      <c r="C621" s="7" t="s">
        <v>2638</v>
      </c>
      <c r="D621" s="7" t="s">
        <v>341</v>
      </c>
      <c r="F621" s="7" t="s">
        <v>299</v>
      </c>
      <c r="G621" s="7" t="s">
        <v>144</v>
      </c>
      <c r="H621" s="7" t="s">
        <v>1077</v>
      </c>
      <c r="I621" s="7" t="s">
        <v>13</v>
      </c>
      <c r="J621" s="7" t="s">
        <v>2639</v>
      </c>
      <c r="K621" s="7" t="s">
        <v>2640</v>
      </c>
      <c r="L621" s="11" t="s">
        <v>5044</v>
      </c>
      <c r="M621" s="7">
        <v>0</v>
      </c>
      <c r="N621" s="9" t="s">
        <v>5044</v>
      </c>
      <c r="O621" s="9" t="s">
        <v>5044</v>
      </c>
      <c r="P621" s="7">
        <v>0</v>
      </c>
      <c r="Q621" s="7">
        <v>0</v>
      </c>
      <c r="R621" s="7">
        <v>0</v>
      </c>
      <c r="S621" s="7">
        <v>1</v>
      </c>
      <c r="T621" s="7">
        <v>2</v>
      </c>
      <c r="U621" s="7">
        <v>146</v>
      </c>
      <c r="V621" s="7">
        <v>1</v>
      </c>
      <c r="W621" s="7">
        <v>0</v>
      </c>
      <c r="X621" s="7">
        <v>0</v>
      </c>
      <c r="Y621" s="7">
        <v>0</v>
      </c>
      <c r="Z621" s="7">
        <v>0</v>
      </c>
      <c r="AA621" s="7">
        <v>1</v>
      </c>
      <c r="AB621" s="7">
        <v>1</v>
      </c>
      <c r="AC621" s="7">
        <v>1</v>
      </c>
      <c r="AD621" s="7">
        <v>1</v>
      </c>
      <c r="AE621" s="7">
        <v>0</v>
      </c>
      <c r="AF621" s="7">
        <v>0</v>
      </c>
      <c r="AG621" s="7" t="s">
        <v>5044</v>
      </c>
      <c r="AH621" s="7" t="s">
        <v>5044</v>
      </c>
      <c r="AI621" s="7" t="s">
        <v>5044</v>
      </c>
      <c r="AJ621" s="7" t="s">
        <v>5044</v>
      </c>
      <c r="AL621" s="7">
        <v>1</v>
      </c>
      <c r="AM621" s="7">
        <v>0</v>
      </c>
      <c r="AO621" s="9">
        <v>0</v>
      </c>
    </row>
    <row r="622" spans="1:41" ht="63" customHeight="1" x14ac:dyDescent="0.2">
      <c r="A622" s="7">
        <v>7784</v>
      </c>
      <c r="B622" s="7" t="s">
        <v>2641</v>
      </c>
      <c r="C622" s="7" t="s">
        <v>2642</v>
      </c>
      <c r="D622" s="7" t="s">
        <v>101</v>
      </c>
      <c r="F622" s="7" t="s">
        <v>2528</v>
      </c>
      <c r="G622" s="7" t="s">
        <v>18</v>
      </c>
      <c r="H622" s="7" t="s">
        <v>43</v>
      </c>
      <c r="I622" s="7" t="s">
        <v>13</v>
      </c>
      <c r="J622" s="7" t="s">
        <v>2643</v>
      </c>
      <c r="K622" s="7" t="s">
        <v>2644</v>
      </c>
      <c r="L622" s="8" t="s">
        <v>6175</v>
      </c>
      <c r="M622" s="7">
        <v>0</v>
      </c>
      <c r="N622" s="9" t="s">
        <v>5044</v>
      </c>
      <c r="O622" s="9" t="s">
        <v>5044</v>
      </c>
      <c r="P622" s="7">
        <v>0</v>
      </c>
      <c r="Q622" s="7">
        <v>0</v>
      </c>
      <c r="R622" s="7">
        <v>0</v>
      </c>
      <c r="S622" s="7">
        <v>9</v>
      </c>
      <c r="T622" s="7">
        <v>4</v>
      </c>
      <c r="U622" s="7">
        <v>160</v>
      </c>
      <c r="V622" s="7">
        <v>0</v>
      </c>
      <c r="W622" s="7">
        <v>1</v>
      </c>
      <c r="X622" s="7">
        <v>0</v>
      </c>
      <c r="Y622" s="7">
        <v>0</v>
      </c>
      <c r="Z622" s="7">
        <v>0</v>
      </c>
      <c r="AA622" s="7">
        <v>0</v>
      </c>
      <c r="AB622" s="7">
        <v>1</v>
      </c>
      <c r="AC622" s="7">
        <v>1</v>
      </c>
      <c r="AD622" s="7" t="s">
        <v>5044</v>
      </c>
      <c r="AE622" s="7" t="s">
        <v>5044</v>
      </c>
      <c r="AF622" s="7" t="s">
        <v>5044</v>
      </c>
      <c r="AG622" s="7">
        <v>1</v>
      </c>
      <c r="AH622" s="7">
        <v>0</v>
      </c>
      <c r="AI622" s="7">
        <v>0</v>
      </c>
      <c r="AJ622" s="7" t="s">
        <v>5044</v>
      </c>
      <c r="AL622" s="7">
        <v>0</v>
      </c>
      <c r="AM622" s="7">
        <v>0</v>
      </c>
      <c r="AO622" s="9">
        <v>0</v>
      </c>
    </row>
    <row r="623" spans="1:41" ht="63" customHeight="1" x14ac:dyDescent="0.2">
      <c r="A623" s="7">
        <v>7809</v>
      </c>
      <c r="B623" s="7" t="s">
        <v>2645</v>
      </c>
      <c r="C623" s="7" t="s">
        <v>2646</v>
      </c>
      <c r="D623" s="7" t="s">
        <v>30</v>
      </c>
      <c r="F623" s="7" t="s">
        <v>1289</v>
      </c>
      <c r="G623" s="7" t="s">
        <v>144</v>
      </c>
      <c r="H623" s="7" t="s">
        <v>224</v>
      </c>
      <c r="I623" s="7" t="s">
        <v>13</v>
      </c>
      <c r="J623" s="7" t="s">
        <v>2647</v>
      </c>
      <c r="K623" s="7" t="s">
        <v>2648</v>
      </c>
      <c r="L623" s="6" t="s">
        <v>6176</v>
      </c>
      <c r="M623" s="7">
        <v>0</v>
      </c>
      <c r="N623" s="9" t="s">
        <v>5044</v>
      </c>
      <c r="O623" s="9" t="s">
        <v>5044</v>
      </c>
      <c r="P623" s="7">
        <v>0</v>
      </c>
      <c r="Q623" s="7">
        <v>0</v>
      </c>
      <c r="R623" s="7">
        <v>0</v>
      </c>
      <c r="S623" s="7">
        <v>9</v>
      </c>
      <c r="T623" s="7">
        <v>1</v>
      </c>
      <c r="U623" s="7">
        <v>54</v>
      </c>
      <c r="V623" s="7">
        <v>0</v>
      </c>
      <c r="W623" s="7">
        <v>1</v>
      </c>
      <c r="X623" s="7">
        <v>0</v>
      </c>
      <c r="Y623" s="7">
        <v>0</v>
      </c>
      <c r="Z623" s="7">
        <v>0</v>
      </c>
      <c r="AA623" s="7">
        <v>0</v>
      </c>
      <c r="AB623" s="7">
        <v>1</v>
      </c>
      <c r="AC623" s="7">
        <v>0</v>
      </c>
      <c r="AD623" s="7" t="s">
        <v>5044</v>
      </c>
      <c r="AE623" s="7" t="s">
        <v>5044</v>
      </c>
      <c r="AF623" s="7" t="s">
        <v>5044</v>
      </c>
      <c r="AG623" s="7">
        <v>0</v>
      </c>
      <c r="AH623" s="7" t="s">
        <v>5044</v>
      </c>
      <c r="AI623" s="7" t="s">
        <v>5044</v>
      </c>
      <c r="AJ623" s="7" t="s">
        <v>5044</v>
      </c>
      <c r="AL623" s="7">
        <v>1</v>
      </c>
      <c r="AM623" s="7">
        <v>0</v>
      </c>
      <c r="AO623" s="11">
        <v>9</v>
      </c>
    </row>
    <row r="624" spans="1:41" ht="63" customHeight="1" x14ac:dyDescent="0.2">
      <c r="A624" s="7">
        <v>7827</v>
      </c>
      <c r="B624" s="7" t="s">
        <v>2649</v>
      </c>
      <c r="C624" s="7" t="s">
        <v>2650</v>
      </c>
      <c r="D624" s="7" t="s">
        <v>41</v>
      </c>
      <c r="F624" s="7" t="s">
        <v>118</v>
      </c>
      <c r="G624" s="7" t="s">
        <v>48</v>
      </c>
      <c r="H624" s="7" t="s">
        <v>427</v>
      </c>
      <c r="I624" s="7" t="s">
        <v>13</v>
      </c>
      <c r="J624" s="7" t="s">
        <v>2651</v>
      </c>
      <c r="K624" s="7" t="s">
        <v>2652</v>
      </c>
      <c r="L624" s="8" t="s">
        <v>6177</v>
      </c>
      <c r="M624" s="7">
        <v>0</v>
      </c>
      <c r="N624" s="9" t="s">
        <v>5044</v>
      </c>
      <c r="O624" s="9" t="s">
        <v>5044</v>
      </c>
      <c r="P624" s="7">
        <v>0</v>
      </c>
      <c r="Q624" s="7">
        <v>0</v>
      </c>
      <c r="R624" s="7">
        <v>0</v>
      </c>
      <c r="S624" s="7">
        <v>9</v>
      </c>
      <c r="T624" s="7">
        <v>1</v>
      </c>
      <c r="U624" s="7">
        <v>52</v>
      </c>
      <c r="V624" s="7">
        <v>0</v>
      </c>
      <c r="W624" s="7">
        <v>1</v>
      </c>
      <c r="X624" s="7">
        <v>0</v>
      </c>
      <c r="Y624" s="7">
        <v>0</v>
      </c>
      <c r="Z624" s="7">
        <v>0</v>
      </c>
      <c r="AA624" s="7">
        <v>0</v>
      </c>
      <c r="AB624" s="7">
        <v>1</v>
      </c>
      <c r="AC624" s="7">
        <v>1</v>
      </c>
      <c r="AD624" s="7" t="s">
        <v>5044</v>
      </c>
      <c r="AE624" s="7" t="s">
        <v>5044</v>
      </c>
      <c r="AF624" s="7" t="s">
        <v>5044</v>
      </c>
      <c r="AG624" s="7">
        <v>2</v>
      </c>
      <c r="AH624" s="7">
        <v>1</v>
      </c>
      <c r="AI624" s="7">
        <v>2</v>
      </c>
      <c r="AJ624" s="7" t="s">
        <v>5044</v>
      </c>
      <c r="AL624" s="7">
        <v>0</v>
      </c>
      <c r="AM624" s="7">
        <v>0</v>
      </c>
      <c r="AO624" s="11">
        <v>1</v>
      </c>
    </row>
    <row r="625" spans="1:41" ht="63" customHeight="1" x14ac:dyDescent="0.2">
      <c r="A625" s="7">
        <v>7828</v>
      </c>
      <c r="B625" s="7" t="s">
        <v>2653</v>
      </c>
      <c r="C625" s="7" t="s">
        <v>2654</v>
      </c>
      <c r="D625" s="7" t="s">
        <v>101</v>
      </c>
      <c r="E625" s="7" t="s">
        <v>2539</v>
      </c>
      <c r="F625" s="7" t="s">
        <v>17</v>
      </c>
      <c r="G625" s="7" t="s">
        <v>129</v>
      </c>
      <c r="H625" s="7" t="s">
        <v>2655</v>
      </c>
      <c r="I625" s="7" t="s">
        <v>13</v>
      </c>
      <c r="J625" s="7" t="s">
        <v>2656</v>
      </c>
      <c r="K625" s="7" t="s">
        <v>2657</v>
      </c>
      <c r="L625" s="8">
        <v>3663</v>
      </c>
      <c r="M625" s="7">
        <v>0</v>
      </c>
      <c r="N625" s="9" t="s">
        <v>5044</v>
      </c>
      <c r="O625" s="9" t="s">
        <v>5044</v>
      </c>
      <c r="P625" s="7">
        <v>1</v>
      </c>
      <c r="Q625" s="7">
        <v>0</v>
      </c>
      <c r="R625" s="7">
        <v>0</v>
      </c>
      <c r="S625" s="7">
        <v>1</v>
      </c>
      <c r="T625" s="7">
        <v>1</v>
      </c>
      <c r="U625" s="7">
        <v>35</v>
      </c>
      <c r="V625" s="7">
        <v>0</v>
      </c>
      <c r="W625" s="7">
        <v>1</v>
      </c>
      <c r="X625" s="7">
        <v>0</v>
      </c>
      <c r="Y625" s="7">
        <v>0</v>
      </c>
      <c r="Z625" s="7">
        <v>0</v>
      </c>
      <c r="AA625" s="7">
        <v>0</v>
      </c>
      <c r="AB625" s="7">
        <v>1</v>
      </c>
      <c r="AC625" s="7">
        <v>1</v>
      </c>
      <c r="AD625" s="7" t="s">
        <v>5044</v>
      </c>
      <c r="AE625" s="7" t="s">
        <v>5044</v>
      </c>
      <c r="AF625" s="7" t="s">
        <v>5044</v>
      </c>
      <c r="AG625" s="7">
        <v>2</v>
      </c>
      <c r="AH625" s="7">
        <v>3</v>
      </c>
      <c r="AI625" s="7">
        <v>0</v>
      </c>
      <c r="AJ625" s="7" t="s">
        <v>5044</v>
      </c>
      <c r="AK625" s="7" t="s">
        <v>6178</v>
      </c>
      <c r="AL625" s="7" t="s">
        <v>5044</v>
      </c>
      <c r="AM625" s="7">
        <v>0</v>
      </c>
      <c r="AO625" s="11">
        <v>3</v>
      </c>
    </row>
    <row r="626" spans="1:41" ht="63" customHeight="1" x14ac:dyDescent="0.2">
      <c r="A626" s="7">
        <v>7834</v>
      </c>
      <c r="B626" s="7" t="s">
        <v>2658</v>
      </c>
      <c r="C626" s="7" t="s">
        <v>2659</v>
      </c>
      <c r="D626" s="7" t="s">
        <v>30</v>
      </c>
      <c r="F626" s="7" t="s">
        <v>110</v>
      </c>
      <c r="G626" s="7" t="s">
        <v>27</v>
      </c>
      <c r="H626" s="7" t="s">
        <v>38</v>
      </c>
      <c r="I626" s="7" t="s">
        <v>13</v>
      </c>
      <c r="J626" s="7" t="s">
        <v>2660</v>
      </c>
      <c r="K626" s="7" t="s">
        <v>2661</v>
      </c>
      <c r="L626" s="8" t="s">
        <v>6179</v>
      </c>
      <c r="M626" s="7">
        <v>0</v>
      </c>
      <c r="N626" s="9" t="s">
        <v>5044</v>
      </c>
      <c r="O626" s="9" t="s">
        <v>5044</v>
      </c>
      <c r="P626" s="7">
        <v>0</v>
      </c>
      <c r="Q626" s="7">
        <v>0</v>
      </c>
      <c r="R626" s="7">
        <v>0</v>
      </c>
      <c r="S626" s="7">
        <v>9</v>
      </c>
      <c r="T626" s="7">
        <v>1</v>
      </c>
      <c r="U626" s="7">
        <v>104</v>
      </c>
      <c r="V626" s="7">
        <v>0</v>
      </c>
      <c r="W626" s="7">
        <v>1</v>
      </c>
      <c r="X626" s="7">
        <v>0</v>
      </c>
      <c r="Y626" s="7">
        <v>0</v>
      </c>
      <c r="Z626" s="7">
        <v>0</v>
      </c>
      <c r="AA626" s="7">
        <v>0</v>
      </c>
      <c r="AB626" s="7">
        <v>1</v>
      </c>
      <c r="AC626" s="7">
        <v>1</v>
      </c>
      <c r="AD626" s="7" t="s">
        <v>5044</v>
      </c>
      <c r="AE626" s="7" t="s">
        <v>5044</v>
      </c>
      <c r="AF626" s="7" t="s">
        <v>5044</v>
      </c>
      <c r="AG626" s="7">
        <v>1</v>
      </c>
      <c r="AH626" s="7">
        <v>0</v>
      </c>
      <c r="AI626" s="7">
        <v>0</v>
      </c>
      <c r="AJ626" s="7" t="s">
        <v>5044</v>
      </c>
      <c r="AL626" s="7">
        <v>1</v>
      </c>
      <c r="AM626" s="7">
        <v>0</v>
      </c>
      <c r="AO626" s="9">
        <v>0</v>
      </c>
    </row>
    <row r="627" spans="1:41" ht="63" customHeight="1" x14ac:dyDescent="0.2">
      <c r="A627" s="7">
        <v>7856</v>
      </c>
      <c r="B627" s="7" t="s">
        <v>2666</v>
      </c>
      <c r="C627" s="7" t="s">
        <v>2667</v>
      </c>
      <c r="D627" s="7" t="s">
        <v>16</v>
      </c>
      <c r="F627" s="7" t="s">
        <v>186</v>
      </c>
      <c r="G627" s="7" t="s">
        <v>32</v>
      </c>
      <c r="H627" s="7" t="s">
        <v>43</v>
      </c>
      <c r="I627" s="7" t="s">
        <v>13</v>
      </c>
      <c r="J627" s="7" t="s">
        <v>2668</v>
      </c>
      <c r="K627" s="7" t="s">
        <v>2669</v>
      </c>
      <c r="L627" s="11" t="s">
        <v>5044</v>
      </c>
      <c r="M627" s="7">
        <v>0</v>
      </c>
      <c r="N627" s="9" t="s">
        <v>5044</v>
      </c>
      <c r="O627" s="9" t="s">
        <v>5044</v>
      </c>
      <c r="P627" s="7">
        <v>0</v>
      </c>
      <c r="Q627" s="7">
        <v>0</v>
      </c>
      <c r="R627" s="7">
        <v>0</v>
      </c>
      <c r="S627" s="7">
        <v>1</v>
      </c>
      <c r="T627" s="7">
        <v>5</v>
      </c>
      <c r="U627" s="7">
        <v>59</v>
      </c>
      <c r="V627" s="7">
        <v>1</v>
      </c>
      <c r="W627" s="7">
        <v>0</v>
      </c>
      <c r="X627" s="7">
        <v>0</v>
      </c>
      <c r="Y627" s="7">
        <v>0</v>
      </c>
      <c r="Z627" s="7">
        <v>0</v>
      </c>
      <c r="AA627" s="7">
        <v>0</v>
      </c>
      <c r="AB627" s="7">
        <v>1</v>
      </c>
      <c r="AC627" s="7">
        <v>1</v>
      </c>
      <c r="AD627" s="7">
        <v>1</v>
      </c>
      <c r="AE627" s="7">
        <v>0</v>
      </c>
      <c r="AF627" s="7">
        <v>0</v>
      </c>
      <c r="AG627" s="7" t="s">
        <v>5044</v>
      </c>
      <c r="AH627" s="7" t="s">
        <v>5044</v>
      </c>
      <c r="AI627" s="7" t="s">
        <v>5044</v>
      </c>
      <c r="AJ627" s="7" t="s">
        <v>5044</v>
      </c>
      <c r="AL627" s="7">
        <v>0</v>
      </c>
      <c r="AM627" s="7">
        <v>0</v>
      </c>
      <c r="AO627" s="9">
        <v>0</v>
      </c>
    </row>
    <row r="628" spans="1:41" ht="63" customHeight="1" x14ac:dyDescent="0.2">
      <c r="A628" s="7">
        <v>7864</v>
      </c>
      <c r="B628" s="7" t="s">
        <v>2670</v>
      </c>
      <c r="C628" s="7" t="s">
        <v>2671</v>
      </c>
      <c r="D628" s="7" t="s">
        <v>101</v>
      </c>
      <c r="F628" s="7" t="s">
        <v>2672</v>
      </c>
      <c r="G628" s="7" t="s">
        <v>2673</v>
      </c>
      <c r="H628" s="7" t="s">
        <v>180</v>
      </c>
      <c r="I628" s="7" t="s">
        <v>13</v>
      </c>
      <c r="J628" s="7" t="s">
        <v>2674</v>
      </c>
      <c r="K628" s="7" t="s">
        <v>2675</v>
      </c>
      <c r="L628" s="11" t="s">
        <v>5044</v>
      </c>
      <c r="M628" s="7">
        <v>0</v>
      </c>
      <c r="N628" s="9" t="s">
        <v>5044</v>
      </c>
      <c r="O628" s="9" t="s">
        <v>5044</v>
      </c>
      <c r="P628" s="7">
        <v>0</v>
      </c>
      <c r="Q628" s="7">
        <v>0</v>
      </c>
      <c r="R628" s="7">
        <v>0</v>
      </c>
      <c r="S628" s="7">
        <v>1</v>
      </c>
      <c r="T628" s="7">
        <v>1</v>
      </c>
      <c r="U628" s="7">
        <v>197</v>
      </c>
      <c r="V628" s="7">
        <v>0</v>
      </c>
      <c r="W628" s="7">
        <v>1</v>
      </c>
      <c r="X628" s="7">
        <v>0</v>
      </c>
      <c r="Y628" s="7">
        <v>0</v>
      </c>
      <c r="Z628" s="7">
        <v>0</v>
      </c>
      <c r="AA628" s="7">
        <v>0</v>
      </c>
      <c r="AB628" s="7">
        <v>1</v>
      </c>
      <c r="AC628" s="7">
        <v>1</v>
      </c>
      <c r="AD628" s="7" t="s">
        <v>5044</v>
      </c>
      <c r="AE628" s="7" t="s">
        <v>5044</v>
      </c>
      <c r="AF628" s="7" t="s">
        <v>5044</v>
      </c>
      <c r="AG628" s="7">
        <v>2</v>
      </c>
      <c r="AH628" s="7">
        <v>2</v>
      </c>
      <c r="AI628" s="7">
        <v>3</v>
      </c>
      <c r="AJ628" s="7" t="s">
        <v>5044</v>
      </c>
      <c r="AL628" s="7">
        <v>0</v>
      </c>
      <c r="AM628" s="7">
        <v>0</v>
      </c>
      <c r="AO628" s="11">
        <v>2</v>
      </c>
    </row>
    <row r="629" spans="1:41" ht="63" customHeight="1" x14ac:dyDescent="0.2">
      <c r="A629" s="7">
        <v>7874</v>
      </c>
      <c r="B629" s="7" t="s">
        <v>2676</v>
      </c>
      <c r="C629" s="7" t="s">
        <v>2677</v>
      </c>
      <c r="D629" s="7" t="s">
        <v>16</v>
      </c>
      <c r="F629" s="7" t="s">
        <v>186</v>
      </c>
      <c r="G629" s="7" t="s">
        <v>32</v>
      </c>
      <c r="H629" s="7" t="s">
        <v>43</v>
      </c>
      <c r="I629" s="7" t="s">
        <v>13</v>
      </c>
      <c r="J629" s="7" t="s">
        <v>2678</v>
      </c>
      <c r="K629" s="7" t="s">
        <v>2679</v>
      </c>
      <c r="L629" s="6" t="s">
        <v>6181</v>
      </c>
      <c r="M629" s="7">
        <v>0</v>
      </c>
      <c r="N629" s="9" t="s">
        <v>5044</v>
      </c>
      <c r="O629" s="9" t="s">
        <v>5044</v>
      </c>
      <c r="P629" s="7">
        <v>0</v>
      </c>
      <c r="Q629" s="7">
        <v>0</v>
      </c>
      <c r="R629" s="7">
        <v>0</v>
      </c>
      <c r="S629" s="7">
        <v>7</v>
      </c>
      <c r="T629" s="7">
        <v>4</v>
      </c>
      <c r="U629" s="7">
        <v>363</v>
      </c>
      <c r="V629" s="7">
        <v>0</v>
      </c>
      <c r="W629" s="7">
        <v>1</v>
      </c>
      <c r="X629" s="7">
        <v>0</v>
      </c>
      <c r="Y629" s="7">
        <v>0</v>
      </c>
      <c r="Z629" s="7">
        <v>0</v>
      </c>
      <c r="AA629" s="7">
        <v>0</v>
      </c>
      <c r="AB629" s="7">
        <v>1</v>
      </c>
      <c r="AC629" s="7">
        <v>1</v>
      </c>
      <c r="AD629" s="7" t="s">
        <v>5044</v>
      </c>
      <c r="AE629" s="7" t="s">
        <v>5044</v>
      </c>
      <c r="AF629" s="7" t="s">
        <v>5044</v>
      </c>
      <c r="AG629" s="7">
        <v>2</v>
      </c>
      <c r="AH629" s="7">
        <v>2</v>
      </c>
      <c r="AI629" s="7">
        <v>2</v>
      </c>
      <c r="AJ629" s="7" t="s">
        <v>5044</v>
      </c>
      <c r="AL629" s="7" t="s">
        <v>5044</v>
      </c>
      <c r="AM629" s="7">
        <v>0</v>
      </c>
      <c r="AN629" s="7" t="s">
        <v>6294</v>
      </c>
      <c r="AO629" s="11">
        <v>2</v>
      </c>
    </row>
    <row r="630" spans="1:41" ht="63" customHeight="1" x14ac:dyDescent="0.2">
      <c r="A630" s="7">
        <v>7877</v>
      </c>
      <c r="B630" s="7" t="s">
        <v>2680</v>
      </c>
      <c r="C630" s="7" t="s">
        <v>2681</v>
      </c>
      <c r="D630" s="7" t="s">
        <v>16</v>
      </c>
      <c r="F630" s="7" t="s">
        <v>587</v>
      </c>
      <c r="G630" s="7" t="s">
        <v>293</v>
      </c>
      <c r="H630" s="7" t="s">
        <v>329</v>
      </c>
      <c r="I630" s="7" t="s">
        <v>13</v>
      </c>
      <c r="J630" s="7" t="s">
        <v>2682</v>
      </c>
      <c r="K630" s="7" t="s">
        <v>2683</v>
      </c>
      <c r="L630" s="6" t="s">
        <v>6182</v>
      </c>
      <c r="M630" s="7">
        <v>0</v>
      </c>
      <c r="N630" s="9" t="s">
        <v>5044</v>
      </c>
      <c r="O630" s="9" t="s">
        <v>5044</v>
      </c>
      <c r="P630" s="7">
        <v>0</v>
      </c>
      <c r="Q630" s="7">
        <v>0</v>
      </c>
      <c r="R630" s="7">
        <v>0</v>
      </c>
      <c r="S630" s="7" t="s">
        <v>5708</v>
      </c>
      <c r="T630" s="7">
        <v>4</v>
      </c>
      <c r="U630" s="7">
        <v>599</v>
      </c>
      <c r="V630" s="7">
        <v>0</v>
      </c>
      <c r="W630" s="7">
        <v>1</v>
      </c>
      <c r="X630" s="7">
        <v>0</v>
      </c>
      <c r="Y630" s="7">
        <v>0</v>
      </c>
      <c r="Z630" s="7">
        <v>0</v>
      </c>
      <c r="AA630" s="7">
        <v>0</v>
      </c>
      <c r="AB630" s="7">
        <v>1</v>
      </c>
      <c r="AC630" s="7">
        <v>1</v>
      </c>
      <c r="AD630" s="7" t="s">
        <v>5044</v>
      </c>
      <c r="AE630" s="7" t="s">
        <v>5044</v>
      </c>
      <c r="AF630" s="7" t="s">
        <v>5044</v>
      </c>
      <c r="AG630" s="7">
        <v>2</v>
      </c>
      <c r="AH630" s="7">
        <v>1</v>
      </c>
      <c r="AI630" s="7">
        <v>2</v>
      </c>
      <c r="AJ630" s="7" t="s">
        <v>5044</v>
      </c>
      <c r="AL630" s="7">
        <v>1</v>
      </c>
      <c r="AM630" s="7">
        <v>0</v>
      </c>
      <c r="AO630" s="11">
        <v>1</v>
      </c>
    </row>
    <row r="631" spans="1:41" ht="63" customHeight="1" x14ac:dyDescent="0.2">
      <c r="A631" s="7">
        <v>7895</v>
      </c>
      <c r="B631" s="7" t="s">
        <v>2692</v>
      </c>
      <c r="C631" s="7" t="s">
        <v>2693</v>
      </c>
      <c r="D631" s="7" t="s">
        <v>16</v>
      </c>
      <c r="F631" s="7" t="s">
        <v>27</v>
      </c>
      <c r="G631" s="7" t="s">
        <v>92</v>
      </c>
      <c r="H631" s="7" t="s">
        <v>241</v>
      </c>
      <c r="I631" s="7" t="s">
        <v>13</v>
      </c>
      <c r="J631" s="7" t="s">
        <v>2694</v>
      </c>
      <c r="K631" s="7" t="s">
        <v>2695</v>
      </c>
      <c r="L631" s="6" t="s">
        <v>6185</v>
      </c>
      <c r="M631" s="7">
        <v>0</v>
      </c>
      <c r="N631" s="9" t="s">
        <v>5044</v>
      </c>
      <c r="O631" s="9" t="s">
        <v>5044</v>
      </c>
      <c r="P631" s="7">
        <v>0</v>
      </c>
      <c r="Q631" s="7">
        <v>0</v>
      </c>
      <c r="R631" s="7">
        <v>0</v>
      </c>
      <c r="S631" s="7">
        <v>1</v>
      </c>
      <c r="T631" s="7">
        <v>4</v>
      </c>
      <c r="U631" s="7">
        <v>1070</v>
      </c>
      <c r="V631" s="7">
        <v>0</v>
      </c>
      <c r="W631" s="7">
        <v>1</v>
      </c>
      <c r="X631" s="7">
        <v>0</v>
      </c>
      <c r="Y631" s="7">
        <v>0</v>
      </c>
      <c r="Z631" s="7">
        <v>0</v>
      </c>
      <c r="AA631" s="7">
        <v>1</v>
      </c>
      <c r="AB631" s="7">
        <v>1</v>
      </c>
      <c r="AC631" s="7">
        <v>1</v>
      </c>
      <c r="AD631" s="7" t="s">
        <v>5044</v>
      </c>
      <c r="AE631" s="7" t="s">
        <v>5044</v>
      </c>
      <c r="AF631" s="7" t="s">
        <v>5044</v>
      </c>
      <c r="AG631" s="7">
        <v>2</v>
      </c>
      <c r="AH631" s="7">
        <v>2</v>
      </c>
      <c r="AI631" s="7">
        <v>2</v>
      </c>
      <c r="AJ631" s="7" t="s">
        <v>5044</v>
      </c>
      <c r="AL631" s="7" t="s">
        <v>5044</v>
      </c>
      <c r="AM631" s="7">
        <v>0</v>
      </c>
      <c r="AN631" s="7" t="s">
        <v>6294</v>
      </c>
      <c r="AO631" s="11">
        <v>2</v>
      </c>
    </row>
    <row r="632" spans="1:41" ht="63" customHeight="1" x14ac:dyDescent="0.2">
      <c r="A632" s="7">
        <v>7902</v>
      </c>
      <c r="B632" s="7" t="s">
        <v>2696</v>
      </c>
      <c r="C632" s="7" t="s">
        <v>2697</v>
      </c>
      <c r="D632" s="7" t="s">
        <v>56</v>
      </c>
      <c r="F632" s="7" t="s">
        <v>154</v>
      </c>
      <c r="G632" s="7" t="s">
        <v>18</v>
      </c>
      <c r="H632" s="7" t="s">
        <v>2698</v>
      </c>
      <c r="I632" s="7" t="s">
        <v>13</v>
      </c>
      <c r="J632" s="7" t="s">
        <v>2699</v>
      </c>
      <c r="K632" s="7" t="s">
        <v>2700</v>
      </c>
      <c r="L632" s="11" t="s">
        <v>5044</v>
      </c>
      <c r="M632" s="7">
        <v>0</v>
      </c>
      <c r="N632" s="9" t="s">
        <v>5044</v>
      </c>
      <c r="O632" s="9" t="s">
        <v>5044</v>
      </c>
      <c r="P632" s="7">
        <v>0</v>
      </c>
      <c r="Q632" s="7">
        <v>0</v>
      </c>
      <c r="R632" s="7">
        <v>0</v>
      </c>
      <c r="S632" s="7">
        <v>1</v>
      </c>
      <c r="T632" s="7">
        <v>4</v>
      </c>
      <c r="U632" s="7">
        <v>160</v>
      </c>
      <c r="V632" s="7">
        <v>0</v>
      </c>
      <c r="W632" s="7">
        <v>1</v>
      </c>
      <c r="X632" s="7">
        <v>0</v>
      </c>
      <c r="Y632" s="7">
        <v>0</v>
      </c>
      <c r="Z632" s="7">
        <v>0</v>
      </c>
      <c r="AA632" s="7">
        <v>0</v>
      </c>
      <c r="AB632" s="7">
        <v>1</v>
      </c>
      <c r="AC632" s="7">
        <v>1</v>
      </c>
      <c r="AD632" s="7" t="s">
        <v>5044</v>
      </c>
      <c r="AE632" s="7" t="s">
        <v>5044</v>
      </c>
      <c r="AF632" s="7" t="s">
        <v>5044</v>
      </c>
      <c r="AG632" s="7">
        <v>2</v>
      </c>
      <c r="AH632" s="7">
        <v>3</v>
      </c>
      <c r="AI632" s="7">
        <v>0</v>
      </c>
      <c r="AJ632" s="7" t="s">
        <v>5044</v>
      </c>
      <c r="AK632" s="7">
        <v>1</v>
      </c>
      <c r="AL632" s="7">
        <v>0</v>
      </c>
      <c r="AM632" s="7">
        <v>0</v>
      </c>
      <c r="AO632" s="11">
        <v>3</v>
      </c>
    </row>
    <row r="633" spans="1:41" ht="63" customHeight="1" x14ac:dyDescent="0.2">
      <c r="A633" s="7">
        <v>7909</v>
      </c>
      <c r="B633" s="7" t="s">
        <v>2701</v>
      </c>
      <c r="C633" s="7" t="s">
        <v>2702</v>
      </c>
      <c r="D633" s="7" t="s">
        <v>25</v>
      </c>
      <c r="F633" s="7" t="s">
        <v>2703</v>
      </c>
      <c r="G633" s="7" t="s">
        <v>52</v>
      </c>
      <c r="H633" s="7" t="s">
        <v>596</v>
      </c>
      <c r="I633" s="7" t="s">
        <v>13</v>
      </c>
      <c r="J633" s="7" t="s">
        <v>2704</v>
      </c>
      <c r="K633" s="7" t="s">
        <v>2705</v>
      </c>
      <c r="L633" s="11" t="s">
        <v>5044</v>
      </c>
      <c r="M633" s="7">
        <v>0</v>
      </c>
      <c r="N633" s="9" t="s">
        <v>5044</v>
      </c>
      <c r="O633" s="9" t="s">
        <v>5044</v>
      </c>
      <c r="P633" s="7">
        <v>0</v>
      </c>
      <c r="Q633" s="7">
        <v>0</v>
      </c>
      <c r="R633" s="7">
        <v>0</v>
      </c>
      <c r="S633" s="7" t="s">
        <v>5708</v>
      </c>
      <c r="T633" s="7">
        <v>4</v>
      </c>
      <c r="U633" s="7">
        <v>240</v>
      </c>
      <c r="V633" s="7">
        <v>0</v>
      </c>
      <c r="W633" s="7">
        <v>1</v>
      </c>
      <c r="X633" s="7">
        <v>0</v>
      </c>
      <c r="Y633" s="7">
        <v>0</v>
      </c>
      <c r="Z633" s="7">
        <v>0</v>
      </c>
      <c r="AA633" s="7">
        <v>0</v>
      </c>
      <c r="AB633" s="7">
        <v>1</v>
      </c>
      <c r="AC633" s="7">
        <v>0</v>
      </c>
      <c r="AD633" s="7" t="s">
        <v>5044</v>
      </c>
      <c r="AE633" s="7" t="s">
        <v>5044</v>
      </c>
      <c r="AF633" s="7" t="s">
        <v>5044</v>
      </c>
      <c r="AG633" s="7">
        <v>0</v>
      </c>
      <c r="AH633" s="7" t="s">
        <v>5044</v>
      </c>
      <c r="AI633" s="7" t="s">
        <v>5044</v>
      </c>
      <c r="AJ633" s="7" t="s">
        <v>5044</v>
      </c>
      <c r="AL633" s="7" t="s">
        <v>5044</v>
      </c>
      <c r="AM633" s="7">
        <v>0</v>
      </c>
      <c r="AN633" s="7" t="s">
        <v>5105</v>
      </c>
      <c r="AO633" s="11">
        <v>9</v>
      </c>
    </row>
    <row r="634" spans="1:41" ht="63" customHeight="1" x14ac:dyDescent="0.2">
      <c r="A634" s="7">
        <v>7944</v>
      </c>
      <c r="B634" s="7" t="s">
        <v>2706</v>
      </c>
      <c r="C634" s="7" t="s">
        <v>2707</v>
      </c>
      <c r="D634" s="7" t="s">
        <v>16</v>
      </c>
      <c r="F634" s="7" t="s">
        <v>2428</v>
      </c>
      <c r="G634" s="7" t="s">
        <v>18</v>
      </c>
      <c r="H634" s="7" t="s">
        <v>12</v>
      </c>
      <c r="I634" s="7" t="s">
        <v>13</v>
      </c>
      <c r="J634" s="7" t="s">
        <v>2708</v>
      </c>
      <c r="K634" s="7" t="s">
        <v>2709</v>
      </c>
      <c r="L634" s="11" t="s">
        <v>5044</v>
      </c>
      <c r="M634" s="7">
        <v>0</v>
      </c>
      <c r="N634" s="9" t="s">
        <v>5044</v>
      </c>
      <c r="O634" s="9" t="s">
        <v>5044</v>
      </c>
      <c r="P634" s="7">
        <v>0</v>
      </c>
      <c r="Q634" s="7">
        <v>0</v>
      </c>
      <c r="R634" s="7">
        <v>0</v>
      </c>
      <c r="S634" s="7">
        <v>3</v>
      </c>
      <c r="T634" s="7">
        <v>1</v>
      </c>
      <c r="U634" s="7">
        <v>100</v>
      </c>
      <c r="V634" s="7">
        <v>0</v>
      </c>
      <c r="W634" s="7">
        <v>1</v>
      </c>
      <c r="X634" s="7">
        <v>0</v>
      </c>
      <c r="Y634" s="7">
        <v>0</v>
      </c>
      <c r="Z634" s="7">
        <v>0</v>
      </c>
      <c r="AA634" s="7">
        <v>0</v>
      </c>
      <c r="AB634" s="7">
        <v>1</v>
      </c>
      <c r="AC634" s="7">
        <v>1</v>
      </c>
      <c r="AD634" s="7" t="s">
        <v>5044</v>
      </c>
      <c r="AE634" s="7" t="s">
        <v>5044</v>
      </c>
      <c r="AF634" s="7" t="s">
        <v>5044</v>
      </c>
      <c r="AG634" s="7">
        <v>1</v>
      </c>
      <c r="AH634" s="7">
        <v>0</v>
      </c>
      <c r="AI634" s="7">
        <v>0</v>
      </c>
      <c r="AJ634" s="7" t="s">
        <v>5044</v>
      </c>
      <c r="AL634" s="7">
        <v>1</v>
      </c>
      <c r="AM634" s="7">
        <v>0</v>
      </c>
      <c r="AO634" s="9">
        <v>0</v>
      </c>
    </row>
    <row r="635" spans="1:41" ht="63" customHeight="1" x14ac:dyDescent="0.2">
      <c r="A635" s="7">
        <v>7945</v>
      </c>
      <c r="B635" s="7" t="s">
        <v>2710</v>
      </c>
      <c r="C635" s="7" t="s">
        <v>2711</v>
      </c>
      <c r="D635" s="7" t="s">
        <v>149</v>
      </c>
      <c r="F635" s="7" t="s">
        <v>191</v>
      </c>
      <c r="G635" s="7" t="s">
        <v>32</v>
      </c>
      <c r="H635" s="7" t="s">
        <v>540</v>
      </c>
      <c r="I635" s="7" t="s">
        <v>13</v>
      </c>
      <c r="J635" s="7" t="s">
        <v>2712</v>
      </c>
      <c r="K635" s="7" t="s">
        <v>2713</v>
      </c>
      <c r="L635" s="7" t="s">
        <v>6186</v>
      </c>
      <c r="M635" s="7">
        <v>0</v>
      </c>
      <c r="N635" s="7" t="s">
        <v>5044</v>
      </c>
      <c r="O635" s="7" t="s">
        <v>5044</v>
      </c>
      <c r="P635" s="7">
        <v>0</v>
      </c>
      <c r="Q635" s="7">
        <v>0</v>
      </c>
      <c r="R635" s="7">
        <v>0</v>
      </c>
      <c r="S635" s="7">
        <v>3</v>
      </c>
      <c r="T635" s="7">
        <v>1</v>
      </c>
      <c r="U635" s="7">
        <v>129</v>
      </c>
      <c r="V635" s="7">
        <v>0</v>
      </c>
      <c r="W635" s="7">
        <v>1</v>
      </c>
      <c r="X635" s="7">
        <v>0</v>
      </c>
      <c r="Y635" s="7">
        <v>0</v>
      </c>
      <c r="Z635" s="7">
        <v>0</v>
      </c>
      <c r="AA635" s="7">
        <v>0</v>
      </c>
      <c r="AB635" s="7">
        <v>1</v>
      </c>
      <c r="AC635" s="7">
        <v>1</v>
      </c>
      <c r="AD635" s="7" t="s">
        <v>5044</v>
      </c>
      <c r="AE635" s="7" t="s">
        <v>5044</v>
      </c>
      <c r="AF635" s="7" t="s">
        <v>5044</v>
      </c>
      <c r="AG635" s="7">
        <v>2</v>
      </c>
      <c r="AH635" s="7">
        <v>3</v>
      </c>
      <c r="AI635" s="7">
        <v>0</v>
      </c>
      <c r="AJ635" s="7" t="s">
        <v>5044</v>
      </c>
      <c r="AK635" s="7">
        <v>1</v>
      </c>
      <c r="AL635" s="7">
        <v>0</v>
      </c>
      <c r="AM635" s="7">
        <v>0</v>
      </c>
      <c r="AN635" s="7" t="s">
        <v>5318</v>
      </c>
      <c r="AO635" s="11">
        <v>3</v>
      </c>
    </row>
    <row r="636" spans="1:41" ht="63" customHeight="1" x14ac:dyDescent="0.2">
      <c r="A636" s="7">
        <v>7949</v>
      </c>
      <c r="B636" s="7" t="s">
        <v>2714</v>
      </c>
      <c r="C636" s="7" t="s">
        <v>2715</v>
      </c>
      <c r="D636" s="7" t="s">
        <v>16</v>
      </c>
      <c r="F636" s="7" t="s">
        <v>237</v>
      </c>
      <c r="G636" s="7" t="s">
        <v>144</v>
      </c>
      <c r="H636" s="7" t="s">
        <v>497</v>
      </c>
      <c r="I636" s="7" t="s">
        <v>13</v>
      </c>
      <c r="J636" s="7" t="s">
        <v>2716</v>
      </c>
      <c r="K636" s="7" t="s">
        <v>2717</v>
      </c>
      <c r="L636" s="7" t="s">
        <v>6187</v>
      </c>
      <c r="M636" s="7">
        <v>0</v>
      </c>
      <c r="N636" s="7" t="s">
        <v>5044</v>
      </c>
      <c r="O636" s="7" t="s">
        <v>5044</v>
      </c>
      <c r="P636" s="7">
        <v>0</v>
      </c>
      <c r="Q636" s="7">
        <v>0</v>
      </c>
      <c r="R636" s="7">
        <v>0</v>
      </c>
      <c r="S636" s="7">
        <v>5</v>
      </c>
      <c r="T636" s="7">
        <v>2</v>
      </c>
      <c r="U636" s="7">
        <v>38</v>
      </c>
      <c r="V636" s="7">
        <v>0</v>
      </c>
      <c r="W636" s="7">
        <v>1</v>
      </c>
      <c r="X636" s="7">
        <v>0</v>
      </c>
      <c r="Y636" s="7">
        <v>0</v>
      </c>
      <c r="Z636" s="7">
        <v>0</v>
      </c>
      <c r="AA636" s="7">
        <v>0</v>
      </c>
      <c r="AB636" s="7">
        <v>1</v>
      </c>
      <c r="AC636" s="7">
        <v>1</v>
      </c>
      <c r="AD636" s="7" t="s">
        <v>5044</v>
      </c>
      <c r="AE636" s="7" t="s">
        <v>5044</v>
      </c>
      <c r="AF636" s="7" t="s">
        <v>5044</v>
      </c>
      <c r="AG636" s="7">
        <v>2</v>
      </c>
      <c r="AH636" s="7">
        <v>3</v>
      </c>
      <c r="AI636" s="7">
        <v>0</v>
      </c>
      <c r="AJ636" s="7" t="s">
        <v>5044</v>
      </c>
      <c r="AK636" s="7" t="s">
        <v>6295</v>
      </c>
      <c r="AL636" s="7">
        <v>1</v>
      </c>
      <c r="AM636" s="7">
        <v>0</v>
      </c>
      <c r="AO636" s="11">
        <v>3</v>
      </c>
    </row>
    <row r="637" spans="1:41" ht="63" customHeight="1" x14ac:dyDescent="0.2">
      <c r="A637" s="7">
        <v>7984</v>
      </c>
      <c r="B637" s="7" t="s">
        <v>2740</v>
      </c>
      <c r="C637" s="7" t="s">
        <v>2741</v>
      </c>
      <c r="D637" s="7" t="s">
        <v>56</v>
      </c>
      <c r="F637" s="7" t="s">
        <v>521</v>
      </c>
      <c r="G637" s="7" t="s">
        <v>37</v>
      </c>
      <c r="H637" s="7" t="s">
        <v>38</v>
      </c>
      <c r="I637" s="7" t="s">
        <v>13</v>
      </c>
      <c r="J637" s="7" t="s">
        <v>2742</v>
      </c>
      <c r="K637" s="7" t="s">
        <v>2743</v>
      </c>
      <c r="L637" s="7" t="s">
        <v>6191</v>
      </c>
      <c r="M637" s="7">
        <v>0</v>
      </c>
      <c r="N637" s="7" t="s">
        <v>5044</v>
      </c>
      <c r="O637" s="7" t="s">
        <v>5044</v>
      </c>
      <c r="P637" s="7">
        <v>0</v>
      </c>
      <c r="Q637" s="7">
        <v>0</v>
      </c>
      <c r="R637" s="7">
        <v>0</v>
      </c>
      <c r="S637" s="7">
        <v>1</v>
      </c>
      <c r="T637" s="7">
        <v>4</v>
      </c>
      <c r="U637" s="7">
        <v>328</v>
      </c>
      <c r="V637" s="7">
        <v>1</v>
      </c>
      <c r="W637" s="7">
        <v>0</v>
      </c>
      <c r="X637" s="7">
        <v>0</v>
      </c>
      <c r="Y637" s="7">
        <v>0</v>
      </c>
      <c r="Z637" s="7">
        <v>0</v>
      </c>
      <c r="AA637" s="7">
        <v>0</v>
      </c>
      <c r="AB637" s="7">
        <v>1</v>
      </c>
      <c r="AC637" s="7">
        <v>1</v>
      </c>
      <c r="AD637" s="7">
        <v>2</v>
      </c>
      <c r="AE637" s="7">
        <v>2</v>
      </c>
      <c r="AF637" s="7">
        <v>3</v>
      </c>
      <c r="AG637" s="7" t="s">
        <v>5044</v>
      </c>
      <c r="AH637" s="7" t="s">
        <v>5044</v>
      </c>
      <c r="AI637" s="7" t="s">
        <v>5044</v>
      </c>
      <c r="AJ637" s="7" t="s">
        <v>5044</v>
      </c>
      <c r="AK637" s="7" t="s">
        <v>6192</v>
      </c>
      <c r="AL637" s="7">
        <v>0</v>
      </c>
      <c r="AM637" s="7">
        <v>0</v>
      </c>
      <c r="AO637" s="11">
        <v>2</v>
      </c>
    </row>
    <row r="638" spans="1:41" ht="63" customHeight="1" x14ac:dyDescent="0.2">
      <c r="A638" s="7">
        <v>8053</v>
      </c>
      <c r="B638" s="7" t="s">
        <v>2748</v>
      </c>
      <c r="C638" s="7" t="s">
        <v>2749</v>
      </c>
      <c r="D638" s="7" t="s">
        <v>101</v>
      </c>
      <c r="F638" s="7" t="s">
        <v>2750</v>
      </c>
      <c r="G638" s="7" t="s">
        <v>32</v>
      </c>
      <c r="H638" s="7" t="s">
        <v>730</v>
      </c>
      <c r="I638" s="7" t="s">
        <v>13</v>
      </c>
      <c r="J638" s="7" t="s">
        <v>2751</v>
      </c>
      <c r="K638" s="7" t="s">
        <v>2752</v>
      </c>
      <c r="L638" s="7" t="s">
        <v>6194</v>
      </c>
      <c r="M638" s="7">
        <v>0</v>
      </c>
      <c r="N638" s="7" t="s">
        <v>5044</v>
      </c>
      <c r="O638" s="7" t="s">
        <v>5044</v>
      </c>
      <c r="P638" s="7">
        <v>0</v>
      </c>
      <c r="Q638" s="7">
        <v>0</v>
      </c>
      <c r="R638" s="7">
        <v>0</v>
      </c>
      <c r="S638" s="7">
        <v>5</v>
      </c>
      <c r="T638" s="7">
        <v>1</v>
      </c>
      <c r="U638" s="7">
        <v>224</v>
      </c>
      <c r="V638" s="7">
        <v>0</v>
      </c>
      <c r="W638" s="7">
        <v>1</v>
      </c>
      <c r="X638" s="7">
        <v>0</v>
      </c>
      <c r="Y638" s="7">
        <v>0</v>
      </c>
      <c r="Z638" s="7">
        <v>0</v>
      </c>
      <c r="AA638" s="7">
        <v>0</v>
      </c>
      <c r="AB638" s="7">
        <v>1</v>
      </c>
      <c r="AC638" s="7">
        <v>1</v>
      </c>
      <c r="AD638" s="7" t="s">
        <v>5044</v>
      </c>
      <c r="AE638" s="7" t="s">
        <v>5044</v>
      </c>
      <c r="AF638" s="7" t="s">
        <v>5044</v>
      </c>
      <c r="AG638" s="7">
        <v>2</v>
      </c>
      <c r="AH638" s="7">
        <v>3</v>
      </c>
      <c r="AI638" s="7">
        <v>0</v>
      </c>
      <c r="AJ638" s="7" t="s">
        <v>5044</v>
      </c>
      <c r="AK638" s="7">
        <v>1</v>
      </c>
      <c r="AL638" s="7">
        <v>0</v>
      </c>
      <c r="AM638" s="7">
        <v>0</v>
      </c>
      <c r="AO638" s="11">
        <v>3</v>
      </c>
    </row>
    <row r="639" spans="1:41" ht="63" customHeight="1" x14ac:dyDescent="0.2">
      <c r="A639" s="7">
        <v>8055</v>
      </c>
      <c r="B639" s="7" t="s">
        <v>2753</v>
      </c>
      <c r="C639" s="7" t="s">
        <v>2754</v>
      </c>
      <c r="D639" s="7" t="s">
        <v>341</v>
      </c>
      <c r="F639" s="7" t="s">
        <v>2755</v>
      </c>
      <c r="G639" s="7" t="s">
        <v>18</v>
      </c>
      <c r="H639" s="7" t="s">
        <v>2756</v>
      </c>
      <c r="I639" s="7" t="s">
        <v>13</v>
      </c>
      <c r="J639" s="7" t="s">
        <v>2757</v>
      </c>
      <c r="K639" s="7" t="s">
        <v>2758</v>
      </c>
      <c r="L639" s="7" t="s">
        <v>6195</v>
      </c>
      <c r="M639" s="7">
        <v>0</v>
      </c>
      <c r="N639" s="7" t="s">
        <v>5044</v>
      </c>
      <c r="O639" s="7" t="s">
        <v>5044</v>
      </c>
      <c r="P639" s="7">
        <v>0</v>
      </c>
      <c r="Q639" s="7">
        <v>0</v>
      </c>
      <c r="R639" s="7">
        <v>0</v>
      </c>
      <c r="S639" s="7">
        <v>1</v>
      </c>
      <c r="T639" s="7">
        <v>2</v>
      </c>
      <c r="U639" s="7">
        <v>162</v>
      </c>
      <c r="V639" s="7">
        <v>1</v>
      </c>
      <c r="W639" s="7">
        <v>0</v>
      </c>
      <c r="X639" s="7">
        <v>0</v>
      </c>
      <c r="Y639" s="7">
        <v>0</v>
      </c>
      <c r="Z639" s="7">
        <v>0</v>
      </c>
      <c r="AA639" s="7">
        <v>0</v>
      </c>
      <c r="AB639" s="7">
        <v>1</v>
      </c>
      <c r="AC639" s="7">
        <v>1</v>
      </c>
      <c r="AD639" s="7">
        <v>2</v>
      </c>
      <c r="AE639" s="7">
        <v>2</v>
      </c>
      <c r="AF639" s="27" t="s">
        <v>5044</v>
      </c>
      <c r="AG639" s="7" t="s">
        <v>5044</v>
      </c>
      <c r="AH639" s="7" t="s">
        <v>5044</v>
      </c>
      <c r="AI639" s="7" t="s">
        <v>5044</v>
      </c>
      <c r="AJ639" s="7" t="s">
        <v>5044</v>
      </c>
      <c r="AK639" s="7" t="s">
        <v>6196</v>
      </c>
      <c r="AL639" s="7">
        <v>1</v>
      </c>
      <c r="AM639" s="7">
        <v>0</v>
      </c>
      <c r="AN639" s="7" t="s">
        <v>5318</v>
      </c>
      <c r="AO639" s="11">
        <v>2</v>
      </c>
    </row>
    <row r="640" spans="1:41" ht="63" customHeight="1" x14ac:dyDescent="0.2">
      <c r="A640" s="7">
        <v>8059</v>
      </c>
      <c r="B640" s="7" t="s">
        <v>2759</v>
      </c>
      <c r="C640" s="7" t="s">
        <v>2760</v>
      </c>
      <c r="D640" s="7" t="s">
        <v>101</v>
      </c>
      <c r="F640" s="7" t="s">
        <v>27</v>
      </c>
      <c r="H640" s="7" t="s">
        <v>1195</v>
      </c>
      <c r="I640" s="7" t="s">
        <v>13</v>
      </c>
      <c r="J640" s="7" t="s">
        <v>2761</v>
      </c>
      <c r="K640" s="7" t="s">
        <v>2762</v>
      </c>
      <c r="L640" s="11" t="s">
        <v>5044</v>
      </c>
      <c r="M640" s="7">
        <v>0</v>
      </c>
      <c r="N640" s="7" t="s">
        <v>5044</v>
      </c>
      <c r="O640" s="7" t="s">
        <v>5044</v>
      </c>
      <c r="P640" s="7">
        <v>0</v>
      </c>
      <c r="Q640" s="7">
        <v>0</v>
      </c>
      <c r="R640" s="7">
        <v>0</v>
      </c>
      <c r="S640" s="7" t="s">
        <v>5921</v>
      </c>
      <c r="T640" s="7">
        <v>6</v>
      </c>
      <c r="U640" s="7">
        <v>60</v>
      </c>
      <c r="V640" s="7">
        <v>0</v>
      </c>
      <c r="W640" s="7">
        <v>1</v>
      </c>
      <c r="X640" s="7">
        <v>0</v>
      </c>
      <c r="Y640" s="7">
        <v>0</v>
      </c>
      <c r="Z640" s="7">
        <v>0</v>
      </c>
      <c r="AA640" s="7">
        <v>0</v>
      </c>
      <c r="AB640" s="7">
        <v>0</v>
      </c>
      <c r="AC640" s="7">
        <v>1</v>
      </c>
      <c r="AD640" s="7" t="s">
        <v>5044</v>
      </c>
      <c r="AE640" s="7" t="s">
        <v>5044</v>
      </c>
      <c r="AF640" s="7" t="s">
        <v>5044</v>
      </c>
      <c r="AG640" s="7">
        <v>2</v>
      </c>
      <c r="AH640" s="7">
        <v>3</v>
      </c>
      <c r="AI640" s="7">
        <v>0</v>
      </c>
      <c r="AJ640" s="7" t="s">
        <v>5044</v>
      </c>
      <c r="AK640" s="7">
        <v>1</v>
      </c>
      <c r="AL640" s="7" t="s">
        <v>5044</v>
      </c>
      <c r="AM640" s="7">
        <v>0</v>
      </c>
      <c r="AN640" s="7" t="s">
        <v>5105</v>
      </c>
      <c r="AO640" s="11">
        <v>3</v>
      </c>
    </row>
    <row r="641" spans="1:41" ht="63" customHeight="1" x14ac:dyDescent="0.2">
      <c r="A641" s="7">
        <v>8071</v>
      </c>
      <c r="B641" s="7" t="s">
        <v>2763</v>
      </c>
      <c r="C641" s="7" t="s">
        <v>2764</v>
      </c>
      <c r="D641" s="7" t="s">
        <v>74</v>
      </c>
      <c r="F641" s="7" t="s">
        <v>791</v>
      </c>
      <c r="G641" s="7" t="s">
        <v>32</v>
      </c>
      <c r="H641" s="7" t="s">
        <v>38</v>
      </c>
      <c r="I641" s="7" t="s">
        <v>13</v>
      </c>
      <c r="J641" s="7" t="s">
        <v>2765</v>
      </c>
      <c r="K641" s="7" t="s">
        <v>2766</v>
      </c>
      <c r="L641" s="7" t="s">
        <v>6197</v>
      </c>
      <c r="M641" s="7">
        <v>0</v>
      </c>
      <c r="N641" s="7" t="s">
        <v>5044</v>
      </c>
      <c r="O641" s="7" t="s">
        <v>5044</v>
      </c>
      <c r="P641" s="7">
        <v>0</v>
      </c>
      <c r="Q641" s="7">
        <v>0</v>
      </c>
      <c r="R641" s="7">
        <v>0</v>
      </c>
      <c r="S641" s="7">
        <v>1</v>
      </c>
      <c r="T641" s="7">
        <v>4</v>
      </c>
      <c r="U641" s="7">
        <v>220</v>
      </c>
      <c r="V641" s="7">
        <v>0</v>
      </c>
      <c r="W641" s="7">
        <v>1</v>
      </c>
      <c r="X641" s="7">
        <v>0</v>
      </c>
      <c r="Y641" s="7">
        <v>0</v>
      </c>
      <c r="Z641" s="7">
        <v>0</v>
      </c>
      <c r="AA641" s="7">
        <v>0</v>
      </c>
      <c r="AB641" s="7">
        <v>1</v>
      </c>
      <c r="AC641" s="7">
        <v>1</v>
      </c>
      <c r="AD641" s="7" t="s">
        <v>5044</v>
      </c>
      <c r="AE641" s="7" t="s">
        <v>5044</v>
      </c>
      <c r="AF641" s="7" t="s">
        <v>5044</v>
      </c>
      <c r="AG641" s="7">
        <v>2</v>
      </c>
      <c r="AH641" s="7">
        <v>1</v>
      </c>
      <c r="AI641" s="7">
        <v>2</v>
      </c>
      <c r="AJ641" s="7" t="s">
        <v>5044</v>
      </c>
      <c r="AK641" s="7" t="s">
        <v>6198</v>
      </c>
      <c r="AL641" s="7">
        <v>0</v>
      </c>
      <c r="AM641" s="7">
        <v>0</v>
      </c>
      <c r="AN641" s="7" t="s">
        <v>5318</v>
      </c>
      <c r="AO641" s="11">
        <v>1</v>
      </c>
    </row>
    <row r="642" spans="1:41" ht="63" customHeight="1" x14ac:dyDescent="0.2">
      <c r="A642" s="7">
        <v>8084</v>
      </c>
      <c r="B642" s="7" t="s">
        <v>2767</v>
      </c>
      <c r="C642" s="7" t="s">
        <v>2768</v>
      </c>
      <c r="D642" s="7" t="s">
        <v>74</v>
      </c>
      <c r="F642" s="7" t="s">
        <v>197</v>
      </c>
      <c r="G642" s="7" t="s">
        <v>52</v>
      </c>
      <c r="H642" s="7" t="s">
        <v>86</v>
      </c>
      <c r="I642" s="7" t="s">
        <v>13</v>
      </c>
      <c r="J642" s="7" t="s">
        <v>2769</v>
      </c>
      <c r="K642" s="7" t="s">
        <v>2770</v>
      </c>
      <c r="L642" s="7" t="s">
        <v>6199</v>
      </c>
      <c r="M642" s="7">
        <v>0</v>
      </c>
      <c r="N642" s="7" t="s">
        <v>5044</v>
      </c>
      <c r="O642" s="7" t="s">
        <v>5044</v>
      </c>
      <c r="P642" s="7">
        <v>0</v>
      </c>
      <c r="Q642" s="7">
        <v>0</v>
      </c>
      <c r="R642" s="7">
        <v>0</v>
      </c>
      <c r="S642" s="7">
        <v>5</v>
      </c>
      <c r="T642" s="7">
        <v>4</v>
      </c>
      <c r="U642" s="7">
        <v>80</v>
      </c>
      <c r="V642" s="7">
        <v>0</v>
      </c>
      <c r="W642" s="7">
        <v>1</v>
      </c>
      <c r="X642" s="7">
        <v>0</v>
      </c>
      <c r="Y642" s="7">
        <v>0</v>
      </c>
      <c r="Z642" s="7">
        <v>0</v>
      </c>
      <c r="AA642" s="7">
        <v>0</v>
      </c>
      <c r="AB642" s="7">
        <v>1</v>
      </c>
      <c r="AC642" s="7">
        <v>0</v>
      </c>
      <c r="AD642" s="7" t="s">
        <v>5044</v>
      </c>
      <c r="AE642" s="7" t="s">
        <v>5044</v>
      </c>
      <c r="AF642" s="7" t="s">
        <v>5044</v>
      </c>
      <c r="AG642" s="7">
        <v>0</v>
      </c>
      <c r="AH642" s="7" t="s">
        <v>5044</v>
      </c>
      <c r="AI642" s="7" t="s">
        <v>5044</v>
      </c>
      <c r="AJ642" s="7" t="s">
        <v>5044</v>
      </c>
      <c r="AL642" s="7">
        <v>0</v>
      </c>
      <c r="AM642" s="7">
        <v>0</v>
      </c>
      <c r="AN642" s="7" t="s">
        <v>5318</v>
      </c>
      <c r="AO642" s="11">
        <v>9</v>
      </c>
    </row>
    <row r="643" spans="1:41" ht="63" customHeight="1" x14ac:dyDescent="0.2">
      <c r="A643" s="7">
        <v>8094</v>
      </c>
      <c r="B643" s="7" t="s">
        <v>2776</v>
      </c>
      <c r="C643" s="7" t="s">
        <v>2777</v>
      </c>
      <c r="D643" s="7" t="s">
        <v>25</v>
      </c>
      <c r="F643" s="7" t="s">
        <v>992</v>
      </c>
      <c r="G643" s="7" t="s">
        <v>32</v>
      </c>
      <c r="H643" s="7" t="s">
        <v>993</v>
      </c>
      <c r="I643" s="7" t="s">
        <v>13</v>
      </c>
      <c r="J643" s="7" t="s">
        <v>2778</v>
      </c>
      <c r="K643" s="7" t="s">
        <v>2779</v>
      </c>
      <c r="L643" s="7" t="s">
        <v>6200</v>
      </c>
      <c r="M643" s="7">
        <v>0</v>
      </c>
      <c r="N643" s="7" t="s">
        <v>5044</v>
      </c>
      <c r="O643" s="7" t="s">
        <v>5044</v>
      </c>
      <c r="P643" s="7">
        <v>0</v>
      </c>
      <c r="Q643" s="7">
        <v>0</v>
      </c>
      <c r="R643" s="7">
        <v>0</v>
      </c>
      <c r="S643" s="7">
        <v>1</v>
      </c>
      <c r="T643" s="7">
        <v>1</v>
      </c>
      <c r="U643" s="7">
        <v>100</v>
      </c>
      <c r="V643" s="7">
        <v>0</v>
      </c>
      <c r="W643" s="7">
        <v>1</v>
      </c>
      <c r="X643" s="7">
        <v>0</v>
      </c>
      <c r="Y643" s="7">
        <v>0</v>
      </c>
      <c r="Z643" s="7">
        <v>0</v>
      </c>
      <c r="AA643" s="7">
        <v>0</v>
      </c>
      <c r="AB643" s="7">
        <v>1</v>
      </c>
      <c r="AC643" s="7">
        <v>1</v>
      </c>
      <c r="AD643" s="7" t="s">
        <v>5044</v>
      </c>
      <c r="AE643" s="7" t="s">
        <v>5044</v>
      </c>
      <c r="AF643" s="7" t="s">
        <v>5044</v>
      </c>
      <c r="AG643" s="7">
        <v>2</v>
      </c>
      <c r="AH643" s="7">
        <v>3</v>
      </c>
      <c r="AI643" s="7">
        <v>0</v>
      </c>
      <c r="AJ643" s="7" t="s">
        <v>5044</v>
      </c>
      <c r="AK643" s="7">
        <v>1</v>
      </c>
      <c r="AL643" s="7">
        <v>1</v>
      </c>
      <c r="AM643" s="7">
        <v>0</v>
      </c>
      <c r="AN643" s="7" t="s">
        <v>5318</v>
      </c>
      <c r="AO643" s="11">
        <v>3</v>
      </c>
    </row>
    <row r="644" spans="1:41" ht="63" customHeight="1" x14ac:dyDescent="0.2">
      <c r="A644" s="7">
        <v>8097</v>
      </c>
      <c r="B644" s="7" t="s">
        <v>2780</v>
      </c>
      <c r="C644" s="7" t="s">
        <v>2781</v>
      </c>
      <c r="D644" s="7" t="s">
        <v>101</v>
      </c>
      <c r="F644" s="7" t="s">
        <v>356</v>
      </c>
      <c r="G644" s="7" t="s">
        <v>37</v>
      </c>
      <c r="H644" s="7" t="s">
        <v>2782</v>
      </c>
      <c r="I644" s="7" t="s">
        <v>13</v>
      </c>
      <c r="J644" s="7" t="s">
        <v>2783</v>
      </c>
      <c r="K644" s="7" t="s">
        <v>2784</v>
      </c>
      <c r="L644" s="7" t="s">
        <v>6201</v>
      </c>
      <c r="M644" s="7">
        <v>0</v>
      </c>
      <c r="N644" s="7" t="s">
        <v>5044</v>
      </c>
      <c r="O644" s="7" t="s">
        <v>5044</v>
      </c>
      <c r="P644" s="7">
        <v>0</v>
      </c>
      <c r="Q644" s="7">
        <v>0</v>
      </c>
      <c r="R644" s="7">
        <v>0</v>
      </c>
      <c r="S644" s="7">
        <v>3</v>
      </c>
      <c r="T644" s="7">
        <v>1</v>
      </c>
      <c r="U644" s="7">
        <v>61</v>
      </c>
      <c r="V644" s="7">
        <v>0</v>
      </c>
      <c r="W644" s="7">
        <v>1</v>
      </c>
      <c r="X644" s="7">
        <v>0</v>
      </c>
      <c r="Y644" s="7">
        <v>0</v>
      </c>
      <c r="Z644" s="7">
        <v>0</v>
      </c>
      <c r="AA644" s="7">
        <v>0</v>
      </c>
      <c r="AB644" s="7">
        <v>1</v>
      </c>
      <c r="AC644" s="7">
        <v>1</v>
      </c>
      <c r="AD644" s="7" t="s">
        <v>5044</v>
      </c>
      <c r="AE644" s="7" t="s">
        <v>5044</v>
      </c>
      <c r="AF644" s="7" t="s">
        <v>5044</v>
      </c>
      <c r="AG644" s="7">
        <v>2</v>
      </c>
      <c r="AH644" s="7">
        <v>3</v>
      </c>
      <c r="AI644" s="7">
        <v>0</v>
      </c>
      <c r="AJ644" s="7" t="s">
        <v>5044</v>
      </c>
      <c r="AK644" s="7" t="s">
        <v>6202</v>
      </c>
      <c r="AL644" s="7" t="s">
        <v>5044</v>
      </c>
      <c r="AM644" s="7">
        <v>0</v>
      </c>
      <c r="AO644" s="11">
        <v>3</v>
      </c>
    </row>
    <row r="645" spans="1:41" ht="63" customHeight="1" x14ac:dyDescent="0.2">
      <c r="A645" s="7">
        <v>8121</v>
      </c>
      <c r="B645" s="7" t="s">
        <v>2785</v>
      </c>
      <c r="C645" s="7" t="s">
        <v>2786</v>
      </c>
      <c r="D645" s="7" t="s">
        <v>35</v>
      </c>
      <c r="F645" s="7" t="s">
        <v>746</v>
      </c>
      <c r="G645" s="7" t="s">
        <v>48</v>
      </c>
      <c r="H645" s="7" t="s">
        <v>270</v>
      </c>
      <c r="I645" s="7" t="s">
        <v>13</v>
      </c>
      <c r="J645" s="7" t="s">
        <v>2787</v>
      </c>
      <c r="K645" s="7" t="s">
        <v>2788</v>
      </c>
      <c r="L645" s="7" t="s">
        <v>6203</v>
      </c>
      <c r="M645" s="7">
        <v>0</v>
      </c>
      <c r="N645" s="7" t="s">
        <v>5044</v>
      </c>
      <c r="O645" s="7" t="s">
        <v>5044</v>
      </c>
      <c r="P645" s="7">
        <v>0</v>
      </c>
      <c r="Q645" s="7">
        <v>0</v>
      </c>
      <c r="R645" s="7">
        <v>0</v>
      </c>
      <c r="S645" s="7">
        <v>1</v>
      </c>
      <c r="T645" s="7">
        <v>4</v>
      </c>
      <c r="U645" s="7">
        <v>60</v>
      </c>
      <c r="V645" s="7">
        <v>0</v>
      </c>
      <c r="W645" s="7">
        <v>1</v>
      </c>
      <c r="X645" s="7">
        <v>0</v>
      </c>
      <c r="Y645" s="7">
        <v>0</v>
      </c>
      <c r="Z645" s="7">
        <v>0</v>
      </c>
      <c r="AA645" s="7">
        <v>0</v>
      </c>
      <c r="AB645" s="7">
        <v>1</v>
      </c>
      <c r="AC645" s="7">
        <v>1</v>
      </c>
      <c r="AD645" s="7" t="s">
        <v>5044</v>
      </c>
      <c r="AE645" s="7" t="s">
        <v>5044</v>
      </c>
      <c r="AF645" s="7" t="s">
        <v>5044</v>
      </c>
      <c r="AG645" s="7">
        <v>2</v>
      </c>
      <c r="AH645" s="7">
        <v>3</v>
      </c>
      <c r="AI645" s="7">
        <v>0</v>
      </c>
      <c r="AJ645" s="7" t="s">
        <v>5044</v>
      </c>
      <c r="AK645" s="7">
        <v>1</v>
      </c>
      <c r="AL645" s="7" t="s">
        <v>5044</v>
      </c>
      <c r="AM645" s="7">
        <v>0</v>
      </c>
      <c r="AN645" s="7" t="s">
        <v>5105</v>
      </c>
      <c r="AO645" s="11">
        <v>3</v>
      </c>
    </row>
    <row r="646" spans="1:41" ht="63" customHeight="1" x14ac:dyDescent="0.2">
      <c r="A646" s="7">
        <v>8158</v>
      </c>
      <c r="B646" s="7" t="s">
        <v>2789</v>
      </c>
      <c r="C646" s="7" t="s">
        <v>2790</v>
      </c>
      <c r="D646" s="7" t="s">
        <v>46</v>
      </c>
      <c r="F646" s="7" t="s">
        <v>1346</v>
      </c>
      <c r="H646" s="7" t="s">
        <v>490</v>
      </c>
      <c r="I646" s="7" t="s">
        <v>13</v>
      </c>
      <c r="J646" s="7" t="s">
        <v>2791</v>
      </c>
      <c r="K646" s="7" t="s">
        <v>2792</v>
      </c>
      <c r="L646" s="7" t="s">
        <v>6204</v>
      </c>
      <c r="M646" s="7">
        <v>0</v>
      </c>
      <c r="N646" s="7" t="s">
        <v>5044</v>
      </c>
      <c r="O646" s="7" t="s">
        <v>5044</v>
      </c>
      <c r="P646" s="7">
        <v>0</v>
      </c>
      <c r="Q646" s="7">
        <v>0</v>
      </c>
      <c r="R646" s="7">
        <v>0</v>
      </c>
      <c r="S646" s="7">
        <v>3</v>
      </c>
      <c r="T646" s="7">
        <v>1</v>
      </c>
      <c r="U646" s="7">
        <v>100</v>
      </c>
      <c r="V646" s="7">
        <v>0</v>
      </c>
      <c r="W646" s="7">
        <v>1</v>
      </c>
      <c r="X646" s="7">
        <v>0</v>
      </c>
      <c r="Y646" s="7">
        <v>0</v>
      </c>
      <c r="Z646" s="7">
        <v>0</v>
      </c>
      <c r="AA646" s="7">
        <v>0</v>
      </c>
      <c r="AB646" s="7">
        <v>1</v>
      </c>
      <c r="AC646" s="7">
        <v>1</v>
      </c>
      <c r="AD646" s="7" t="s">
        <v>5044</v>
      </c>
      <c r="AE646" s="7" t="s">
        <v>5044</v>
      </c>
      <c r="AF646" s="7" t="s">
        <v>5044</v>
      </c>
      <c r="AG646" s="7">
        <v>2</v>
      </c>
      <c r="AH646" s="7">
        <v>3</v>
      </c>
      <c r="AI646" s="7">
        <v>0</v>
      </c>
      <c r="AJ646" s="7" t="s">
        <v>5044</v>
      </c>
      <c r="AK646" s="7">
        <v>1</v>
      </c>
      <c r="AL646" s="7">
        <v>1</v>
      </c>
      <c r="AM646" s="7">
        <v>0</v>
      </c>
      <c r="AN646" s="7" t="s">
        <v>5217</v>
      </c>
      <c r="AO646" s="11">
        <v>3</v>
      </c>
    </row>
    <row r="647" spans="1:41" ht="63" customHeight="1" x14ac:dyDescent="0.2">
      <c r="A647" s="7">
        <v>8160</v>
      </c>
      <c r="B647" s="7" t="s">
        <v>2793</v>
      </c>
      <c r="C647" s="7" t="s">
        <v>2794</v>
      </c>
      <c r="D647" s="7" t="s">
        <v>74</v>
      </c>
      <c r="F647" s="7" t="s">
        <v>107</v>
      </c>
      <c r="G647" s="7" t="s">
        <v>52</v>
      </c>
      <c r="H647" s="7" t="s">
        <v>2795</v>
      </c>
      <c r="I647" s="7" t="s">
        <v>13</v>
      </c>
      <c r="K647" s="7" t="s">
        <v>2796</v>
      </c>
      <c r="L647" s="7" t="s">
        <v>6205</v>
      </c>
      <c r="M647" s="7">
        <v>0</v>
      </c>
      <c r="N647" s="7" t="s">
        <v>5044</v>
      </c>
      <c r="O647" s="7" t="s">
        <v>5044</v>
      </c>
      <c r="P647" s="7">
        <v>0</v>
      </c>
      <c r="Q647" s="7">
        <v>0</v>
      </c>
      <c r="R647" s="7">
        <v>0</v>
      </c>
      <c r="S647" s="7">
        <v>3</v>
      </c>
      <c r="T647" s="7">
        <v>5</v>
      </c>
      <c r="U647" s="7">
        <v>64</v>
      </c>
      <c r="V647" s="7">
        <v>0</v>
      </c>
      <c r="W647" s="7">
        <v>1</v>
      </c>
      <c r="X647" s="7">
        <v>0</v>
      </c>
      <c r="Y647" s="7">
        <v>0</v>
      </c>
      <c r="Z647" s="7">
        <v>0</v>
      </c>
      <c r="AA647" s="7">
        <v>0</v>
      </c>
      <c r="AB647" s="7">
        <v>1</v>
      </c>
      <c r="AC647" s="7">
        <v>1</v>
      </c>
      <c r="AD647" s="7" t="s">
        <v>5044</v>
      </c>
      <c r="AE647" s="7" t="s">
        <v>5044</v>
      </c>
      <c r="AF647" s="7" t="s">
        <v>5044</v>
      </c>
      <c r="AG647" s="7">
        <v>1</v>
      </c>
      <c r="AH647" s="7">
        <v>0</v>
      </c>
      <c r="AI647" s="7">
        <v>0</v>
      </c>
      <c r="AJ647" s="7" t="s">
        <v>5044</v>
      </c>
      <c r="AK647" s="7" t="s">
        <v>5318</v>
      </c>
      <c r="AL647" s="7" t="s">
        <v>5044</v>
      </c>
      <c r="AM647" s="7">
        <v>0</v>
      </c>
      <c r="AN647" s="7" t="s">
        <v>6294</v>
      </c>
      <c r="AO647" s="9">
        <v>0</v>
      </c>
    </row>
    <row r="648" spans="1:41" ht="63" customHeight="1" x14ac:dyDescent="0.2">
      <c r="A648" s="7">
        <v>8172</v>
      </c>
      <c r="B648" s="7" t="s">
        <v>2797</v>
      </c>
      <c r="C648" s="7" t="s">
        <v>2798</v>
      </c>
      <c r="D648" s="7" t="s">
        <v>41</v>
      </c>
      <c r="F648" s="7" t="s">
        <v>107</v>
      </c>
      <c r="G648" s="7" t="s">
        <v>52</v>
      </c>
      <c r="H648" s="7" t="s">
        <v>656</v>
      </c>
      <c r="I648" s="7" t="s">
        <v>13</v>
      </c>
      <c r="J648" s="7" t="s">
        <v>2799</v>
      </c>
      <c r="K648" s="7" t="s">
        <v>2800</v>
      </c>
      <c r="L648" s="7" t="s">
        <v>6206</v>
      </c>
      <c r="M648" s="7">
        <v>0</v>
      </c>
      <c r="N648" s="7" t="s">
        <v>5044</v>
      </c>
      <c r="O648" s="7" t="s">
        <v>5044</v>
      </c>
      <c r="P648" s="7">
        <v>0</v>
      </c>
      <c r="Q648" s="7">
        <v>0</v>
      </c>
      <c r="R648" s="7">
        <v>0</v>
      </c>
      <c r="S648" s="7">
        <v>1</v>
      </c>
      <c r="T648" s="7">
        <v>1</v>
      </c>
      <c r="U648" s="7">
        <v>180</v>
      </c>
      <c r="V648" s="7">
        <v>0</v>
      </c>
      <c r="W648" s="7">
        <v>1</v>
      </c>
      <c r="X648" s="7">
        <v>0</v>
      </c>
      <c r="Y648" s="7">
        <v>0</v>
      </c>
      <c r="Z648" s="7">
        <v>0</v>
      </c>
      <c r="AA648" s="7">
        <v>0</v>
      </c>
      <c r="AB648" s="7">
        <v>1</v>
      </c>
      <c r="AC648" s="7">
        <v>1</v>
      </c>
      <c r="AD648" s="7" t="s">
        <v>5044</v>
      </c>
      <c r="AE648" s="7" t="s">
        <v>5044</v>
      </c>
      <c r="AF648" s="7" t="s">
        <v>5044</v>
      </c>
      <c r="AG648" s="7">
        <v>2</v>
      </c>
      <c r="AH648" s="7">
        <v>3</v>
      </c>
      <c r="AI648" s="7">
        <v>0</v>
      </c>
      <c r="AJ648" s="7" t="s">
        <v>5044</v>
      </c>
      <c r="AK648" s="7" t="s">
        <v>6207</v>
      </c>
      <c r="AL648" s="7" t="s">
        <v>5044</v>
      </c>
      <c r="AM648" s="7">
        <v>0</v>
      </c>
      <c r="AN648" s="7" t="s">
        <v>5105</v>
      </c>
      <c r="AO648" s="11">
        <v>3</v>
      </c>
    </row>
    <row r="649" spans="1:41" ht="63" customHeight="1" x14ac:dyDescent="0.2">
      <c r="A649" s="7">
        <v>8181</v>
      </c>
      <c r="B649" s="7" t="s">
        <v>2801</v>
      </c>
      <c r="C649" s="7" t="s">
        <v>2802</v>
      </c>
      <c r="D649" s="7" t="s">
        <v>341</v>
      </c>
      <c r="F649" s="7" t="s">
        <v>2803</v>
      </c>
      <c r="G649" s="7" t="s">
        <v>32</v>
      </c>
      <c r="H649" s="7" t="s">
        <v>390</v>
      </c>
      <c r="I649" s="7" t="s">
        <v>13</v>
      </c>
      <c r="K649" s="7" t="s">
        <v>2804</v>
      </c>
      <c r="L649" s="7" t="s">
        <v>5918</v>
      </c>
      <c r="M649" s="7">
        <v>0</v>
      </c>
      <c r="N649" s="7" t="s">
        <v>5044</v>
      </c>
      <c r="O649" s="7" t="s">
        <v>5044</v>
      </c>
      <c r="P649" s="7">
        <v>0</v>
      </c>
      <c r="Q649" s="7">
        <v>0</v>
      </c>
      <c r="R649" s="7">
        <v>0</v>
      </c>
      <c r="S649" s="7">
        <v>1</v>
      </c>
      <c r="T649" s="7">
        <v>2</v>
      </c>
      <c r="U649" s="7">
        <v>65</v>
      </c>
      <c r="V649" s="7">
        <v>0</v>
      </c>
      <c r="W649" s="7">
        <v>1</v>
      </c>
      <c r="X649" s="7">
        <v>0</v>
      </c>
      <c r="Y649" s="7">
        <v>0</v>
      </c>
      <c r="Z649" s="7">
        <v>0</v>
      </c>
      <c r="AA649" s="7">
        <v>0</v>
      </c>
      <c r="AB649" s="7">
        <v>1</v>
      </c>
      <c r="AC649" s="7">
        <v>0</v>
      </c>
      <c r="AD649" s="7" t="s">
        <v>5044</v>
      </c>
      <c r="AE649" s="7" t="s">
        <v>5044</v>
      </c>
      <c r="AF649" s="7" t="s">
        <v>5044</v>
      </c>
      <c r="AG649" s="7">
        <v>0</v>
      </c>
      <c r="AH649" s="7" t="s">
        <v>5044</v>
      </c>
      <c r="AI649" s="7" t="s">
        <v>5044</v>
      </c>
      <c r="AJ649" s="7" t="s">
        <v>5044</v>
      </c>
      <c r="AK649" s="7" t="s">
        <v>5318</v>
      </c>
      <c r="AL649" s="7">
        <v>0</v>
      </c>
      <c r="AM649" s="7">
        <v>0</v>
      </c>
      <c r="AN649" s="7" t="s">
        <v>5318</v>
      </c>
      <c r="AO649" s="11">
        <v>9</v>
      </c>
    </row>
    <row r="650" spans="1:41" ht="63" customHeight="1" x14ac:dyDescent="0.2">
      <c r="A650" s="7">
        <v>8190</v>
      </c>
      <c r="B650" s="7" t="s">
        <v>2809</v>
      </c>
      <c r="C650" s="7" t="s">
        <v>2810</v>
      </c>
      <c r="D650" s="7" t="s">
        <v>95</v>
      </c>
      <c r="F650" s="7" t="s">
        <v>260</v>
      </c>
      <c r="G650" s="7" t="s">
        <v>18</v>
      </c>
      <c r="H650" s="7" t="s">
        <v>38</v>
      </c>
      <c r="I650" s="7" t="s">
        <v>13</v>
      </c>
      <c r="J650" s="7" t="s">
        <v>2811</v>
      </c>
      <c r="K650" s="7" t="s">
        <v>2812</v>
      </c>
      <c r="L650" s="7" t="s">
        <v>6209</v>
      </c>
      <c r="M650" s="7">
        <v>0</v>
      </c>
      <c r="N650" s="7" t="s">
        <v>5044</v>
      </c>
      <c r="O650" s="7" t="s">
        <v>5044</v>
      </c>
      <c r="P650" s="7">
        <v>0</v>
      </c>
      <c r="Q650" s="7">
        <v>0</v>
      </c>
      <c r="R650" s="7">
        <v>0</v>
      </c>
      <c r="S650" s="7">
        <v>1</v>
      </c>
      <c r="T650" s="7">
        <v>4</v>
      </c>
      <c r="U650" s="7">
        <v>126</v>
      </c>
      <c r="V650" s="7">
        <v>0</v>
      </c>
      <c r="W650" s="7">
        <v>1</v>
      </c>
      <c r="X650" s="7">
        <v>0</v>
      </c>
      <c r="Y650" s="7">
        <v>0</v>
      </c>
      <c r="Z650" s="7">
        <v>0</v>
      </c>
      <c r="AA650" s="7">
        <v>0</v>
      </c>
      <c r="AB650" s="7">
        <v>1</v>
      </c>
      <c r="AC650" s="7">
        <v>1</v>
      </c>
      <c r="AD650" s="7" t="s">
        <v>5044</v>
      </c>
      <c r="AE650" s="7" t="s">
        <v>5044</v>
      </c>
      <c r="AF650" s="7" t="s">
        <v>5044</v>
      </c>
      <c r="AG650" s="7">
        <v>2</v>
      </c>
      <c r="AH650" s="7">
        <v>1</v>
      </c>
      <c r="AI650" s="7">
        <v>2</v>
      </c>
      <c r="AJ650" s="7" t="s">
        <v>5044</v>
      </c>
      <c r="AK650" s="7" t="s">
        <v>6210</v>
      </c>
      <c r="AL650" s="7">
        <v>0</v>
      </c>
      <c r="AM650" s="7">
        <v>0</v>
      </c>
      <c r="AO650" s="11">
        <v>1</v>
      </c>
    </row>
    <row r="651" spans="1:41" ht="63" customHeight="1" x14ac:dyDescent="0.2">
      <c r="A651" s="7">
        <v>8199</v>
      </c>
      <c r="B651" s="7" t="s">
        <v>2813</v>
      </c>
      <c r="C651" s="7" t="s">
        <v>2814</v>
      </c>
      <c r="D651" s="7" t="s">
        <v>56</v>
      </c>
      <c r="F651" s="7" t="s">
        <v>521</v>
      </c>
      <c r="G651" s="7" t="s">
        <v>129</v>
      </c>
      <c r="H651" s="7" t="s">
        <v>38</v>
      </c>
      <c r="I651" s="7" t="s">
        <v>13</v>
      </c>
      <c r="J651" s="7" t="s">
        <v>2815</v>
      </c>
      <c r="K651" s="7" t="s">
        <v>2816</v>
      </c>
      <c r="L651" s="7" t="s">
        <v>6211</v>
      </c>
      <c r="M651" s="7">
        <v>0</v>
      </c>
      <c r="N651" s="7" t="s">
        <v>5044</v>
      </c>
      <c r="O651" s="7" t="s">
        <v>5044</v>
      </c>
      <c r="P651" s="7">
        <v>0</v>
      </c>
      <c r="Q651" s="7">
        <v>0</v>
      </c>
      <c r="R651" s="7">
        <v>0</v>
      </c>
      <c r="S651" s="7">
        <v>1</v>
      </c>
      <c r="T651" s="7">
        <v>4</v>
      </c>
      <c r="U651" s="7">
        <v>377</v>
      </c>
      <c r="V651" s="7">
        <v>0</v>
      </c>
      <c r="W651" s="7">
        <v>1</v>
      </c>
      <c r="X651" s="7">
        <v>0</v>
      </c>
      <c r="Y651" s="7">
        <v>0</v>
      </c>
      <c r="Z651" s="7">
        <v>0</v>
      </c>
      <c r="AA651" s="7">
        <v>0</v>
      </c>
      <c r="AB651" s="7">
        <v>1</v>
      </c>
      <c r="AC651" s="7">
        <v>1</v>
      </c>
      <c r="AD651" s="7" t="s">
        <v>5044</v>
      </c>
      <c r="AE651" s="7" t="s">
        <v>5044</v>
      </c>
      <c r="AF651" s="7" t="s">
        <v>5044</v>
      </c>
      <c r="AG651" s="7">
        <v>2</v>
      </c>
      <c r="AH651" s="7">
        <v>1</v>
      </c>
      <c r="AI651" s="7">
        <v>2</v>
      </c>
      <c r="AJ651" s="7" t="s">
        <v>5044</v>
      </c>
      <c r="AK651" s="7" t="s">
        <v>6212</v>
      </c>
      <c r="AL651" s="7">
        <v>1</v>
      </c>
      <c r="AM651" s="7">
        <v>0</v>
      </c>
      <c r="AN651" s="7" t="s">
        <v>5318</v>
      </c>
      <c r="AO651" s="11">
        <v>1</v>
      </c>
    </row>
    <row r="652" spans="1:41" ht="63" customHeight="1" x14ac:dyDescent="0.2">
      <c r="A652" s="7">
        <v>8203</v>
      </c>
      <c r="B652" s="7" t="s">
        <v>2817</v>
      </c>
      <c r="C652" s="7" t="s">
        <v>2818</v>
      </c>
      <c r="D652" s="7" t="s">
        <v>101</v>
      </c>
      <c r="F652" s="7" t="s">
        <v>143</v>
      </c>
      <c r="G652" s="7" t="s">
        <v>52</v>
      </c>
      <c r="H652" s="7" t="s">
        <v>2819</v>
      </c>
      <c r="I652" s="7" t="s">
        <v>13</v>
      </c>
      <c r="J652" s="7" t="s">
        <v>2820</v>
      </c>
      <c r="K652" s="7" t="s">
        <v>2821</v>
      </c>
      <c r="L652" s="11" t="s">
        <v>5044</v>
      </c>
      <c r="M652" s="7">
        <v>0</v>
      </c>
      <c r="N652" s="7" t="s">
        <v>5044</v>
      </c>
      <c r="O652" s="7" t="s">
        <v>5044</v>
      </c>
      <c r="P652" s="7">
        <v>0</v>
      </c>
      <c r="Q652" s="7">
        <v>0</v>
      </c>
      <c r="R652" s="7">
        <v>0</v>
      </c>
      <c r="S652" s="7">
        <v>3</v>
      </c>
      <c r="T652" s="7">
        <v>6</v>
      </c>
      <c r="U652" s="7">
        <v>75</v>
      </c>
      <c r="V652" s="7">
        <v>0</v>
      </c>
      <c r="W652" s="7">
        <v>1</v>
      </c>
      <c r="X652" s="7">
        <v>0</v>
      </c>
      <c r="Y652" s="7">
        <v>0</v>
      </c>
      <c r="Z652" s="7">
        <v>0</v>
      </c>
      <c r="AA652" s="7">
        <v>0</v>
      </c>
      <c r="AB652" s="7">
        <v>1</v>
      </c>
      <c r="AC652" s="7">
        <v>1</v>
      </c>
      <c r="AD652" s="7" t="s">
        <v>5044</v>
      </c>
      <c r="AE652" s="7" t="s">
        <v>5044</v>
      </c>
      <c r="AF652" s="7" t="s">
        <v>5044</v>
      </c>
      <c r="AG652" s="7">
        <v>1</v>
      </c>
      <c r="AH652" s="7">
        <v>0</v>
      </c>
      <c r="AI652" s="7">
        <v>0</v>
      </c>
      <c r="AJ652" s="7" t="s">
        <v>5044</v>
      </c>
      <c r="AK652" s="7" t="s">
        <v>5318</v>
      </c>
      <c r="AL652" s="7" t="s">
        <v>5044</v>
      </c>
      <c r="AM652" s="7">
        <v>0</v>
      </c>
      <c r="AN652" s="7" t="s">
        <v>5105</v>
      </c>
      <c r="AO652" s="9">
        <v>0</v>
      </c>
    </row>
    <row r="653" spans="1:41" ht="63" customHeight="1" x14ac:dyDescent="0.2">
      <c r="A653" s="7">
        <v>8205</v>
      </c>
      <c r="B653" s="7" t="s">
        <v>2822</v>
      </c>
      <c r="C653" s="7" t="s">
        <v>2823</v>
      </c>
      <c r="D653" s="7" t="s">
        <v>46</v>
      </c>
      <c r="F653" s="7" t="s">
        <v>168</v>
      </c>
      <c r="G653" s="7" t="s">
        <v>47</v>
      </c>
      <c r="H653" s="7" t="s">
        <v>160</v>
      </c>
      <c r="I653" s="7" t="s">
        <v>13</v>
      </c>
      <c r="J653" s="7" t="s">
        <v>2824</v>
      </c>
      <c r="K653" s="7" t="s">
        <v>2825</v>
      </c>
      <c r="L653" s="7" t="s">
        <v>6213</v>
      </c>
      <c r="M653" s="7">
        <v>0</v>
      </c>
      <c r="N653" s="7" t="s">
        <v>5044</v>
      </c>
      <c r="O653" s="7" t="s">
        <v>5044</v>
      </c>
      <c r="P653" s="7">
        <v>0</v>
      </c>
      <c r="Q653" s="7">
        <v>0</v>
      </c>
      <c r="R653" s="7">
        <v>0</v>
      </c>
      <c r="S653" s="7">
        <v>1</v>
      </c>
      <c r="T653" s="7">
        <v>4</v>
      </c>
      <c r="U653" s="7">
        <v>108</v>
      </c>
      <c r="V653" s="7">
        <v>1</v>
      </c>
      <c r="W653" s="7">
        <v>0</v>
      </c>
      <c r="X653" s="7">
        <v>0</v>
      </c>
      <c r="Y653" s="7">
        <v>0</v>
      </c>
      <c r="Z653" s="7">
        <v>0</v>
      </c>
      <c r="AA653" s="7">
        <v>0</v>
      </c>
      <c r="AB653" s="7">
        <v>1</v>
      </c>
      <c r="AC653" s="7">
        <v>1</v>
      </c>
      <c r="AD653" s="7">
        <v>2</v>
      </c>
      <c r="AE653" s="7">
        <v>3</v>
      </c>
      <c r="AF653" s="7">
        <v>0</v>
      </c>
      <c r="AG653" s="7" t="s">
        <v>5044</v>
      </c>
      <c r="AH653" s="7" t="s">
        <v>5044</v>
      </c>
      <c r="AI653" s="7" t="s">
        <v>5044</v>
      </c>
      <c r="AJ653" s="7" t="s">
        <v>5044</v>
      </c>
      <c r="AK653" s="7">
        <v>2</v>
      </c>
      <c r="AL653" s="7">
        <v>0</v>
      </c>
      <c r="AM653" s="7">
        <v>0</v>
      </c>
      <c r="AN653" s="7" t="s">
        <v>5318</v>
      </c>
      <c r="AO653" s="11">
        <v>3</v>
      </c>
    </row>
    <row r="654" spans="1:41" ht="63" customHeight="1" x14ac:dyDescent="0.2">
      <c r="A654" s="7">
        <v>8212</v>
      </c>
      <c r="B654" s="7" t="s">
        <v>2826</v>
      </c>
      <c r="C654" s="7" t="s">
        <v>2827</v>
      </c>
      <c r="D654" s="7" t="s">
        <v>16</v>
      </c>
      <c r="F654" s="7" t="s">
        <v>65</v>
      </c>
      <c r="G654" s="7" t="s">
        <v>32</v>
      </c>
      <c r="H654" s="7" t="s">
        <v>2828</v>
      </c>
      <c r="I654" s="7" t="s">
        <v>13</v>
      </c>
      <c r="J654" s="7" t="s">
        <v>2829</v>
      </c>
      <c r="K654" s="7" t="s">
        <v>2830</v>
      </c>
      <c r="L654" s="7" t="s">
        <v>6214</v>
      </c>
      <c r="M654" s="7">
        <v>0</v>
      </c>
      <c r="N654" s="7" t="s">
        <v>5044</v>
      </c>
      <c r="O654" s="7" t="s">
        <v>5044</v>
      </c>
      <c r="P654" s="7">
        <v>0</v>
      </c>
      <c r="Q654" s="7">
        <v>0</v>
      </c>
      <c r="R654" s="7">
        <v>0</v>
      </c>
      <c r="S654" s="7">
        <v>1</v>
      </c>
      <c r="T654" s="7">
        <v>4</v>
      </c>
      <c r="U654" s="7">
        <v>138</v>
      </c>
      <c r="V654" s="7">
        <v>0</v>
      </c>
      <c r="W654" s="7">
        <v>1</v>
      </c>
      <c r="X654" s="7">
        <v>0</v>
      </c>
      <c r="Y654" s="7">
        <v>0</v>
      </c>
      <c r="Z654" s="7">
        <v>0</v>
      </c>
      <c r="AA654" s="7">
        <v>0</v>
      </c>
      <c r="AB654" s="7">
        <v>1</v>
      </c>
      <c r="AC654" s="7">
        <v>1</v>
      </c>
      <c r="AD654" s="7" t="s">
        <v>5044</v>
      </c>
      <c r="AE654" s="7" t="s">
        <v>5044</v>
      </c>
      <c r="AF654" s="7" t="s">
        <v>5044</v>
      </c>
      <c r="AG654" s="7">
        <v>2</v>
      </c>
      <c r="AH654" s="7">
        <v>3</v>
      </c>
      <c r="AI654" s="7">
        <v>0</v>
      </c>
      <c r="AJ654" s="7" t="s">
        <v>5044</v>
      </c>
      <c r="AK654" s="7" t="s">
        <v>5318</v>
      </c>
      <c r="AL654" s="7" t="s">
        <v>5044</v>
      </c>
      <c r="AM654" s="7">
        <v>0</v>
      </c>
      <c r="AN654" s="7" t="s">
        <v>6293</v>
      </c>
      <c r="AO654" s="11">
        <v>3</v>
      </c>
    </row>
    <row r="655" spans="1:41" ht="63" customHeight="1" x14ac:dyDescent="0.2">
      <c r="A655" s="7">
        <v>8215</v>
      </c>
      <c r="B655" s="7" t="s">
        <v>2831</v>
      </c>
      <c r="C655" s="7" t="s">
        <v>2832</v>
      </c>
      <c r="D655" s="7" t="s">
        <v>56</v>
      </c>
      <c r="F655" s="7" t="s">
        <v>118</v>
      </c>
      <c r="G655" s="7" t="s">
        <v>37</v>
      </c>
      <c r="H655" s="7" t="s">
        <v>286</v>
      </c>
      <c r="I655" s="7" t="s">
        <v>13</v>
      </c>
      <c r="J655" s="7" t="s">
        <v>2833</v>
      </c>
      <c r="K655" s="7" t="s">
        <v>2834</v>
      </c>
      <c r="L655" s="7" t="s">
        <v>6215</v>
      </c>
      <c r="M655" s="7">
        <v>0</v>
      </c>
      <c r="N655" s="7" t="s">
        <v>5044</v>
      </c>
      <c r="O655" s="7" t="s">
        <v>5044</v>
      </c>
      <c r="P655" s="7">
        <v>0</v>
      </c>
      <c r="Q655" s="7">
        <v>0</v>
      </c>
      <c r="R655" s="7">
        <v>0</v>
      </c>
      <c r="S655" s="7">
        <v>1</v>
      </c>
      <c r="T655" s="7">
        <v>4</v>
      </c>
      <c r="U655" s="7">
        <v>60</v>
      </c>
      <c r="V655" s="7">
        <v>0</v>
      </c>
      <c r="W655" s="7">
        <v>1</v>
      </c>
      <c r="X655" s="7">
        <v>0</v>
      </c>
      <c r="Y655" s="7">
        <v>0</v>
      </c>
      <c r="Z655" s="7">
        <v>0</v>
      </c>
      <c r="AA655" s="7">
        <v>0</v>
      </c>
      <c r="AB655" s="7">
        <v>1</v>
      </c>
      <c r="AC655" s="7">
        <v>1</v>
      </c>
      <c r="AD655" s="7" t="s">
        <v>5044</v>
      </c>
      <c r="AE655" s="7" t="s">
        <v>5044</v>
      </c>
      <c r="AF655" s="7" t="s">
        <v>5044</v>
      </c>
      <c r="AG655" s="7">
        <v>2</v>
      </c>
      <c r="AH655" s="7">
        <v>2</v>
      </c>
      <c r="AI655" s="7">
        <v>2</v>
      </c>
      <c r="AJ655" s="7" t="s">
        <v>5044</v>
      </c>
      <c r="AK655" s="7" t="s">
        <v>6216</v>
      </c>
      <c r="AL655" s="7">
        <v>0</v>
      </c>
      <c r="AM655" s="7">
        <v>0</v>
      </c>
      <c r="AN655" s="7" t="s">
        <v>5318</v>
      </c>
      <c r="AO655" s="11">
        <v>2</v>
      </c>
    </row>
    <row r="656" spans="1:41" ht="63" customHeight="1" x14ac:dyDescent="0.2">
      <c r="A656" s="7">
        <v>8218</v>
      </c>
      <c r="B656" s="7" t="s">
        <v>2835</v>
      </c>
      <c r="C656" s="7" t="s">
        <v>2836</v>
      </c>
      <c r="D656" s="7" t="s">
        <v>46</v>
      </c>
      <c r="F656" s="7" t="s">
        <v>143</v>
      </c>
      <c r="G656" s="7" t="s">
        <v>27</v>
      </c>
      <c r="H656" s="7" t="s">
        <v>286</v>
      </c>
      <c r="I656" s="7" t="s">
        <v>13</v>
      </c>
      <c r="J656" s="7" t="s">
        <v>2837</v>
      </c>
      <c r="K656" s="7" t="s">
        <v>2838</v>
      </c>
      <c r="L656" s="7" t="s">
        <v>6217</v>
      </c>
      <c r="M656" s="7">
        <v>0</v>
      </c>
      <c r="N656" s="7" t="s">
        <v>5044</v>
      </c>
      <c r="O656" s="7" t="s">
        <v>5044</v>
      </c>
      <c r="P656" s="7">
        <v>0</v>
      </c>
      <c r="Q656" s="7">
        <v>0</v>
      </c>
      <c r="R656" s="7">
        <v>0</v>
      </c>
      <c r="S656" s="7">
        <v>1</v>
      </c>
      <c r="T656" s="7">
        <v>4</v>
      </c>
      <c r="U656" s="7">
        <v>276</v>
      </c>
      <c r="V656" s="7">
        <v>1</v>
      </c>
      <c r="W656" s="7">
        <v>0</v>
      </c>
      <c r="X656" s="7">
        <v>0</v>
      </c>
      <c r="Y656" s="7">
        <v>0</v>
      </c>
      <c r="Z656" s="7">
        <v>0</v>
      </c>
      <c r="AA656" s="7">
        <v>0</v>
      </c>
      <c r="AB656" s="7">
        <v>1</v>
      </c>
      <c r="AC656" s="7">
        <v>1</v>
      </c>
      <c r="AD656" s="7">
        <v>1</v>
      </c>
      <c r="AE656" s="7">
        <v>0</v>
      </c>
      <c r="AF656" s="7">
        <v>0</v>
      </c>
      <c r="AG656" s="7" t="s">
        <v>5044</v>
      </c>
      <c r="AH656" s="7" t="s">
        <v>5044</v>
      </c>
      <c r="AI656" s="7" t="s">
        <v>5044</v>
      </c>
      <c r="AJ656" s="7" t="s">
        <v>5044</v>
      </c>
      <c r="AL656" s="7">
        <v>1</v>
      </c>
      <c r="AM656" s="7">
        <v>0</v>
      </c>
      <c r="AN656" s="7" t="s">
        <v>5073</v>
      </c>
      <c r="AO656" s="9">
        <v>0</v>
      </c>
    </row>
    <row r="657" spans="1:41" ht="63" customHeight="1" x14ac:dyDescent="0.2">
      <c r="A657" s="7">
        <v>8222</v>
      </c>
      <c r="B657" s="7" t="s">
        <v>2843</v>
      </c>
      <c r="C657" s="7" t="s">
        <v>2844</v>
      </c>
      <c r="D657" s="7" t="s">
        <v>101</v>
      </c>
      <c r="F657" s="7" t="s">
        <v>645</v>
      </c>
      <c r="G657" s="7" t="s">
        <v>37</v>
      </c>
      <c r="H657" s="7" t="s">
        <v>43</v>
      </c>
      <c r="I657" s="7" t="s">
        <v>13</v>
      </c>
      <c r="J657" s="7" t="s">
        <v>2845</v>
      </c>
      <c r="K657" s="7" t="s">
        <v>2846</v>
      </c>
      <c r="L657" s="7" t="s">
        <v>6219</v>
      </c>
      <c r="M657" s="7">
        <v>0</v>
      </c>
      <c r="N657" s="7" t="s">
        <v>5044</v>
      </c>
      <c r="O657" s="7" t="s">
        <v>5044</v>
      </c>
      <c r="P657" s="7">
        <v>0</v>
      </c>
      <c r="Q657" s="7">
        <v>0</v>
      </c>
      <c r="R657" s="7">
        <v>0</v>
      </c>
      <c r="S657" s="7">
        <v>1</v>
      </c>
      <c r="T657" s="7">
        <v>1</v>
      </c>
      <c r="U657" s="7">
        <v>1205</v>
      </c>
      <c r="V657" s="7">
        <v>0</v>
      </c>
      <c r="W657" s="7">
        <v>1</v>
      </c>
      <c r="X657" s="7">
        <v>0</v>
      </c>
      <c r="Y657" s="7">
        <v>0</v>
      </c>
      <c r="Z657" s="7">
        <v>0</v>
      </c>
      <c r="AA657" s="7">
        <v>0</v>
      </c>
      <c r="AB657" s="7">
        <v>1</v>
      </c>
      <c r="AC657" s="7">
        <v>0</v>
      </c>
      <c r="AD657" s="7" t="s">
        <v>5044</v>
      </c>
      <c r="AE657" s="7" t="s">
        <v>5044</v>
      </c>
      <c r="AF657" s="7" t="s">
        <v>5044</v>
      </c>
      <c r="AG657" s="7">
        <v>0</v>
      </c>
      <c r="AH657" s="7" t="s">
        <v>5044</v>
      </c>
      <c r="AI657" s="7" t="s">
        <v>5044</v>
      </c>
      <c r="AJ657" s="7" t="s">
        <v>5044</v>
      </c>
      <c r="AK657" s="7" t="s">
        <v>6220</v>
      </c>
      <c r="AL657" s="7">
        <v>1</v>
      </c>
      <c r="AM657" s="7">
        <v>0</v>
      </c>
      <c r="AN657" s="7" t="s">
        <v>5318</v>
      </c>
      <c r="AO657" s="11">
        <v>9</v>
      </c>
    </row>
    <row r="658" spans="1:41" ht="63" customHeight="1" x14ac:dyDescent="0.2">
      <c r="A658" s="7">
        <v>8226</v>
      </c>
      <c r="B658" s="7" t="s">
        <v>2851</v>
      </c>
      <c r="C658" s="7" t="s">
        <v>2852</v>
      </c>
      <c r="D658" s="7" t="s">
        <v>35</v>
      </c>
      <c r="F658" s="7" t="s">
        <v>791</v>
      </c>
      <c r="G658" s="7" t="s">
        <v>37</v>
      </c>
      <c r="H658" s="7" t="s">
        <v>679</v>
      </c>
      <c r="I658" s="7" t="s">
        <v>13</v>
      </c>
      <c r="J658" s="7" t="s">
        <v>2853</v>
      </c>
      <c r="K658" s="7" t="s">
        <v>2854</v>
      </c>
      <c r="L658" s="11" t="s">
        <v>5044</v>
      </c>
      <c r="M658" s="7">
        <v>0</v>
      </c>
      <c r="N658" s="7" t="s">
        <v>5044</v>
      </c>
      <c r="O658" s="7" t="s">
        <v>5044</v>
      </c>
      <c r="P658" s="7">
        <v>0</v>
      </c>
      <c r="Q658" s="7">
        <v>0</v>
      </c>
      <c r="R658" s="7">
        <v>0</v>
      </c>
      <c r="S658" s="7">
        <v>3</v>
      </c>
      <c r="T658" s="7">
        <v>1</v>
      </c>
      <c r="U658" s="7">
        <v>72</v>
      </c>
      <c r="V658" s="7">
        <v>0</v>
      </c>
      <c r="W658" s="7">
        <v>1</v>
      </c>
      <c r="X658" s="7">
        <v>0</v>
      </c>
      <c r="Y658" s="7">
        <v>0</v>
      </c>
      <c r="Z658" s="7">
        <v>0</v>
      </c>
      <c r="AA658" s="7">
        <v>0</v>
      </c>
      <c r="AB658" s="7">
        <v>1</v>
      </c>
      <c r="AC658" s="7">
        <v>1</v>
      </c>
      <c r="AD658" s="7" t="s">
        <v>5044</v>
      </c>
      <c r="AE658" s="7" t="s">
        <v>5044</v>
      </c>
      <c r="AF658" s="7" t="s">
        <v>5044</v>
      </c>
      <c r="AG658" s="7">
        <v>2</v>
      </c>
      <c r="AH658" s="7">
        <v>2</v>
      </c>
      <c r="AI658" s="7">
        <v>1</v>
      </c>
      <c r="AJ658" s="7" t="s">
        <v>5044</v>
      </c>
      <c r="AK658" s="7" t="s">
        <v>5318</v>
      </c>
      <c r="AL658" s="7" t="s">
        <v>5044</v>
      </c>
      <c r="AM658" s="7">
        <v>0</v>
      </c>
      <c r="AN658" s="7" t="s">
        <v>5105</v>
      </c>
      <c r="AO658" s="11">
        <v>2</v>
      </c>
    </row>
    <row r="659" spans="1:41" ht="63" customHeight="1" x14ac:dyDescent="0.2">
      <c r="A659" s="7">
        <v>8249</v>
      </c>
      <c r="B659" s="7" t="s">
        <v>2863</v>
      </c>
      <c r="C659" s="7" t="s">
        <v>2864</v>
      </c>
      <c r="D659" s="7" t="s">
        <v>74</v>
      </c>
      <c r="F659" s="7" t="s">
        <v>2865</v>
      </c>
      <c r="G659" s="7" t="s">
        <v>299</v>
      </c>
      <c r="H659" s="7" t="s">
        <v>993</v>
      </c>
      <c r="I659" s="7" t="s">
        <v>13</v>
      </c>
      <c r="J659" s="7" t="s">
        <v>2866</v>
      </c>
      <c r="K659" s="7" t="s">
        <v>2867</v>
      </c>
      <c r="L659" s="7" t="s">
        <v>6222</v>
      </c>
      <c r="M659" s="7">
        <v>0</v>
      </c>
      <c r="N659" s="7" t="s">
        <v>5044</v>
      </c>
      <c r="O659" s="7" t="s">
        <v>5044</v>
      </c>
      <c r="P659" s="7">
        <v>0</v>
      </c>
      <c r="Q659" s="7">
        <v>0</v>
      </c>
      <c r="R659" s="7">
        <v>0</v>
      </c>
      <c r="S659" s="7">
        <v>5</v>
      </c>
      <c r="T659" s="7">
        <v>1</v>
      </c>
      <c r="U659" s="7">
        <v>574</v>
      </c>
      <c r="V659" s="7">
        <v>0</v>
      </c>
      <c r="W659" s="7">
        <v>1</v>
      </c>
      <c r="X659" s="7">
        <v>0</v>
      </c>
      <c r="Y659" s="7">
        <v>0</v>
      </c>
      <c r="Z659" s="7">
        <v>0</v>
      </c>
      <c r="AA659" s="7">
        <v>0</v>
      </c>
      <c r="AB659" s="7">
        <v>1</v>
      </c>
      <c r="AC659" s="7">
        <v>1</v>
      </c>
      <c r="AD659" s="7" t="s">
        <v>5044</v>
      </c>
      <c r="AE659" s="7" t="s">
        <v>5044</v>
      </c>
      <c r="AF659" s="7" t="s">
        <v>5044</v>
      </c>
      <c r="AG659" s="7">
        <v>2</v>
      </c>
      <c r="AH659" s="7">
        <v>1</v>
      </c>
      <c r="AI659" s="7">
        <v>2</v>
      </c>
      <c r="AJ659" s="7" t="s">
        <v>5044</v>
      </c>
      <c r="AK659" s="7" t="s">
        <v>5318</v>
      </c>
      <c r="AL659" s="7">
        <v>0</v>
      </c>
      <c r="AM659" s="7">
        <v>0</v>
      </c>
      <c r="AN659" s="7" t="s">
        <v>5318</v>
      </c>
      <c r="AO659" s="11">
        <v>1</v>
      </c>
    </row>
    <row r="660" spans="1:41" ht="63" customHeight="1" x14ac:dyDescent="0.2">
      <c r="A660" s="7">
        <v>8254</v>
      </c>
      <c r="B660" s="7" t="s">
        <v>2868</v>
      </c>
      <c r="C660" s="7" t="s">
        <v>2869</v>
      </c>
      <c r="D660" s="7" t="s">
        <v>9</v>
      </c>
      <c r="F660" s="7" t="s">
        <v>107</v>
      </c>
      <c r="G660" s="7" t="s">
        <v>18</v>
      </c>
      <c r="H660" s="7" t="s">
        <v>2870</v>
      </c>
      <c r="I660" s="7" t="s">
        <v>13</v>
      </c>
      <c r="J660" s="7" t="s">
        <v>2871</v>
      </c>
      <c r="K660" s="7" t="s">
        <v>2872</v>
      </c>
      <c r="L660" s="11" t="s">
        <v>5044</v>
      </c>
      <c r="M660" s="7">
        <v>0</v>
      </c>
      <c r="N660" s="7" t="s">
        <v>5044</v>
      </c>
      <c r="O660" s="7" t="s">
        <v>5044</v>
      </c>
      <c r="P660" s="7">
        <v>0</v>
      </c>
      <c r="Q660" s="7">
        <v>0</v>
      </c>
      <c r="R660" s="7">
        <v>0</v>
      </c>
      <c r="S660" s="7">
        <v>1</v>
      </c>
      <c r="T660" s="7">
        <v>1</v>
      </c>
      <c r="U660" s="7">
        <v>30</v>
      </c>
      <c r="V660" s="7">
        <v>0</v>
      </c>
      <c r="W660" s="7">
        <v>1</v>
      </c>
      <c r="X660" s="7">
        <v>0</v>
      </c>
      <c r="Y660" s="7">
        <v>0</v>
      </c>
      <c r="Z660" s="7">
        <v>0</v>
      </c>
      <c r="AA660" s="7">
        <v>0</v>
      </c>
      <c r="AB660" s="7">
        <v>1</v>
      </c>
      <c r="AC660" s="7">
        <v>1</v>
      </c>
      <c r="AD660" s="7" t="s">
        <v>5044</v>
      </c>
      <c r="AE660" s="7" t="s">
        <v>5044</v>
      </c>
      <c r="AF660" s="7" t="s">
        <v>5044</v>
      </c>
      <c r="AG660" s="7">
        <v>2</v>
      </c>
      <c r="AH660" s="7">
        <v>3</v>
      </c>
      <c r="AI660" s="7">
        <v>0</v>
      </c>
      <c r="AJ660" s="7" t="s">
        <v>5044</v>
      </c>
      <c r="AK660" s="7" t="s">
        <v>6223</v>
      </c>
      <c r="AL660" s="7" t="s">
        <v>5044</v>
      </c>
      <c r="AM660" s="7">
        <v>0</v>
      </c>
      <c r="AN660" s="7" t="s">
        <v>5105</v>
      </c>
      <c r="AO660" s="11">
        <v>3</v>
      </c>
    </row>
    <row r="661" spans="1:41" ht="63" customHeight="1" x14ac:dyDescent="0.2">
      <c r="A661" s="7">
        <v>8255</v>
      </c>
      <c r="B661" s="7" t="s">
        <v>2873</v>
      </c>
      <c r="C661" s="7" t="s">
        <v>2874</v>
      </c>
      <c r="D661" s="7" t="s">
        <v>1828</v>
      </c>
      <c r="F661" s="7" t="s">
        <v>57</v>
      </c>
      <c r="G661" s="7" t="s">
        <v>47</v>
      </c>
      <c r="H661" s="7" t="s">
        <v>38</v>
      </c>
      <c r="I661" s="7" t="s">
        <v>437</v>
      </c>
      <c r="J661" s="7" t="s">
        <v>2875</v>
      </c>
      <c r="K661" s="7" t="s">
        <v>2876</v>
      </c>
      <c r="L661" s="7" t="s">
        <v>6224</v>
      </c>
      <c r="M661" s="7">
        <v>0</v>
      </c>
      <c r="N661" s="7" t="s">
        <v>5044</v>
      </c>
      <c r="O661" s="7" t="s">
        <v>5044</v>
      </c>
      <c r="P661" s="7">
        <v>0</v>
      </c>
      <c r="Q661" s="7">
        <v>0</v>
      </c>
      <c r="R661" s="7">
        <v>0</v>
      </c>
      <c r="S661" s="7">
        <v>1</v>
      </c>
      <c r="T661" s="7">
        <v>1</v>
      </c>
      <c r="U661" s="7">
        <v>61</v>
      </c>
      <c r="V661" s="7">
        <v>0</v>
      </c>
      <c r="W661" s="7">
        <v>1</v>
      </c>
      <c r="X661" s="7">
        <v>0</v>
      </c>
      <c r="Y661" s="7">
        <v>0</v>
      </c>
      <c r="Z661" s="7">
        <v>0</v>
      </c>
      <c r="AA661" s="7">
        <v>0</v>
      </c>
      <c r="AB661" s="7">
        <v>1</v>
      </c>
      <c r="AC661" s="7">
        <v>1</v>
      </c>
      <c r="AD661" s="7" t="s">
        <v>5044</v>
      </c>
      <c r="AE661" s="7" t="s">
        <v>5044</v>
      </c>
      <c r="AF661" s="7" t="s">
        <v>5044</v>
      </c>
      <c r="AG661" s="7">
        <v>2</v>
      </c>
      <c r="AH661" s="7">
        <v>3</v>
      </c>
      <c r="AI661" s="7">
        <v>0</v>
      </c>
      <c r="AJ661" s="7" t="s">
        <v>5044</v>
      </c>
      <c r="AK661" s="7">
        <v>1</v>
      </c>
      <c r="AL661" s="7">
        <v>1</v>
      </c>
      <c r="AM661" s="7">
        <v>0</v>
      </c>
      <c r="AN661" s="7" t="s">
        <v>5318</v>
      </c>
      <c r="AO661" s="11">
        <v>3</v>
      </c>
    </row>
    <row r="662" spans="1:41" ht="63" customHeight="1" x14ac:dyDescent="0.2">
      <c r="A662" s="7">
        <v>8256</v>
      </c>
      <c r="B662" s="7" t="s">
        <v>2877</v>
      </c>
      <c r="C662" s="7" t="s">
        <v>2878</v>
      </c>
      <c r="D662" s="7" t="s">
        <v>35</v>
      </c>
      <c r="F662" s="7" t="s">
        <v>399</v>
      </c>
      <c r="G662" s="7" t="s">
        <v>175</v>
      </c>
      <c r="H662" s="7" t="s">
        <v>1949</v>
      </c>
      <c r="I662" s="7" t="s">
        <v>13</v>
      </c>
      <c r="J662" s="7" t="s">
        <v>2879</v>
      </c>
      <c r="K662" s="7" t="s">
        <v>2880</v>
      </c>
      <c r="L662" s="7" t="s">
        <v>5950</v>
      </c>
      <c r="M662" s="7">
        <v>0</v>
      </c>
      <c r="N662" s="7" t="s">
        <v>5044</v>
      </c>
      <c r="O662" s="7" t="s">
        <v>5044</v>
      </c>
      <c r="P662" s="7">
        <v>0</v>
      </c>
      <c r="Q662" s="7">
        <v>0</v>
      </c>
      <c r="R662" s="7">
        <v>0</v>
      </c>
      <c r="S662" s="7">
        <v>1</v>
      </c>
      <c r="T662" s="7">
        <v>1</v>
      </c>
      <c r="U662" s="7">
        <v>152</v>
      </c>
      <c r="V662" s="7">
        <v>1</v>
      </c>
      <c r="W662" s="7">
        <v>0</v>
      </c>
      <c r="X662" s="7">
        <v>0</v>
      </c>
      <c r="Y662" s="7">
        <v>0</v>
      </c>
      <c r="Z662" s="7">
        <v>0</v>
      </c>
      <c r="AA662" s="7">
        <v>0</v>
      </c>
      <c r="AB662" s="7">
        <v>1</v>
      </c>
      <c r="AC662" s="7">
        <v>1</v>
      </c>
      <c r="AD662" s="7">
        <v>1</v>
      </c>
      <c r="AE662" s="7">
        <v>0</v>
      </c>
      <c r="AF662" s="7">
        <v>0</v>
      </c>
      <c r="AG662" s="7" t="s">
        <v>5044</v>
      </c>
      <c r="AH662" s="7" t="s">
        <v>5044</v>
      </c>
      <c r="AI662" s="7" t="s">
        <v>5044</v>
      </c>
      <c r="AJ662" s="7" t="s">
        <v>5044</v>
      </c>
      <c r="AK662" s="7" t="s">
        <v>5318</v>
      </c>
      <c r="AL662" s="7">
        <v>0</v>
      </c>
      <c r="AM662" s="7">
        <v>0</v>
      </c>
      <c r="AN662" s="7" t="s">
        <v>5318</v>
      </c>
      <c r="AO662" s="9">
        <v>0</v>
      </c>
    </row>
    <row r="663" spans="1:41" ht="63" customHeight="1" x14ac:dyDescent="0.2">
      <c r="A663" s="7">
        <v>8257</v>
      </c>
      <c r="B663" s="7" t="s">
        <v>2881</v>
      </c>
      <c r="C663" s="7" t="s">
        <v>2882</v>
      </c>
      <c r="D663" s="7" t="s">
        <v>149</v>
      </c>
      <c r="F663" s="7" t="s">
        <v>2883</v>
      </c>
      <c r="G663" s="7" t="s">
        <v>18</v>
      </c>
      <c r="H663" s="7" t="s">
        <v>43</v>
      </c>
      <c r="I663" s="7" t="s">
        <v>13</v>
      </c>
      <c r="J663" s="7" t="s">
        <v>2884</v>
      </c>
      <c r="K663" s="7" t="s">
        <v>2885</v>
      </c>
      <c r="L663" s="7" t="s">
        <v>6225</v>
      </c>
      <c r="M663" s="7">
        <v>0</v>
      </c>
      <c r="N663" s="7" t="s">
        <v>5044</v>
      </c>
      <c r="O663" s="7" t="s">
        <v>5044</v>
      </c>
      <c r="P663" s="7">
        <v>0</v>
      </c>
      <c r="Q663" s="7">
        <v>0</v>
      </c>
      <c r="R663" s="7">
        <v>0</v>
      </c>
      <c r="S663" s="7">
        <v>1</v>
      </c>
      <c r="T663" s="7">
        <v>1</v>
      </c>
      <c r="U663" s="7">
        <v>128</v>
      </c>
      <c r="V663" s="7">
        <v>0</v>
      </c>
      <c r="W663" s="7">
        <v>1</v>
      </c>
      <c r="X663" s="7">
        <v>0</v>
      </c>
      <c r="Y663" s="7">
        <v>0</v>
      </c>
      <c r="Z663" s="7">
        <v>0</v>
      </c>
      <c r="AA663" s="7">
        <v>0</v>
      </c>
      <c r="AB663" s="7">
        <v>1</v>
      </c>
      <c r="AC663" s="7">
        <v>1</v>
      </c>
      <c r="AD663" s="7" t="s">
        <v>5044</v>
      </c>
      <c r="AE663" s="7" t="s">
        <v>5044</v>
      </c>
      <c r="AF663" s="7" t="s">
        <v>5044</v>
      </c>
      <c r="AG663" s="7">
        <v>1</v>
      </c>
      <c r="AH663" s="7">
        <v>0</v>
      </c>
      <c r="AI663" s="7">
        <v>0</v>
      </c>
      <c r="AJ663" s="7" t="s">
        <v>5044</v>
      </c>
      <c r="AK663" s="7" t="s">
        <v>5318</v>
      </c>
      <c r="AL663" s="7">
        <v>0</v>
      </c>
      <c r="AM663" s="7">
        <v>0</v>
      </c>
      <c r="AN663" s="7" t="s">
        <v>5318</v>
      </c>
      <c r="AO663" s="9">
        <v>0</v>
      </c>
    </row>
    <row r="664" spans="1:41" ht="63" customHeight="1" x14ac:dyDescent="0.2">
      <c r="A664" s="7">
        <v>8270</v>
      </c>
      <c r="B664" s="7" t="s">
        <v>2890</v>
      </c>
      <c r="C664" s="7" t="s">
        <v>2891</v>
      </c>
      <c r="D664" s="7" t="s">
        <v>16</v>
      </c>
      <c r="F664" s="7" t="s">
        <v>449</v>
      </c>
      <c r="G664" s="7" t="s">
        <v>37</v>
      </c>
      <c r="H664" s="7" t="s">
        <v>71</v>
      </c>
      <c r="I664" s="7" t="s">
        <v>13</v>
      </c>
      <c r="J664" s="7" t="s">
        <v>2892</v>
      </c>
      <c r="K664" s="7" t="s">
        <v>2893</v>
      </c>
      <c r="L664" s="7" t="s">
        <v>6227</v>
      </c>
      <c r="M664" s="7">
        <v>0</v>
      </c>
      <c r="N664" s="7" t="s">
        <v>5044</v>
      </c>
      <c r="O664" s="7" t="s">
        <v>5044</v>
      </c>
      <c r="P664" s="7">
        <v>0</v>
      </c>
      <c r="Q664" s="7">
        <v>0</v>
      </c>
      <c r="R664" s="7">
        <v>0</v>
      </c>
      <c r="S664" s="7">
        <v>1</v>
      </c>
      <c r="T664" s="7">
        <v>4</v>
      </c>
      <c r="U664" s="7">
        <v>344</v>
      </c>
      <c r="V664" s="7">
        <v>0</v>
      </c>
      <c r="W664" s="7">
        <v>1</v>
      </c>
      <c r="X664" s="7">
        <v>0</v>
      </c>
      <c r="Y664" s="7">
        <v>0</v>
      </c>
      <c r="Z664" s="7">
        <v>0</v>
      </c>
      <c r="AA664" s="7">
        <v>0</v>
      </c>
      <c r="AB664" s="7">
        <v>1</v>
      </c>
      <c r="AC664" s="7">
        <v>1</v>
      </c>
      <c r="AD664" s="7" t="s">
        <v>5044</v>
      </c>
      <c r="AE664" s="7" t="s">
        <v>5044</v>
      </c>
      <c r="AF664" s="7" t="s">
        <v>5044</v>
      </c>
      <c r="AG664" s="7">
        <v>2</v>
      </c>
      <c r="AH664" s="7">
        <v>2</v>
      </c>
      <c r="AI664" s="7">
        <v>2</v>
      </c>
      <c r="AJ664" s="7" t="s">
        <v>5044</v>
      </c>
      <c r="AK664" s="7" t="s">
        <v>6228</v>
      </c>
      <c r="AL664" s="7">
        <v>0</v>
      </c>
      <c r="AM664" s="7">
        <v>0</v>
      </c>
      <c r="AN664" s="7" t="s">
        <v>5318</v>
      </c>
      <c r="AO664" s="11">
        <v>2</v>
      </c>
    </row>
    <row r="665" spans="1:41" ht="63" customHeight="1" x14ac:dyDescent="0.2">
      <c r="A665" s="7">
        <v>8301</v>
      </c>
      <c r="B665" s="23" t="s">
        <v>2894</v>
      </c>
      <c r="C665" s="7" t="s">
        <v>2895</v>
      </c>
      <c r="D665" s="7" t="s">
        <v>95</v>
      </c>
      <c r="F665" s="7" t="s">
        <v>47</v>
      </c>
      <c r="G665" s="7" t="s">
        <v>175</v>
      </c>
      <c r="H665" s="7" t="s">
        <v>2896</v>
      </c>
      <c r="I665" s="7" t="s">
        <v>13</v>
      </c>
      <c r="J665" s="7" t="s">
        <v>2897</v>
      </c>
      <c r="K665" s="7" t="s">
        <v>2898</v>
      </c>
      <c r="L665" s="7" t="s">
        <v>6229</v>
      </c>
      <c r="M665" s="7">
        <v>0</v>
      </c>
      <c r="N665" s="7" t="s">
        <v>5044</v>
      </c>
      <c r="O665" s="7" t="s">
        <v>5044</v>
      </c>
      <c r="P665" s="7">
        <v>0</v>
      </c>
      <c r="Q665" s="7">
        <v>0</v>
      </c>
      <c r="R665" s="7">
        <v>0</v>
      </c>
      <c r="S665" s="7">
        <v>7</v>
      </c>
      <c r="T665" s="7">
        <v>4</v>
      </c>
      <c r="U665" s="7">
        <v>90</v>
      </c>
      <c r="V665" s="7">
        <v>1</v>
      </c>
      <c r="W665" s="7">
        <v>0</v>
      </c>
      <c r="X665" s="7">
        <v>0</v>
      </c>
      <c r="Y665" s="7">
        <v>0</v>
      </c>
      <c r="Z665" s="7">
        <v>0</v>
      </c>
      <c r="AA665" s="7">
        <v>0</v>
      </c>
      <c r="AB665" s="7">
        <v>1</v>
      </c>
      <c r="AC665" s="7">
        <v>1</v>
      </c>
      <c r="AD665" s="7">
        <v>2</v>
      </c>
      <c r="AE665" s="7">
        <v>3</v>
      </c>
      <c r="AF665" s="7">
        <v>0</v>
      </c>
      <c r="AG665" s="23" t="s">
        <v>5044</v>
      </c>
      <c r="AH665" s="23" t="s">
        <v>5044</v>
      </c>
      <c r="AI665" s="23" t="s">
        <v>5044</v>
      </c>
      <c r="AJ665" s="7" t="s">
        <v>5044</v>
      </c>
      <c r="AL665" s="7">
        <v>0</v>
      </c>
      <c r="AM665" s="7">
        <v>0</v>
      </c>
      <c r="AN665" s="7" t="s">
        <v>5318</v>
      </c>
      <c r="AO665" s="11">
        <v>3</v>
      </c>
    </row>
    <row r="666" spans="1:41" ht="63" customHeight="1" x14ac:dyDescent="0.2">
      <c r="A666" s="7">
        <v>8320</v>
      </c>
      <c r="B666" s="7" t="s">
        <v>2899</v>
      </c>
      <c r="C666" s="7" t="s">
        <v>2900</v>
      </c>
      <c r="D666" s="7" t="s">
        <v>56</v>
      </c>
      <c r="F666" s="7" t="s">
        <v>197</v>
      </c>
      <c r="G666" s="7" t="s">
        <v>17</v>
      </c>
      <c r="H666" s="7" t="s">
        <v>329</v>
      </c>
      <c r="I666" s="7" t="s">
        <v>13</v>
      </c>
      <c r="J666" s="7" t="s">
        <v>2901</v>
      </c>
      <c r="K666" s="7" t="s">
        <v>2902</v>
      </c>
      <c r="L666" s="7" t="s">
        <v>5232</v>
      </c>
      <c r="M666" s="7">
        <v>0</v>
      </c>
      <c r="N666" s="7" t="s">
        <v>5044</v>
      </c>
      <c r="O666" s="7" t="s">
        <v>5044</v>
      </c>
      <c r="P666" s="7">
        <v>0</v>
      </c>
      <c r="Q666" s="7">
        <v>0</v>
      </c>
      <c r="R666" s="7">
        <v>0</v>
      </c>
      <c r="S666" s="7">
        <v>1</v>
      </c>
      <c r="T666" s="7">
        <v>4</v>
      </c>
      <c r="U666" s="7">
        <v>1056</v>
      </c>
      <c r="V666" s="7">
        <v>0</v>
      </c>
      <c r="W666" s="7">
        <v>1</v>
      </c>
      <c r="X666" s="7">
        <v>0</v>
      </c>
      <c r="Y666" s="7">
        <v>0</v>
      </c>
      <c r="Z666" s="7">
        <v>0</v>
      </c>
      <c r="AA666" s="7">
        <v>0</v>
      </c>
      <c r="AB666" s="7">
        <v>1</v>
      </c>
      <c r="AC666" s="7">
        <v>1</v>
      </c>
      <c r="AD666" s="7" t="s">
        <v>5044</v>
      </c>
      <c r="AE666" s="7" t="s">
        <v>5044</v>
      </c>
      <c r="AF666" s="7" t="s">
        <v>5044</v>
      </c>
      <c r="AG666" s="7">
        <v>1</v>
      </c>
      <c r="AH666" s="7">
        <v>0</v>
      </c>
      <c r="AI666" s="7">
        <v>0</v>
      </c>
      <c r="AJ666" s="7" t="s">
        <v>5044</v>
      </c>
      <c r="AK666" s="7" t="s">
        <v>5318</v>
      </c>
      <c r="AL666" s="7" t="s">
        <v>5044</v>
      </c>
      <c r="AM666" s="7">
        <v>0</v>
      </c>
      <c r="AN666" s="7" t="s">
        <v>6230</v>
      </c>
      <c r="AO666" s="9">
        <v>0</v>
      </c>
    </row>
    <row r="667" spans="1:41" ht="63" customHeight="1" x14ac:dyDescent="0.2">
      <c r="A667" s="7">
        <v>8329</v>
      </c>
      <c r="B667" s="7" t="s">
        <v>2903</v>
      </c>
      <c r="C667" s="7" t="s">
        <v>2904</v>
      </c>
      <c r="D667" s="7" t="s">
        <v>74</v>
      </c>
      <c r="F667" s="7" t="s">
        <v>129</v>
      </c>
      <c r="H667" s="7" t="s">
        <v>130</v>
      </c>
      <c r="I667" s="7" t="s">
        <v>13</v>
      </c>
      <c r="J667" s="7" t="s">
        <v>2905</v>
      </c>
      <c r="K667" s="7" t="s">
        <v>2906</v>
      </c>
      <c r="L667" s="7" t="s">
        <v>6231</v>
      </c>
      <c r="M667" s="7">
        <v>0</v>
      </c>
      <c r="N667" s="7" t="s">
        <v>5044</v>
      </c>
      <c r="O667" s="7" t="s">
        <v>5044</v>
      </c>
      <c r="P667" s="7">
        <v>0</v>
      </c>
      <c r="Q667" s="7">
        <v>0</v>
      </c>
      <c r="R667" s="7">
        <v>1</v>
      </c>
      <c r="S667" s="7">
        <v>9</v>
      </c>
      <c r="T667" s="7">
        <v>4</v>
      </c>
      <c r="U667" s="7">
        <v>60</v>
      </c>
      <c r="V667" s="7">
        <v>0</v>
      </c>
      <c r="W667" s="7">
        <v>1</v>
      </c>
      <c r="X667" s="7">
        <v>0</v>
      </c>
      <c r="Y667" s="7">
        <v>0</v>
      </c>
      <c r="Z667" s="7">
        <v>0</v>
      </c>
      <c r="AA667" s="7">
        <v>0</v>
      </c>
      <c r="AB667" s="7">
        <v>1</v>
      </c>
      <c r="AC667" s="7">
        <v>1</v>
      </c>
      <c r="AD667" s="7" t="s">
        <v>5044</v>
      </c>
      <c r="AE667" s="7" t="s">
        <v>5044</v>
      </c>
      <c r="AF667" s="7" t="s">
        <v>5044</v>
      </c>
      <c r="AG667" s="7">
        <v>2</v>
      </c>
      <c r="AH667" s="7">
        <v>3</v>
      </c>
      <c r="AI667" s="7">
        <v>0</v>
      </c>
      <c r="AJ667" s="7" t="s">
        <v>5044</v>
      </c>
      <c r="AK667" s="7">
        <v>1</v>
      </c>
      <c r="AL667" s="7">
        <v>0</v>
      </c>
      <c r="AM667" s="7">
        <v>0</v>
      </c>
      <c r="AO667" s="11">
        <v>3</v>
      </c>
    </row>
    <row r="668" spans="1:41" ht="63" customHeight="1" x14ac:dyDescent="0.2">
      <c r="A668" s="7">
        <v>8343</v>
      </c>
      <c r="B668" s="7" t="s">
        <v>2907</v>
      </c>
      <c r="C668" s="7" t="s">
        <v>2908</v>
      </c>
      <c r="D668" s="7" t="s">
        <v>95</v>
      </c>
      <c r="F668" s="7" t="s">
        <v>260</v>
      </c>
      <c r="G668" s="7" t="s">
        <v>37</v>
      </c>
      <c r="H668" s="7" t="s">
        <v>38</v>
      </c>
      <c r="I668" s="7" t="s">
        <v>13</v>
      </c>
      <c r="J668" s="7" t="s">
        <v>2909</v>
      </c>
      <c r="K668" s="7" t="s">
        <v>2910</v>
      </c>
      <c r="L668" s="7" t="s">
        <v>6232</v>
      </c>
      <c r="M668" s="7">
        <v>0</v>
      </c>
      <c r="N668" s="7" t="s">
        <v>5044</v>
      </c>
      <c r="O668" s="7" t="s">
        <v>5044</v>
      </c>
      <c r="P668" s="7">
        <v>0</v>
      </c>
      <c r="Q668" s="7">
        <v>0</v>
      </c>
      <c r="R668" s="7">
        <v>0</v>
      </c>
      <c r="S668" s="7">
        <v>1</v>
      </c>
      <c r="T668" s="7">
        <v>1</v>
      </c>
      <c r="U668" s="7">
        <v>370</v>
      </c>
      <c r="V668" s="7">
        <v>0</v>
      </c>
      <c r="W668" s="7">
        <v>1</v>
      </c>
      <c r="X668" s="7">
        <v>0</v>
      </c>
      <c r="Y668" s="7">
        <v>0</v>
      </c>
      <c r="Z668" s="7">
        <v>0</v>
      </c>
      <c r="AA668" s="7">
        <v>0</v>
      </c>
      <c r="AB668" s="7">
        <v>1</v>
      </c>
      <c r="AC668" s="7">
        <v>1</v>
      </c>
      <c r="AD668" s="7" t="s">
        <v>5044</v>
      </c>
      <c r="AE668" s="7" t="s">
        <v>5044</v>
      </c>
      <c r="AF668" s="7" t="s">
        <v>5044</v>
      </c>
      <c r="AG668" s="7">
        <v>2</v>
      </c>
      <c r="AH668" s="7">
        <v>3</v>
      </c>
      <c r="AI668" s="7">
        <v>0</v>
      </c>
      <c r="AJ668" s="7" t="s">
        <v>5044</v>
      </c>
      <c r="AK668" s="7" t="s">
        <v>6233</v>
      </c>
      <c r="AL668" s="7">
        <v>1</v>
      </c>
      <c r="AM668" s="7">
        <v>0</v>
      </c>
      <c r="AN668" s="7" t="s">
        <v>5318</v>
      </c>
      <c r="AO668" s="11">
        <v>3</v>
      </c>
    </row>
    <row r="669" spans="1:41" ht="63" customHeight="1" x14ac:dyDescent="0.2">
      <c r="A669" s="7">
        <v>8345</v>
      </c>
      <c r="B669" s="7" t="s">
        <v>2911</v>
      </c>
      <c r="C669" s="7" t="s">
        <v>2912</v>
      </c>
      <c r="D669" s="7" t="s">
        <v>16</v>
      </c>
      <c r="F669" s="7" t="s">
        <v>114</v>
      </c>
      <c r="G669" s="7" t="s">
        <v>144</v>
      </c>
      <c r="H669" s="7" t="s">
        <v>326</v>
      </c>
      <c r="I669" s="7" t="s">
        <v>13</v>
      </c>
      <c r="J669" s="7" t="s">
        <v>2913</v>
      </c>
      <c r="K669" s="7" t="s">
        <v>2914</v>
      </c>
      <c r="L669" s="11" t="s">
        <v>5044</v>
      </c>
      <c r="M669" s="7">
        <v>0</v>
      </c>
      <c r="N669" s="7" t="s">
        <v>5044</v>
      </c>
      <c r="O669" s="7" t="s">
        <v>5044</v>
      </c>
      <c r="P669" s="7">
        <v>0</v>
      </c>
      <c r="Q669" s="7">
        <v>0</v>
      </c>
      <c r="R669" s="7">
        <v>0</v>
      </c>
      <c r="S669" s="7">
        <v>1</v>
      </c>
      <c r="T669" s="7">
        <v>1</v>
      </c>
      <c r="U669" s="7">
        <v>42</v>
      </c>
      <c r="V669" s="7">
        <v>0</v>
      </c>
      <c r="W669" s="7">
        <v>1</v>
      </c>
      <c r="X669" s="7">
        <v>0</v>
      </c>
      <c r="Y669" s="7">
        <v>0</v>
      </c>
      <c r="Z669" s="7">
        <v>0</v>
      </c>
      <c r="AA669" s="7">
        <v>0</v>
      </c>
      <c r="AB669" s="7">
        <v>1</v>
      </c>
      <c r="AC669" s="7">
        <v>1</v>
      </c>
      <c r="AD669" s="7" t="s">
        <v>5044</v>
      </c>
      <c r="AE669" s="7" t="s">
        <v>5044</v>
      </c>
      <c r="AF669" s="7" t="s">
        <v>5044</v>
      </c>
      <c r="AG669" s="7">
        <v>2</v>
      </c>
      <c r="AH669" s="7">
        <v>1</v>
      </c>
      <c r="AI669" s="7">
        <v>3</v>
      </c>
      <c r="AJ669" s="7" t="s">
        <v>5044</v>
      </c>
      <c r="AK669" s="7" t="s">
        <v>6234</v>
      </c>
      <c r="AL669" s="7">
        <v>1</v>
      </c>
      <c r="AM669" s="7">
        <v>0</v>
      </c>
      <c r="AN669" s="7" t="s">
        <v>5073</v>
      </c>
      <c r="AO669" s="11">
        <v>1</v>
      </c>
    </row>
    <row r="670" spans="1:41" ht="63" customHeight="1" x14ac:dyDescent="0.2">
      <c r="A670" s="7">
        <v>8366</v>
      </c>
      <c r="B670" s="7" t="s">
        <v>2926</v>
      </c>
      <c r="C670" s="7" t="s">
        <v>2927</v>
      </c>
      <c r="D670" s="7" t="s">
        <v>101</v>
      </c>
      <c r="F670" s="7" t="s">
        <v>384</v>
      </c>
      <c r="G670" s="7" t="s">
        <v>175</v>
      </c>
      <c r="H670" s="7" t="s">
        <v>115</v>
      </c>
      <c r="I670" s="7" t="s">
        <v>13</v>
      </c>
      <c r="J670" s="7" t="s">
        <v>2928</v>
      </c>
      <c r="K670" s="7" t="s">
        <v>2929</v>
      </c>
      <c r="L670" s="7" t="s">
        <v>6238</v>
      </c>
      <c r="M670" s="7">
        <v>0</v>
      </c>
      <c r="N670" s="7" t="s">
        <v>5044</v>
      </c>
      <c r="O670" s="7" t="s">
        <v>5044</v>
      </c>
      <c r="P670" s="7">
        <v>0</v>
      </c>
      <c r="Q670" s="7">
        <v>0</v>
      </c>
      <c r="R670" s="7">
        <v>0</v>
      </c>
      <c r="S670" s="7">
        <v>1</v>
      </c>
      <c r="T670" s="7">
        <v>1</v>
      </c>
      <c r="U670" s="7">
        <v>64</v>
      </c>
      <c r="V670" s="7">
        <v>0</v>
      </c>
      <c r="W670" s="7">
        <v>1</v>
      </c>
      <c r="X670" s="7">
        <v>0</v>
      </c>
      <c r="Y670" s="7">
        <v>0</v>
      </c>
      <c r="Z670" s="7">
        <v>0</v>
      </c>
      <c r="AA670" s="7">
        <v>0</v>
      </c>
      <c r="AB670" s="7">
        <v>1</v>
      </c>
      <c r="AC670" s="7">
        <v>1</v>
      </c>
      <c r="AD670" s="7" t="s">
        <v>5044</v>
      </c>
      <c r="AE670" s="7" t="s">
        <v>5044</v>
      </c>
      <c r="AF670" s="7" t="s">
        <v>5044</v>
      </c>
      <c r="AG670" s="7">
        <v>1</v>
      </c>
      <c r="AH670" s="7">
        <v>0</v>
      </c>
      <c r="AI670" s="7">
        <v>0</v>
      </c>
      <c r="AJ670" s="7" t="s">
        <v>5044</v>
      </c>
      <c r="AK670" s="7" t="s">
        <v>5318</v>
      </c>
      <c r="AL670" s="7">
        <v>0</v>
      </c>
      <c r="AM670" s="7">
        <v>0</v>
      </c>
      <c r="AN670" s="7" t="s">
        <v>5318</v>
      </c>
      <c r="AO670" s="9">
        <v>0</v>
      </c>
    </row>
    <row r="671" spans="1:41" ht="63" customHeight="1" x14ac:dyDescent="0.2">
      <c r="A671" s="7">
        <v>8371</v>
      </c>
      <c r="B671" s="7" t="s">
        <v>2930</v>
      </c>
      <c r="C671" s="7" t="s">
        <v>2931</v>
      </c>
      <c r="D671" s="7" t="s">
        <v>16</v>
      </c>
      <c r="F671" s="7" t="s">
        <v>532</v>
      </c>
      <c r="G671" s="7" t="s">
        <v>52</v>
      </c>
      <c r="H671" s="7" t="s">
        <v>43</v>
      </c>
      <c r="I671" s="7" t="s">
        <v>13</v>
      </c>
      <c r="J671" s="7" t="s">
        <v>2932</v>
      </c>
      <c r="K671" s="7" t="s">
        <v>2933</v>
      </c>
      <c r="L671" s="7" t="s">
        <v>6239</v>
      </c>
      <c r="M671" s="7">
        <v>0</v>
      </c>
      <c r="N671" s="7" t="s">
        <v>5044</v>
      </c>
      <c r="O671" s="7" t="s">
        <v>5044</v>
      </c>
      <c r="P671" s="7">
        <v>0</v>
      </c>
      <c r="Q671" s="7">
        <v>0</v>
      </c>
      <c r="R671" s="7">
        <v>0</v>
      </c>
      <c r="S671" s="7">
        <v>1</v>
      </c>
      <c r="T671" s="7">
        <v>4</v>
      </c>
      <c r="U671" s="7">
        <v>100</v>
      </c>
      <c r="V671" s="7">
        <v>0</v>
      </c>
      <c r="W671" s="7">
        <v>1</v>
      </c>
      <c r="X671" s="7">
        <v>0</v>
      </c>
      <c r="Y671" s="7">
        <v>0</v>
      </c>
      <c r="Z671" s="7">
        <v>0</v>
      </c>
      <c r="AA671" s="7">
        <v>0</v>
      </c>
      <c r="AB671" s="7">
        <v>1</v>
      </c>
      <c r="AC671" s="7">
        <v>0</v>
      </c>
      <c r="AD671" s="7" t="s">
        <v>5044</v>
      </c>
      <c r="AE671" s="7" t="s">
        <v>5044</v>
      </c>
      <c r="AF671" s="7" t="s">
        <v>5044</v>
      </c>
      <c r="AG671" s="7">
        <v>0</v>
      </c>
      <c r="AH671" s="7" t="s">
        <v>5044</v>
      </c>
      <c r="AI671" s="7" t="s">
        <v>5044</v>
      </c>
      <c r="AJ671" s="7" t="s">
        <v>5044</v>
      </c>
      <c r="AK671" s="7" t="s">
        <v>5318</v>
      </c>
      <c r="AL671" s="7">
        <v>0</v>
      </c>
      <c r="AM671" s="7">
        <v>0</v>
      </c>
      <c r="AO671" s="11">
        <v>9</v>
      </c>
    </row>
    <row r="672" spans="1:41" ht="63" customHeight="1" x14ac:dyDescent="0.2">
      <c r="A672" s="7">
        <v>8417</v>
      </c>
      <c r="B672" s="7" t="s">
        <v>2938</v>
      </c>
      <c r="C672" s="7" t="s">
        <v>2939</v>
      </c>
      <c r="D672" s="7" t="s">
        <v>149</v>
      </c>
      <c r="F672" s="7" t="s">
        <v>1423</v>
      </c>
      <c r="G672" s="7" t="s">
        <v>32</v>
      </c>
      <c r="H672" s="7" t="s">
        <v>740</v>
      </c>
      <c r="I672" s="7" t="s">
        <v>13</v>
      </c>
      <c r="J672" s="7" t="s">
        <v>2940</v>
      </c>
      <c r="K672" s="7" t="s">
        <v>2941</v>
      </c>
      <c r="L672" s="7" t="s">
        <v>6292</v>
      </c>
      <c r="M672" s="7">
        <v>0</v>
      </c>
      <c r="N672" s="9" t="s">
        <v>5044</v>
      </c>
      <c r="O672" s="9" t="s">
        <v>5044</v>
      </c>
      <c r="P672" s="7">
        <v>0</v>
      </c>
      <c r="Q672" s="7">
        <v>0</v>
      </c>
      <c r="R672" s="7">
        <v>0</v>
      </c>
      <c r="S672" s="7">
        <v>1</v>
      </c>
      <c r="T672" s="7">
        <v>4</v>
      </c>
      <c r="U672" s="7">
        <v>150</v>
      </c>
      <c r="V672" s="7">
        <v>0</v>
      </c>
      <c r="W672" s="7">
        <v>1</v>
      </c>
      <c r="X672" s="7">
        <v>0</v>
      </c>
      <c r="Y672" s="7">
        <v>0</v>
      </c>
      <c r="Z672" s="7">
        <v>0</v>
      </c>
      <c r="AA672" s="7">
        <v>0</v>
      </c>
      <c r="AB672" s="7">
        <v>1</v>
      </c>
      <c r="AC672" s="7">
        <v>0</v>
      </c>
      <c r="AD672" s="7" t="s">
        <v>5044</v>
      </c>
      <c r="AE672" s="7" t="s">
        <v>5044</v>
      </c>
      <c r="AF672" s="7" t="s">
        <v>5044</v>
      </c>
      <c r="AG672" s="7">
        <v>0</v>
      </c>
      <c r="AH672" s="7" t="s">
        <v>5044</v>
      </c>
      <c r="AI672" s="7" t="s">
        <v>5044</v>
      </c>
      <c r="AJ672" s="7" t="s">
        <v>5044</v>
      </c>
      <c r="AK672" s="7" t="s">
        <v>5318</v>
      </c>
      <c r="AL672" s="7">
        <v>0</v>
      </c>
      <c r="AM672" s="7">
        <v>0</v>
      </c>
      <c r="AO672" s="11">
        <v>9</v>
      </c>
    </row>
    <row r="673" spans="1:41" ht="63" customHeight="1" x14ac:dyDescent="0.2">
      <c r="A673" s="7">
        <v>8423</v>
      </c>
      <c r="B673" s="7" t="s">
        <v>2942</v>
      </c>
      <c r="C673" s="7" t="s">
        <v>2943</v>
      </c>
      <c r="D673" s="7" t="s">
        <v>46</v>
      </c>
      <c r="F673" s="7" t="s">
        <v>92</v>
      </c>
      <c r="G673" s="7" t="s">
        <v>144</v>
      </c>
      <c r="H673" s="7" t="s">
        <v>2896</v>
      </c>
      <c r="I673" s="7" t="s">
        <v>13</v>
      </c>
      <c r="J673" s="7" t="s">
        <v>2944</v>
      </c>
      <c r="K673" s="7" t="s">
        <v>2945</v>
      </c>
      <c r="L673" s="11" t="s">
        <v>5044</v>
      </c>
      <c r="M673" s="7">
        <v>0</v>
      </c>
      <c r="N673" s="7" t="s">
        <v>5044</v>
      </c>
      <c r="O673" s="7" t="s">
        <v>5044</v>
      </c>
      <c r="P673" s="7">
        <v>0</v>
      </c>
      <c r="Q673" s="7">
        <v>0</v>
      </c>
      <c r="R673" s="7">
        <v>0</v>
      </c>
      <c r="S673" s="7">
        <v>1</v>
      </c>
      <c r="T673" s="7">
        <v>4</v>
      </c>
      <c r="U673" s="7">
        <v>100</v>
      </c>
      <c r="V673" s="7">
        <v>0</v>
      </c>
      <c r="W673" s="7">
        <v>1</v>
      </c>
      <c r="X673" s="7">
        <v>0</v>
      </c>
      <c r="Y673" s="7">
        <v>0</v>
      </c>
      <c r="Z673" s="7">
        <v>0</v>
      </c>
      <c r="AA673" s="7">
        <v>0</v>
      </c>
      <c r="AB673" s="7">
        <v>1</v>
      </c>
      <c r="AC673" s="7">
        <v>0</v>
      </c>
      <c r="AD673" s="7" t="s">
        <v>5044</v>
      </c>
      <c r="AE673" s="7" t="s">
        <v>5044</v>
      </c>
      <c r="AF673" s="7" t="s">
        <v>5044</v>
      </c>
      <c r="AG673" s="7">
        <v>0</v>
      </c>
      <c r="AH673" s="7" t="s">
        <v>5044</v>
      </c>
      <c r="AI673" s="7" t="s">
        <v>5044</v>
      </c>
      <c r="AJ673" s="7" t="s">
        <v>5044</v>
      </c>
      <c r="AK673" s="7" t="s">
        <v>5318</v>
      </c>
      <c r="AL673" s="7">
        <v>1</v>
      </c>
      <c r="AM673" s="7">
        <v>0</v>
      </c>
      <c r="AN673" s="7" t="s">
        <v>5318</v>
      </c>
      <c r="AO673" s="11">
        <v>9</v>
      </c>
    </row>
    <row r="674" spans="1:41" ht="63" customHeight="1" x14ac:dyDescent="0.2">
      <c r="A674" s="7">
        <v>8437</v>
      </c>
      <c r="B674" s="7" t="s">
        <v>2946</v>
      </c>
      <c r="C674" s="7" t="s">
        <v>2947</v>
      </c>
      <c r="D674" s="7" t="s">
        <v>101</v>
      </c>
      <c r="F674" s="7" t="s">
        <v>1082</v>
      </c>
      <c r="G674" s="7" t="s">
        <v>11</v>
      </c>
      <c r="H674" s="7" t="s">
        <v>2948</v>
      </c>
      <c r="I674" s="7" t="s">
        <v>13</v>
      </c>
      <c r="J674" s="7" t="s">
        <v>2949</v>
      </c>
      <c r="K674" s="7" t="s">
        <v>2950</v>
      </c>
      <c r="L674" s="7" t="s">
        <v>6242</v>
      </c>
      <c r="M674" s="7">
        <v>0</v>
      </c>
      <c r="N674" s="7" t="s">
        <v>5044</v>
      </c>
      <c r="O674" s="7" t="s">
        <v>5044</v>
      </c>
      <c r="P674" s="7">
        <v>0</v>
      </c>
      <c r="Q674" s="7">
        <v>0</v>
      </c>
      <c r="R674" s="7">
        <v>0</v>
      </c>
      <c r="S674" s="7">
        <v>1</v>
      </c>
      <c r="T674" s="7">
        <v>4</v>
      </c>
      <c r="U674" s="7">
        <v>50</v>
      </c>
      <c r="V674" s="7">
        <v>0</v>
      </c>
      <c r="W674" s="7">
        <v>1</v>
      </c>
      <c r="X674" s="7">
        <v>0</v>
      </c>
      <c r="Y674" s="7">
        <v>0</v>
      </c>
      <c r="Z674" s="7">
        <v>0</v>
      </c>
      <c r="AA674" s="7">
        <v>0</v>
      </c>
      <c r="AB674" s="7">
        <v>1</v>
      </c>
      <c r="AC674" s="7">
        <v>0</v>
      </c>
      <c r="AD674" s="7" t="s">
        <v>5044</v>
      </c>
      <c r="AE674" s="7" t="s">
        <v>5044</v>
      </c>
      <c r="AF674" s="7" t="s">
        <v>5044</v>
      </c>
      <c r="AG674" s="7">
        <v>0</v>
      </c>
      <c r="AH674" s="7" t="s">
        <v>5044</v>
      </c>
      <c r="AI674" s="7" t="s">
        <v>5044</v>
      </c>
      <c r="AJ674" s="7" t="s">
        <v>5044</v>
      </c>
      <c r="AK674" s="7" t="s">
        <v>5318</v>
      </c>
      <c r="AL674" s="7">
        <v>0</v>
      </c>
      <c r="AM674" s="7">
        <v>0</v>
      </c>
      <c r="AO674" s="11">
        <v>9</v>
      </c>
    </row>
    <row r="675" spans="1:41" ht="63" customHeight="1" x14ac:dyDescent="0.2">
      <c r="A675" s="7">
        <v>8444</v>
      </c>
      <c r="B675" s="7" t="s">
        <v>2951</v>
      </c>
      <c r="C675" s="7" t="s">
        <v>2952</v>
      </c>
      <c r="D675" s="7" t="s">
        <v>16</v>
      </c>
      <c r="F675" s="7" t="s">
        <v>372</v>
      </c>
      <c r="G675" s="7" t="s">
        <v>32</v>
      </c>
      <c r="H675" s="7" t="s">
        <v>28</v>
      </c>
      <c r="I675" s="7" t="s">
        <v>13</v>
      </c>
      <c r="J675" s="7" t="s">
        <v>2953</v>
      </c>
      <c r="K675" s="7" t="s">
        <v>2954</v>
      </c>
      <c r="L675" s="7" t="s">
        <v>6243</v>
      </c>
      <c r="M675" s="7">
        <v>0</v>
      </c>
      <c r="N675" s="7" t="s">
        <v>5044</v>
      </c>
      <c r="O675" s="7" t="s">
        <v>5044</v>
      </c>
      <c r="P675" s="7">
        <v>0</v>
      </c>
      <c r="Q675" s="7">
        <v>0</v>
      </c>
      <c r="R675" s="7">
        <v>0</v>
      </c>
      <c r="S675" s="7" t="s">
        <v>5207</v>
      </c>
      <c r="T675" s="7">
        <v>5</v>
      </c>
      <c r="U675" s="7">
        <v>87</v>
      </c>
      <c r="V675" s="7">
        <v>0</v>
      </c>
      <c r="W675" s="7">
        <v>1</v>
      </c>
      <c r="X675" s="7">
        <v>0</v>
      </c>
      <c r="Y675" s="7">
        <v>0</v>
      </c>
      <c r="Z675" s="7">
        <v>0</v>
      </c>
      <c r="AA675" s="7">
        <v>0</v>
      </c>
      <c r="AB675" s="7">
        <v>1</v>
      </c>
      <c r="AC675" s="7">
        <v>0</v>
      </c>
      <c r="AD675" s="7" t="s">
        <v>5044</v>
      </c>
      <c r="AE675" s="7" t="s">
        <v>5044</v>
      </c>
      <c r="AF675" s="7" t="s">
        <v>5044</v>
      </c>
      <c r="AG675" s="7">
        <v>0</v>
      </c>
      <c r="AH675" s="7" t="s">
        <v>5044</v>
      </c>
      <c r="AI675" s="7" t="s">
        <v>5044</v>
      </c>
      <c r="AJ675" s="7" t="s">
        <v>5044</v>
      </c>
      <c r="AK675" s="7" t="s">
        <v>5318</v>
      </c>
      <c r="AL675" s="7">
        <v>0</v>
      </c>
      <c r="AM675" s="7">
        <v>0</v>
      </c>
      <c r="AN675" s="7" t="s">
        <v>5318</v>
      </c>
      <c r="AO675" s="11">
        <v>9</v>
      </c>
    </row>
    <row r="676" spans="1:41" ht="63" customHeight="1" x14ac:dyDescent="0.2">
      <c r="A676" s="7">
        <v>8501</v>
      </c>
      <c r="B676" s="7" t="s">
        <v>2959</v>
      </c>
      <c r="C676" s="7" t="s">
        <v>2960</v>
      </c>
      <c r="D676" s="7" t="s">
        <v>95</v>
      </c>
      <c r="F676" s="7" t="s">
        <v>1298</v>
      </c>
      <c r="G676" s="7" t="s">
        <v>11</v>
      </c>
      <c r="H676" s="7" t="s">
        <v>2453</v>
      </c>
      <c r="I676" s="7" t="s">
        <v>13</v>
      </c>
      <c r="J676" s="7" t="s">
        <v>2961</v>
      </c>
      <c r="K676" s="7" t="s">
        <v>2962</v>
      </c>
      <c r="L676" s="7" t="s">
        <v>6245</v>
      </c>
      <c r="M676" s="7">
        <v>0</v>
      </c>
      <c r="N676" s="7" t="s">
        <v>5044</v>
      </c>
      <c r="O676" s="7" t="s">
        <v>5044</v>
      </c>
      <c r="P676" s="7">
        <v>0</v>
      </c>
      <c r="Q676" s="7">
        <v>0</v>
      </c>
      <c r="R676" s="7">
        <v>0</v>
      </c>
      <c r="S676" s="7">
        <v>1</v>
      </c>
      <c r="T676" s="7">
        <v>5</v>
      </c>
      <c r="U676" s="7">
        <v>32</v>
      </c>
      <c r="V676" s="7">
        <v>0</v>
      </c>
      <c r="W676" s="7">
        <v>1</v>
      </c>
      <c r="X676" s="7">
        <v>0</v>
      </c>
      <c r="Y676" s="7">
        <v>0</v>
      </c>
      <c r="Z676" s="7">
        <v>0</v>
      </c>
      <c r="AA676" s="7">
        <v>0</v>
      </c>
      <c r="AB676" s="7">
        <v>1</v>
      </c>
      <c r="AC676" s="7">
        <v>1</v>
      </c>
      <c r="AD676" s="7" t="s">
        <v>5044</v>
      </c>
      <c r="AE676" s="7" t="s">
        <v>5044</v>
      </c>
      <c r="AF676" s="7" t="s">
        <v>5044</v>
      </c>
      <c r="AG676" s="7">
        <v>2</v>
      </c>
      <c r="AH676" s="7">
        <v>3</v>
      </c>
      <c r="AI676" s="7">
        <v>0</v>
      </c>
      <c r="AJ676" s="7" t="s">
        <v>5044</v>
      </c>
      <c r="AK676" s="7" t="s">
        <v>6246</v>
      </c>
      <c r="AL676" s="7">
        <v>1</v>
      </c>
      <c r="AM676" s="7">
        <v>0</v>
      </c>
      <c r="AN676" s="7" t="s">
        <v>5318</v>
      </c>
      <c r="AO676" s="11">
        <v>3</v>
      </c>
    </row>
    <row r="677" spans="1:41" ht="63" customHeight="1" x14ac:dyDescent="0.2">
      <c r="A677" s="7">
        <v>8504</v>
      </c>
      <c r="B677" s="23" t="s">
        <v>2963</v>
      </c>
      <c r="C677" s="7" t="s">
        <v>2964</v>
      </c>
      <c r="D677" s="7" t="s">
        <v>16</v>
      </c>
      <c r="F677" s="7" t="s">
        <v>470</v>
      </c>
      <c r="G677" s="7" t="s">
        <v>92</v>
      </c>
      <c r="H677" s="7" t="s">
        <v>38</v>
      </c>
      <c r="I677" s="7" t="s">
        <v>13</v>
      </c>
      <c r="J677" s="7" t="s">
        <v>2965</v>
      </c>
      <c r="K677" s="7" t="s">
        <v>2966</v>
      </c>
      <c r="L677" s="7" t="s">
        <v>6247</v>
      </c>
      <c r="M677" s="7">
        <v>0</v>
      </c>
      <c r="N677" s="7" t="s">
        <v>5044</v>
      </c>
      <c r="O677" s="7" t="s">
        <v>5044</v>
      </c>
      <c r="P677" s="7">
        <v>0</v>
      </c>
      <c r="Q677" s="7">
        <v>0</v>
      </c>
      <c r="R677" s="7">
        <v>0</v>
      </c>
      <c r="S677" s="7">
        <v>1</v>
      </c>
      <c r="T677" s="7">
        <v>1</v>
      </c>
      <c r="U677" s="7">
        <v>245</v>
      </c>
      <c r="V677" s="7">
        <v>0</v>
      </c>
      <c r="W677" s="7">
        <v>1</v>
      </c>
      <c r="X677" s="7">
        <v>0</v>
      </c>
      <c r="Y677" s="7">
        <v>0</v>
      </c>
      <c r="Z677" s="7">
        <v>0</v>
      </c>
      <c r="AA677" s="7">
        <v>0</v>
      </c>
      <c r="AB677" s="7">
        <v>1</v>
      </c>
      <c r="AC677" s="7">
        <v>1</v>
      </c>
      <c r="AD677" s="7" t="s">
        <v>5044</v>
      </c>
      <c r="AE677" s="7" t="s">
        <v>5044</v>
      </c>
      <c r="AF677" s="7" t="s">
        <v>5044</v>
      </c>
      <c r="AG677" s="7">
        <v>2</v>
      </c>
      <c r="AH677" s="7">
        <v>2</v>
      </c>
      <c r="AI677" s="7">
        <v>2</v>
      </c>
      <c r="AJ677" s="7" t="s">
        <v>5044</v>
      </c>
      <c r="AK677" s="7" t="s">
        <v>6248</v>
      </c>
      <c r="AL677" s="7">
        <v>0</v>
      </c>
      <c r="AM677" s="7">
        <v>0</v>
      </c>
      <c r="AN677" s="7" t="s">
        <v>5318</v>
      </c>
      <c r="AO677" s="11">
        <v>2</v>
      </c>
    </row>
    <row r="678" spans="1:41" ht="63" customHeight="1" x14ac:dyDescent="0.2">
      <c r="A678" s="7">
        <v>8533</v>
      </c>
      <c r="B678" s="7" t="s">
        <v>2967</v>
      </c>
      <c r="C678" s="7" t="s">
        <v>2968</v>
      </c>
      <c r="D678" s="7" t="s">
        <v>16</v>
      </c>
      <c r="F678" s="7" t="s">
        <v>151</v>
      </c>
      <c r="G678" s="7" t="s">
        <v>47</v>
      </c>
      <c r="H678" s="7" t="s">
        <v>2969</v>
      </c>
      <c r="I678" s="7" t="s">
        <v>13</v>
      </c>
      <c r="J678" s="7" t="s">
        <v>2970</v>
      </c>
      <c r="K678" s="7" t="s">
        <v>2971</v>
      </c>
      <c r="L678" s="7" t="s">
        <v>6249</v>
      </c>
      <c r="M678" s="7">
        <v>0</v>
      </c>
      <c r="N678" s="7" t="s">
        <v>5044</v>
      </c>
      <c r="O678" s="7" t="s">
        <v>5044</v>
      </c>
      <c r="P678" s="7">
        <v>0</v>
      </c>
      <c r="Q678" s="7">
        <v>0</v>
      </c>
      <c r="R678" s="7">
        <v>0</v>
      </c>
      <c r="S678" s="7" t="s">
        <v>5207</v>
      </c>
      <c r="T678" s="7">
        <v>1</v>
      </c>
      <c r="U678" s="7">
        <v>45</v>
      </c>
      <c r="V678" s="7">
        <v>0</v>
      </c>
      <c r="W678" s="7">
        <v>1</v>
      </c>
      <c r="X678" s="7">
        <v>0</v>
      </c>
      <c r="Y678" s="7">
        <v>0</v>
      </c>
      <c r="Z678" s="7">
        <v>0</v>
      </c>
      <c r="AA678" s="7">
        <v>0</v>
      </c>
      <c r="AB678" s="7">
        <v>1</v>
      </c>
      <c r="AC678" s="7">
        <v>1</v>
      </c>
      <c r="AD678" s="7" t="s">
        <v>5044</v>
      </c>
      <c r="AE678" s="7" t="s">
        <v>5044</v>
      </c>
      <c r="AF678" s="7" t="s">
        <v>5044</v>
      </c>
      <c r="AG678" s="7">
        <v>2</v>
      </c>
      <c r="AH678" s="7">
        <v>3</v>
      </c>
      <c r="AI678" s="7">
        <v>0</v>
      </c>
      <c r="AJ678" s="7" t="s">
        <v>5044</v>
      </c>
      <c r="AK678" s="7">
        <v>1</v>
      </c>
      <c r="AL678" s="7">
        <v>1</v>
      </c>
      <c r="AM678" s="7">
        <v>0</v>
      </c>
      <c r="AN678" s="7" t="s">
        <v>5318</v>
      </c>
      <c r="AO678" s="11">
        <v>3</v>
      </c>
    </row>
    <row r="679" spans="1:41" ht="63" customHeight="1" x14ac:dyDescent="0.2">
      <c r="A679" s="7">
        <v>8539</v>
      </c>
      <c r="B679" s="7" t="s">
        <v>2972</v>
      </c>
      <c r="C679" s="7" t="s">
        <v>2973</v>
      </c>
      <c r="D679" s="7" t="s">
        <v>46</v>
      </c>
      <c r="F679" s="7" t="s">
        <v>2974</v>
      </c>
      <c r="G679" s="7" t="s">
        <v>52</v>
      </c>
      <c r="H679" s="7" t="s">
        <v>2975</v>
      </c>
      <c r="I679" s="7" t="s">
        <v>13</v>
      </c>
      <c r="J679" s="7" t="s">
        <v>2976</v>
      </c>
      <c r="K679" s="7" t="s">
        <v>2977</v>
      </c>
      <c r="L679" s="7" t="s">
        <v>6250</v>
      </c>
      <c r="M679" s="7">
        <v>0</v>
      </c>
      <c r="N679" s="7" t="s">
        <v>5044</v>
      </c>
      <c r="O679" s="7" t="s">
        <v>5044</v>
      </c>
      <c r="P679" s="7">
        <v>0</v>
      </c>
      <c r="Q679" s="7">
        <v>0</v>
      </c>
      <c r="R679" s="7">
        <v>0</v>
      </c>
      <c r="S679" s="7">
        <v>1</v>
      </c>
      <c r="T679" s="7">
        <v>1</v>
      </c>
      <c r="U679" s="7">
        <v>64</v>
      </c>
      <c r="V679" s="7">
        <v>0</v>
      </c>
      <c r="W679" s="7">
        <v>1</v>
      </c>
      <c r="X679" s="7">
        <v>0</v>
      </c>
      <c r="Y679" s="7">
        <v>0</v>
      </c>
      <c r="Z679" s="7">
        <v>0</v>
      </c>
      <c r="AA679" s="7">
        <v>0</v>
      </c>
      <c r="AB679" s="7">
        <v>1</v>
      </c>
      <c r="AC679" s="7">
        <v>1</v>
      </c>
      <c r="AD679" s="7" t="s">
        <v>5044</v>
      </c>
      <c r="AE679" s="7" t="s">
        <v>5044</v>
      </c>
      <c r="AF679" s="7" t="s">
        <v>5044</v>
      </c>
      <c r="AG679" s="7">
        <v>2</v>
      </c>
      <c r="AH679" s="7">
        <v>2</v>
      </c>
      <c r="AI679" s="7">
        <v>2</v>
      </c>
      <c r="AJ679" s="7" t="s">
        <v>5044</v>
      </c>
      <c r="AK679" s="7" t="s">
        <v>6248</v>
      </c>
      <c r="AL679" s="7">
        <v>0</v>
      </c>
      <c r="AM679" s="7">
        <v>0</v>
      </c>
      <c r="AO679" s="11">
        <v>2</v>
      </c>
    </row>
    <row r="680" spans="1:41" ht="63" customHeight="1" x14ac:dyDescent="0.2">
      <c r="A680" s="7">
        <v>8576</v>
      </c>
      <c r="B680" s="23" t="s">
        <v>2982</v>
      </c>
      <c r="C680" s="7" t="s">
        <v>2983</v>
      </c>
      <c r="D680" s="7" t="s">
        <v>16</v>
      </c>
      <c r="F680" s="7" t="s">
        <v>260</v>
      </c>
      <c r="G680" s="7" t="s">
        <v>47</v>
      </c>
      <c r="H680" s="7" t="s">
        <v>2984</v>
      </c>
      <c r="I680" s="7" t="s">
        <v>13</v>
      </c>
      <c r="J680" s="7" t="s">
        <v>2985</v>
      </c>
      <c r="K680" s="7" t="s">
        <v>2986</v>
      </c>
      <c r="L680" s="7" t="s">
        <v>6251</v>
      </c>
      <c r="M680" s="7">
        <v>0</v>
      </c>
      <c r="N680" s="7" t="s">
        <v>5044</v>
      </c>
      <c r="O680" s="7" t="s">
        <v>5044</v>
      </c>
      <c r="P680" s="7">
        <v>0</v>
      </c>
      <c r="Q680" s="7">
        <v>0</v>
      </c>
      <c r="R680" s="7">
        <v>0</v>
      </c>
      <c r="S680" s="7">
        <v>4</v>
      </c>
      <c r="T680" s="7">
        <v>2</v>
      </c>
      <c r="U680" s="7">
        <v>400</v>
      </c>
      <c r="V680" s="7">
        <v>1</v>
      </c>
      <c r="W680" s="7">
        <v>0</v>
      </c>
      <c r="X680" s="7">
        <v>0</v>
      </c>
      <c r="Y680" s="7">
        <v>0</v>
      </c>
      <c r="Z680" s="7">
        <v>0</v>
      </c>
      <c r="AA680" s="7">
        <v>0</v>
      </c>
      <c r="AB680" s="7">
        <v>1</v>
      </c>
      <c r="AC680" s="7">
        <v>1</v>
      </c>
      <c r="AD680" s="7">
        <v>1</v>
      </c>
      <c r="AE680" s="7">
        <v>0</v>
      </c>
      <c r="AF680" s="7">
        <v>0</v>
      </c>
      <c r="AG680" s="23" t="s">
        <v>5044</v>
      </c>
      <c r="AH680" s="7" t="s">
        <v>5044</v>
      </c>
      <c r="AI680" s="7" t="s">
        <v>5044</v>
      </c>
      <c r="AJ680" s="7" t="s">
        <v>5044</v>
      </c>
      <c r="AK680" s="7" t="s">
        <v>5318</v>
      </c>
      <c r="AL680" s="7">
        <v>1</v>
      </c>
      <c r="AM680" s="7">
        <v>0</v>
      </c>
      <c r="AN680" s="7" t="s">
        <v>5318</v>
      </c>
      <c r="AO680" s="9">
        <v>0</v>
      </c>
    </row>
    <row r="681" spans="1:41" ht="63" customHeight="1" x14ac:dyDescent="0.2">
      <c r="A681" s="7">
        <v>8597</v>
      </c>
      <c r="B681" s="7" t="s">
        <v>2991</v>
      </c>
      <c r="C681" s="7" t="s">
        <v>2992</v>
      </c>
      <c r="D681" s="7" t="s">
        <v>41</v>
      </c>
      <c r="F681" s="7" t="s">
        <v>312</v>
      </c>
      <c r="G681" s="7" t="s">
        <v>52</v>
      </c>
      <c r="H681" s="7" t="s">
        <v>38</v>
      </c>
      <c r="I681" s="7" t="s">
        <v>13</v>
      </c>
      <c r="J681" s="7" t="s">
        <v>2993</v>
      </c>
      <c r="K681" s="7" t="s">
        <v>2994</v>
      </c>
      <c r="L681" s="7" t="s">
        <v>6253</v>
      </c>
      <c r="M681" s="7">
        <v>0</v>
      </c>
      <c r="N681" s="7" t="s">
        <v>5044</v>
      </c>
      <c r="O681" s="7" t="s">
        <v>5044</v>
      </c>
      <c r="P681" s="7">
        <v>0</v>
      </c>
      <c r="Q681" s="7">
        <v>0</v>
      </c>
      <c r="R681" s="7">
        <v>0</v>
      </c>
      <c r="S681" s="7">
        <v>1</v>
      </c>
      <c r="T681" s="7">
        <v>1</v>
      </c>
      <c r="U681" s="7">
        <v>400</v>
      </c>
      <c r="V681" s="7">
        <v>0</v>
      </c>
      <c r="W681" s="7">
        <v>1</v>
      </c>
      <c r="X681" s="7">
        <v>0</v>
      </c>
      <c r="Y681" s="7">
        <v>0</v>
      </c>
      <c r="Z681" s="7">
        <v>1</v>
      </c>
      <c r="AA681" s="7">
        <v>0</v>
      </c>
      <c r="AB681" s="7">
        <v>1</v>
      </c>
      <c r="AC681" s="7">
        <v>1</v>
      </c>
      <c r="AD681" s="7" t="s">
        <v>5044</v>
      </c>
      <c r="AE681" s="7" t="s">
        <v>5044</v>
      </c>
      <c r="AF681" s="7" t="s">
        <v>5044</v>
      </c>
      <c r="AG681" s="7">
        <v>2</v>
      </c>
      <c r="AH681" s="7">
        <v>3</v>
      </c>
      <c r="AI681" s="7">
        <v>0</v>
      </c>
      <c r="AJ681" s="7">
        <v>0</v>
      </c>
      <c r="AK681" s="7">
        <v>1</v>
      </c>
      <c r="AL681" s="7">
        <v>0</v>
      </c>
      <c r="AM681" s="7">
        <v>0</v>
      </c>
      <c r="AN681" s="7" t="s">
        <v>5318</v>
      </c>
      <c r="AO681" s="11">
        <v>3</v>
      </c>
    </row>
    <row r="682" spans="1:41" ht="63" customHeight="1" x14ac:dyDescent="0.2">
      <c r="A682" s="7">
        <v>8612</v>
      </c>
      <c r="B682" s="7" t="s">
        <v>3003</v>
      </c>
      <c r="C682" s="7" t="s">
        <v>3004</v>
      </c>
      <c r="D682" s="7" t="s">
        <v>16</v>
      </c>
      <c r="F682" s="7" t="s">
        <v>143</v>
      </c>
      <c r="G682" s="7" t="s">
        <v>587</v>
      </c>
      <c r="H682" s="7" t="s">
        <v>255</v>
      </c>
      <c r="I682" s="7" t="s">
        <v>13</v>
      </c>
      <c r="J682" s="7" t="s">
        <v>3005</v>
      </c>
      <c r="K682" s="7" t="s">
        <v>3006</v>
      </c>
      <c r="L682" s="7" t="s">
        <v>5880</v>
      </c>
      <c r="M682" s="7">
        <v>0</v>
      </c>
      <c r="N682" s="7" t="s">
        <v>5044</v>
      </c>
      <c r="O682" s="7" t="s">
        <v>5044</v>
      </c>
      <c r="P682" s="7">
        <v>0</v>
      </c>
      <c r="Q682" s="7">
        <v>0</v>
      </c>
      <c r="R682" s="7">
        <v>0</v>
      </c>
      <c r="S682" s="7" t="s">
        <v>7673</v>
      </c>
      <c r="T682" s="7">
        <v>1</v>
      </c>
      <c r="U682" s="7">
        <v>538</v>
      </c>
      <c r="V682" s="7">
        <v>0</v>
      </c>
      <c r="W682" s="7">
        <v>1</v>
      </c>
      <c r="X682" s="7">
        <v>0</v>
      </c>
      <c r="Y682" s="7">
        <v>0</v>
      </c>
      <c r="Z682" s="7">
        <v>0</v>
      </c>
      <c r="AA682" s="7">
        <v>0</v>
      </c>
      <c r="AB682" s="7">
        <v>1</v>
      </c>
      <c r="AC682" s="7">
        <v>1</v>
      </c>
      <c r="AD682" s="7" t="s">
        <v>5044</v>
      </c>
      <c r="AE682" s="7" t="s">
        <v>5044</v>
      </c>
      <c r="AF682" s="7" t="s">
        <v>5044</v>
      </c>
      <c r="AG682" s="7">
        <v>1</v>
      </c>
      <c r="AH682" s="7">
        <v>0</v>
      </c>
      <c r="AI682" s="7">
        <v>0</v>
      </c>
      <c r="AJ682" s="7" t="s">
        <v>5044</v>
      </c>
      <c r="AK682" s="7" t="s">
        <v>5318</v>
      </c>
      <c r="AL682" s="7">
        <v>0</v>
      </c>
      <c r="AM682" s="7">
        <v>0</v>
      </c>
      <c r="AN682" s="7" t="s">
        <v>5318</v>
      </c>
      <c r="AO682" s="9">
        <v>0</v>
      </c>
    </row>
    <row r="683" spans="1:41" ht="63" customHeight="1" x14ac:dyDescent="0.2">
      <c r="A683" s="7">
        <v>8621</v>
      </c>
      <c r="B683" s="7" t="s">
        <v>3015</v>
      </c>
      <c r="C683" s="7" t="s">
        <v>3016</v>
      </c>
      <c r="D683" s="7" t="s">
        <v>95</v>
      </c>
      <c r="F683" s="7" t="s">
        <v>1801</v>
      </c>
      <c r="G683" s="7" t="s">
        <v>11</v>
      </c>
      <c r="H683" s="7" t="s">
        <v>43</v>
      </c>
      <c r="I683" s="7" t="s">
        <v>13</v>
      </c>
      <c r="J683" s="7" t="s">
        <v>3017</v>
      </c>
      <c r="K683" s="7" t="s">
        <v>3018</v>
      </c>
      <c r="L683" s="7" t="s">
        <v>5883</v>
      </c>
      <c r="M683" s="7">
        <v>0</v>
      </c>
      <c r="N683" s="7" t="s">
        <v>5044</v>
      </c>
      <c r="O683" s="7" t="s">
        <v>5044</v>
      </c>
      <c r="P683" s="7">
        <v>0</v>
      </c>
      <c r="Q683" s="7">
        <v>0</v>
      </c>
      <c r="R683" s="7">
        <v>0</v>
      </c>
      <c r="S683" s="7">
        <v>1</v>
      </c>
      <c r="T683" s="7">
        <v>1</v>
      </c>
      <c r="U683" s="7">
        <v>268</v>
      </c>
      <c r="V683" s="7">
        <v>0</v>
      </c>
      <c r="W683" s="7">
        <v>1</v>
      </c>
      <c r="X683" s="7">
        <v>0</v>
      </c>
      <c r="Y683" s="7">
        <v>0</v>
      </c>
      <c r="Z683" s="7">
        <v>0</v>
      </c>
      <c r="AA683" s="7">
        <v>0</v>
      </c>
      <c r="AB683" s="7">
        <v>1</v>
      </c>
      <c r="AC683" s="7">
        <v>1</v>
      </c>
      <c r="AD683" s="7" t="s">
        <v>5044</v>
      </c>
      <c r="AE683" s="7" t="s">
        <v>5044</v>
      </c>
      <c r="AF683" s="7" t="s">
        <v>5044</v>
      </c>
      <c r="AG683" s="7">
        <v>2</v>
      </c>
      <c r="AH683" s="7">
        <v>3</v>
      </c>
      <c r="AI683" s="7">
        <v>0</v>
      </c>
      <c r="AJ683" s="7" t="s">
        <v>5044</v>
      </c>
      <c r="AK683" s="7">
        <v>1</v>
      </c>
      <c r="AL683" s="7">
        <v>0</v>
      </c>
      <c r="AM683" s="7">
        <v>0</v>
      </c>
      <c r="AN683" s="7" t="s">
        <v>5318</v>
      </c>
      <c r="AO683" s="11">
        <v>3</v>
      </c>
    </row>
    <row r="684" spans="1:41" ht="63" customHeight="1" x14ac:dyDescent="0.2">
      <c r="A684" s="7">
        <v>8624</v>
      </c>
      <c r="B684" s="7" t="s">
        <v>3019</v>
      </c>
      <c r="C684" s="7" t="s">
        <v>3020</v>
      </c>
      <c r="D684" s="7" t="s">
        <v>41</v>
      </c>
      <c r="F684" s="7" t="s">
        <v>107</v>
      </c>
      <c r="G684" s="7" t="s">
        <v>52</v>
      </c>
      <c r="H684" s="7" t="s">
        <v>348</v>
      </c>
      <c r="I684" s="7" t="s">
        <v>13</v>
      </c>
      <c r="J684" s="7" t="s">
        <v>3021</v>
      </c>
      <c r="K684" s="7" t="s">
        <v>3022</v>
      </c>
      <c r="L684" s="7" t="s">
        <v>5884</v>
      </c>
      <c r="M684" s="7">
        <v>0</v>
      </c>
      <c r="N684" s="7" t="s">
        <v>5044</v>
      </c>
      <c r="O684" s="7" t="s">
        <v>5044</v>
      </c>
      <c r="P684" s="7">
        <v>0</v>
      </c>
      <c r="Q684" s="7">
        <v>0</v>
      </c>
      <c r="R684" s="7">
        <v>0</v>
      </c>
      <c r="S684" s="7">
        <v>9</v>
      </c>
      <c r="T684" s="7">
        <v>4</v>
      </c>
      <c r="U684" s="7">
        <v>129</v>
      </c>
      <c r="V684" s="7">
        <v>0</v>
      </c>
      <c r="W684" s="7">
        <v>1</v>
      </c>
      <c r="X684" s="7">
        <v>0</v>
      </c>
      <c r="Y684" s="7">
        <v>0</v>
      </c>
      <c r="Z684" s="7">
        <v>0</v>
      </c>
      <c r="AA684" s="7">
        <v>0</v>
      </c>
      <c r="AB684" s="7">
        <v>1</v>
      </c>
      <c r="AC684" s="7">
        <v>1</v>
      </c>
      <c r="AD684" s="7" t="s">
        <v>5044</v>
      </c>
      <c r="AE684" s="7" t="s">
        <v>5044</v>
      </c>
      <c r="AF684" s="7" t="s">
        <v>5044</v>
      </c>
      <c r="AG684" s="7">
        <v>2</v>
      </c>
      <c r="AH684" s="7">
        <v>3</v>
      </c>
      <c r="AI684" s="7">
        <v>0</v>
      </c>
      <c r="AJ684" s="7" t="s">
        <v>5044</v>
      </c>
      <c r="AK684" s="7" t="s">
        <v>5885</v>
      </c>
      <c r="AL684" s="7">
        <v>1</v>
      </c>
      <c r="AM684" s="7">
        <v>0</v>
      </c>
      <c r="AN684" s="7" t="s">
        <v>5318</v>
      </c>
      <c r="AO684" s="11">
        <v>3</v>
      </c>
    </row>
    <row r="685" spans="1:41" ht="63" customHeight="1" x14ac:dyDescent="0.2">
      <c r="A685" s="7">
        <v>8637</v>
      </c>
      <c r="B685" s="7" t="s">
        <v>3028</v>
      </c>
      <c r="C685" s="7" t="s">
        <v>3029</v>
      </c>
      <c r="D685" s="7" t="s">
        <v>101</v>
      </c>
      <c r="F685" s="7" t="s">
        <v>688</v>
      </c>
      <c r="G685" s="7" t="s">
        <v>11</v>
      </c>
      <c r="H685" s="7" t="s">
        <v>89</v>
      </c>
      <c r="I685" s="7" t="s">
        <v>13</v>
      </c>
      <c r="J685" s="7" t="s">
        <v>3030</v>
      </c>
      <c r="K685" s="7" t="s">
        <v>3031</v>
      </c>
      <c r="L685" s="7" t="s">
        <v>5887</v>
      </c>
      <c r="M685" s="7">
        <v>0</v>
      </c>
      <c r="N685" s="7" t="s">
        <v>5044</v>
      </c>
      <c r="O685" s="7" t="s">
        <v>5044</v>
      </c>
      <c r="P685" s="7">
        <v>1</v>
      </c>
      <c r="Q685" s="7">
        <v>0</v>
      </c>
      <c r="R685" s="7">
        <v>0</v>
      </c>
      <c r="S685" s="7">
        <v>9</v>
      </c>
      <c r="T685" s="7">
        <v>1</v>
      </c>
      <c r="U685" s="7">
        <v>58</v>
      </c>
      <c r="V685" s="7">
        <v>0</v>
      </c>
      <c r="W685" s="7">
        <v>1</v>
      </c>
      <c r="X685" s="7">
        <v>0</v>
      </c>
      <c r="Y685" s="7">
        <v>0</v>
      </c>
      <c r="Z685" s="7">
        <v>0</v>
      </c>
      <c r="AA685" s="7">
        <v>0</v>
      </c>
      <c r="AB685" s="7">
        <v>1</v>
      </c>
      <c r="AC685" s="7">
        <v>1</v>
      </c>
      <c r="AD685" s="7" t="s">
        <v>5044</v>
      </c>
      <c r="AE685" s="7" t="s">
        <v>5044</v>
      </c>
      <c r="AF685" s="7" t="s">
        <v>5044</v>
      </c>
      <c r="AG685" s="7">
        <v>1</v>
      </c>
      <c r="AH685" s="7">
        <v>0</v>
      </c>
      <c r="AI685" s="7">
        <v>0</v>
      </c>
      <c r="AJ685" s="7" t="s">
        <v>5044</v>
      </c>
      <c r="AK685" s="7" t="s">
        <v>5318</v>
      </c>
      <c r="AL685" s="7">
        <v>1</v>
      </c>
      <c r="AM685" s="7">
        <v>0</v>
      </c>
      <c r="AN685" s="7" t="s">
        <v>5318</v>
      </c>
      <c r="AO685" s="9">
        <v>0</v>
      </c>
    </row>
    <row r="686" spans="1:41" ht="63" customHeight="1" x14ac:dyDescent="0.2">
      <c r="A686" s="7">
        <v>8639</v>
      </c>
      <c r="B686" s="7" t="s">
        <v>3032</v>
      </c>
      <c r="C686" s="7" t="s">
        <v>3033</v>
      </c>
      <c r="D686" s="7" t="s">
        <v>95</v>
      </c>
      <c r="F686" s="7" t="s">
        <v>985</v>
      </c>
      <c r="G686" s="7" t="s">
        <v>52</v>
      </c>
      <c r="H686" s="7" t="s">
        <v>71</v>
      </c>
      <c r="I686" s="7" t="s">
        <v>13</v>
      </c>
      <c r="J686" s="7" t="s">
        <v>3034</v>
      </c>
      <c r="K686" s="7" t="s">
        <v>3035</v>
      </c>
      <c r="L686" s="7" t="s">
        <v>5888</v>
      </c>
      <c r="M686" s="7">
        <v>0</v>
      </c>
      <c r="N686" s="7" t="s">
        <v>5044</v>
      </c>
      <c r="O686" s="7" t="s">
        <v>5044</v>
      </c>
      <c r="P686" s="7">
        <v>0</v>
      </c>
      <c r="Q686" s="7">
        <v>0</v>
      </c>
      <c r="R686" s="7">
        <v>0</v>
      </c>
      <c r="S686" s="7">
        <v>1</v>
      </c>
      <c r="T686" s="7">
        <v>4</v>
      </c>
      <c r="U686" s="7">
        <v>100</v>
      </c>
      <c r="V686" s="7">
        <v>0</v>
      </c>
      <c r="W686" s="7">
        <v>1</v>
      </c>
      <c r="X686" s="7">
        <v>0</v>
      </c>
      <c r="Y686" s="7">
        <v>0</v>
      </c>
      <c r="Z686" s="7">
        <v>0</v>
      </c>
      <c r="AA686" s="7">
        <v>0</v>
      </c>
      <c r="AB686" s="7">
        <v>1</v>
      </c>
      <c r="AC686" s="7">
        <v>0</v>
      </c>
      <c r="AD686" s="7" t="s">
        <v>5044</v>
      </c>
      <c r="AE686" s="7" t="s">
        <v>5044</v>
      </c>
      <c r="AF686" s="7" t="s">
        <v>5044</v>
      </c>
      <c r="AG686" s="7">
        <v>0</v>
      </c>
      <c r="AH686" s="7" t="s">
        <v>5044</v>
      </c>
      <c r="AI686" s="7" t="s">
        <v>5044</v>
      </c>
      <c r="AJ686" s="7" t="s">
        <v>5044</v>
      </c>
      <c r="AK686" s="7" t="s">
        <v>5889</v>
      </c>
      <c r="AL686" s="7">
        <v>0</v>
      </c>
      <c r="AM686" s="7">
        <v>0</v>
      </c>
      <c r="AN686" s="7" t="s">
        <v>5318</v>
      </c>
      <c r="AO686" s="11">
        <v>9</v>
      </c>
    </row>
    <row r="687" spans="1:41" ht="63" customHeight="1" x14ac:dyDescent="0.2">
      <c r="A687" s="7">
        <v>8659</v>
      </c>
      <c r="B687" s="7" t="s">
        <v>3044</v>
      </c>
      <c r="C687" s="7" t="s">
        <v>3045</v>
      </c>
      <c r="D687" s="7" t="s">
        <v>46</v>
      </c>
      <c r="F687" s="7" t="s">
        <v>900</v>
      </c>
      <c r="G687" s="7" t="s">
        <v>32</v>
      </c>
      <c r="H687" s="7" t="s">
        <v>43</v>
      </c>
      <c r="I687" s="7" t="s">
        <v>13</v>
      </c>
      <c r="J687" s="7" t="s">
        <v>3046</v>
      </c>
      <c r="K687" s="7" t="s">
        <v>3047</v>
      </c>
      <c r="L687" s="7" t="s">
        <v>5890</v>
      </c>
      <c r="M687" s="7">
        <v>0</v>
      </c>
      <c r="N687" s="7" t="s">
        <v>5044</v>
      </c>
      <c r="O687" s="7" t="s">
        <v>5044</v>
      </c>
      <c r="P687" s="7">
        <v>0</v>
      </c>
      <c r="Q687" s="7">
        <v>0</v>
      </c>
      <c r="R687" s="7">
        <v>0</v>
      </c>
      <c r="S687" s="7">
        <v>9</v>
      </c>
      <c r="T687" s="7">
        <v>1</v>
      </c>
      <c r="U687" s="7">
        <v>147</v>
      </c>
      <c r="V687" s="7">
        <v>0</v>
      </c>
      <c r="W687" s="7">
        <v>1</v>
      </c>
      <c r="X687" s="7">
        <v>0</v>
      </c>
      <c r="Y687" s="7">
        <v>0</v>
      </c>
      <c r="Z687" s="7">
        <v>1</v>
      </c>
      <c r="AA687" s="7">
        <v>0</v>
      </c>
      <c r="AB687" s="7">
        <v>1</v>
      </c>
      <c r="AC687" s="7">
        <v>1</v>
      </c>
      <c r="AD687" s="7" t="s">
        <v>5044</v>
      </c>
      <c r="AE687" s="7" t="s">
        <v>5044</v>
      </c>
      <c r="AF687" s="7" t="s">
        <v>5044</v>
      </c>
      <c r="AG687" s="7">
        <v>2</v>
      </c>
      <c r="AH687" s="7">
        <v>3</v>
      </c>
      <c r="AI687" s="7">
        <v>0</v>
      </c>
      <c r="AJ687" s="7">
        <v>0</v>
      </c>
      <c r="AK687" s="7">
        <v>1</v>
      </c>
      <c r="AL687" s="7">
        <v>1</v>
      </c>
      <c r="AM687" s="7">
        <v>0</v>
      </c>
      <c r="AO687" s="11">
        <v>3</v>
      </c>
    </row>
    <row r="688" spans="1:41" ht="63" customHeight="1" x14ac:dyDescent="0.2">
      <c r="A688" s="7">
        <v>8677</v>
      </c>
      <c r="B688" s="7" t="s">
        <v>3048</v>
      </c>
      <c r="C688" s="7" t="s">
        <v>3049</v>
      </c>
      <c r="D688" s="7" t="s">
        <v>30</v>
      </c>
      <c r="F688" s="7" t="s">
        <v>110</v>
      </c>
      <c r="G688" s="7" t="s">
        <v>11</v>
      </c>
      <c r="H688" s="7" t="s">
        <v>38</v>
      </c>
      <c r="I688" s="7" t="s">
        <v>13</v>
      </c>
      <c r="J688" s="7" t="s">
        <v>3050</v>
      </c>
      <c r="K688" s="7" t="s">
        <v>3051</v>
      </c>
      <c r="L688" s="7" t="s">
        <v>5891</v>
      </c>
      <c r="M688" s="7">
        <v>0</v>
      </c>
      <c r="N688" s="7" t="s">
        <v>5044</v>
      </c>
      <c r="O688" s="7" t="s">
        <v>5044</v>
      </c>
      <c r="P688" s="7">
        <v>0</v>
      </c>
      <c r="Q688" s="7">
        <v>0</v>
      </c>
      <c r="R688" s="7">
        <v>0</v>
      </c>
      <c r="S688" s="7">
        <v>1</v>
      </c>
      <c r="T688" s="7">
        <v>2</v>
      </c>
      <c r="U688" s="7">
        <v>60</v>
      </c>
      <c r="V688" s="7">
        <v>0</v>
      </c>
      <c r="W688" s="7">
        <v>1</v>
      </c>
      <c r="X688" s="7">
        <v>0</v>
      </c>
      <c r="Y688" s="7">
        <v>0</v>
      </c>
      <c r="Z688" s="7">
        <v>0</v>
      </c>
      <c r="AA688" s="7">
        <v>0</v>
      </c>
      <c r="AB688" s="7">
        <v>1</v>
      </c>
      <c r="AC688" s="7">
        <v>1</v>
      </c>
      <c r="AD688" s="7" t="s">
        <v>5044</v>
      </c>
      <c r="AE688" s="7" t="s">
        <v>5044</v>
      </c>
      <c r="AF688" s="7" t="s">
        <v>5044</v>
      </c>
      <c r="AG688" s="7">
        <v>2</v>
      </c>
      <c r="AH688" s="7">
        <v>2</v>
      </c>
      <c r="AI688" s="7">
        <v>1</v>
      </c>
      <c r="AJ688" s="7" t="s">
        <v>5044</v>
      </c>
      <c r="AK688" s="7" t="s">
        <v>5318</v>
      </c>
      <c r="AL688" s="7">
        <v>1</v>
      </c>
      <c r="AM688" s="7">
        <v>0</v>
      </c>
      <c r="AN688" s="7" t="s">
        <v>5318</v>
      </c>
      <c r="AO688" s="11">
        <v>2</v>
      </c>
    </row>
    <row r="689" spans="1:41" ht="63" customHeight="1" x14ac:dyDescent="0.2">
      <c r="A689" s="7">
        <v>8688</v>
      </c>
      <c r="B689" s="7" t="s">
        <v>3052</v>
      </c>
      <c r="C689" s="7" t="s">
        <v>3053</v>
      </c>
      <c r="D689" s="7" t="s">
        <v>101</v>
      </c>
      <c r="F689" s="7" t="s">
        <v>2672</v>
      </c>
      <c r="G689" s="7" t="s">
        <v>3054</v>
      </c>
      <c r="H689" s="7" t="s">
        <v>180</v>
      </c>
      <c r="I689" s="7" t="s">
        <v>13</v>
      </c>
      <c r="J689" s="7" t="s">
        <v>3055</v>
      </c>
      <c r="K689" s="7" t="s">
        <v>3056</v>
      </c>
      <c r="L689" s="7" t="s">
        <v>5124</v>
      </c>
      <c r="M689" s="7">
        <v>0</v>
      </c>
      <c r="N689" s="7" t="s">
        <v>5044</v>
      </c>
      <c r="O689" s="7" t="s">
        <v>5044</v>
      </c>
      <c r="P689" s="7">
        <v>0</v>
      </c>
      <c r="Q689" s="7">
        <v>0</v>
      </c>
      <c r="R689" s="7">
        <v>0</v>
      </c>
      <c r="S689" s="7">
        <v>3</v>
      </c>
      <c r="T689" s="7">
        <v>1</v>
      </c>
      <c r="U689" s="7">
        <v>410</v>
      </c>
      <c r="V689" s="7">
        <v>0</v>
      </c>
      <c r="W689" s="7">
        <v>1</v>
      </c>
      <c r="X689" s="7">
        <v>0</v>
      </c>
      <c r="Y689" s="7">
        <v>0</v>
      </c>
      <c r="Z689" s="7">
        <v>0</v>
      </c>
      <c r="AA689" s="7">
        <v>0</v>
      </c>
      <c r="AB689" s="7">
        <v>1</v>
      </c>
      <c r="AC689" s="7">
        <v>1</v>
      </c>
      <c r="AD689" s="7" t="s">
        <v>5044</v>
      </c>
      <c r="AE689" s="7" t="s">
        <v>5044</v>
      </c>
      <c r="AF689" s="7" t="s">
        <v>5044</v>
      </c>
      <c r="AG689" s="7">
        <v>2</v>
      </c>
      <c r="AH689" s="7">
        <v>3</v>
      </c>
      <c r="AI689" s="7">
        <v>0</v>
      </c>
      <c r="AJ689" s="7" t="s">
        <v>5044</v>
      </c>
      <c r="AK689" s="7" t="s">
        <v>5892</v>
      </c>
      <c r="AL689" s="7">
        <v>0</v>
      </c>
      <c r="AM689" s="7">
        <v>0</v>
      </c>
      <c r="AN689" s="7" t="s">
        <v>5318</v>
      </c>
      <c r="AO689" s="11">
        <v>3</v>
      </c>
    </row>
    <row r="690" spans="1:41" ht="63" customHeight="1" x14ac:dyDescent="0.2">
      <c r="A690" s="7">
        <v>8691</v>
      </c>
      <c r="B690" s="7" t="s">
        <v>3057</v>
      </c>
      <c r="C690" s="7" t="s">
        <v>3058</v>
      </c>
      <c r="D690" s="7" t="s">
        <v>101</v>
      </c>
      <c r="F690" s="7" t="s">
        <v>18</v>
      </c>
      <c r="G690" s="7" t="s">
        <v>52</v>
      </c>
      <c r="H690" s="7" t="s">
        <v>211</v>
      </c>
      <c r="I690" s="7" t="s">
        <v>13</v>
      </c>
      <c r="J690" s="7" t="s">
        <v>3059</v>
      </c>
      <c r="K690" s="7" t="s">
        <v>3060</v>
      </c>
      <c r="L690" s="7" t="s">
        <v>5893</v>
      </c>
      <c r="M690" s="7">
        <v>0</v>
      </c>
      <c r="N690" s="7" t="s">
        <v>5044</v>
      </c>
      <c r="O690" s="7" t="s">
        <v>5044</v>
      </c>
      <c r="P690" s="7">
        <v>0</v>
      </c>
      <c r="Q690" s="7">
        <v>0</v>
      </c>
      <c r="R690" s="7">
        <v>0</v>
      </c>
      <c r="S690" s="7">
        <v>1</v>
      </c>
      <c r="T690" s="7">
        <v>4</v>
      </c>
      <c r="U690" s="7">
        <v>124</v>
      </c>
      <c r="V690" s="7">
        <v>0</v>
      </c>
      <c r="W690" s="7">
        <v>1</v>
      </c>
      <c r="X690" s="7">
        <v>0</v>
      </c>
      <c r="Y690" s="7">
        <v>0</v>
      </c>
      <c r="Z690" s="7">
        <v>1</v>
      </c>
      <c r="AA690" s="7">
        <v>0</v>
      </c>
      <c r="AB690" s="7">
        <v>1</v>
      </c>
      <c r="AC690" s="7">
        <v>1</v>
      </c>
      <c r="AD690" s="7" t="s">
        <v>5044</v>
      </c>
      <c r="AE690" s="7" t="s">
        <v>5044</v>
      </c>
      <c r="AF690" s="7" t="s">
        <v>5044</v>
      </c>
      <c r="AG690" s="7">
        <v>0</v>
      </c>
      <c r="AH690" s="7" t="s">
        <v>5044</v>
      </c>
      <c r="AI690" s="7" t="s">
        <v>5044</v>
      </c>
      <c r="AJ690" s="7">
        <v>0</v>
      </c>
      <c r="AK690" s="7" t="s">
        <v>5894</v>
      </c>
      <c r="AL690" s="7">
        <v>1</v>
      </c>
      <c r="AM690" s="7">
        <v>0</v>
      </c>
      <c r="AO690" s="11">
        <v>9</v>
      </c>
    </row>
    <row r="691" spans="1:41" ht="63" customHeight="1" x14ac:dyDescent="0.2">
      <c r="A691" s="7">
        <v>8708</v>
      </c>
      <c r="B691" s="7" t="s">
        <v>3061</v>
      </c>
      <c r="C691" s="7" t="s">
        <v>3062</v>
      </c>
      <c r="D691" s="7" t="s">
        <v>16</v>
      </c>
      <c r="F691" s="7" t="s">
        <v>470</v>
      </c>
      <c r="G691" s="7" t="s">
        <v>48</v>
      </c>
      <c r="H691" s="7" t="s">
        <v>38</v>
      </c>
      <c r="I691" s="7" t="s">
        <v>13</v>
      </c>
      <c r="J691" s="7" t="s">
        <v>3063</v>
      </c>
      <c r="K691" s="7" t="s">
        <v>3064</v>
      </c>
      <c r="L691" s="7" t="s">
        <v>5723</v>
      </c>
      <c r="M691" s="7">
        <v>0</v>
      </c>
      <c r="N691" s="7" t="s">
        <v>5044</v>
      </c>
      <c r="O691" s="7" t="s">
        <v>5044</v>
      </c>
      <c r="P691" s="7">
        <v>0</v>
      </c>
      <c r="Q691" s="7">
        <v>0</v>
      </c>
      <c r="R691" s="7">
        <v>0</v>
      </c>
      <c r="S691" s="7">
        <v>1</v>
      </c>
      <c r="T691" s="7">
        <v>1</v>
      </c>
      <c r="U691" s="7">
        <v>802</v>
      </c>
      <c r="V691" s="7">
        <v>0</v>
      </c>
      <c r="W691" s="7">
        <v>1</v>
      </c>
      <c r="X691" s="7">
        <v>0</v>
      </c>
      <c r="Y691" s="7">
        <v>0</v>
      </c>
      <c r="Z691" s="7">
        <v>0</v>
      </c>
      <c r="AA691" s="7">
        <v>0</v>
      </c>
      <c r="AB691" s="7">
        <v>1</v>
      </c>
      <c r="AC691" s="7">
        <v>1</v>
      </c>
      <c r="AD691" s="7" t="s">
        <v>5044</v>
      </c>
      <c r="AE691" s="7" t="s">
        <v>5044</v>
      </c>
      <c r="AF691" s="7" t="s">
        <v>5044</v>
      </c>
      <c r="AG691" s="7">
        <v>2</v>
      </c>
      <c r="AH691" s="7">
        <v>3</v>
      </c>
      <c r="AI691" s="7">
        <v>0</v>
      </c>
      <c r="AJ691" s="7" t="s">
        <v>5044</v>
      </c>
      <c r="AK691" s="7">
        <v>1</v>
      </c>
      <c r="AL691" s="7">
        <v>0</v>
      </c>
      <c r="AM691" s="7">
        <v>0</v>
      </c>
      <c r="AN691" s="7" t="s">
        <v>5318</v>
      </c>
      <c r="AO691" s="11">
        <v>3</v>
      </c>
    </row>
    <row r="692" spans="1:41" ht="63" customHeight="1" x14ac:dyDescent="0.2">
      <c r="A692" s="7">
        <v>8710</v>
      </c>
      <c r="B692" s="7" t="s">
        <v>3065</v>
      </c>
      <c r="C692" s="7" t="s">
        <v>3066</v>
      </c>
      <c r="D692" s="7" t="s">
        <v>46</v>
      </c>
      <c r="F692" s="7" t="s">
        <v>136</v>
      </c>
      <c r="G692" s="7" t="s">
        <v>37</v>
      </c>
      <c r="H692" s="7" t="s">
        <v>2795</v>
      </c>
      <c r="I692" s="7" t="s">
        <v>13</v>
      </c>
      <c r="J692" s="7" t="s">
        <v>3067</v>
      </c>
      <c r="K692" s="7" t="s">
        <v>3068</v>
      </c>
      <c r="L692" s="7" t="s">
        <v>5895</v>
      </c>
      <c r="M692" s="7">
        <v>0</v>
      </c>
      <c r="N692" s="7" t="s">
        <v>5044</v>
      </c>
      <c r="O692" s="7" t="s">
        <v>5044</v>
      </c>
      <c r="P692" s="7">
        <v>0</v>
      </c>
      <c r="Q692" s="7">
        <v>0</v>
      </c>
      <c r="R692" s="7">
        <v>0</v>
      </c>
      <c r="S692" s="7">
        <v>3</v>
      </c>
      <c r="T692" s="7">
        <v>6</v>
      </c>
      <c r="U692" s="7">
        <v>76</v>
      </c>
      <c r="V692" s="7">
        <v>0</v>
      </c>
      <c r="W692" s="7">
        <v>1</v>
      </c>
      <c r="X692" s="7">
        <v>0</v>
      </c>
      <c r="Y692" s="7">
        <v>0</v>
      </c>
      <c r="Z692" s="7">
        <v>0</v>
      </c>
      <c r="AA692" s="7">
        <v>0</v>
      </c>
      <c r="AB692" s="7">
        <v>1</v>
      </c>
      <c r="AC692" s="7">
        <v>1</v>
      </c>
      <c r="AD692" s="7" t="s">
        <v>5044</v>
      </c>
      <c r="AE692" s="7" t="s">
        <v>5044</v>
      </c>
      <c r="AF692" s="7" t="s">
        <v>5044</v>
      </c>
      <c r="AG692" s="7">
        <v>2</v>
      </c>
      <c r="AH692" s="7">
        <v>3</v>
      </c>
      <c r="AI692" s="7">
        <v>0</v>
      </c>
      <c r="AJ692" s="7" t="s">
        <v>5044</v>
      </c>
      <c r="AK692" s="7" t="s">
        <v>5896</v>
      </c>
      <c r="AL692" s="7">
        <v>0</v>
      </c>
      <c r="AM692" s="7">
        <v>0</v>
      </c>
      <c r="AN692" s="7" t="s">
        <v>5318</v>
      </c>
      <c r="AO692" s="11">
        <v>3</v>
      </c>
    </row>
    <row r="693" spans="1:41" ht="63" customHeight="1" x14ac:dyDescent="0.2">
      <c r="A693" s="7">
        <v>8716</v>
      </c>
      <c r="B693" s="7" t="s">
        <v>3073</v>
      </c>
      <c r="C693" s="7" t="s">
        <v>3074</v>
      </c>
      <c r="D693" s="7" t="s">
        <v>22</v>
      </c>
      <c r="F693" s="7" t="s">
        <v>114</v>
      </c>
      <c r="G693" s="7" t="s">
        <v>92</v>
      </c>
      <c r="H693" s="7" t="s">
        <v>102</v>
      </c>
      <c r="I693" s="7" t="s">
        <v>13</v>
      </c>
      <c r="J693" s="7" t="s">
        <v>3075</v>
      </c>
      <c r="K693" s="7" t="s">
        <v>3076</v>
      </c>
      <c r="L693" s="7" t="s">
        <v>5898</v>
      </c>
      <c r="M693" s="7">
        <v>0</v>
      </c>
      <c r="N693" s="7" t="s">
        <v>5044</v>
      </c>
      <c r="O693" s="7" t="s">
        <v>5044</v>
      </c>
      <c r="P693" s="7">
        <v>0</v>
      </c>
      <c r="Q693" s="7">
        <v>0</v>
      </c>
      <c r="R693" s="7">
        <v>0</v>
      </c>
      <c r="S693" s="7">
        <v>3</v>
      </c>
      <c r="T693" s="7">
        <v>1</v>
      </c>
      <c r="U693" s="7">
        <v>120</v>
      </c>
      <c r="V693" s="7">
        <v>0</v>
      </c>
      <c r="W693" s="7">
        <v>1</v>
      </c>
      <c r="X693" s="7">
        <v>0</v>
      </c>
      <c r="Y693" s="7">
        <v>0</v>
      </c>
      <c r="Z693" s="7">
        <v>0</v>
      </c>
      <c r="AA693" s="7">
        <v>0</v>
      </c>
      <c r="AB693" s="7">
        <v>1</v>
      </c>
      <c r="AC693" s="7">
        <v>1</v>
      </c>
      <c r="AD693" s="7" t="s">
        <v>5044</v>
      </c>
      <c r="AE693" s="7" t="s">
        <v>5044</v>
      </c>
      <c r="AF693" s="7" t="s">
        <v>5044</v>
      </c>
      <c r="AG693" s="7">
        <v>2</v>
      </c>
      <c r="AH693" s="7">
        <v>3</v>
      </c>
      <c r="AI693" s="7">
        <v>0</v>
      </c>
      <c r="AJ693" s="7" t="s">
        <v>5044</v>
      </c>
      <c r="AK693" s="7" t="s">
        <v>5896</v>
      </c>
      <c r="AL693" s="7">
        <v>1</v>
      </c>
      <c r="AM693" s="7">
        <v>0</v>
      </c>
      <c r="AN693" s="7" t="s">
        <v>5318</v>
      </c>
      <c r="AO693" s="11">
        <v>3</v>
      </c>
    </row>
    <row r="694" spans="1:41" ht="63" customHeight="1" x14ac:dyDescent="0.2">
      <c r="A694" s="7">
        <v>8718</v>
      </c>
      <c r="B694" s="7" t="s">
        <v>3077</v>
      </c>
      <c r="C694" s="7" t="s">
        <v>3078</v>
      </c>
      <c r="D694" s="7" t="s">
        <v>95</v>
      </c>
      <c r="F694" s="7" t="s">
        <v>703</v>
      </c>
      <c r="G694" s="7" t="s">
        <v>144</v>
      </c>
      <c r="H694" s="7" t="s">
        <v>102</v>
      </c>
      <c r="I694" s="7" t="s">
        <v>13</v>
      </c>
      <c r="J694" s="7" t="s">
        <v>3079</v>
      </c>
      <c r="K694" s="7" t="s">
        <v>3080</v>
      </c>
      <c r="L694" s="7" t="s">
        <v>5899</v>
      </c>
      <c r="M694" s="7">
        <v>0</v>
      </c>
      <c r="N694" s="7" t="s">
        <v>5044</v>
      </c>
      <c r="O694" s="7" t="s">
        <v>5044</v>
      </c>
      <c r="P694" s="7">
        <v>0</v>
      </c>
      <c r="Q694" s="7">
        <v>0</v>
      </c>
      <c r="R694" s="7">
        <v>0</v>
      </c>
      <c r="S694" s="7">
        <v>3</v>
      </c>
      <c r="T694" s="7">
        <v>1</v>
      </c>
      <c r="U694" s="7">
        <v>160</v>
      </c>
      <c r="V694" s="7">
        <v>0</v>
      </c>
      <c r="W694" s="7">
        <v>1</v>
      </c>
      <c r="X694" s="7">
        <v>0</v>
      </c>
      <c r="Y694" s="7">
        <v>0</v>
      </c>
      <c r="Z694" s="7">
        <v>0</v>
      </c>
      <c r="AA694" s="7">
        <v>0</v>
      </c>
      <c r="AB694" s="7">
        <v>0</v>
      </c>
      <c r="AC694" s="7">
        <v>1</v>
      </c>
      <c r="AD694" s="7" t="s">
        <v>5044</v>
      </c>
      <c r="AE694" s="7" t="s">
        <v>5044</v>
      </c>
      <c r="AF694" s="7" t="s">
        <v>5044</v>
      </c>
      <c r="AG694" s="7">
        <v>2</v>
      </c>
      <c r="AH694" s="7">
        <v>3</v>
      </c>
      <c r="AI694" s="7">
        <v>0</v>
      </c>
      <c r="AJ694" s="7" t="s">
        <v>5044</v>
      </c>
      <c r="AK694" s="7" t="s">
        <v>5900</v>
      </c>
      <c r="AL694" s="7">
        <v>1</v>
      </c>
      <c r="AM694" s="7">
        <v>0</v>
      </c>
      <c r="AN694" s="7" t="s">
        <v>5318</v>
      </c>
      <c r="AO694" s="11">
        <v>3</v>
      </c>
    </row>
    <row r="695" spans="1:41" ht="63" customHeight="1" x14ac:dyDescent="0.2">
      <c r="A695" s="7">
        <v>8745</v>
      </c>
      <c r="B695" s="7" t="s">
        <v>3085</v>
      </c>
      <c r="C695" s="7" t="s">
        <v>3086</v>
      </c>
      <c r="D695" s="7" t="s">
        <v>149</v>
      </c>
      <c r="F695" s="7" t="s">
        <v>194</v>
      </c>
      <c r="G695" s="7" t="s">
        <v>32</v>
      </c>
      <c r="H695" s="7" t="s">
        <v>1321</v>
      </c>
      <c r="I695" s="7" t="s">
        <v>13</v>
      </c>
      <c r="J695" s="7" t="s">
        <v>3087</v>
      </c>
      <c r="K695" s="7" t="s">
        <v>3088</v>
      </c>
      <c r="L695" s="11" t="s">
        <v>5044</v>
      </c>
      <c r="M695" s="7">
        <v>0</v>
      </c>
      <c r="N695" s="7" t="s">
        <v>5044</v>
      </c>
      <c r="O695" s="7" t="s">
        <v>5044</v>
      </c>
      <c r="P695" s="7">
        <v>0</v>
      </c>
      <c r="Q695" s="7">
        <v>0</v>
      </c>
      <c r="R695" s="7">
        <v>0</v>
      </c>
      <c r="S695" s="7">
        <v>1</v>
      </c>
      <c r="T695" s="7">
        <v>4</v>
      </c>
      <c r="U695" s="7">
        <v>160</v>
      </c>
      <c r="V695" s="7">
        <v>0</v>
      </c>
      <c r="W695" s="7">
        <v>1</v>
      </c>
      <c r="X695" s="7">
        <v>0</v>
      </c>
      <c r="Y695" s="7">
        <v>0</v>
      </c>
      <c r="Z695" s="7">
        <v>0</v>
      </c>
      <c r="AA695" s="7">
        <v>0</v>
      </c>
      <c r="AB695" s="7">
        <v>0</v>
      </c>
      <c r="AC695" s="7">
        <v>1</v>
      </c>
      <c r="AD695" s="7" t="s">
        <v>5044</v>
      </c>
      <c r="AE695" s="7" t="s">
        <v>5044</v>
      </c>
      <c r="AF695" s="7" t="s">
        <v>5044</v>
      </c>
      <c r="AG695" s="7">
        <v>1</v>
      </c>
      <c r="AH695" s="7">
        <v>0</v>
      </c>
      <c r="AI695" s="7">
        <v>0</v>
      </c>
      <c r="AJ695" s="7" t="s">
        <v>5044</v>
      </c>
      <c r="AK695" s="7" t="s">
        <v>5318</v>
      </c>
      <c r="AL695" s="7">
        <v>1</v>
      </c>
      <c r="AM695" s="7">
        <v>0</v>
      </c>
      <c r="AN695" s="7" t="s">
        <v>5318</v>
      </c>
      <c r="AO695" s="9">
        <v>0</v>
      </c>
    </row>
    <row r="696" spans="1:41" ht="63" customHeight="1" x14ac:dyDescent="0.2">
      <c r="A696" s="7">
        <v>8760</v>
      </c>
      <c r="B696" s="7" t="s">
        <v>3089</v>
      </c>
      <c r="C696" s="7" t="s">
        <v>3090</v>
      </c>
      <c r="D696" s="7" t="s">
        <v>22</v>
      </c>
      <c r="F696" s="7" t="s">
        <v>577</v>
      </c>
      <c r="G696" s="7" t="s">
        <v>18</v>
      </c>
      <c r="H696" s="7" t="s">
        <v>764</v>
      </c>
      <c r="I696" s="7" t="s">
        <v>13</v>
      </c>
      <c r="J696" s="7" t="s">
        <v>3091</v>
      </c>
      <c r="K696" s="7" t="s">
        <v>3092</v>
      </c>
      <c r="L696" s="11" t="s">
        <v>5044</v>
      </c>
      <c r="M696" s="7">
        <v>0</v>
      </c>
      <c r="N696" s="7" t="s">
        <v>5044</v>
      </c>
      <c r="O696" s="7" t="s">
        <v>5044</v>
      </c>
      <c r="P696" s="7">
        <v>0</v>
      </c>
      <c r="Q696" s="7">
        <v>0</v>
      </c>
      <c r="R696" s="7">
        <v>0</v>
      </c>
      <c r="S696" s="7" t="s">
        <v>5772</v>
      </c>
      <c r="T696" s="7">
        <v>4</v>
      </c>
      <c r="U696" s="7">
        <v>27</v>
      </c>
      <c r="V696" s="7">
        <v>0</v>
      </c>
      <c r="W696" s="7">
        <v>1</v>
      </c>
      <c r="X696" s="7">
        <v>0</v>
      </c>
      <c r="Y696" s="7">
        <v>0</v>
      </c>
      <c r="Z696" s="7">
        <v>0</v>
      </c>
      <c r="AA696" s="7">
        <v>0</v>
      </c>
      <c r="AB696" s="7">
        <v>0</v>
      </c>
      <c r="AC696" s="7">
        <v>1</v>
      </c>
      <c r="AD696" s="7" t="s">
        <v>5044</v>
      </c>
      <c r="AE696" s="7" t="s">
        <v>5044</v>
      </c>
      <c r="AF696" s="7" t="s">
        <v>5044</v>
      </c>
      <c r="AG696" s="7">
        <v>2</v>
      </c>
      <c r="AH696" s="7">
        <v>3</v>
      </c>
      <c r="AI696" s="7">
        <v>0</v>
      </c>
      <c r="AJ696" s="7" t="s">
        <v>5044</v>
      </c>
      <c r="AK696" s="7" t="s">
        <v>5903</v>
      </c>
      <c r="AL696" s="7">
        <v>0</v>
      </c>
      <c r="AM696" s="7">
        <v>0</v>
      </c>
      <c r="AN696" s="7" t="s">
        <v>5318</v>
      </c>
      <c r="AO696" s="11">
        <v>3</v>
      </c>
    </row>
    <row r="697" spans="1:41" ht="63" customHeight="1" x14ac:dyDescent="0.2">
      <c r="A697" s="7">
        <v>8763</v>
      </c>
      <c r="B697" s="7" t="s">
        <v>3093</v>
      </c>
      <c r="C697" s="7" t="s">
        <v>3094</v>
      </c>
      <c r="D697" s="7" t="s">
        <v>16</v>
      </c>
      <c r="F697" s="7" t="s">
        <v>1042</v>
      </c>
      <c r="G697" s="7" t="s">
        <v>11</v>
      </c>
      <c r="H697" s="7" t="s">
        <v>3095</v>
      </c>
      <c r="I697" s="7" t="s">
        <v>13</v>
      </c>
      <c r="J697" s="7" t="s">
        <v>3096</v>
      </c>
      <c r="K697" s="7" t="s">
        <v>3097</v>
      </c>
      <c r="L697" s="11" t="s">
        <v>5044</v>
      </c>
      <c r="M697" s="7">
        <v>0</v>
      </c>
      <c r="N697" s="7" t="s">
        <v>5044</v>
      </c>
      <c r="O697" s="7" t="s">
        <v>5044</v>
      </c>
      <c r="P697" s="7">
        <v>0</v>
      </c>
      <c r="Q697" s="7">
        <v>0</v>
      </c>
      <c r="R697" s="7">
        <v>0</v>
      </c>
      <c r="S697" s="7">
        <v>5</v>
      </c>
      <c r="T697" s="7">
        <v>4</v>
      </c>
      <c r="U697" s="7">
        <v>46</v>
      </c>
      <c r="V697" s="7">
        <v>1</v>
      </c>
      <c r="W697" s="7">
        <v>0</v>
      </c>
      <c r="X697" s="7">
        <v>0</v>
      </c>
      <c r="Y697" s="7">
        <v>0</v>
      </c>
      <c r="Z697" s="7">
        <v>0</v>
      </c>
      <c r="AA697" s="7">
        <v>0</v>
      </c>
      <c r="AB697" s="7">
        <v>1</v>
      </c>
      <c r="AC697" s="7">
        <v>1</v>
      </c>
      <c r="AD697" s="7">
        <v>2</v>
      </c>
      <c r="AE697" s="7">
        <v>1</v>
      </c>
      <c r="AF697" s="7">
        <v>2</v>
      </c>
      <c r="AG697" s="7" t="s">
        <v>5044</v>
      </c>
      <c r="AH697" s="7" t="s">
        <v>5044</v>
      </c>
      <c r="AI697" s="7" t="s">
        <v>5044</v>
      </c>
      <c r="AJ697" s="7" t="s">
        <v>5044</v>
      </c>
      <c r="AK697" s="7" t="s">
        <v>5904</v>
      </c>
      <c r="AL697" s="7" t="s">
        <v>5044</v>
      </c>
      <c r="AM697" s="7">
        <v>0</v>
      </c>
      <c r="AO697" s="11">
        <v>1</v>
      </c>
    </row>
    <row r="698" spans="1:41" ht="63" customHeight="1" x14ac:dyDescent="0.2">
      <c r="A698" s="7">
        <v>8774</v>
      </c>
      <c r="B698" s="7" t="s">
        <v>3098</v>
      </c>
      <c r="C698" s="7" t="s">
        <v>3099</v>
      </c>
      <c r="D698" s="7" t="s">
        <v>101</v>
      </c>
      <c r="F698" s="7" t="s">
        <v>51</v>
      </c>
      <c r="G698" s="7" t="s">
        <v>52</v>
      </c>
      <c r="H698" s="7" t="s">
        <v>2002</v>
      </c>
      <c r="I698" s="7" t="s">
        <v>13</v>
      </c>
      <c r="J698" s="7" t="s">
        <v>3100</v>
      </c>
      <c r="K698" s="7" t="s">
        <v>3101</v>
      </c>
      <c r="L698" s="7" t="s">
        <v>5905</v>
      </c>
      <c r="M698" s="7">
        <v>0</v>
      </c>
      <c r="N698" s="7" t="s">
        <v>5044</v>
      </c>
      <c r="O698" s="7" t="s">
        <v>5044</v>
      </c>
      <c r="P698" s="7">
        <v>0</v>
      </c>
      <c r="Q698" s="7">
        <v>0</v>
      </c>
      <c r="R698" s="7">
        <v>0</v>
      </c>
      <c r="S698" s="7">
        <v>9</v>
      </c>
      <c r="T698" s="7">
        <v>4</v>
      </c>
      <c r="U698" s="7">
        <v>80</v>
      </c>
      <c r="V698" s="7">
        <v>0</v>
      </c>
      <c r="W698" s="7">
        <v>1</v>
      </c>
      <c r="X698" s="7">
        <v>0</v>
      </c>
      <c r="Y698" s="7">
        <v>0</v>
      </c>
      <c r="Z698" s="7">
        <v>0</v>
      </c>
      <c r="AA698" s="7">
        <v>0</v>
      </c>
      <c r="AB698" s="7">
        <v>1</v>
      </c>
      <c r="AC698" s="7">
        <v>1</v>
      </c>
      <c r="AD698" s="7" t="s">
        <v>5044</v>
      </c>
      <c r="AE698" s="7" t="s">
        <v>5044</v>
      </c>
      <c r="AF698" s="7" t="s">
        <v>5044</v>
      </c>
      <c r="AG698" s="7">
        <v>2</v>
      </c>
      <c r="AH698" s="7">
        <v>3</v>
      </c>
      <c r="AI698" s="7">
        <v>0</v>
      </c>
      <c r="AJ698" s="7" t="s">
        <v>5044</v>
      </c>
      <c r="AK698" s="7" t="s">
        <v>5318</v>
      </c>
      <c r="AL698" s="7">
        <v>1</v>
      </c>
      <c r="AM698" s="7">
        <v>0</v>
      </c>
      <c r="AO698" s="11">
        <v>3</v>
      </c>
    </row>
    <row r="699" spans="1:41" ht="63" customHeight="1" x14ac:dyDescent="0.2">
      <c r="A699" s="7">
        <v>8803</v>
      </c>
      <c r="B699" s="7" t="s">
        <v>3102</v>
      </c>
      <c r="C699" s="7" t="s">
        <v>3103</v>
      </c>
      <c r="D699" s="7" t="s">
        <v>16</v>
      </c>
      <c r="F699" s="7" t="s">
        <v>941</v>
      </c>
      <c r="G699" s="7" t="s">
        <v>37</v>
      </c>
      <c r="H699" s="7" t="s">
        <v>217</v>
      </c>
      <c r="I699" s="7" t="s">
        <v>13</v>
      </c>
      <c r="J699" s="7" t="s">
        <v>3104</v>
      </c>
      <c r="K699" s="7" t="s">
        <v>3105</v>
      </c>
      <c r="L699" s="7" t="s">
        <v>5906</v>
      </c>
      <c r="M699" s="7">
        <v>0</v>
      </c>
      <c r="N699" s="7" t="s">
        <v>5044</v>
      </c>
      <c r="O699" s="7" t="s">
        <v>5044</v>
      </c>
      <c r="P699" s="7">
        <v>0</v>
      </c>
      <c r="Q699" s="7">
        <v>0</v>
      </c>
      <c r="R699" s="7">
        <v>0</v>
      </c>
      <c r="S699" s="7" t="s">
        <v>5728</v>
      </c>
      <c r="T699" s="7">
        <v>1</v>
      </c>
      <c r="U699" s="7">
        <v>533</v>
      </c>
      <c r="V699" s="7">
        <v>0</v>
      </c>
      <c r="W699" s="7">
        <v>1</v>
      </c>
      <c r="X699" s="7">
        <v>0</v>
      </c>
      <c r="Y699" s="7">
        <v>0</v>
      </c>
      <c r="Z699" s="7">
        <v>0</v>
      </c>
      <c r="AA699" s="7">
        <v>0</v>
      </c>
      <c r="AB699" s="7">
        <v>1</v>
      </c>
      <c r="AC699" s="7">
        <v>1</v>
      </c>
      <c r="AD699" s="7" t="s">
        <v>5044</v>
      </c>
      <c r="AE699" s="7" t="s">
        <v>5044</v>
      </c>
      <c r="AF699" s="7" t="s">
        <v>5044</v>
      </c>
      <c r="AG699" s="7">
        <v>1</v>
      </c>
      <c r="AH699" s="7">
        <v>0</v>
      </c>
      <c r="AI699" s="7">
        <v>0</v>
      </c>
      <c r="AJ699" s="7" t="s">
        <v>5044</v>
      </c>
      <c r="AK699" s="7" t="s">
        <v>5318</v>
      </c>
      <c r="AL699" s="7">
        <v>0</v>
      </c>
      <c r="AM699" s="7">
        <v>0</v>
      </c>
      <c r="AO699" s="9">
        <v>0</v>
      </c>
    </row>
    <row r="700" spans="1:41" ht="63" customHeight="1" x14ac:dyDescent="0.2">
      <c r="A700" s="7">
        <v>8806</v>
      </c>
      <c r="B700" s="7" t="s">
        <v>3106</v>
      </c>
      <c r="C700" s="7" t="s">
        <v>3107</v>
      </c>
      <c r="D700" s="7" t="s">
        <v>95</v>
      </c>
      <c r="F700" s="7" t="s">
        <v>1801</v>
      </c>
      <c r="G700" s="7" t="s">
        <v>52</v>
      </c>
      <c r="H700" s="7" t="s">
        <v>43</v>
      </c>
      <c r="I700" s="7" t="s">
        <v>13</v>
      </c>
      <c r="J700" s="7" t="s">
        <v>3108</v>
      </c>
      <c r="K700" s="7" t="s">
        <v>3109</v>
      </c>
      <c r="L700" s="7" t="s">
        <v>5907</v>
      </c>
      <c r="M700" s="7">
        <v>0</v>
      </c>
      <c r="N700" s="7" t="s">
        <v>5044</v>
      </c>
      <c r="O700" s="7" t="s">
        <v>5044</v>
      </c>
      <c r="P700" s="7">
        <v>0</v>
      </c>
      <c r="Q700" s="7">
        <v>0</v>
      </c>
      <c r="R700" s="7">
        <v>0</v>
      </c>
      <c r="S700" s="7">
        <v>1</v>
      </c>
      <c r="T700" s="7">
        <v>5</v>
      </c>
      <c r="U700" s="7">
        <v>184</v>
      </c>
      <c r="V700" s="7">
        <v>0</v>
      </c>
      <c r="W700" s="7">
        <v>1</v>
      </c>
      <c r="X700" s="7">
        <v>0</v>
      </c>
      <c r="Y700" s="7">
        <v>0</v>
      </c>
      <c r="Z700" s="7">
        <v>0</v>
      </c>
      <c r="AA700" s="7">
        <v>0</v>
      </c>
      <c r="AB700" s="7">
        <v>1</v>
      </c>
      <c r="AC700" s="7">
        <v>1</v>
      </c>
      <c r="AD700" s="7" t="s">
        <v>5044</v>
      </c>
      <c r="AE700" s="7" t="s">
        <v>5044</v>
      </c>
      <c r="AF700" s="7" t="s">
        <v>5044</v>
      </c>
      <c r="AG700" s="7">
        <v>1</v>
      </c>
      <c r="AH700" s="7">
        <v>0</v>
      </c>
      <c r="AI700" s="7">
        <v>0</v>
      </c>
      <c r="AJ700" s="7" t="s">
        <v>5044</v>
      </c>
      <c r="AK700" s="7" t="s">
        <v>5318</v>
      </c>
      <c r="AL700" s="7">
        <v>0</v>
      </c>
      <c r="AM700" s="7">
        <v>0</v>
      </c>
      <c r="AO700" s="9">
        <v>0</v>
      </c>
    </row>
    <row r="701" spans="1:41" ht="63" customHeight="1" x14ac:dyDescent="0.2">
      <c r="A701" s="7">
        <v>8807</v>
      </c>
      <c r="B701" s="7" t="s">
        <v>3110</v>
      </c>
      <c r="C701" s="7" t="s">
        <v>3107</v>
      </c>
      <c r="D701" s="7" t="s">
        <v>149</v>
      </c>
      <c r="F701" s="7" t="s">
        <v>3111</v>
      </c>
      <c r="G701" s="7" t="s">
        <v>17</v>
      </c>
      <c r="H701" s="7" t="s">
        <v>663</v>
      </c>
      <c r="I701" s="7" t="s">
        <v>13</v>
      </c>
      <c r="J701" s="7" t="s">
        <v>3112</v>
      </c>
      <c r="K701" s="7" t="s">
        <v>3113</v>
      </c>
      <c r="L701" s="7" t="s">
        <v>5908</v>
      </c>
      <c r="M701" s="7">
        <v>0</v>
      </c>
      <c r="N701" s="7" t="s">
        <v>5044</v>
      </c>
      <c r="O701" s="7" t="s">
        <v>5044</v>
      </c>
      <c r="P701" s="7">
        <v>0</v>
      </c>
      <c r="Q701" s="7">
        <v>0</v>
      </c>
      <c r="R701" s="7">
        <v>0</v>
      </c>
      <c r="S701" s="7">
        <v>1</v>
      </c>
      <c r="T701" s="7">
        <v>5</v>
      </c>
      <c r="U701" s="7">
        <v>145</v>
      </c>
      <c r="V701" s="7">
        <v>0</v>
      </c>
      <c r="W701" s="7">
        <v>1</v>
      </c>
      <c r="X701" s="7">
        <v>0</v>
      </c>
      <c r="Y701" s="7">
        <v>0</v>
      </c>
      <c r="Z701" s="7">
        <v>0</v>
      </c>
      <c r="AA701" s="7">
        <v>0</v>
      </c>
      <c r="AB701" s="7">
        <v>1</v>
      </c>
      <c r="AC701" s="7">
        <v>1</v>
      </c>
      <c r="AD701" s="7" t="s">
        <v>5044</v>
      </c>
      <c r="AE701" s="7" t="s">
        <v>5044</v>
      </c>
      <c r="AF701" s="7" t="s">
        <v>5044</v>
      </c>
      <c r="AG701" s="7">
        <v>2</v>
      </c>
      <c r="AH701" s="7">
        <v>3</v>
      </c>
      <c r="AI701" s="7">
        <v>0</v>
      </c>
      <c r="AJ701" s="7" t="s">
        <v>5044</v>
      </c>
      <c r="AK701" s="7">
        <v>1</v>
      </c>
      <c r="AL701" s="7">
        <v>1</v>
      </c>
      <c r="AM701" s="7">
        <v>0</v>
      </c>
      <c r="AN701" s="7" t="s">
        <v>5318</v>
      </c>
      <c r="AO701" s="11">
        <v>3</v>
      </c>
    </row>
    <row r="702" spans="1:41" ht="63" customHeight="1" x14ac:dyDescent="0.2">
      <c r="A702" s="7">
        <v>8868</v>
      </c>
      <c r="B702" s="7" t="s">
        <v>3127</v>
      </c>
      <c r="C702" s="7" t="s">
        <v>3128</v>
      </c>
      <c r="D702" s="7" t="s">
        <v>25</v>
      </c>
      <c r="F702" s="7" t="s">
        <v>571</v>
      </c>
      <c r="G702" s="7" t="s">
        <v>11</v>
      </c>
      <c r="H702" s="7" t="s">
        <v>3129</v>
      </c>
      <c r="I702" s="7" t="s">
        <v>13</v>
      </c>
      <c r="K702" s="7" t="s">
        <v>3130</v>
      </c>
      <c r="L702" s="7" t="s">
        <v>5912</v>
      </c>
      <c r="M702" s="7">
        <v>0</v>
      </c>
      <c r="N702" s="7" t="s">
        <v>5044</v>
      </c>
      <c r="O702" s="7" t="s">
        <v>5044</v>
      </c>
      <c r="P702" s="7">
        <v>0</v>
      </c>
      <c r="Q702" s="7">
        <v>0</v>
      </c>
      <c r="R702" s="7">
        <v>0</v>
      </c>
      <c r="S702" s="7">
        <v>1</v>
      </c>
      <c r="T702" s="7">
        <v>1</v>
      </c>
      <c r="U702" s="7">
        <v>143</v>
      </c>
      <c r="V702" s="7">
        <v>0</v>
      </c>
      <c r="W702" s="7">
        <v>1</v>
      </c>
      <c r="X702" s="7">
        <v>0</v>
      </c>
      <c r="Y702" s="7">
        <v>0</v>
      </c>
      <c r="Z702" s="7">
        <v>0</v>
      </c>
      <c r="AA702" s="7">
        <v>0</v>
      </c>
      <c r="AB702" s="7">
        <v>1</v>
      </c>
      <c r="AC702" s="7">
        <v>0</v>
      </c>
      <c r="AD702" s="7" t="s">
        <v>5044</v>
      </c>
      <c r="AE702" s="7" t="s">
        <v>5044</v>
      </c>
      <c r="AF702" s="7" t="s">
        <v>5044</v>
      </c>
      <c r="AG702" s="7">
        <v>0</v>
      </c>
      <c r="AH702" s="7" t="s">
        <v>5044</v>
      </c>
      <c r="AI702" s="7" t="s">
        <v>5044</v>
      </c>
      <c r="AJ702" s="7" t="s">
        <v>5044</v>
      </c>
      <c r="AK702" s="7" t="s">
        <v>5318</v>
      </c>
      <c r="AL702" s="7">
        <v>0</v>
      </c>
      <c r="AM702" s="7">
        <v>0</v>
      </c>
      <c r="AN702" s="7" t="s">
        <v>5318</v>
      </c>
      <c r="AO702" s="11">
        <v>9</v>
      </c>
    </row>
    <row r="703" spans="1:41" ht="63" customHeight="1" x14ac:dyDescent="0.2">
      <c r="A703" s="7">
        <v>8871</v>
      </c>
      <c r="B703" s="7" t="s">
        <v>3131</v>
      </c>
      <c r="C703" s="7" t="s">
        <v>3132</v>
      </c>
      <c r="D703" s="7" t="s">
        <v>22</v>
      </c>
      <c r="F703" s="7" t="s">
        <v>626</v>
      </c>
      <c r="G703" s="7" t="s">
        <v>37</v>
      </c>
      <c r="H703" s="7" t="s">
        <v>43</v>
      </c>
      <c r="I703" s="7" t="s">
        <v>13</v>
      </c>
      <c r="J703" s="7" t="s">
        <v>3133</v>
      </c>
      <c r="K703" s="7" t="s">
        <v>3134</v>
      </c>
      <c r="L703" s="7" t="s">
        <v>5913</v>
      </c>
      <c r="M703" s="7">
        <v>0</v>
      </c>
      <c r="N703" s="7" t="s">
        <v>5044</v>
      </c>
      <c r="O703" s="7" t="s">
        <v>5044</v>
      </c>
      <c r="P703" s="7">
        <v>0</v>
      </c>
      <c r="Q703" s="7">
        <v>0</v>
      </c>
      <c r="R703" s="7">
        <v>0</v>
      </c>
      <c r="S703" s="7">
        <v>1</v>
      </c>
      <c r="T703" s="7">
        <v>1</v>
      </c>
      <c r="U703" s="7">
        <v>198</v>
      </c>
      <c r="V703" s="7">
        <v>0</v>
      </c>
      <c r="W703" s="7">
        <v>1</v>
      </c>
      <c r="X703" s="7">
        <v>0</v>
      </c>
      <c r="Y703" s="7">
        <v>0</v>
      </c>
      <c r="Z703" s="7">
        <v>0</v>
      </c>
      <c r="AA703" s="7">
        <v>0</v>
      </c>
      <c r="AB703" s="7">
        <v>1</v>
      </c>
      <c r="AC703" s="7">
        <v>0</v>
      </c>
      <c r="AD703" s="7" t="s">
        <v>5044</v>
      </c>
      <c r="AE703" s="7" t="s">
        <v>5044</v>
      </c>
      <c r="AF703" s="7" t="s">
        <v>5044</v>
      </c>
      <c r="AG703" s="7">
        <v>0</v>
      </c>
      <c r="AH703" s="7" t="s">
        <v>5044</v>
      </c>
      <c r="AI703" s="7" t="s">
        <v>5044</v>
      </c>
      <c r="AJ703" s="7" t="s">
        <v>5044</v>
      </c>
      <c r="AK703" s="7" t="s">
        <v>5318</v>
      </c>
      <c r="AL703" s="7">
        <v>0</v>
      </c>
      <c r="AM703" s="7">
        <v>0</v>
      </c>
      <c r="AN703" s="7" t="s">
        <v>5318</v>
      </c>
      <c r="AO703" s="11">
        <v>9</v>
      </c>
    </row>
    <row r="704" spans="1:41" ht="63" customHeight="1" x14ac:dyDescent="0.2">
      <c r="A704" s="7">
        <v>8883</v>
      </c>
      <c r="B704" s="7" t="s">
        <v>3135</v>
      </c>
      <c r="C704" s="7" t="s">
        <v>3136</v>
      </c>
      <c r="D704" s="7" t="s">
        <v>16</v>
      </c>
      <c r="F704" s="7" t="s">
        <v>372</v>
      </c>
      <c r="G704" s="7" t="s">
        <v>175</v>
      </c>
      <c r="H704" s="7" t="s">
        <v>290</v>
      </c>
      <c r="I704" s="7" t="s">
        <v>13</v>
      </c>
      <c r="J704" s="7" t="s">
        <v>3137</v>
      </c>
      <c r="K704" s="7" t="s">
        <v>3138</v>
      </c>
      <c r="L704" s="7" t="s">
        <v>5914</v>
      </c>
      <c r="M704" s="7">
        <v>0</v>
      </c>
      <c r="N704" s="7" t="s">
        <v>5044</v>
      </c>
      <c r="O704" s="7" t="s">
        <v>5044</v>
      </c>
      <c r="P704" s="7">
        <v>0</v>
      </c>
      <c r="Q704" s="7">
        <v>0</v>
      </c>
      <c r="R704" s="7">
        <v>0</v>
      </c>
      <c r="S704" s="7">
        <v>1</v>
      </c>
      <c r="T704" s="7">
        <v>6</v>
      </c>
      <c r="U704" s="7">
        <v>224</v>
      </c>
      <c r="V704" s="7">
        <v>0</v>
      </c>
      <c r="W704" s="7">
        <v>1</v>
      </c>
      <c r="X704" s="7">
        <v>0</v>
      </c>
      <c r="Y704" s="7">
        <v>0</v>
      </c>
      <c r="Z704" s="7">
        <v>0</v>
      </c>
      <c r="AA704" s="7">
        <v>0</v>
      </c>
      <c r="AB704" s="7">
        <v>1</v>
      </c>
      <c r="AC704" s="7">
        <v>1</v>
      </c>
      <c r="AD704" s="7" t="s">
        <v>5044</v>
      </c>
      <c r="AE704" s="7" t="s">
        <v>5044</v>
      </c>
      <c r="AF704" s="7" t="s">
        <v>5044</v>
      </c>
      <c r="AG704" s="7">
        <v>2</v>
      </c>
      <c r="AH704" s="7">
        <v>3</v>
      </c>
      <c r="AI704" s="7">
        <v>0</v>
      </c>
      <c r="AJ704" s="7" t="s">
        <v>5044</v>
      </c>
      <c r="AK704" s="7">
        <v>1</v>
      </c>
      <c r="AL704" s="7" t="s">
        <v>5044</v>
      </c>
      <c r="AM704" s="7">
        <v>0</v>
      </c>
      <c r="AN704" s="7" t="s">
        <v>5105</v>
      </c>
      <c r="AO704" s="11">
        <v>3</v>
      </c>
    </row>
    <row r="705" spans="1:41" ht="63" customHeight="1" x14ac:dyDescent="0.2">
      <c r="A705" s="7">
        <v>8887</v>
      </c>
      <c r="B705" s="7" t="s">
        <v>3139</v>
      </c>
      <c r="C705" s="7" t="s">
        <v>3140</v>
      </c>
      <c r="D705" s="7" t="s">
        <v>74</v>
      </c>
      <c r="H705" s="7" t="s">
        <v>679</v>
      </c>
      <c r="I705" s="7" t="s">
        <v>13</v>
      </c>
      <c r="J705" s="7" t="s">
        <v>3141</v>
      </c>
      <c r="K705" s="7" t="s">
        <v>3142</v>
      </c>
      <c r="L705" s="7" t="s">
        <v>5916</v>
      </c>
      <c r="M705" s="7">
        <v>0</v>
      </c>
      <c r="N705" s="7" t="s">
        <v>5044</v>
      </c>
      <c r="O705" s="7" t="s">
        <v>5044</v>
      </c>
      <c r="P705" s="7">
        <v>0</v>
      </c>
      <c r="Q705" s="7">
        <v>0</v>
      </c>
      <c r="R705" s="7">
        <v>0</v>
      </c>
      <c r="S705" s="7">
        <v>3</v>
      </c>
      <c r="T705" s="7">
        <v>1</v>
      </c>
      <c r="U705" s="7">
        <v>145</v>
      </c>
      <c r="V705" s="7">
        <v>0</v>
      </c>
      <c r="W705" s="7">
        <v>1</v>
      </c>
      <c r="X705" s="7">
        <v>0</v>
      </c>
      <c r="Y705" s="7">
        <v>0</v>
      </c>
      <c r="Z705" s="7">
        <v>0</v>
      </c>
      <c r="AA705" s="7">
        <v>0</v>
      </c>
      <c r="AB705" s="7">
        <v>1</v>
      </c>
      <c r="AC705" s="7">
        <v>1</v>
      </c>
      <c r="AD705" s="7" t="s">
        <v>5044</v>
      </c>
      <c r="AE705" s="7" t="s">
        <v>5044</v>
      </c>
      <c r="AF705" s="7" t="s">
        <v>5044</v>
      </c>
      <c r="AG705" s="7">
        <v>2</v>
      </c>
      <c r="AH705" s="7">
        <v>3</v>
      </c>
      <c r="AI705" s="7">
        <v>0</v>
      </c>
      <c r="AJ705" s="7" t="s">
        <v>5044</v>
      </c>
      <c r="AK705" s="7" t="s">
        <v>5917</v>
      </c>
      <c r="AL705" s="7">
        <v>0</v>
      </c>
      <c r="AM705" s="7">
        <v>0</v>
      </c>
      <c r="AN705" s="7" t="s">
        <v>5318</v>
      </c>
      <c r="AO705" s="11">
        <v>3</v>
      </c>
    </row>
    <row r="706" spans="1:41" ht="63" customHeight="1" x14ac:dyDescent="0.2">
      <c r="A706" s="7">
        <v>8918</v>
      </c>
      <c r="B706" s="7" t="s">
        <v>3147</v>
      </c>
      <c r="C706" s="7" t="s">
        <v>3148</v>
      </c>
      <c r="D706" s="7" t="s">
        <v>16</v>
      </c>
      <c r="F706" s="7" t="s">
        <v>865</v>
      </c>
      <c r="G706" s="7" t="s">
        <v>48</v>
      </c>
      <c r="H706" s="7" t="s">
        <v>286</v>
      </c>
      <c r="I706" s="7" t="s">
        <v>13</v>
      </c>
      <c r="J706" s="7" t="s">
        <v>3149</v>
      </c>
      <c r="K706" s="7" t="s">
        <v>3150</v>
      </c>
      <c r="L706" s="7" t="s">
        <v>5920</v>
      </c>
      <c r="M706" s="7">
        <v>0</v>
      </c>
      <c r="N706" s="7" t="s">
        <v>5044</v>
      </c>
      <c r="O706" s="7" t="s">
        <v>5044</v>
      </c>
      <c r="P706" s="7">
        <v>0</v>
      </c>
      <c r="Q706" s="7">
        <v>0</v>
      </c>
      <c r="R706" s="7">
        <v>0</v>
      </c>
      <c r="S706" s="7">
        <v>1</v>
      </c>
      <c r="T706" s="7">
        <v>4</v>
      </c>
      <c r="U706" s="7">
        <v>126</v>
      </c>
      <c r="V706" s="7">
        <v>0</v>
      </c>
      <c r="W706" s="7">
        <v>1</v>
      </c>
      <c r="X706" s="7">
        <v>0</v>
      </c>
      <c r="Y706" s="7">
        <v>0</v>
      </c>
      <c r="Z706" s="7">
        <v>0</v>
      </c>
      <c r="AA706" s="7">
        <v>0</v>
      </c>
      <c r="AB706" s="7">
        <v>1</v>
      </c>
      <c r="AC706" s="7">
        <v>1</v>
      </c>
      <c r="AD706" s="7" t="s">
        <v>5044</v>
      </c>
      <c r="AE706" s="7" t="s">
        <v>5044</v>
      </c>
      <c r="AF706" s="7" t="s">
        <v>5044</v>
      </c>
      <c r="AG706" s="7">
        <v>1</v>
      </c>
      <c r="AH706" s="7">
        <v>0</v>
      </c>
      <c r="AI706" s="7">
        <v>0</v>
      </c>
      <c r="AJ706" s="7" t="s">
        <v>5044</v>
      </c>
      <c r="AK706" s="7" t="s">
        <v>5318</v>
      </c>
      <c r="AL706" s="7">
        <v>1</v>
      </c>
      <c r="AM706" s="7">
        <v>0</v>
      </c>
      <c r="AO706" s="9">
        <v>0</v>
      </c>
    </row>
    <row r="707" spans="1:41" ht="63" customHeight="1" x14ac:dyDescent="0.2">
      <c r="A707" s="7">
        <v>8920</v>
      </c>
      <c r="B707" s="7" t="s">
        <v>3151</v>
      </c>
      <c r="C707" s="7" t="s">
        <v>3152</v>
      </c>
      <c r="D707" s="7" t="s">
        <v>16</v>
      </c>
      <c r="F707" s="7" t="s">
        <v>220</v>
      </c>
      <c r="G707" s="7" t="s">
        <v>144</v>
      </c>
      <c r="H707" s="7" t="s">
        <v>3153</v>
      </c>
      <c r="I707" s="7" t="s">
        <v>13</v>
      </c>
      <c r="J707" s="7" t="s">
        <v>3154</v>
      </c>
      <c r="K707" s="7" t="s">
        <v>3155</v>
      </c>
      <c r="L707" s="11" t="s">
        <v>5044</v>
      </c>
      <c r="M707" s="7">
        <v>0</v>
      </c>
      <c r="N707" s="7" t="s">
        <v>5044</v>
      </c>
      <c r="O707" s="7" t="s">
        <v>5044</v>
      </c>
      <c r="P707" s="7">
        <v>0</v>
      </c>
      <c r="Q707" s="7">
        <v>0</v>
      </c>
      <c r="R707" s="7">
        <v>0</v>
      </c>
      <c r="S707" s="7" t="s">
        <v>5921</v>
      </c>
      <c r="T707" s="7">
        <v>4</v>
      </c>
      <c r="U707" s="7">
        <v>16</v>
      </c>
      <c r="V707" s="7">
        <v>0</v>
      </c>
      <c r="W707" s="7">
        <v>1</v>
      </c>
      <c r="X707" s="7">
        <v>0</v>
      </c>
      <c r="Y707" s="7">
        <v>0</v>
      </c>
      <c r="Z707" s="7">
        <v>0</v>
      </c>
      <c r="AA707" s="7">
        <v>0</v>
      </c>
      <c r="AB707" s="7">
        <v>1</v>
      </c>
      <c r="AC707" s="7">
        <v>1</v>
      </c>
      <c r="AD707" s="7" t="s">
        <v>5044</v>
      </c>
      <c r="AE707" s="7" t="s">
        <v>5044</v>
      </c>
      <c r="AF707" s="7" t="s">
        <v>5044</v>
      </c>
      <c r="AG707" s="7">
        <v>2</v>
      </c>
      <c r="AH707" s="7">
        <v>3</v>
      </c>
      <c r="AI707" s="7">
        <v>0</v>
      </c>
      <c r="AJ707" s="7" t="s">
        <v>5044</v>
      </c>
      <c r="AK707" s="7" t="s">
        <v>5922</v>
      </c>
      <c r="AL707" s="7" t="s">
        <v>5044</v>
      </c>
      <c r="AM707" s="7">
        <v>0</v>
      </c>
      <c r="AO707" s="11">
        <v>3</v>
      </c>
    </row>
    <row r="708" spans="1:41" ht="63" customHeight="1" x14ac:dyDescent="0.2">
      <c r="A708" s="7">
        <v>8921</v>
      </c>
      <c r="B708" s="7" t="s">
        <v>3156</v>
      </c>
      <c r="C708" s="7" t="s">
        <v>3157</v>
      </c>
      <c r="D708" s="7" t="s">
        <v>101</v>
      </c>
      <c r="F708" s="7" t="s">
        <v>859</v>
      </c>
      <c r="G708" s="7" t="s">
        <v>32</v>
      </c>
      <c r="H708" s="7" t="s">
        <v>390</v>
      </c>
      <c r="I708" s="7" t="s">
        <v>13</v>
      </c>
      <c r="J708" s="7" t="s">
        <v>3158</v>
      </c>
      <c r="K708" s="7" t="s">
        <v>3159</v>
      </c>
      <c r="L708" s="7" t="s">
        <v>5923</v>
      </c>
      <c r="M708" s="7">
        <v>0</v>
      </c>
      <c r="N708" s="7" t="s">
        <v>5044</v>
      </c>
      <c r="O708" s="7" t="s">
        <v>5044</v>
      </c>
      <c r="P708" s="7">
        <v>0</v>
      </c>
      <c r="Q708" s="7">
        <v>0</v>
      </c>
      <c r="R708" s="7">
        <v>0</v>
      </c>
      <c r="S708" s="7">
        <v>5</v>
      </c>
      <c r="T708" s="7">
        <v>2</v>
      </c>
      <c r="U708" s="7">
        <v>141</v>
      </c>
      <c r="V708" s="7">
        <v>0</v>
      </c>
      <c r="W708" s="7">
        <v>1</v>
      </c>
      <c r="X708" s="7">
        <v>0</v>
      </c>
      <c r="Y708" s="7">
        <v>0</v>
      </c>
      <c r="Z708" s="7">
        <v>0</v>
      </c>
      <c r="AA708" s="7">
        <v>0</v>
      </c>
      <c r="AB708" s="7">
        <v>1</v>
      </c>
      <c r="AC708" s="7">
        <v>1</v>
      </c>
      <c r="AD708" s="7" t="s">
        <v>5044</v>
      </c>
      <c r="AE708" s="7" t="s">
        <v>5044</v>
      </c>
      <c r="AF708" s="7" t="s">
        <v>5044</v>
      </c>
      <c r="AG708" s="7">
        <v>1</v>
      </c>
      <c r="AH708" s="7">
        <v>0</v>
      </c>
      <c r="AI708" s="7">
        <v>0</v>
      </c>
      <c r="AJ708" s="7" t="s">
        <v>5044</v>
      </c>
      <c r="AK708" s="7" t="s">
        <v>5318</v>
      </c>
      <c r="AL708" s="7">
        <v>1</v>
      </c>
      <c r="AM708" s="7">
        <v>0</v>
      </c>
      <c r="AN708" s="7" t="s">
        <v>5318</v>
      </c>
      <c r="AO708" s="9">
        <v>0</v>
      </c>
    </row>
    <row r="709" spans="1:41" ht="63" customHeight="1" x14ac:dyDescent="0.2">
      <c r="A709" s="7">
        <v>8922</v>
      </c>
      <c r="B709" s="7" t="s">
        <v>3160</v>
      </c>
      <c r="C709" s="7" t="s">
        <v>3161</v>
      </c>
      <c r="D709" s="7" t="s">
        <v>74</v>
      </c>
      <c r="F709" s="7" t="s">
        <v>757</v>
      </c>
      <c r="G709" s="7" t="s">
        <v>32</v>
      </c>
      <c r="H709" s="7" t="s">
        <v>459</v>
      </c>
      <c r="I709" s="7" t="s">
        <v>13</v>
      </c>
      <c r="J709" s="7" t="s">
        <v>3162</v>
      </c>
      <c r="K709" s="7" t="s">
        <v>3163</v>
      </c>
      <c r="L709" s="7" t="s">
        <v>5924</v>
      </c>
      <c r="M709" s="7">
        <v>0</v>
      </c>
      <c r="N709" s="7" t="s">
        <v>5044</v>
      </c>
      <c r="O709" s="7" t="s">
        <v>5044</v>
      </c>
      <c r="P709" s="7">
        <v>0</v>
      </c>
      <c r="Q709" s="7">
        <v>0</v>
      </c>
      <c r="R709" s="7">
        <v>0</v>
      </c>
      <c r="S709" s="7">
        <v>2</v>
      </c>
      <c r="T709" s="7">
        <v>4</v>
      </c>
      <c r="U709" s="7">
        <v>68</v>
      </c>
      <c r="V709" s="7">
        <v>0</v>
      </c>
      <c r="W709" s="7">
        <v>1</v>
      </c>
      <c r="X709" s="7">
        <v>0</v>
      </c>
      <c r="Y709" s="7">
        <v>0</v>
      </c>
      <c r="Z709" s="7">
        <v>1</v>
      </c>
      <c r="AA709" s="7">
        <v>0</v>
      </c>
      <c r="AB709" s="7">
        <v>0</v>
      </c>
      <c r="AC709" s="7">
        <v>1</v>
      </c>
      <c r="AD709" s="7" t="s">
        <v>5044</v>
      </c>
      <c r="AE709" s="7" t="s">
        <v>5044</v>
      </c>
      <c r="AF709" s="7" t="s">
        <v>5044</v>
      </c>
      <c r="AG709" s="7">
        <v>0</v>
      </c>
      <c r="AH709" s="7" t="s">
        <v>5044</v>
      </c>
      <c r="AI709" s="7" t="s">
        <v>5044</v>
      </c>
      <c r="AJ709" s="7">
        <v>0</v>
      </c>
      <c r="AK709" s="7" t="s">
        <v>5318</v>
      </c>
      <c r="AL709" s="7">
        <v>1</v>
      </c>
      <c r="AM709" s="7">
        <v>0</v>
      </c>
      <c r="AO709" s="11">
        <v>9</v>
      </c>
    </row>
    <row r="710" spans="1:41" ht="63" customHeight="1" x14ac:dyDescent="0.2">
      <c r="A710" s="7">
        <v>8930</v>
      </c>
      <c r="B710" s="7" t="s">
        <v>3164</v>
      </c>
      <c r="C710" s="7" t="s">
        <v>3165</v>
      </c>
      <c r="D710" s="7" t="s">
        <v>46</v>
      </c>
      <c r="F710" s="7" t="s">
        <v>865</v>
      </c>
      <c r="G710" s="7" t="s">
        <v>48</v>
      </c>
      <c r="H710" s="7" t="s">
        <v>357</v>
      </c>
      <c r="I710" s="7" t="s">
        <v>13</v>
      </c>
      <c r="J710" s="7" t="s">
        <v>3166</v>
      </c>
      <c r="K710" s="7" t="s">
        <v>3167</v>
      </c>
      <c r="L710" s="11" t="s">
        <v>5044</v>
      </c>
      <c r="M710" s="7">
        <v>0</v>
      </c>
      <c r="N710" s="7" t="s">
        <v>5044</v>
      </c>
      <c r="O710" s="7" t="s">
        <v>5044</v>
      </c>
      <c r="P710" s="7">
        <v>0</v>
      </c>
      <c r="Q710" s="7">
        <v>0</v>
      </c>
      <c r="R710" s="7">
        <v>0</v>
      </c>
      <c r="S710" s="7">
        <v>1</v>
      </c>
      <c r="T710" s="7">
        <v>4</v>
      </c>
      <c r="U710" s="7">
        <v>63</v>
      </c>
      <c r="V710" s="7">
        <v>0</v>
      </c>
      <c r="W710" s="7">
        <v>1</v>
      </c>
      <c r="X710" s="7">
        <v>0</v>
      </c>
      <c r="Y710" s="7">
        <v>0</v>
      </c>
      <c r="Z710" s="7">
        <v>0</v>
      </c>
      <c r="AA710" s="7">
        <v>0</v>
      </c>
      <c r="AB710" s="7">
        <v>0</v>
      </c>
      <c r="AC710" s="7">
        <v>1</v>
      </c>
      <c r="AD710" s="7" t="s">
        <v>5044</v>
      </c>
      <c r="AE710" s="7" t="s">
        <v>5044</v>
      </c>
      <c r="AF710" s="7" t="s">
        <v>5044</v>
      </c>
      <c r="AG710" s="7">
        <v>2</v>
      </c>
      <c r="AH710" s="7">
        <v>3</v>
      </c>
      <c r="AI710" s="7">
        <v>0</v>
      </c>
      <c r="AJ710" s="7" t="s">
        <v>5044</v>
      </c>
      <c r="AL710" s="7" t="s">
        <v>5044</v>
      </c>
      <c r="AM710" s="7">
        <v>0</v>
      </c>
      <c r="AO710" s="11">
        <v>3</v>
      </c>
    </row>
    <row r="711" spans="1:41" ht="63" customHeight="1" x14ac:dyDescent="0.2">
      <c r="A711" s="7">
        <v>8931</v>
      </c>
      <c r="B711" s="23" t="s">
        <v>3168</v>
      </c>
      <c r="C711" s="7" t="s">
        <v>3169</v>
      </c>
      <c r="D711" s="7" t="s">
        <v>46</v>
      </c>
      <c r="F711" s="7" t="s">
        <v>332</v>
      </c>
      <c r="G711" s="7" t="s">
        <v>175</v>
      </c>
      <c r="H711" s="7" t="s">
        <v>217</v>
      </c>
      <c r="I711" s="7" t="s">
        <v>13</v>
      </c>
      <c r="J711" s="7" t="s">
        <v>3170</v>
      </c>
      <c r="K711" s="7" t="s">
        <v>3171</v>
      </c>
      <c r="L711" s="7" t="s">
        <v>5926</v>
      </c>
      <c r="M711" s="7">
        <v>0</v>
      </c>
      <c r="N711" s="7" t="s">
        <v>5044</v>
      </c>
      <c r="O711" s="7" t="s">
        <v>5044</v>
      </c>
      <c r="P711" s="7">
        <v>0</v>
      </c>
      <c r="Q711" s="7">
        <v>0</v>
      </c>
      <c r="R711" s="7">
        <v>0</v>
      </c>
      <c r="S711" s="7">
        <v>1</v>
      </c>
      <c r="T711" s="7">
        <v>4</v>
      </c>
      <c r="U711" s="7">
        <v>662</v>
      </c>
      <c r="V711" s="7">
        <v>1</v>
      </c>
      <c r="W711" s="7">
        <v>0</v>
      </c>
      <c r="X711" s="7">
        <v>0</v>
      </c>
      <c r="Y711" s="7">
        <v>0</v>
      </c>
      <c r="Z711" s="7">
        <v>0</v>
      </c>
      <c r="AA711" s="7">
        <v>0</v>
      </c>
      <c r="AB711" s="7">
        <v>1</v>
      </c>
      <c r="AC711" s="7">
        <v>1</v>
      </c>
      <c r="AD711" s="7">
        <v>2</v>
      </c>
      <c r="AE711" s="7">
        <v>2</v>
      </c>
      <c r="AF711" s="7">
        <v>2</v>
      </c>
      <c r="AG711" s="23" t="s">
        <v>5044</v>
      </c>
      <c r="AH711" s="23" t="s">
        <v>5044</v>
      </c>
      <c r="AI711" s="23" t="s">
        <v>5044</v>
      </c>
      <c r="AJ711" s="7" t="s">
        <v>5044</v>
      </c>
      <c r="AK711" s="7" t="s">
        <v>5927</v>
      </c>
      <c r="AL711" s="7">
        <v>1</v>
      </c>
      <c r="AM711" s="7">
        <v>0</v>
      </c>
      <c r="AN711" s="7" t="s">
        <v>5318</v>
      </c>
      <c r="AO711" s="11">
        <v>2</v>
      </c>
    </row>
    <row r="712" spans="1:41" ht="63" customHeight="1" x14ac:dyDescent="0.2">
      <c r="A712" s="7">
        <v>8940</v>
      </c>
      <c r="B712" s="7" t="s">
        <v>3172</v>
      </c>
      <c r="C712" s="7" t="s">
        <v>3173</v>
      </c>
      <c r="D712" s="7" t="s">
        <v>22</v>
      </c>
      <c r="F712" s="7" t="s">
        <v>3174</v>
      </c>
      <c r="H712" s="7" t="s">
        <v>572</v>
      </c>
      <c r="I712" s="7" t="s">
        <v>13</v>
      </c>
      <c r="J712" s="7" t="s">
        <v>3175</v>
      </c>
      <c r="K712" s="7" t="s">
        <v>3176</v>
      </c>
      <c r="L712" s="7" t="s">
        <v>5928</v>
      </c>
      <c r="M712" s="7">
        <v>0</v>
      </c>
      <c r="N712" s="7" t="s">
        <v>5044</v>
      </c>
      <c r="O712" s="7" t="s">
        <v>5044</v>
      </c>
      <c r="P712" s="7">
        <v>0</v>
      </c>
      <c r="Q712" s="7">
        <v>0</v>
      </c>
      <c r="R712" s="7">
        <v>0</v>
      </c>
      <c r="S712" s="7">
        <v>1</v>
      </c>
      <c r="T712" s="7">
        <v>4</v>
      </c>
      <c r="U712" s="7">
        <v>70</v>
      </c>
      <c r="V712" s="7">
        <v>0</v>
      </c>
      <c r="W712" s="7">
        <v>1</v>
      </c>
      <c r="X712" s="7">
        <v>0</v>
      </c>
      <c r="Y712" s="7">
        <v>0</v>
      </c>
      <c r="Z712" s="7">
        <v>0</v>
      </c>
      <c r="AA712" s="7">
        <v>0</v>
      </c>
      <c r="AB712" s="7">
        <v>1</v>
      </c>
      <c r="AC712" s="7">
        <v>1</v>
      </c>
      <c r="AD712" s="7" t="s">
        <v>5044</v>
      </c>
      <c r="AE712" s="7" t="s">
        <v>5044</v>
      </c>
      <c r="AF712" s="7" t="s">
        <v>5044</v>
      </c>
      <c r="AG712" s="7">
        <v>2</v>
      </c>
      <c r="AH712" s="7">
        <v>3</v>
      </c>
      <c r="AI712" s="7">
        <v>0</v>
      </c>
      <c r="AJ712" s="7" t="s">
        <v>5044</v>
      </c>
      <c r="AK712" s="7">
        <v>1</v>
      </c>
      <c r="AL712" s="7">
        <v>0</v>
      </c>
      <c r="AM712" s="7">
        <v>0</v>
      </c>
      <c r="AN712" s="7" t="s">
        <v>5318</v>
      </c>
      <c r="AO712" s="11">
        <v>3</v>
      </c>
    </row>
    <row r="713" spans="1:41" ht="63" customHeight="1" x14ac:dyDescent="0.2">
      <c r="A713" s="7">
        <v>8959</v>
      </c>
      <c r="B713" s="7" t="s">
        <v>3177</v>
      </c>
      <c r="C713" s="7" t="s">
        <v>3178</v>
      </c>
      <c r="D713" s="7" t="s">
        <v>16</v>
      </c>
      <c r="F713" s="7" t="s">
        <v>3179</v>
      </c>
      <c r="G713" s="7" t="s">
        <v>32</v>
      </c>
      <c r="H713" s="7" t="s">
        <v>730</v>
      </c>
      <c r="I713" s="7" t="s">
        <v>13</v>
      </c>
      <c r="J713" s="7" t="s">
        <v>3180</v>
      </c>
      <c r="K713" s="7" t="s">
        <v>3181</v>
      </c>
      <c r="L713" s="7" t="s">
        <v>5929</v>
      </c>
      <c r="M713" s="7">
        <v>0</v>
      </c>
      <c r="N713" s="7" t="s">
        <v>5044</v>
      </c>
      <c r="O713" s="7" t="s">
        <v>5044</v>
      </c>
      <c r="P713" s="7">
        <v>0</v>
      </c>
      <c r="Q713" s="7">
        <v>0</v>
      </c>
      <c r="R713" s="7">
        <v>0</v>
      </c>
      <c r="S713" s="7" t="s">
        <v>5708</v>
      </c>
      <c r="T713" s="7">
        <v>3</v>
      </c>
      <c r="U713" s="7">
        <v>208</v>
      </c>
      <c r="V713" s="7">
        <v>1</v>
      </c>
      <c r="W713" s="7">
        <v>0</v>
      </c>
      <c r="X713" s="7">
        <v>0</v>
      </c>
      <c r="Y713" s="7">
        <v>0</v>
      </c>
      <c r="Z713" s="7">
        <v>0</v>
      </c>
      <c r="AA713" s="7">
        <v>0</v>
      </c>
      <c r="AB713" s="7">
        <v>1</v>
      </c>
      <c r="AC713" s="7">
        <v>1</v>
      </c>
      <c r="AD713" s="7">
        <v>2</v>
      </c>
      <c r="AE713" s="7">
        <v>1</v>
      </c>
      <c r="AF713" s="7">
        <v>1</v>
      </c>
      <c r="AG713" s="7" t="s">
        <v>5044</v>
      </c>
      <c r="AH713" s="7" t="s">
        <v>5044</v>
      </c>
      <c r="AI713" s="7" t="s">
        <v>5044</v>
      </c>
      <c r="AJ713" s="7" t="s">
        <v>5044</v>
      </c>
      <c r="AK713" s="7" t="s">
        <v>5930</v>
      </c>
      <c r="AL713" s="7">
        <v>0</v>
      </c>
      <c r="AM713" s="7">
        <v>0</v>
      </c>
      <c r="AO713" s="11">
        <v>1</v>
      </c>
    </row>
    <row r="714" spans="1:41" ht="63" customHeight="1" x14ac:dyDescent="0.2">
      <c r="A714" s="7">
        <v>8971</v>
      </c>
      <c r="B714" s="7" t="s">
        <v>3182</v>
      </c>
      <c r="C714" s="7" t="s">
        <v>3183</v>
      </c>
      <c r="D714" s="7" t="s">
        <v>41</v>
      </c>
      <c r="F714" s="7" t="s">
        <v>92</v>
      </c>
      <c r="H714" s="7" t="s">
        <v>130</v>
      </c>
      <c r="I714" s="7" t="s">
        <v>13</v>
      </c>
      <c r="J714" s="7" t="s">
        <v>3184</v>
      </c>
      <c r="K714" s="7" t="s">
        <v>3185</v>
      </c>
      <c r="L714" s="7" t="s">
        <v>5931</v>
      </c>
      <c r="M714" s="7">
        <v>0</v>
      </c>
      <c r="N714" s="7" t="s">
        <v>5044</v>
      </c>
      <c r="O714" s="7" t="s">
        <v>5044</v>
      </c>
      <c r="P714" s="7">
        <v>0</v>
      </c>
      <c r="Q714" s="7">
        <v>0</v>
      </c>
      <c r="R714" s="7">
        <v>0</v>
      </c>
      <c r="S714" s="7">
        <v>5</v>
      </c>
      <c r="T714" s="7">
        <v>1</v>
      </c>
      <c r="U714" s="7">
        <v>154</v>
      </c>
      <c r="V714" s="7">
        <v>0</v>
      </c>
      <c r="W714" s="7">
        <v>1</v>
      </c>
      <c r="X714" s="7">
        <v>0</v>
      </c>
      <c r="Y714" s="7">
        <v>0</v>
      </c>
      <c r="Z714" s="7">
        <v>0</v>
      </c>
      <c r="AA714" s="7">
        <v>0</v>
      </c>
      <c r="AB714" s="7">
        <v>1</v>
      </c>
      <c r="AC714" s="7">
        <v>1</v>
      </c>
      <c r="AD714" s="7" t="s">
        <v>5044</v>
      </c>
      <c r="AE714" s="7" t="s">
        <v>5044</v>
      </c>
      <c r="AF714" s="7" t="s">
        <v>5044</v>
      </c>
      <c r="AG714" s="7">
        <v>2</v>
      </c>
      <c r="AH714" s="7">
        <v>3</v>
      </c>
      <c r="AI714" s="7">
        <v>0</v>
      </c>
      <c r="AJ714" s="7" t="s">
        <v>5044</v>
      </c>
      <c r="AK714" s="7">
        <v>1</v>
      </c>
      <c r="AL714" s="7">
        <v>0</v>
      </c>
      <c r="AM714" s="7">
        <v>0</v>
      </c>
      <c r="AN714" s="7" t="s">
        <v>5318</v>
      </c>
      <c r="AO714" s="11">
        <v>3</v>
      </c>
    </row>
    <row r="715" spans="1:41" ht="63" customHeight="1" x14ac:dyDescent="0.2">
      <c r="A715" s="7">
        <v>8980</v>
      </c>
      <c r="B715" s="7" t="s">
        <v>3186</v>
      </c>
      <c r="C715" s="7" t="s">
        <v>3187</v>
      </c>
      <c r="D715" s="7" t="s">
        <v>35</v>
      </c>
      <c r="F715" s="7" t="s">
        <v>1180</v>
      </c>
      <c r="G715" s="7" t="s">
        <v>144</v>
      </c>
      <c r="H715" s="7" t="s">
        <v>251</v>
      </c>
      <c r="I715" s="7" t="s">
        <v>13</v>
      </c>
      <c r="J715" s="7" t="s">
        <v>3188</v>
      </c>
      <c r="K715" s="7" t="s">
        <v>3189</v>
      </c>
      <c r="L715" s="11" t="s">
        <v>5044</v>
      </c>
      <c r="M715" s="7">
        <v>0</v>
      </c>
      <c r="N715" s="7" t="s">
        <v>5044</v>
      </c>
      <c r="O715" s="7" t="s">
        <v>5044</v>
      </c>
      <c r="P715" s="7">
        <v>0</v>
      </c>
      <c r="Q715" s="7">
        <v>0</v>
      </c>
      <c r="R715" s="7">
        <v>0</v>
      </c>
      <c r="S715" s="7">
        <v>3</v>
      </c>
      <c r="T715" s="7">
        <v>4</v>
      </c>
      <c r="U715" s="7">
        <v>102</v>
      </c>
      <c r="V715" s="7">
        <v>0</v>
      </c>
      <c r="W715" s="7">
        <v>1</v>
      </c>
      <c r="X715" s="7">
        <v>0</v>
      </c>
      <c r="Y715" s="7">
        <v>0</v>
      </c>
      <c r="Z715" s="7">
        <v>0</v>
      </c>
      <c r="AA715" s="7">
        <v>0</v>
      </c>
      <c r="AB715" s="7">
        <v>1</v>
      </c>
      <c r="AC715" s="7">
        <v>1</v>
      </c>
      <c r="AD715" s="7" t="s">
        <v>5044</v>
      </c>
      <c r="AE715" s="7" t="s">
        <v>5044</v>
      </c>
      <c r="AF715" s="7" t="s">
        <v>5044</v>
      </c>
      <c r="AG715" s="7">
        <v>2</v>
      </c>
      <c r="AH715" s="7">
        <v>3</v>
      </c>
      <c r="AI715" s="7">
        <v>0</v>
      </c>
      <c r="AJ715" s="7" t="s">
        <v>5044</v>
      </c>
      <c r="AK715" s="7">
        <v>1</v>
      </c>
      <c r="AL715" s="7" t="s">
        <v>5044</v>
      </c>
      <c r="AM715" s="7">
        <v>0</v>
      </c>
      <c r="AN715" s="7" t="s">
        <v>5105</v>
      </c>
      <c r="AO715" s="11">
        <v>3</v>
      </c>
    </row>
    <row r="716" spans="1:41" ht="63" customHeight="1" x14ac:dyDescent="0.2">
      <c r="A716" s="7">
        <v>8989</v>
      </c>
      <c r="B716" s="7" t="s">
        <v>3194</v>
      </c>
      <c r="C716" s="7" t="s">
        <v>3195</v>
      </c>
      <c r="D716" s="7" t="s">
        <v>16</v>
      </c>
      <c r="F716" s="7" t="s">
        <v>3196</v>
      </c>
      <c r="G716" s="7" t="s">
        <v>37</v>
      </c>
      <c r="H716" s="7" t="s">
        <v>740</v>
      </c>
      <c r="I716" s="7" t="s">
        <v>13</v>
      </c>
      <c r="J716" s="7" t="s">
        <v>3197</v>
      </c>
      <c r="K716" s="7" t="s">
        <v>3198</v>
      </c>
      <c r="L716" s="7" t="s">
        <v>5933</v>
      </c>
      <c r="M716" s="7">
        <v>0</v>
      </c>
      <c r="N716" s="7" t="s">
        <v>5044</v>
      </c>
      <c r="O716" s="7" t="s">
        <v>5044</v>
      </c>
      <c r="P716" s="7">
        <v>0</v>
      </c>
      <c r="Q716" s="7">
        <v>0</v>
      </c>
      <c r="R716" s="7">
        <v>0</v>
      </c>
      <c r="S716" s="7">
        <v>9</v>
      </c>
      <c r="T716" s="7">
        <v>4</v>
      </c>
      <c r="U716" s="7">
        <v>74</v>
      </c>
      <c r="V716" s="7">
        <v>0</v>
      </c>
      <c r="W716" s="7">
        <v>1</v>
      </c>
      <c r="X716" s="7">
        <v>0</v>
      </c>
      <c r="Y716" s="7">
        <v>0</v>
      </c>
      <c r="Z716" s="7">
        <v>0</v>
      </c>
      <c r="AA716" s="7">
        <v>0</v>
      </c>
      <c r="AB716" s="7">
        <v>1</v>
      </c>
      <c r="AC716" s="7">
        <v>1</v>
      </c>
      <c r="AD716" s="7" t="s">
        <v>5044</v>
      </c>
      <c r="AE716" s="7" t="s">
        <v>5044</v>
      </c>
      <c r="AF716" s="7" t="s">
        <v>5044</v>
      </c>
      <c r="AG716" s="7">
        <v>1</v>
      </c>
      <c r="AH716" s="7">
        <v>0</v>
      </c>
      <c r="AI716" s="7">
        <v>0</v>
      </c>
      <c r="AJ716" s="7" t="s">
        <v>5044</v>
      </c>
      <c r="AK716" s="7" t="s">
        <v>5318</v>
      </c>
      <c r="AL716" s="7">
        <v>1</v>
      </c>
      <c r="AM716" s="7">
        <v>0</v>
      </c>
      <c r="AO716" s="9">
        <v>0</v>
      </c>
    </row>
    <row r="717" spans="1:41" ht="63" customHeight="1" x14ac:dyDescent="0.2">
      <c r="A717" s="7">
        <v>8990</v>
      </c>
      <c r="B717" s="7" t="s">
        <v>3199</v>
      </c>
      <c r="C717" s="7" t="s">
        <v>3200</v>
      </c>
      <c r="D717" s="7" t="s">
        <v>46</v>
      </c>
      <c r="F717" s="7" t="s">
        <v>338</v>
      </c>
      <c r="G717" s="7" t="s">
        <v>18</v>
      </c>
      <c r="H717" s="7" t="s">
        <v>12</v>
      </c>
      <c r="I717" s="7" t="s">
        <v>13</v>
      </c>
      <c r="J717" s="7" t="s">
        <v>3201</v>
      </c>
      <c r="K717" s="7" t="s">
        <v>3202</v>
      </c>
      <c r="L717" s="7" t="s">
        <v>5934</v>
      </c>
      <c r="M717" s="7">
        <v>0</v>
      </c>
      <c r="N717" s="7" t="s">
        <v>5044</v>
      </c>
      <c r="O717" s="7" t="s">
        <v>5044</v>
      </c>
      <c r="P717" s="7">
        <v>0</v>
      </c>
      <c r="Q717" s="7">
        <v>0</v>
      </c>
      <c r="R717" s="7">
        <v>0</v>
      </c>
      <c r="S717" s="7">
        <v>3</v>
      </c>
      <c r="T717" s="7">
        <v>1</v>
      </c>
      <c r="U717" s="7">
        <v>401</v>
      </c>
      <c r="V717" s="7">
        <v>0</v>
      </c>
      <c r="W717" s="7">
        <v>1</v>
      </c>
      <c r="X717" s="7">
        <v>0</v>
      </c>
      <c r="Y717" s="7">
        <v>0</v>
      </c>
      <c r="Z717" s="7">
        <v>0</v>
      </c>
      <c r="AA717" s="7">
        <v>0</v>
      </c>
      <c r="AB717" s="7">
        <v>1</v>
      </c>
      <c r="AC717" s="7">
        <v>1</v>
      </c>
      <c r="AD717" s="7" t="s">
        <v>5044</v>
      </c>
      <c r="AE717" s="7" t="s">
        <v>5044</v>
      </c>
      <c r="AF717" s="7" t="s">
        <v>5044</v>
      </c>
      <c r="AG717" s="7">
        <v>2</v>
      </c>
      <c r="AH717" s="7">
        <v>3</v>
      </c>
      <c r="AI717" s="7">
        <v>0</v>
      </c>
      <c r="AJ717" s="7" t="s">
        <v>5044</v>
      </c>
      <c r="AK717" s="7" t="s">
        <v>5318</v>
      </c>
      <c r="AL717" s="7">
        <v>0</v>
      </c>
      <c r="AM717" s="7">
        <v>0</v>
      </c>
      <c r="AN717" s="7" t="s">
        <v>5318</v>
      </c>
      <c r="AO717" s="11">
        <v>3</v>
      </c>
    </row>
    <row r="718" spans="1:41" ht="63" customHeight="1" x14ac:dyDescent="0.2">
      <c r="A718" s="7">
        <v>8991</v>
      </c>
      <c r="B718" s="7" t="s">
        <v>3203</v>
      </c>
      <c r="C718" s="7" t="s">
        <v>3204</v>
      </c>
      <c r="D718" s="7" t="s">
        <v>22</v>
      </c>
      <c r="F718" s="7" t="s">
        <v>65</v>
      </c>
      <c r="G718" s="7" t="s">
        <v>144</v>
      </c>
      <c r="H718" s="7" t="s">
        <v>3205</v>
      </c>
      <c r="I718" s="7" t="s">
        <v>13</v>
      </c>
      <c r="J718" s="7" t="s">
        <v>3206</v>
      </c>
      <c r="K718" s="7" t="s">
        <v>3207</v>
      </c>
      <c r="L718" s="7" t="s">
        <v>5935</v>
      </c>
      <c r="M718" s="7">
        <v>0</v>
      </c>
      <c r="N718" s="7" t="s">
        <v>5044</v>
      </c>
      <c r="O718" s="7" t="s">
        <v>5044</v>
      </c>
      <c r="P718" s="7">
        <v>0</v>
      </c>
      <c r="Q718" s="7">
        <v>0</v>
      </c>
      <c r="R718" s="7">
        <v>0</v>
      </c>
      <c r="S718" s="7">
        <v>5</v>
      </c>
      <c r="T718" s="7">
        <v>2</v>
      </c>
      <c r="U718" s="7">
        <v>132</v>
      </c>
      <c r="V718" s="7">
        <v>0</v>
      </c>
      <c r="W718" s="7">
        <v>1</v>
      </c>
      <c r="X718" s="7">
        <v>0</v>
      </c>
      <c r="Y718" s="7">
        <v>0</v>
      </c>
      <c r="Z718" s="7">
        <v>0</v>
      </c>
      <c r="AA718" s="7">
        <v>0</v>
      </c>
      <c r="AB718" s="7">
        <v>1</v>
      </c>
      <c r="AC718" s="7">
        <v>1</v>
      </c>
      <c r="AD718" s="7" t="s">
        <v>5044</v>
      </c>
      <c r="AE718" s="7" t="s">
        <v>5044</v>
      </c>
      <c r="AF718" s="7" t="s">
        <v>5044</v>
      </c>
      <c r="AG718" s="7">
        <v>2</v>
      </c>
      <c r="AH718" s="7">
        <v>3</v>
      </c>
      <c r="AI718" s="7">
        <v>0</v>
      </c>
      <c r="AJ718" s="7" t="s">
        <v>5044</v>
      </c>
      <c r="AK718" s="7" t="s">
        <v>5936</v>
      </c>
      <c r="AL718" s="7">
        <v>0</v>
      </c>
      <c r="AM718" s="7">
        <v>0</v>
      </c>
      <c r="AN718" s="7" t="s">
        <v>5318</v>
      </c>
      <c r="AO718" s="11">
        <v>3</v>
      </c>
    </row>
    <row r="719" spans="1:41" ht="63" customHeight="1" x14ac:dyDescent="0.2">
      <c r="A719" s="7">
        <v>9016</v>
      </c>
      <c r="B719" s="7" t="s">
        <v>3212</v>
      </c>
      <c r="C719" s="7" t="s">
        <v>3213</v>
      </c>
      <c r="D719" s="7" t="s">
        <v>16</v>
      </c>
      <c r="F719" s="7" t="s">
        <v>293</v>
      </c>
      <c r="H719" s="7" t="s">
        <v>453</v>
      </c>
      <c r="I719" s="7" t="s">
        <v>13</v>
      </c>
      <c r="J719" s="7" t="s">
        <v>3214</v>
      </c>
      <c r="K719" s="7" t="s">
        <v>3215</v>
      </c>
      <c r="L719" s="7" t="s">
        <v>5938</v>
      </c>
      <c r="M719" s="7">
        <v>0</v>
      </c>
      <c r="N719" s="7" t="s">
        <v>5044</v>
      </c>
      <c r="O719" s="7" t="s">
        <v>5044</v>
      </c>
      <c r="P719" s="7">
        <v>0</v>
      </c>
      <c r="Q719" s="7">
        <v>0</v>
      </c>
      <c r="R719" s="7">
        <v>0</v>
      </c>
      <c r="S719" s="7">
        <v>9</v>
      </c>
      <c r="T719" s="7">
        <v>1</v>
      </c>
      <c r="U719" s="7">
        <v>38</v>
      </c>
      <c r="V719" s="7">
        <v>0</v>
      </c>
      <c r="W719" s="7">
        <v>1</v>
      </c>
      <c r="X719" s="7">
        <v>0</v>
      </c>
      <c r="Y719" s="7">
        <v>0</v>
      </c>
      <c r="Z719" s="7">
        <v>0</v>
      </c>
      <c r="AA719" s="7">
        <v>0</v>
      </c>
      <c r="AB719" s="7">
        <v>1</v>
      </c>
      <c r="AC719" s="7">
        <v>1</v>
      </c>
      <c r="AD719" s="7" t="s">
        <v>5044</v>
      </c>
      <c r="AE719" s="7" t="s">
        <v>5044</v>
      </c>
      <c r="AF719" s="7" t="s">
        <v>5044</v>
      </c>
      <c r="AG719" s="7">
        <v>2</v>
      </c>
      <c r="AH719" s="7">
        <v>2</v>
      </c>
      <c r="AI719" s="7">
        <v>2</v>
      </c>
      <c r="AJ719" s="7" t="s">
        <v>5044</v>
      </c>
      <c r="AK719" s="7" t="s">
        <v>5318</v>
      </c>
      <c r="AL719" s="7">
        <v>1</v>
      </c>
      <c r="AM719" s="7">
        <v>0</v>
      </c>
      <c r="AN719" s="7" t="s">
        <v>5217</v>
      </c>
      <c r="AO719" s="11">
        <v>2</v>
      </c>
    </row>
    <row r="720" spans="1:41" ht="63" customHeight="1" x14ac:dyDescent="0.2">
      <c r="A720" s="7">
        <v>9019</v>
      </c>
      <c r="B720" s="7" t="s">
        <v>3216</v>
      </c>
      <c r="C720" s="7" t="s">
        <v>3217</v>
      </c>
      <c r="D720" s="7" t="s">
        <v>46</v>
      </c>
      <c r="F720" s="7" t="s">
        <v>168</v>
      </c>
      <c r="G720" s="7" t="s">
        <v>11</v>
      </c>
      <c r="H720" s="7" t="s">
        <v>160</v>
      </c>
      <c r="I720" s="7" t="s">
        <v>13</v>
      </c>
      <c r="J720" s="7" t="s">
        <v>3218</v>
      </c>
      <c r="K720" s="7" t="s">
        <v>3219</v>
      </c>
      <c r="L720" s="7" t="s">
        <v>5939</v>
      </c>
      <c r="M720" s="7">
        <v>0</v>
      </c>
      <c r="N720" s="7" t="s">
        <v>5044</v>
      </c>
      <c r="O720" s="7" t="s">
        <v>5044</v>
      </c>
      <c r="P720" s="7">
        <v>0</v>
      </c>
      <c r="Q720" s="7">
        <v>0</v>
      </c>
      <c r="R720" s="7">
        <v>0</v>
      </c>
      <c r="S720" s="7">
        <v>1</v>
      </c>
      <c r="T720" s="7">
        <v>1</v>
      </c>
      <c r="U720" s="7">
        <v>60</v>
      </c>
      <c r="V720" s="7">
        <v>0</v>
      </c>
      <c r="W720" s="7">
        <v>1</v>
      </c>
      <c r="X720" s="7">
        <v>0</v>
      </c>
      <c r="Y720" s="7">
        <v>0</v>
      </c>
      <c r="Z720" s="7">
        <v>0</v>
      </c>
      <c r="AA720" s="7">
        <v>0</v>
      </c>
      <c r="AB720" s="7">
        <v>1</v>
      </c>
      <c r="AC720" s="7">
        <v>1</v>
      </c>
      <c r="AD720" s="7" t="s">
        <v>5044</v>
      </c>
      <c r="AE720" s="7" t="s">
        <v>5044</v>
      </c>
      <c r="AF720" s="7" t="s">
        <v>5044</v>
      </c>
      <c r="AG720" s="7">
        <v>1</v>
      </c>
      <c r="AH720" s="7">
        <v>0</v>
      </c>
      <c r="AI720" s="7">
        <v>0</v>
      </c>
      <c r="AJ720" s="7" t="s">
        <v>5044</v>
      </c>
      <c r="AK720" s="7" t="s">
        <v>5318</v>
      </c>
      <c r="AL720" s="7">
        <v>1</v>
      </c>
      <c r="AM720" s="7">
        <v>0</v>
      </c>
      <c r="AN720" s="7" t="s">
        <v>5318</v>
      </c>
      <c r="AO720" s="9">
        <v>0</v>
      </c>
    </row>
    <row r="721" spans="1:41" ht="63" customHeight="1" x14ac:dyDescent="0.2">
      <c r="A721" s="7">
        <v>9027</v>
      </c>
      <c r="B721" s="7" t="s">
        <v>3228</v>
      </c>
      <c r="C721" s="7" t="s">
        <v>3229</v>
      </c>
      <c r="D721" s="7" t="s">
        <v>56</v>
      </c>
      <c r="F721" s="7" t="s">
        <v>325</v>
      </c>
      <c r="G721" s="7" t="s">
        <v>18</v>
      </c>
      <c r="H721" s="7" t="s">
        <v>160</v>
      </c>
      <c r="I721" s="7" t="s">
        <v>13</v>
      </c>
      <c r="J721" s="7" t="s">
        <v>3230</v>
      </c>
      <c r="K721" s="7" t="s">
        <v>3231</v>
      </c>
      <c r="L721" s="11" t="s">
        <v>5044</v>
      </c>
      <c r="M721" s="7">
        <v>0</v>
      </c>
      <c r="N721" s="7" t="s">
        <v>5044</v>
      </c>
      <c r="O721" s="7" t="s">
        <v>5044</v>
      </c>
      <c r="P721" s="7">
        <v>0</v>
      </c>
      <c r="Q721" s="7">
        <v>0</v>
      </c>
      <c r="R721" s="7">
        <v>0</v>
      </c>
      <c r="S721" s="7">
        <v>11</v>
      </c>
      <c r="T721" s="7">
        <v>4</v>
      </c>
      <c r="U721" s="7">
        <v>100</v>
      </c>
      <c r="V721" s="7">
        <v>0</v>
      </c>
      <c r="W721" s="7">
        <v>1</v>
      </c>
      <c r="X721" s="7">
        <v>0</v>
      </c>
      <c r="Y721" s="7">
        <v>0</v>
      </c>
      <c r="Z721" s="7">
        <v>0</v>
      </c>
      <c r="AA721" s="7">
        <v>0</v>
      </c>
      <c r="AB721" s="7">
        <v>1</v>
      </c>
      <c r="AC721" s="7">
        <v>1</v>
      </c>
      <c r="AD721" s="7" t="s">
        <v>5044</v>
      </c>
      <c r="AE721" s="7" t="s">
        <v>5044</v>
      </c>
      <c r="AF721" s="7" t="s">
        <v>5044</v>
      </c>
      <c r="AG721" s="7">
        <v>2</v>
      </c>
      <c r="AH721" s="7">
        <v>3</v>
      </c>
      <c r="AI721" s="7">
        <v>0</v>
      </c>
      <c r="AJ721" s="7" t="s">
        <v>5044</v>
      </c>
      <c r="AK721" s="7" t="s">
        <v>5943</v>
      </c>
      <c r="AL721" s="7">
        <v>1</v>
      </c>
      <c r="AM721" s="7">
        <v>0</v>
      </c>
      <c r="AN721" s="7" t="s">
        <v>5318</v>
      </c>
      <c r="AO721" s="11">
        <v>3</v>
      </c>
    </row>
    <row r="722" spans="1:41" ht="63" customHeight="1" x14ac:dyDescent="0.2">
      <c r="A722" s="7">
        <v>9037</v>
      </c>
      <c r="B722" s="7" t="s">
        <v>3232</v>
      </c>
      <c r="C722" s="7" t="s">
        <v>3233</v>
      </c>
      <c r="D722" s="7" t="s">
        <v>149</v>
      </c>
      <c r="F722" s="7" t="s">
        <v>3174</v>
      </c>
      <c r="G722" s="7" t="s">
        <v>144</v>
      </c>
      <c r="H722" s="7" t="s">
        <v>3234</v>
      </c>
      <c r="I722" s="7" t="s">
        <v>13</v>
      </c>
      <c r="J722" s="7" t="s">
        <v>3235</v>
      </c>
      <c r="K722" s="7" t="s">
        <v>3236</v>
      </c>
      <c r="L722" s="7" t="s">
        <v>5944</v>
      </c>
      <c r="M722" s="7">
        <v>0</v>
      </c>
      <c r="N722" s="7" t="s">
        <v>5044</v>
      </c>
      <c r="O722" s="7" t="s">
        <v>5044</v>
      </c>
      <c r="P722" s="7">
        <v>0</v>
      </c>
      <c r="Q722" s="7">
        <v>0</v>
      </c>
      <c r="R722" s="7">
        <v>0</v>
      </c>
      <c r="S722" s="7">
        <v>1</v>
      </c>
      <c r="T722" s="7">
        <v>2</v>
      </c>
      <c r="U722" s="7">
        <v>98</v>
      </c>
      <c r="V722" s="7">
        <v>0</v>
      </c>
      <c r="W722" s="7">
        <v>1</v>
      </c>
      <c r="X722" s="7">
        <v>0</v>
      </c>
      <c r="Y722" s="7">
        <v>0</v>
      </c>
      <c r="Z722" s="7">
        <v>0</v>
      </c>
      <c r="AA722" s="7">
        <v>0</v>
      </c>
      <c r="AB722" s="7">
        <v>1</v>
      </c>
      <c r="AC722" s="7">
        <v>1</v>
      </c>
      <c r="AD722" s="7" t="s">
        <v>5044</v>
      </c>
      <c r="AE722" s="7" t="s">
        <v>5044</v>
      </c>
      <c r="AF722" s="7" t="s">
        <v>5044</v>
      </c>
      <c r="AG722" s="7">
        <v>2</v>
      </c>
      <c r="AH722" s="7">
        <v>3</v>
      </c>
      <c r="AI722" s="7">
        <v>0</v>
      </c>
      <c r="AJ722" s="7" t="s">
        <v>5044</v>
      </c>
      <c r="AK722" s="7" t="s">
        <v>5945</v>
      </c>
      <c r="AL722" s="7">
        <v>0</v>
      </c>
      <c r="AM722" s="7">
        <v>0</v>
      </c>
      <c r="AN722" s="7" t="s">
        <v>5318</v>
      </c>
      <c r="AO722" s="11">
        <v>3</v>
      </c>
    </row>
    <row r="723" spans="1:41" ht="63" customHeight="1" x14ac:dyDescent="0.2">
      <c r="A723" s="7">
        <v>9038</v>
      </c>
      <c r="B723" s="7" t="s">
        <v>3237</v>
      </c>
      <c r="C723" s="7" t="s">
        <v>3238</v>
      </c>
      <c r="D723" s="7" t="s">
        <v>56</v>
      </c>
      <c r="F723" s="7" t="s">
        <v>3239</v>
      </c>
      <c r="G723" s="7" t="s">
        <v>18</v>
      </c>
      <c r="H723" s="7" t="s">
        <v>251</v>
      </c>
      <c r="I723" s="7" t="s">
        <v>13</v>
      </c>
      <c r="J723" s="7" t="s">
        <v>3240</v>
      </c>
      <c r="K723" s="7" t="s">
        <v>3241</v>
      </c>
      <c r="L723" s="7" t="s">
        <v>5946</v>
      </c>
      <c r="M723" s="7">
        <v>0</v>
      </c>
      <c r="N723" s="7" t="s">
        <v>5044</v>
      </c>
      <c r="O723" s="7" t="s">
        <v>5044</v>
      </c>
      <c r="P723" s="7">
        <v>0</v>
      </c>
      <c r="Q723" s="7">
        <v>0</v>
      </c>
      <c r="R723" s="7">
        <v>0</v>
      </c>
      <c r="S723" s="7">
        <v>1</v>
      </c>
      <c r="T723" s="7">
        <v>2</v>
      </c>
      <c r="U723" s="7">
        <v>206</v>
      </c>
      <c r="V723" s="7">
        <v>1</v>
      </c>
      <c r="W723" s="7">
        <v>0</v>
      </c>
      <c r="X723" s="7">
        <v>0</v>
      </c>
      <c r="Y723" s="7">
        <v>0</v>
      </c>
      <c r="Z723" s="7">
        <v>0</v>
      </c>
      <c r="AA723" s="7">
        <v>0</v>
      </c>
      <c r="AB723" s="7">
        <v>1</v>
      </c>
      <c r="AC723" s="7">
        <v>1</v>
      </c>
      <c r="AD723" s="7">
        <v>2</v>
      </c>
      <c r="AE723" s="7">
        <v>3</v>
      </c>
      <c r="AF723" s="7">
        <v>0</v>
      </c>
      <c r="AG723" s="7" t="s">
        <v>5044</v>
      </c>
      <c r="AH723" s="7" t="s">
        <v>5044</v>
      </c>
      <c r="AI723" s="7" t="s">
        <v>5044</v>
      </c>
      <c r="AJ723" s="7" t="s">
        <v>5044</v>
      </c>
      <c r="AK723" s="7" t="s">
        <v>5945</v>
      </c>
      <c r="AL723" s="7">
        <v>0</v>
      </c>
      <c r="AM723" s="7">
        <v>0</v>
      </c>
      <c r="AN723" s="7" t="s">
        <v>5318</v>
      </c>
      <c r="AO723" s="11">
        <v>3</v>
      </c>
    </row>
    <row r="724" spans="1:41" ht="63" customHeight="1" x14ac:dyDescent="0.2">
      <c r="A724" s="7">
        <v>9054</v>
      </c>
      <c r="B724" s="7" t="s">
        <v>3242</v>
      </c>
      <c r="C724" s="7" t="s">
        <v>3243</v>
      </c>
      <c r="D724" s="7" t="s">
        <v>16</v>
      </c>
      <c r="F724" s="7" t="s">
        <v>98</v>
      </c>
      <c r="G724" s="7" t="s">
        <v>52</v>
      </c>
      <c r="H724" s="7" t="s">
        <v>3244</v>
      </c>
      <c r="I724" s="7" t="s">
        <v>13</v>
      </c>
      <c r="K724" s="7" t="s">
        <v>3245</v>
      </c>
      <c r="L724" s="7" t="s">
        <v>5947</v>
      </c>
      <c r="M724" s="7">
        <v>0</v>
      </c>
      <c r="N724" s="7" t="s">
        <v>5044</v>
      </c>
      <c r="O724" s="7" t="s">
        <v>5044</v>
      </c>
      <c r="P724" s="7">
        <v>0</v>
      </c>
      <c r="Q724" s="7">
        <v>0</v>
      </c>
      <c r="R724" s="7">
        <v>0</v>
      </c>
      <c r="S724" s="7" t="s">
        <v>5207</v>
      </c>
      <c r="T724" s="7">
        <v>1</v>
      </c>
      <c r="U724" s="7">
        <v>36</v>
      </c>
      <c r="V724" s="7">
        <v>0</v>
      </c>
      <c r="W724" s="7">
        <v>1</v>
      </c>
      <c r="X724" s="7">
        <v>0</v>
      </c>
      <c r="Y724" s="7">
        <v>0</v>
      </c>
      <c r="Z724" s="7">
        <v>0</v>
      </c>
      <c r="AA724" s="7">
        <v>0</v>
      </c>
      <c r="AB724" s="7">
        <v>1</v>
      </c>
      <c r="AC724" s="7">
        <v>1</v>
      </c>
      <c r="AD724" s="7" t="s">
        <v>5044</v>
      </c>
      <c r="AE724" s="7" t="s">
        <v>5044</v>
      </c>
      <c r="AF724" s="7" t="s">
        <v>5044</v>
      </c>
      <c r="AG724" s="7">
        <v>1</v>
      </c>
      <c r="AH724" s="7">
        <v>0</v>
      </c>
      <c r="AI724" s="7">
        <v>0</v>
      </c>
      <c r="AJ724" s="7" t="s">
        <v>5044</v>
      </c>
      <c r="AK724" s="7" t="s">
        <v>5318</v>
      </c>
      <c r="AL724" s="7">
        <v>0</v>
      </c>
      <c r="AM724" s="7">
        <v>0</v>
      </c>
      <c r="AN724" s="7" t="s">
        <v>5318</v>
      </c>
      <c r="AO724" s="9">
        <v>0</v>
      </c>
    </row>
    <row r="725" spans="1:41" ht="63" customHeight="1" x14ac:dyDescent="0.2">
      <c r="A725" s="7">
        <v>9058</v>
      </c>
      <c r="B725" s="7" t="s">
        <v>3246</v>
      </c>
      <c r="C725" s="7" t="s">
        <v>3247</v>
      </c>
      <c r="D725" s="7" t="s">
        <v>95</v>
      </c>
      <c r="F725" s="7" t="s">
        <v>114</v>
      </c>
      <c r="G725" s="7" t="s">
        <v>37</v>
      </c>
      <c r="H725" s="7" t="s">
        <v>115</v>
      </c>
      <c r="I725" s="7" t="s">
        <v>13</v>
      </c>
      <c r="J725" s="7" t="s">
        <v>3248</v>
      </c>
      <c r="K725" s="7" t="s">
        <v>3249</v>
      </c>
      <c r="L725" s="7" t="s">
        <v>5948</v>
      </c>
      <c r="M725" s="7">
        <v>0</v>
      </c>
      <c r="N725" s="7" t="s">
        <v>5044</v>
      </c>
      <c r="O725" s="7" t="s">
        <v>5044</v>
      </c>
      <c r="P725" s="7">
        <v>0</v>
      </c>
      <c r="Q725" s="7">
        <v>0</v>
      </c>
      <c r="R725" s="7">
        <v>0</v>
      </c>
      <c r="S725" s="7">
        <v>1</v>
      </c>
      <c r="T725" s="7">
        <v>1</v>
      </c>
      <c r="U725" s="7">
        <v>55</v>
      </c>
      <c r="V725" s="7">
        <v>0</v>
      </c>
      <c r="W725" s="7">
        <v>1</v>
      </c>
      <c r="X725" s="7">
        <v>0</v>
      </c>
      <c r="Y725" s="7">
        <v>0</v>
      </c>
      <c r="Z725" s="7">
        <v>0</v>
      </c>
      <c r="AA725" s="7">
        <v>0</v>
      </c>
      <c r="AB725" s="7">
        <v>1</v>
      </c>
      <c r="AC725" s="7">
        <v>1</v>
      </c>
      <c r="AD725" s="7" t="s">
        <v>5044</v>
      </c>
      <c r="AE725" s="7" t="s">
        <v>5044</v>
      </c>
      <c r="AF725" s="7" t="s">
        <v>5044</v>
      </c>
      <c r="AG725" s="7">
        <v>2</v>
      </c>
      <c r="AH725" s="7">
        <v>1</v>
      </c>
      <c r="AI725" s="7">
        <v>2</v>
      </c>
      <c r="AJ725" s="7" t="s">
        <v>5044</v>
      </c>
      <c r="AK725" s="7" t="s">
        <v>5318</v>
      </c>
      <c r="AL725" s="7" t="s">
        <v>5044</v>
      </c>
      <c r="AM725" s="7">
        <v>0</v>
      </c>
      <c r="AN725" s="7" t="s">
        <v>5105</v>
      </c>
      <c r="AO725" s="11">
        <v>1</v>
      </c>
    </row>
    <row r="726" spans="1:41" ht="63" customHeight="1" x14ac:dyDescent="0.2">
      <c r="A726" s="7">
        <v>9059</v>
      </c>
      <c r="B726" s="7" t="s">
        <v>3250</v>
      </c>
      <c r="C726" s="7" t="s">
        <v>3251</v>
      </c>
      <c r="D726" s="7" t="s">
        <v>41</v>
      </c>
      <c r="F726" s="7" t="s">
        <v>335</v>
      </c>
      <c r="G726" s="7" t="s">
        <v>11</v>
      </c>
      <c r="H726" s="7" t="s">
        <v>43</v>
      </c>
      <c r="I726" s="7" t="s">
        <v>13</v>
      </c>
      <c r="J726" s="7" t="s">
        <v>3252</v>
      </c>
      <c r="K726" s="7" t="s">
        <v>3253</v>
      </c>
      <c r="L726" s="7" t="s">
        <v>5949</v>
      </c>
      <c r="M726" s="7">
        <v>0</v>
      </c>
      <c r="N726" s="7" t="s">
        <v>5044</v>
      </c>
      <c r="O726" s="7" t="s">
        <v>5044</v>
      </c>
      <c r="P726" s="7">
        <v>0</v>
      </c>
      <c r="Q726" s="7">
        <v>0</v>
      </c>
      <c r="R726" s="7">
        <v>0</v>
      </c>
      <c r="S726" s="7">
        <v>1</v>
      </c>
      <c r="T726" s="7">
        <v>1</v>
      </c>
      <c r="U726" s="7">
        <v>268</v>
      </c>
      <c r="V726" s="7">
        <v>0</v>
      </c>
      <c r="W726" s="7">
        <v>1</v>
      </c>
      <c r="X726" s="7">
        <v>0</v>
      </c>
      <c r="Y726" s="7">
        <v>0</v>
      </c>
      <c r="Z726" s="7">
        <v>0</v>
      </c>
      <c r="AA726" s="7">
        <v>0</v>
      </c>
      <c r="AB726" s="7">
        <v>1</v>
      </c>
      <c r="AC726" s="7">
        <v>1</v>
      </c>
      <c r="AD726" s="7" t="s">
        <v>5044</v>
      </c>
      <c r="AE726" s="7" t="s">
        <v>5044</v>
      </c>
      <c r="AF726" s="7" t="s">
        <v>5044</v>
      </c>
      <c r="AG726" s="7">
        <v>2</v>
      </c>
      <c r="AH726" s="7">
        <v>1</v>
      </c>
      <c r="AI726" s="7">
        <v>2</v>
      </c>
      <c r="AJ726" s="7" t="s">
        <v>5044</v>
      </c>
      <c r="AK726" s="7" t="s">
        <v>5318</v>
      </c>
      <c r="AL726" s="7">
        <v>1</v>
      </c>
      <c r="AM726" s="7">
        <v>0</v>
      </c>
      <c r="AN726" s="7" t="s">
        <v>5318</v>
      </c>
      <c r="AO726" s="11">
        <v>1</v>
      </c>
    </row>
    <row r="727" spans="1:41" ht="63" customHeight="1" x14ac:dyDescent="0.2">
      <c r="A727" s="7">
        <v>9068</v>
      </c>
      <c r="B727" s="7" t="s">
        <v>3259</v>
      </c>
      <c r="C727" s="7" t="s">
        <v>3260</v>
      </c>
      <c r="D727" s="7" t="s">
        <v>56</v>
      </c>
      <c r="F727" s="7" t="s">
        <v>929</v>
      </c>
      <c r="G727" s="7" t="s">
        <v>18</v>
      </c>
      <c r="H727" s="7" t="s">
        <v>43</v>
      </c>
      <c r="I727" s="7" t="s">
        <v>437</v>
      </c>
      <c r="J727" s="7" t="s">
        <v>3261</v>
      </c>
      <c r="K727" s="7" t="s">
        <v>3262</v>
      </c>
      <c r="L727" s="7" t="s">
        <v>5953</v>
      </c>
      <c r="M727" s="7">
        <v>0</v>
      </c>
      <c r="N727" s="7" t="s">
        <v>5044</v>
      </c>
      <c r="O727" s="7" t="s">
        <v>5044</v>
      </c>
      <c r="P727" s="7">
        <v>0</v>
      </c>
      <c r="Q727" s="7">
        <v>0</v>
      </c>
      <c r="R727" s="7">
        <v>0</v>
      </c>
      <c r="S727" s="7">
        <v>1</v>
      </c>
      <c r="T727" s="7">
        <v>2</v>
      </c>
      <c r="U727" s="7">
        <v>330</v>
      </c>
      <c r="V727" s="7">
        <v>1</v>
      </c>
      <c r="W727" s="7">
        <v>1</v>
      </c>
      <c r="X727" s="7">
        <v>0</v>
      </c>
      <c r="Y727" s="7">
        <v>0</v>
      </c>
      <c r="Z727" s="7">
        <v>0</v>
      </c>
      <c r="AA727" s="7">
        <v>0</v>
      </c>
      <c r="AB727" s="7">
        <v>1</v>
      </c>
      <c r="AC727" s="7">
        <v>1</v>
      </c>
      <c r="AD727" s="7">
        <v>2</v>
      </c>
      <c r="AE727" s="7">
        <v>2</v>
      </c>
      <c r="AF727" s="7">
        <v>2</v>
      </c>
      <c r="AG727" s="7">
        <v>2</v>
      </c>
      <c r="AH727" s="7">
        <v>3</v>
      </c>
      <c r="AI727" s="7">
        <v>0</v>
      </c>
      <c r="AJ727" s="7" t="s">
        <v>5044</v>
      </c>
      <c r="AK727" s="7">
        <v>1</v>
      </c>
      <c r="AL727" s="7">
        <v>0</v>
      </c>
      <c r="AM727" s="7">
        <v>0</v>
      </c>
      <c r="AO727" s="11">
        <v>2</v>
      </c>
    </row>
    <row r="728" spans="1:41" ht="63" customHeight="1" x14ac:dyDescent="0.2">
      <c r="A728" s="7">
        <v>9092</v>
      </c>
      <c r="B728" s="7" t="s">
        <v>3263</v>
      </c>
      <c r="C728" s="7" t="s">
        <v>3264</v>
      </c>
      <c r="D728" s="7" t="s">
        <v>149</v>
      </c>
      <c r="F728" s="7" t="s">
        <v>384</v>
      </c>
      <c r="G728" s="7" t="s">
        <v>37</v>
      </c>
      <c r="H728" s="7" t="s">
        <v>290</v>
      </c>
      <c r="I728" s="7" t="s">
        <v>13</v>
      </c>
      <c r="J728" s="7" t="s">
        <v>3265</v>
      </c>
      <c r="K728" s="7" t="s">
        <v>3266</v>
      </c>
      <c r="L728" s="7" t="s">
        <v>5954</v>
      </c>
      <c r="M728" s="7">
        <v>0</v>
      </c>
      <c r="N728" s="7" t="s">
        <v>5044</v>
      </c>
      <c r="O728" s="7" t="s">
        <v>5044</v>
      </c>
      <c r="P728" s="7">
        <v>0</v>
      </c>
      <c r="Q728" s="7">
        <v>0</v>
      </c>
      <c r="R728" s="7">
        <v>0</v>
      </c>
      <c r="S728" s="7">
        <v>1</v>
      </c>
      <c r="T728" s="7">
        <v>4</v>
      </c>
      <c r="U728" s="7">
        <v>212</v>
      </c>
      <c r="V728" s="7">
        <v>0</v>
      </c>
      <c r="W728" s="7">
        <v>1</v>
      </c>
      <c r="X728" s="7">
        <v>0</v>
      </c>
      <c r="Y728" s="7">
        <v>0</v>
      </c>
      <c r="Z728" s="7">
        <v>0</v>
      </c>
      <c r="AA728" s="7">
        <v>0</v>
      </c>
      <c r="AB728" s="7">
        <v>1</v>
      </c>
      <c r="AC728" s="7">
        <v>0</v>
      </c>
      <c r="AD728" s="7" t="s">
        <v>5044</v>
      </c>
      <c r="AE728" s="7" t="s">
        <v>5044</v>
      </c>
      <c r="AF728" s="7" t="s">
        <v>5044</v>
      </c>
      <c r="AG728" s="7">
        <v>0</v>
      </c>
      <c r="AH728" s="7" t="s">
        <v>5044</v>
      </c>
      <c r="AI728" s="7" t="s">
        <v>5044</v>
      </c>
      <c r="AJ728" s="7" t="s">
        <v>5044</v>
      </c>
      <c r="AK728" s="7" t="s">
        <v>5318</v>
      </c>
      <c r="AL728" s="7">
        <v>1</v>
      </c>
      <c r="AM728" s="7">
        <v>0</v>
      </c>
      <c r="AN728" s="7" t="s">
        <v>5217</v>
      </c>
      <c r="AO728" s="11">
        <v>9</v>
      </c>
    </row>
    <row r="729" spans="1:41" ht="63" customHeight="1" x14ac:dyDescent="0.2">
      <c r="A729" s="7">
        <v>9102</v>
      </c>
      <c r="B729" s="7" t="s">
        <v>3267</v>
      </c>
      <c r="C729" s="7" t="s">
        <v>3268</v>
      </c>
      <c r="D729" s="7" t="s">
        <v>74</v>
      </c>
      <c r="F729" s="7" t="s">
        <v>31</v>
      </c>
      <c r="G729" s="7" t="s">
        <v>37</v>
      </c>
      <c r="H729" s="7" t="s">
        <v>160</v>
      </c>
      <c r="I729" s="7" t="s">
        <v>13</v>
      </c>
      <c r="J729" s="7" t="s">
        <v>3269</v>
      </c>
      <c r="K729" s="7" t="s">
        <v>3270</v>
      </c>
      <c r="L729" s="7" t="s">
        <v>5955</v>
      </c>
      <c r="M729" s="7">
        <v>0</v>
      </c>
      <c r="N729" s="7" t="s">
        <v>5044</v>
      </c>
      <c r="O729" s="7" t="s">
        <v>5044</v>
      </c>
      <c r="P729" s="7">
        <v>0</v>
      </c>
      <c r="Q729" s="7">
        <v>0</v>
      </c>
      <c r="R729" s="7">
        <v>0</v>
      </c>
      <c r="S729" s="7">
        <v>11</v>
      </c>
      <c r="T729" s="7">
        <v>1</v>
      </c>
      <c r="U729" s="7">
        <v>64</v>
      </c>
      <c r="V729" s="7">
        <v>0</v>
      </c>
      <c r="W729" s="7">
        <v>1</v>
      </c>
      <c r="X729" s="7">
        <v>0</v>
      </c>
      <c r="Y729" s="7">
        <v>0</v>
      </c>
      <c r="Z729" s="7">
        <v>0</v>
      </c>
      <c r="AA729" s="7">
        <v>0</v>
      </c>
      <c r="AB729" s="7">
        <v>1</v>
      </c>
      <c r="AC729" s="7">
        <v>1</v>
      </c>
      <c r="AD729" s="7" t="s">
        <v>5044</v>
      </c>
      <c r="AE729" s="7" t="s">
        <v>5044</v>
      </c>
      <c r="AF729" s="7" t="s">
        <v>5044</v>
      </c>
      <c r="AG729" s="7">
        <v>2</v>
      </c>
      <c r="AH729" s="7">
        <v>1</v>
      </c>
      <c r="AI729" s="7">
        <v>2</v>
      </c>
      <c r="AJ729" s="7" t="s">
        <v>5044</v>
      </c>
      <c r="AK729" s="7" t="s">
        <v>5318</v>
      </c>
      <c r="AL729" s="7">
        <v>0</v>
      </c>
      <c r="AM729" s="7">
        <v>0</v>
      </c>
      <c r="AN729" s="7" t="s">
        <v>5318</v>
      </c>
      <c r="AO729" s="11">
        <v>1</v>
      </c>
    </row>
    <row r="730" spans="1:41" ht="63" customHeight="1" x14ac:dyDescent="0.2">
      <c r="A730" s="7">
        <v>9117</v>
      </c>
      <c r="B730" s="7" t="s">
        <v>3271</v>
      </c>
      <c r="C730" s="7" t="s">
        <v>3272</v>
      </c>
      <c r="D730" s="7" t="s">
        <v>101</v>
      </c>
      <c r="F730" s="7" t="s">
        <v>163</v>
      </c>
      <c r="G730" s="7" t="s">
        <v>27</v>
      </c>
      <c r="H730" s="7" t="s">
        <v>3273</v>
      </c>
      <c r="I730" s="7" t="s">
        <v>13</v>
      </c>
      <c r="J730" s="7" t="s">
        <v>3274</v>
      </c>
      <c r="K730" s="7" t="s">
        <v>3275</v>
      </c>
      <c r="L730" s="7" t="s">
        <v>5956</v>
      </c>
      <c r="M730" s="7">
        <v>0</v>
      </c>
      <c r="N730" s="7" t="s">
        <v>5044</v>
      </c>
      <c r="O730" s="7" t="s">
        <v>5044</v>
      </c>
      <c r="P730" s="7">
        <v>0</v>
      </c>
      <c r="Q730" s="7">
        <v>0</v>
      </c>
      <c r="R730" s="7">
        <v>0</v>
      </c>
      <c r="S730" s="7" t="s">
        <v>5708</v>
      </c>
      <c r="T730" s="7">
        <v>1</v>
      </c>
      <c r="U730" s="7">
        <v>88</v>
      </c>
      <c r="V730" s="7">
        <v>0</v>
      </c>
      <c r="W730" s="7">
        <v>1</v>
      </c>
      <c r="X730" s="7">
        <v>0</v>
      </c>
      <c r="Y730" s="7">
        <v>0</v>
      </c>
      <c r="Z730" s="7">
        <v>0</v>
      </c>
      <c r="AA730" s="7">
        <v>0</v>
      </c>
      <c r="AB730" s="7">
        <v>1</v>
      </c>
      <c r="AC730" s="7">
        <v>1</v>
      </c>
      <c r="AD730" s="7" t="s">
        <v>5044</v>
      </c>
      <c r="AE730" s="7" t="s">
        <v>5044</v>
      </c>
      <c r="AF730" s="7" t="s">
        <v>5044</v>
      </c>
      <c r="AG730" s="7">
        <v>2</v>
      </c>
      <c r="AH730" s="7">
        <v>3</v>
      </c>
      <c r="AI730" s="7">
        <v>0</v>
      </c>
      <c r="AJ730" s="7" t="s">
        <v>5044</v>
      </c>
      <c r="AK730" s="7" t="s">
        <v>5957</v>
      </c>
      <c r="AL730" s="7" t="s">
        <v>5044</v>
      </c>
      <c r="AM730" s="7">
        <v>0</v>
      </c>
      <c r="AO730" s="11">
        <v>3</v>
      </c>
    </row>
    <row r="731" spans="1:41" ht="63" customHeight="1" x14ac:dyDescent="0.2">
      <c r="A731" s="7">
        <v>9137</v>
      </c>
      <c r="B731" s="7" t="s">
        <v>3276</v>
      </c>
      <c r="C731" s="7" t="s">
        <v>3277</v>
      </c>
      <c r="D731" s="7" t="s">
        <v>56</v>
      </c>
      <c r="F731" s="7" t="s">
        <v>788</v>
      </c>
      <c r="G731" s="7" t="s">
        <v>175</v>
      </c>
      <c r="H731" s="7" t="s">
        <v>3278</v>
      </c>
      <c r="I731" s="7" t="s">
        <v>13</v>
      </c>
      <c r="J731" s="7" t="s">
        <v>3279</v>
      </c>
      <c r="K731" s="7" t="s">
        <v>3280</v>
      </c>
      <c r="L731" s="7" t="s">
        <v>5958</v>
      </c>
      <c r="M731" s="7">
        <v>0</v>
      </c>
      <c r="N731" s="7" t="s">
        <v>5044</v>
      </c>
      <c r="O731" s="7" t="s">
        <v>5044</v>
      </c>
      <c r="P731" s="7">
        <v>0</v>
      </c>
      <c r="Q731" s="7">
        <v>0</v>
      </c>
      <c r="R731" s="7">
        <v>0</v>
      </c>
      <c r="S731" s="7">
        <v>1</v>
      </c>
      <c r="T731" s="7">
        <v>4</v>
      </c>
      <c r="U731" s="7">
        <v>110</v>
      </c>
      <c r="V731" s="7">
        <v>0</v>
      </c>
      <c r="W731" s="7">
        <v>1</v>
      </c>
      <c r="X731" s="7">
        <v>0</v>
      </c>
      <c r="Y731" s="7">
        <v>0</v>
      </c>
      <c r="Z731" s="7">
        <v>0</v>
      </c>
      <c r="AA731" s="7">
        <v>0</v>
      </c>
      <c r="AB731" s="7">
        <v>1</v>
      </c>
      <c r="AC731" s="7">
        <v>1</v>
      </c>
      <c r="AD731" s="7" t="s">
        <v>5044</v>
      </c>
      <c r="AE731" s="7" t="s">
        <v>5044</v>
      </c>
      <c r="AF731" s="7" t="s">
        <v>5044</v>
      </c>
      <c r="AG731" s="7">
        <v>2</v>
      </c>
      <c r="AH731" s="7">
        <v>3</v>
      </c>
      <c r="AI731" s="7">
        <v>0</v>
      </c>
      <c r="AJ731" s="7" t="s">
        <v>5044</v>
      </c>
      <c r="AK731" s="7">
        <v>1</v>
      </c>
      <c r="AL731" s="7">
        <v>1</v>
      </c>
      <c r="AM731" s="7">
        <v>0</v>
      </c>
      <c r="AN731" s="7" t="s">
        <v>5318</v>
      </c>
      <c r="AO731" s="11">
        <v>3</v>
      </c>
    </row>
    <row r="732" spans="1:41" ht="63" customHeight="1" x14ac:dyDescent="0.2">
      <c r="A732" s="7">
        <v>9151</v>
      </c>
      <c r="B732" s="7" t="s">
        <v>3281</v>
      </c>
      <c r="C732" s="7" t="s">
        <v>3282</v>
      </c>
      <c r="D732" s="7" t="s">
        <v>95</v>
      </c>
      <c r="F732" s="7" t="s">
        <v>829</v>
      </c>
      <c r="G732" s="7" t="s">
        <v>52</v>
      </c>
      <c r="H732" s="7" t="s">
        <v>224</v>
      </c>
      <c r="I732" s="7" t="s">
        <v>13</v>
      </c>
      <c r="J732" s="7" t="s">
        <v>3283</v>
      </c>
      <c r="K732" s="7" t="s">
        <v>3284</v>
      </c>
      <c r="L732" s="7" t="s">
        <v>5959</v>
      </c>
      <c r="M732" s="7">
        <v>0</v>
      </c>
      <c r="N732" s="7" t="s">
        <v>5044</v>
      </c>
      <c r="O732" s="7" t="s">
        <v>5044</v>
      </c>
      <c r="P732" s="7">
        <v>0</v>
      </c>
      <c r="Q732" s="7">
        <v>0</v>
      </c>
      <c r="R732" s="7">
        <v>0</v>
      </c>
      <c r="S732" s="7">
        <v>9</v>
      </c>
      <c r="T732" s="7">
        <v>2</v>
      </c>
      <c r="U732" s="7">
        <v>135</v>
      </c>
      <c r="V732" s="7">
        <v>0</v>
      </c>
      <c r="W732" s="7">
        <v>1</v>
      </c>
      <c r="X732" s="7">
        <v>0</v>
      </c>
      <c r="Y732" s="7">
        <v>0</v>
      </c>
      <c r="Z732" s="7">
        <v>1</v>
      </c>
      <c r="AA732" s="7">
        <v>0</v>
      </c>
      <c r="AB732" s="7">
        <v>1</v>
      </c>
      <c r="AC732" s="7">
        <v>1</v>
      </c>
      <c r="AD732" s="7" t="s">
        <v>5044</v>
      </c>
      <c r="AE732" s="7" t="s">
        <v>5044</v>
      </c>
      <c r="AF732" s="7" t="s">
        <v>5044</v>
      </c>
      <c r="AG732" s="7">
        <v>2</v>
      </c>
      <c r="AH732" s="7">
        <v>3</v>
      </c>
      <c r="AI732" s="7">
        <v>0</v>
      </c>
      <c r="AJ732" s="7">
        <v>0</v>
      </c>
      <c r="AK732" s="7">
        <v>1</v>
      </c>
      <c r="AL732" s="7">
        <v>0</v>
      </c>
      <c r="AM732" s="7">
        <v>0</v>
      </c>
      <c r="AN732" s="7" t="s">
        <v>5318</v>
      </c>
      <c r="AO732" s="11">
        <v>3</v>
      </c>
    </row>
    <row r="733" spans="1:41" ht="63" customHeight="1" x14ac:dyDescent="0.2">
      <c r="A733" s="7">
        <v>9173</v>
      </c>
      <c r="B733" s="7" t="s">
        <v>3289</v>
      </c>
      <c r="C733" s="7" t="s">
        <v>3290</v>
      </c>
      <c r="D733" s="7" t="s">
        <v>149</v>
      </c>
      <c r="F733" s="7" t="s">
        <v>1989</v>
      </c>
      <c r="G733" s="7" t="s">
        <v>52</v>
      </c>
      <c r="H733" s="7" t="s">
        <v>3291</v>
      </c>
      <c r="I733" s="7" t="s">
        <v>13</v>
      </c>
      <c r="J733" s="7" t="s">
        <v>3292</v>
      </c>
      <c r="K733" s="7" t="s">
        <v>3293</v>
      </c>
      <c r="L733" s="7" t="s">
        <v>5961</v>
      </c>
      <c r="M733" s="7">
        <v>0</v>
      </c>
      <c r="N733" s="7" t="s">
        <v>5044</v>
      </c>
      <c r="O733" s="7" t="s">
        <v>5044</v>
      </c>
      <c r="P733" s="7">
        <v>0</v>
      </c>
      <c r="Q733" s="7">
        <v>0</v>
      </c>
      <c r="R733" s="7">
        <v>0</v>
      </c>
      <c r="S733" s="7">
        <v>1</v>
      </c>
      <c r="T733" s="7">
        <v>1</v>
      </c>
      <c r="U733" s="7">
        <v>73</v>
      </c>
      <c r="V733" s="7">
        <v>0</v>
      </c>
      <c r="W733" s="7">
        <v>1</v>
      </c>
      <c r="X733" s="7">
        <v>0</v>
      </c>
      <c r="Y733" s="7">
        <v>0</v>
      </c>
      <c r="Z733" s="7">
        <v>0</v>
      </c>
      <c r="AA733" s="7">
        <v>0</v>
      </c>
      <c r="AB733" s="7">
        <v>1</v>
      </c>
      <c r="AC733" s="7">
        <v>1</v>
      </c>
      <c r="AD733" s="7" t="s">
        <v>5044</v>
      </c>
      <c r="AE733" s="7" t="s">
        <v>5044</v>
      </c>
      <c r="AF733" s="7" t="s">
        <v>5044</v>
      </c>
      <c r="AG733" s="7">
        <v>2</v>
      </c>
      <c r="AH733" s="7">
        <v>3</v>
      </c>
      <c r="AI733" s="7">
        <v>0</v>
      </c>
      <c r="AJ733" s="7" t="s">
        <v>5044</v>
      </c>
      <c r="AK733" s="7">
        <v>1</v>
      </c>
      <c r="AL733" s="7">
        <v>0</v>
      </c>
      <c r="AM733" s="7">
        <v>0</v>
      </c>
      <c r="AN733" s="7" t="s">
        <v>5318</v>
      </c>
      <c r="AO733" s="11">
        <v>3</v>
      </c>
    </row>
    <row r="734" spans="1:41" ht="63" customHeight="1" x14ac:dyDescent="0.2">
      <c r="A734" s="7">
        <v>9217</v>
      </c>
      <c r="B734" s="7" t="s">
        <v>3302</v>
      </c>
      <c r="C734" s="7" t="s">
        <v>3303</v>
      </c>
      <c r="D734" s="7" t="s">
        <v>16</v>
      </c>
      <c r="F734" s="7" t="s">
        <v>1700</v>
      </c>
      <c r="G734" s="7" t="s">
        <v>144</v>
      </c>
      <c r="H734" s="7" t="s">
        <v>596</v>
      </c>
      <c r="I734" s="7" t="s">
        <v>13</v>
      </c>
      <c r="J734" s="7" t="s">
        <v>3304</v>
      </c>
      <c r="K734" s="7" t="s">
        <v>3305</v>
      </c>
      <c r="L734" s="7" t="s">
        <v>5781</v>
      </c>
      <c r="M734" s="7">
        <v>0</v>
      </c>
      <c r="N734" s="7" t="s">
        <v>5044</v>
      </c>
      <c r="O734" s="7" t="s">
        <v>5044</v>
      </c>
      <c r="P734" s="7">
        <v>0</v>
      </c>
      <c r="Q734" s="7">
        <v>0</v>
      </c>
      <c r="R734" s="7">
        <v>0</v>
      </c>
      <c r="S734" s="7">
        <v>1</v>
      </c>
      <c r="T734" s="7">
        <v>1</v>
      </c>
      <c r="U734" s="7">
        <v>112</v>
      </c>
      <c r="V734" s="7">
        <v>0</v>
      </c>
      <c r="W734" s="7">
        <v>1</v>
      </c>
      <c r="X734" s="7">
        <v>0</v>
      </c>
      <c r="Y734" s="7">
        <v>1</v>
      </c>
      <c r="Z734" s="7">
        <v>0</v>
      </c>
      <c r="AA734" s="7">
        <v>0</v>
      </c>
      <c r="AB734" s="7">
        <v>1</v>
      </c>
      <c r="AC734" s="7">
        <v>1</v>
      </c>
      <c r="AD734" s="7" t="s">
        <v>5044</v>
      </c>
      <c r="AE734" s="7" t="s">
        <v>5044</v>
      </c>
      <c r="AF734" s="7" t="s">
        <v>5044</v>
      </c>
      <c r="AG734" s="7">
        <v>1</v>
      </c>
      <c r="AH734" s="7">
        <v>0</v>
      </c>
      <c r="AI734" s="7">
        <v>0</v>
      </c>
      <c r="AJ734" s="7">
        <v>0</v>
      </c>
      <c r="AK734" s="7" t="s">
        <v>5318</v>
      </c>
      <c r="AL734" s="7">
        <v>0</v>
      </c>
      <c r="AM734" s="7">
        <v>0</v>
      </c>
      <c r="AN734" s="7" t="s">
        <v>5318</v>
      </c>
      <c r="AO734" s="9">
        <v>0</v>
      </c>
    </row>
    <row r="735" spans="1:41" ht="63" customHeight="1" x14ac:dyDescent="0.2">
      <c r="A735" s="7">
        <v>9221</v>
      </c>
      <c r="B735" s="7" t="s">
        <v>3306</v>
      </c>
      <c r="C735" s="7" t="s">
        <v>3307</v>
      </c>
      <c r="D735" s="7" t="s">
        <v>16</v>
      </c>
      <c r="F735" s="7" t="s">
        <v>3179</v>
      </c>
      <c r="G735" s="7" t="s">
        <v>32</v>
      </c>
      <c r="H735" s="7" t="s">
        <v>730</v>
      </c>
      <c r="I735" s="7" t="s">
        <v>13</v>
      </c>
      <c r="J735" s="7" t="s">
        <v>3308</v>
      </c>
      <c r="K735" s="7" t="s">
        <v>3309</v>
      </c>
      <c r="L735" s="7" t="s">
        <v>5963</v>
      </c>
      <c r="M735" s="7">
        <v>0</v>
      </c>
      <c r="N735" s="7" t="s">
        <v>5044</v>
      </c>
      <c r="O735" s="7" t="s">
        <v>5044</v>
      </c>
      <c r="P735" s="7">
        <v>0</v>
      </c>
      <c r="Q735" s="7">
        <v>0</v>
      </c>
      <c r="R735" s="7">
        <v>0</v>
      </c>
      <c r="S735" s="7">
        <v>3</v>
      </c>
      <c r="T735" s="7">
        <v>1</v>
      </c>
      <c r="U735" s="7">
        <v>530</v>
      </c>
      <c r="V735" s="7">
        <v>0</v>
      </c>
      <c r="W735" s="7">
        <v>1</v>
      </c>
      <c r="X735" s="7">
        <v>0</v>
      </c>
      <c r="Y735" s="7">
        <v>0</v>
      </c>
      <c r="Z735" s="7">
        <v>0</v>
      </c>
      <c r="AA735" s="7">
        <v>0</v>
      </c>
      <c r="AB735" s="7">
        <v>1</v>
      </c>
      <c r="AC735" s="7">
        <v>1</v>
      </c>
      <c r="AD735" s="7" t="s">
        <v>5044</v>
      </c>
      <c r="AE735" s="7" t="s">
        <v>5044</v>
      </c>
      <c r="AF735" s="7" t="s">
        <v>5044</v>
      </c>
      <c r="AG735" s="7">
        <v>1</v>
      </c>
      <c r="AH735" s="7">
        <v>0</v>
      </c>
      <c r="AI735" s="7">
        <v>0</v>
      </c>
      <c r="AJ735" s="7" t="s">
        <v>5044</v>
      </c>
      <c r="AK735" s="7" t="s">
        <v>5318</v>
      </c>
      <c r="AL735" s="7">
        <v>1</v>
      </c>
      <c r="AM735" s="7">
        <v>0</v>
      </c>
      <c r="AN735" s="7" t="s">
        <v>5318</v>
      </c>
      <c r="AO735" s="9">
        <v>0</v>
      </c>
    </row>
    <row r="736" spans="1:41" ht="63" customHeight="1" x14ac:dyDescent="0.2">
      <c r="A736" s="7">
        <v>9245</v>
      </c>
      <c r="B736" s="7" t="s">
        <v>3310</v>
      </c>
      <c r="C736" s="7" t="s">
        <v>3311</v>
      </c>
      <c r="D736" s="7" t="s">
        <v>41</v>
      </c>
      <c r="F736" s="7" t="s">
        <v>3312</v>
      </c>
      <c r="G736" s="7" t="s">
        <v>52</v>
      </c>
      <c r="H736" s="7" t="s">
        <v>390</v>
      </c>
      <c r="I736" s="7" t="s">
        <v>13</v>
      </c>
      <c r="J736" s="7" t="s">
        <v>3313</v>
      </c>
      <c r="K736" s="7" t="s">
        <v>3314</v>
      </c>
      <c r="L736" s="7" t="s">
        <v>5964</v>
      </c>
      <c r="M736" s="7">
        <v>0</v>
      </c>
      <c r="N736" s="7" t="s">
        <v>5044</v>
      </c>
      <c r="O736" s="7" t="s">
        <v>5044</v>
      </c>
      <c r="P736" s="7">
        <v>0</v>
      </c>
      <c r="Q736" s="7">
        <v>0</v>
      </c>
      <c r="R736" s="7">
        <v>0</v>
      </c>
      <c r="S736" s="7">
        <v>9</v>
      </c>
      <c r="T736" s="7">
        <v>2</v>
      </c>
      <c r="U736" s="7">
        <v>75</v>
      </c>
      <c r="V736" s="7">
        <v>0</v>
      </c>
      <c r="W736" s="7">
        <v>1</v>
      </c>
      <c r="X736" s="7">
        <v>0</v>
      </c>
      <c r="Y736" s="7">
        <v>0</v>
      </c>
      <c r="Z736" s="7">
        <v>0</v>
      </c>
      <c r="AA736" s="7">
        <v>0</v>
      </c>
      <c r="AB736" s="7">
        <v>1</v>
      </c>
      <c r="AC736" s="7">
        <v>0</v>
      </c>
      <c r="AD736" s="7" t="s">
        <v>5044</v>
      </c>
      <c r="AE736" s="7" t="s">
        <v>5044</v>
      </c>
      <c r="AF736" s="7" t="s">
        <v>5044</v>
      </c>
      <c r="AG736" s="7">
        <v>0</v>
      </c>
      <c r="AH736" s="7" t="s">
        <v>5044</v>
      </c>
      <c r="AI736" s="7" t="s">
        <v>5044</v>
      </c>
      <c r="AJ736" s="7" t="s">
        <v>5044</v>
      </c>
      <c r="AK736" s="7" t="s">
        <v>5318</v>
      </c>
      <c r="AL736" s="7">
        <v>0</v>
      </c>
      <c r="AM736" s="7">
        <v>0</v>
      </c>
      <c r="AN736" s="7" t="s">
        <v>5318</v>
      </c>
      <c r="AO736" s="11">
        <v>9</v>
      </c>
    </row>
    <row r="737" spans="1:41" ht="63" customHeight="1" x14ac:dyDescent="0.2">
      <c r="A737" s="7">
        <v>9264</v>
      </c>
      <c r="B737" s="7" t="s">
        <v>3315</v>
      </c>
      <c r="C737" s="7" t="s">
        <v>3316</v>
      </c>
      <c r="D737" s="7" t="s">
        <v>56</v>
      </c>
      <c r="F737" s="7" t="s">
        <v>2803</v>
      </c>
      <c r="G737" s="7" t="s">
        <v>11</v>
      </c>
      <c r="H737" s="7" t="s">
        <v>3317</v>
      </c>
      <c r="I737" s="7" t="s">
        <v>13</v>
      </c>
      <c r="J737" s="7" t="s">
        <v>3318</v>
      </c>
      <c r="K737" s="7" t="s">
        <v>3319</v>
      </c>
      <c r="L737" s="7" t="s">
        <v>5965</v>
      </c>
      <c r="M737" s="7">
        <v>0</v>
      </c>
      <c r="N737" s="7" t="s">
        <v>5044</v>
      </c>
      <c r="O737" s="7" t="s">
        <v>5044</v>
      </c>
      <c r="P737" s="7">
        <v>1</v>
      </c>
      <c r="Q737" s="7">
        <v>0</v>
      </c>
      <c r="R737" s="7">
        <v>0</v>
      </c>
      <c r="S737" s="7">
        <v>9</v>
      </c>
      <c r="T737" s="7">
        <v>2</v>
      </c>
      <c r="U737" s="7">
        <v>48</v>
      </c>
      <c r="V737" s="7">
        <v>0</v>
      </c>
      <c r="W737" s="7">
        <v>1</v>
      </c>
      <c r="X737" s="7">
        <v>0</v>
      </c>
      <c r="Y737" s="7">
        <v>0</v>
      </c>
      <c r="Z737" s="7">
        <v>0</v>
      </c>
      <c r="AA737" s="7">
        <v>0</v>
      </c>
      <c r="AB737" s="7">
        <v>1</v>
      </c>
      <c r="AC737" s="7">
        <v>1</v>
      </c>
      <c r="AD737" s="7" t="s">
        <v>5044</v>
      </c>
      <c r="AE737" s="7" t="s">
        <v>5044</v>
      </c>
      <c r="AF737" s="7" t="s">
        <v>5044</v>
      </c>
      <c r="AG737" s="7">
        <v>2</v>
      </c>
      <c r="AH737" s="7">
        <v>3</v>
      </c>
      <c r="AI737" s="7">
        <v>0</v>
      </c>
      <c r="AJ737" s="7" t="s">
        <v>5044</v>
      </c>
      <c r="AK737" s="7">
        <v>1</v>
      </c>
      <c r="AL737" s="7">
        <v>0</v>
      </c>
      <c r="AM737" s="7">
        <v>0</v>
      </c>
      <c r="AN737" s="7" t="s">
        <v>5318</v>
      </c>
      <c r="AO737" s="11">
        <v>3</v>
      </c>
    </row>
    <row r="738" spans="1:41" ht="63" customHeight="1" x14ac:dyDescent="0.2">
      <c r="A738" s="7">
        <v>9265</v>
      </c>
      <c r="B738" s="7" t="s">
        <v>3320</v>
      </c>
      <c r="C738" s="7" t="s">
        <v>3321</v>
      </c>
      <c r="D738" s="7" t="s">
        <v>25</v>
      </c>
      <c r="F738" s="7" t="s">
        <v>389</v>
      </c>
      <c r="G738" s="7" t="s">
        <v>11</v>
      </c>
      <c r="H738" s="7" t="s">
        <v>224</v>
      </c>
      <c r="I738" s="7" t="s">
        <v>13</v>
      </c>
      <c r="J738" s="7" t="s">
        <v>3322</v>
      </c>
      <c r="K738" s="7" t="s">
        <v>3323</v>
      </c>
      <c r="L738" s="7" t="s">
        <v>5966</v>
      </c>
      <c r="M738" s="7">
        <v>0</v>
      </c>
      <c r="N738" s="7" t="s">
        <v>5044</v>
      </c>
      <c r="O738" s="7" t="s">
        <v>5044</v>
      </c>
      <c r="P738" s="7">
        <v>0</v>
      </c>
      <c r="Q738" s="7">
        <v>0</v>
      </c>
      <c r="R738" s="7">
        <v>0</v>
      </c>
      <c r="S738" s="7">
        <v>9</v>
      </c>
      <c r="T738" s="7">
        <v>2</v>
      </c>
      <c r="U738" s="7">
        <v>89</v>
      </c>
      <c r="V738" s="7">
        <v>0</v>
      </c>
      <c r="W738" s="7">
        <v>1</v>
      </c>
      <c r="X738" s="7">
        <v>0</v>
      </c>
      <c r="Y738" s="7">
        <v>0</v>
      </c>
      <c r="Z738" s="7">
        <v>0</v>
      </c>
      <c r="AA738" s="7">
        <v>0</v>
      </c>
      <c r="AB738" s="7">
        <v>1</v>
      </c>
      <c r="AC738" s="7">
        <v>1</v>
      </c>
      <c r="AD738" s="7" t="s">
        <v>5044</v>
      </c>
      <c r="AE738" s="7" t="s">
        <v>5044</v>
      </c>
      <c r="AF738" s="7" t="s">
        <v>5044</v>
      </c>
      <c r="AG738" s="7">
        <v>2</v>
      </c>
      <c r="AH738" s="7">
        <v>3</v>
      </c>
      <c r="AI738" s="7">
        <v>0</v>
      </c>
      <c r="AJ738" s="7" t="s">
        <v>5044</v>
      </c>
      <c r="AK738" s="7">
        <v>1</v>
      </c>
      <c r="AL738" s="7">
        <v>1</v>
      </c>
      <c r="AM738" s="7">
        <v>0</v>
      </c>
      <c r="AN738" s="7" t="s">
        <v>5318</v>
      </c>
      <c r="AO738" s="11">
        <v>3</v>
      </c>
    </row>
    <row r="739" spans="1:41" ht="63" customHeight="1" x14ac:dyDescent="0.2">
      <c r="A739" s="7">
        <v>9271</v>
      </c>
      <c r="B739" s="7" t="s">
        <v>3328</v>
      </c>
      <c r="C739" s="7" t="s">
        <v>3329</v>
      </c>
      <c r="D739" s="7" t="s">
        <v>22</v>
      </c>
      <c r="F739" s="7" t="s">
        <v>1655</v>
      </c>
      <c r="G739" s="7" t="s">
        <v>11</v>
      </c>
      <c r="H739" s="7" t="s">
        <v>730</v>
      </c>
      <c r="I739" s="7" t="s">
        <v>13</v>
      </c>
      <c r="J739" s="7" t="s">
        <v>3330</v>
      </c>
      <c r="K739" s="7" t="s">
        <v>3331</v>
      </c>
      <c r="L739" s="7" t="s">
        <v>5482</v>
      </c>
      <c r="M739" s="7">
        <v>0</v>
      </c>
      <c r="N739" s="7" t="s">
        <v>5044</v>
      </c>
      <c r="O739" s="7" t="s">
        <v>5044</v>
      </c>
      <c r="P739" s="7">
        <v>0</v>
      </c>
      <c r="Q739" s="7">
        <v>0</v>
      </c>
      <c r="R739" s="7">
        <v>0</v>
      </c>
      <c r="S739" s="7">
        <v>3</v>
      </c>
      <c r="T739" s="7">
        <v>2</v>
      </c>
      <c r="U739" s="7">
        <v>184</v>
      </c>
      <c r="V739" s="7">
        <v>1</v>
      </c>
      <c r="W739" s="7">
        <v>0</v>
      </c>
      <c r="X739" s="7">
        <v>0</v>
      </c>
      <c r="Y739" s="7">
        <v>0</v>
      </c>
      <c r="Z739" s="7">
        <v>0</v>
      </c>
      <c r="AA739" s="7">
        <v>0</v>
      </c>
      <c r="AB739" s="7">
        <v>1</v>
      </c>
      <c r="AC739" s="7">
        <v>1</v>
      </c>
      <c r="AD739" s="7">
        <v>2</v>
      </c>
      <c r="AE739" s="7">
        <v>3</v>
      </c>
      <c r="AF739" s="7">
        <v>0</v>
      </c>
      <c r="AG739" s="7" t="s">
        <v>5044</v>
      </c>
      <c r="AH739" s="7" t="s">
        <v>5044</v>
      </c>
      <c r="AI739" s="7" t="s">
        <v>5044</v>
      </c>
      <c r="AJ739" s="7" t="s">
        <v>5044</v>
      </c>
      <c r="AK739" s="7">
        <v>2</v>
      </c>
      <c r="AL739" s="7">
        <v>1</v>
      </c>
      <c r="AM739" s="7">
        <v>0</v>
      </c>
      <c r="AN739" s="7" t="s">
        <v>5318</v>
      </c>
      <c r="AO739" s="11">
        <v>3</v>
      </c>
    </row>
    <row r="740" spans="1:41" ht="63" customHeight="1" x14ac:dyDescent="0.2">
      <c r="A740" s="7">
        <v>9276</v>
      </c>
      <c r="B740" s="7" t="s">
        <v>3332</v>
      </c>
      <c r="C740" s="7" t="s">
        <v>3333</v>
      </c>
      <c r="D740" s="7" t="s">
        <v>41</v>
      </c>
      <c r="F740" s="7" t="s">
        <v>129</v>
      </c>
      <c r="G740" s="7" t="s">
        <v>175</v>
      </c>
      <c r="H740" s="7" t="s">
        <v>172</v>
      </c>
      <c r="I740" s="7" t="s">
        <v>13</v>
      </c>
      <c r="J740" s="7" t="s">
        <v>3334</v>
      </c>
      <c r="K740" s="7" t="s">
        <v>3335</v>
      </c>
      <c r="L740" s="7" t="s">
        <v>5967</v>
      </c>
      <c r="M740" s="7">
        <v>0</v>
      </c>
      <c r="N740" s="7" t="s">
        <v>5044</v>
      </c>
      <c r="O740" s="7">
        <v>0</v>
      </c>
      <c r="P740" s="7">
        <v>0</v>
      </c>
      <c r="Q740" s="7">
        <v>0</v>
      </c>
      <c r="R740" s="7">
        <v>0</v>
      </c>
      <c r="S740" s="7" t="s">
        <v>7674</v>
      </c>
      <c r="T740" s="7">
        <v>1</v>
      </c>
      <c r="U740" s="7">
        <v>153</v>
      </c>
      <c r="V740" s="7">
        <v>0</v>
      </c>
      <c r="W740" s="7">
        <v>1</v>
      </c>
      <c r="X740" s="7">
        <v>0</v>
      </c>
      <c r="Y740" s="7">
        <v>0</v>
      </c>
      <c r="Z740" s="7">
        <v>0</v>
      </c>
      <c r="AA740" s="7">
        <v>0</v>
      </c>
      <c r="AB740" s="7">
        <v>1</v>
      </c>
      <c r="AC740" s="7">
        <v>1</v>
      </c>
      <c r="AD740" s="7" t="s">
        <v>5044</v>
      </c>
      <c r="AE740" s="7" t="s">
        <v>5044</v>
      </c>
      <c r="AF740" s="7" t="s">
        <v>5044</v>
      </c>
      <c r="AG740" s="7">
        <v>1</v>
      </c>
      <c r="AH740" s="7">
        <v>0</v>
      </c>
      <c r="AI740" s="7">
        <v>0</v>
      </c>
      <c r="AJ740" s="7" t="s">
        <v>5044</v>
      </c>
      <c r="AK740" s="7" t="s">
        <v>5318</v>
      </c>
      <c r="AL740" s="7">
        <v>1</v>
      </c>
      <c r="AM740" s="7">
        <v>0</v>
      </c>
      <c r="AN740" s="7" t="s">
        <v>5318</v>
      </c>
      <c r="AO740" s="9">
        <v>0</v>
      </c>
    </row>
    <row r="741" spans="1:41" ht="63" customHeight="1" x14ac:dyDescent="0.2">
      <c r="A741" s="7">
        <v>9282</v>
      </c>
      <c r="B741" s="7" t="s">
        <v>3336</v>
      </c>
      <c r="C741" s="7" t="s">
        <v>3337</v>
      </c>
      <c r="D741" s="7" t="s">
        <v>22</v>
      </c>
      <c r="F741" s="7" t="s">
        <v>163</v>
      </c>
      <c r="G741" s="7" t="s">
        <v>144</v>
      </c>
      <c r="H741" s="7" t="s">
        <v>3338</v>
      </c>
      <c r="I741" s="7" t="s">
        <v>13</v>
      </c>
      <c r="J741" s="7" t="s">
        <v>3339</v>
      </c>
      <c r="K741" s="7" t="s">
        <v>3340</v>
      </c>
      <c r="L741" s="11" t="s">
        <v>5044</v>
      </c>
      <c r="M741" s="7">
        <v>0</v>
      </c>
      <c r="N741" s="7" t="s">
        <v>5044</v>
      </c>
      <c r="O741" s="7" t="s">
        <v>5044</v>
      </c>
      <c r="P741" s="7">
        <v>0</v>
      </c>
      <c r="Q741" s="7">
        <v>0</v>
      </c>
      <c r="R741" s="7">
        <v>0</v>
      </c>
      <c r="S741" s="7">
        <v>1</v>
      </c>
      <c r="T741" s="7">
        <v>1</v>
      </c>
      <c r="U741" s="7">
        <v>100</v>
      </c>
      <c r="V741" s="7">
        <v>0</v>
      </c>
      <c r="W741" s="7">
        <v>1</v>
      </c>
      <c r="X741" s="7">
        <v>0</v>
      </c>
      <c r="Y741" s="7">
        <v>0</v>
      </c>
      <c r="Z741" s="7">
        <v>0</v>
      </c>
      <c r="AA741" s="7">
        <v>0</v>
      </c>
      <c r="AB741" s="7">
        <v>1</v>
      </c>
      <c r="AC741" s="7">
        <v>1</v>
      </c>
      <c r="AD741" s="7" t="s">
        <v>5044</v>
      </c>
      <c r="AE741" s="7" t="s">
        <v>5044</v>
      </c>
      <c r="AF741" s="7" t="s">
        <v>5044</v>
      </c>
      <c r="AG741" s="7">
        <v>1</v>
      </c>
      <c r="AH741" s="7">
        <v>0</v>
      </c>
      <c r="AI741" s="7">
        <v>0</v>
      </c>
      <c r="AJ741" s="7" t="s">
        <v>5044</v>
      </c>
      <c r="AK741" s="7" t="s">
        <v>5318</v>
      </c>
      <c r="AL741" s="7">
        <v>1</v>
      </c>
      <c r="AM741" s="7">
        <v>0</v>
      </c>
      <c r="AN741" s="7" t="s">
        <v>5318</v>
      </c>
      <c r="AO741" s="9">
        <v>0</v>
      </c>
    </row>
    <row r="742" spans="1:41" ht="63" customHeight="1" x14ac:dyDescent="0.2">
      <c r="A742" s="7">
        <v>9288</v>
      </c>
      <c r="B742" s="7" t="s">
        <v>3346</v>
      </c>
      <c r="C742" s="7" t="s">
        <v>3347</v>
      </c>
      <c r="D742" s="7" t="s">
        <v>22</v>
      </c>
      <c r="F742" s="7" t="s">
        <v>626</v>
      </c>
      <c r="G742" s="7" t="s">
        <v>18</v>
      </c>
      <c r="H742" s="7" t="s">
        <v>43</v>
      </c>
      <c r="I742" s="7" t="s">
        <v>437</v>
      </c>
      <c r="J742" s="7" t="s">
        <v>3348</v>
      </c>
      <c r="K742" s="7" t="s">
        <v>3349</v>
      </c>
      <c r="L742" s="7" t="s">
        <v>5970</v>
      </c>
      <c r="M742" s="7">
        <v>0</v>
      </c>
      <c r="N742" s="7" t="s">
        <v>5044</v>
      </c>
      <c r="O742" s="7" t="s">
        <v>5044</v>
      </c>
      <c r="P742" s="7">
        <v>0</v>
      </c>
      <c r="Q742" s="7">
        <v>0</v>
      </c>
      <c r="R742" s="7">
        <v>0</v>
      </c>
      <c r="S742" s="7">
        <v>1</v>
      </c>
      <c r="T742" s="7">
        <v>1</v>
      </c>
      <c r="U742" s="7">
        <v>800</v>
      </c>
      <c r="V742" s="7">
        <v>0</v>
      </c>
      <c r="W742" s="7">
        <v>1</v>
      </c>
      <c r="X742" s="7">
        <v>0</v>
      </c>
      <c r="Y742" s="7">
        <v>0</v>
      </c>
      <c r="Z742" s="7">
        <v>0</v>
      </c>
      <c r="AA742" s="7">
        <v>0</v>
      </c>
      <c r="AB742" s="7">
        <v>1</v>
      </c>
      <c r="AC742" s="7">
        <v>0</v>
      </c>
      <c r="AD742" s="7" t="s">
        <v>5044</v>
      </c>
      <c r="AE742" s="7" t="s">
        <v>5044</v>
      </c>
      <c r="AF742" s="7" t="s">
        <v>5044</v>
      </c>
      <c r="AG742" s="7">
        <v>0</v>
      </c>
      <c r="AH742" s="7" t="s">
        <v>5044</v>
      </c>
      <c r="AI742" s="7" t="s">
        <v>5044</v>
      </c>
      <c r="AJ742" s="7" t="s">
        <v>5044</v>
      </c>
      <c r="AK742" s="7" t="s">
        <v>5318</v>
      </c>
      <c r="AL742" s="7">
        <v>0</v>
      </c>
      <c r="AM742" s="7">
        <v>0</v>
      </c>
      <c r="AO742" s="11">
        <v>9</v>
      </c>
    </row>
    <row r="743" spans="1:41" ht="63" customHeight="1" x14ac:dyDescent="0.2">
      <c r="A743" s="7">
        <v>9309</v>
      </c>
      <c r="B743" s="7" t="s">
        <v>3350</v>
      </c>
      <c r="C743" s="7" t="s">
        <v>3351</v>
      </c>
      <c r="D743" s="7" t="s">
        <v>46</v>
      </c>
      <c r="F743" s="7" t="s">
        <v>163</v>
      </c>
      <c r="G743" s="7" t="s">
        <v>144</v>
      </c>
      <c r="H743" s="7" t="s">
        <v>422</v>
      </c>
      <c r="I743" s="7" t="s">
        <v>13</v>
      </c>
      <c r="J743" s="7" t="s">
        <v>3352</v>
      </c>
      <c r="K743" s="7" t="s">
        <v>3353</v>
      </c>
      <c r="L743" s="11" t="s">
        <v>5044</v>
      </c>
      <c r="M743" s="7">
        <v>0</v>
      </c>
      <c r="N743" s="7" t="s">
        <v>5044</v>
      </c>
      <c r="O743" s="7" t="s">
        <v>5044</v>
      </c>
      <c r="P743" s="7">
        <v>1</v>
      </c>
      <c r="Q743" s="7">
        <v>0</v>
      </c>
      <c r="R743" s="7">
        <v>0</v>
      </c>
      <c r="S743" s="7">
        <v>1</v>
      </c>
      <c r="T743" s="7">
        <v>1</v>
      </c>
      <c r="U743" s="7">
        <v>20</v>
      </c>
      <c r="V743" s="7">
        <v>0</v>
      </c>
      <c r="W743" s="7">
        <v>1</v>
      </c>
      <c r="X743" s="7">
        <v>0</v>
      </c>
      <c r="Y743" s="7">
        <v>0</v>
      </c>
      <c r="Z743" s="7">
        <v>0</v>
      </c>
      <c r="AA743" s="7">
        <v>0</v>
      </c>
      <c r="AB743" s="7">
        <v>1</v>
      </c>
      <c r="AC743" s="7">
        <v>0</v>
      </c>
      <c r="AD743" s="7" t="s">
        <v>5044</v>
      </c>
      <c r="AE743" s="7" t="s">
        <v>5044</v>
      </c>
      <c r="AF743" s="7" t="s">
        <v>5044</v>
      </c>
      <c r="AG743" s="7">
        <v>0</v>
      </c>
      <c r="AH743" s="7" t="s">
        <v>5044</v>
      </c>
      <c r="AI743" s="7" t="s">
        <v>5044</v>
      </c>
      <c r="AJ743" s="7" t="s">
        <v>5044</v>
      </c>
      <c r="AK743" s="7" t="s">
        <v>5318</v>
      </c>
      <c r="AL743" s="7">
        <v>0</v>
      </c>
      <c r="AM743" s="7">
        <v>0</v>
      </c>
      <c r="AN743" s="7" t="s">
        <v>5318</v>
      </c>
      <c r="AO743" s="11">
        <v>9</v>
      </c>
    </row>
    <row r="744" spans="1:41" ht="63" customHeight="1" x14ac:dyDescent="0.2">
      <c r="A744" s="7">
        <v>9316</v>
      </c>
      <c r="B744" s="7" t="s">
        <v>3354</v>
      </c>
      <c r="C744" s="7" t="s">
        <v>3355</v>
      </c>
      <c r="D744" s="7" t="s">
        <v>74</v>
      </c>
      <c r="F744" s="7" t="s">
        <v>27</v>
      </c>
      <c r="G744" s="7" t="s">
        <v>32</v>
      </c>
      <c r="H744" s="7" t="s">
        <v>362</v>
      </c>
      <c r="I744" s="7" t="s">
        <v>13</v>
      </c>
      <c r="J744" s="7" t="s">
        <v>3356</v>
      </c>
      <c r="K744" s="7" t="s">
        <v>3357</v>
      </c>
      <c r="L744" s="7" t="s">
        <v>5971</v>
      </c>
      <c r="M744" s="7">
        <v>0</v>
      </c>
      <c r="N744" s="7" t="s">
        <v>5044</v>
      </c>
      <c r="O744" s="7" t="s">
        <v>5044</v>
      </c>
      <c r="P744" s="7">
        <v>0</v>
      </c>
      <c r="Q744" s="7">
        <v>0</v>
      </c>
      <c r="R744" s="7">
        <v>0</v>
      </c>
      <c r="S744" s="7" t="s">
        <v>5708</v>
      </c>
      <c r="T744" s="7">
        <v>1</v>
      </c>
      <c r="U744" s="7">
        <v>90</v>
      </c>
      <c r="V744" s="7">
        <v>0</v>
      </c>
      <c r="W744" s="7">
        <v>1</v>
      </c>
      <c r="X744" s="7">
        <v>0</v>
      </c>
      <c r="Y744" s="7">
        <v>0</v>
      </c>
      <c r="Z744" s="7">
        <v>0</v>
      </c>
      <c r="AA744" s="7">
        <v>0</v>
      </c>
      <c r="AB744" s="7">
        <v>1</v>
      </c>
      <c r="AC744" s="7">
        <v>1</v>
      </c>
      <c r="AD744" s="7" t="s">
        <v>5044</v>
      </c>
      <c r="AE744" s="7" t="s">
        <v>5044</v>
      </c>
      <c r="AF744" s="7" t="s">
        <v>5044</v>
      </c>
      <c r="AG744" s="7">
        <v>2</v>
      </c>
      <c r="AH744" s="7">
        <v>3</v>
      </c>
      <c r="AI744" s="7">
        <v>0</v>
      </c>
      <c r="AJ744" s="7" t="s">
        <v>5044</v>
      </c>
      <c r="AK744" s="7" t="s">
        <v>5972</v>
      </c>
      <c r="AL744" s="7">
        <v>0</v>
      </c>
      <c r="AM744" s="7">
        <v>0</v>
      </c>
      <c r="AN744" s="7" t="s">
        <v>5318</v>
      </c>
      <c r="AO744" s="11">
        <v>3</v>
      </c>
    </row>
    <row r="745" spans="1:41" ht="63" customHeight="1" x14ac:dyDescent="0.2">
      <c r="A745" s="7">
        <v>9321</v>
      </c>
      <c r="B745" s="7" t="s">
        <v>3358</v>
      </c>
      <c r="C745" s="7" t="s">
        <v>3359</v>
      </c>
      <c r="D745" s="7" t="s">
        <v>46</v>
      </c>
      <c r="F745" s="7" t="s">
        <v>144</v>
      </c>
      <c r="G745" s="7" t="s">
        <v>144</v>
      </c>
      <c r="H745" s="7" t="s">
        <v>396</v>
      </c>
      <c r="I745" s="7" t="s">
        <v>13</v>
      </c>
      <c r="J745" s="7" t="s">
        <v>3360</v>
      </c>
      <c r="K745" s="7" t="s">
        <v>3361</v>
      </c>
      <c r="L745" s="7" t="s">
        <v>5973</v>
      </c>
      <c r="M745" s="7">
        <v>0</v>
      </c>
      <c r="N745" s="7" t="s">
        <v>5044</v>
      </c>
      <c r="O745" s="7" t="s">
        <v>5044</v>
      </c>
      <c r="P745" s="7">
        <v>0</v>
      </c>
      <c r="Q745" s="7">
        <v>0</v>
      </c>
      <c r="R745" s="7">
        <v>0</v>
      </c>
      <c r="S745" s="7">
        <v>1</v>
      </c>
      <c r="T745" s="7">
        <v>1</v>
      </c>
      <c r="U745" s="7">
        <v>253</v>
      </c>
      <c r="V745" s="7">
        <v>0</v>
      </c>
      <c r="W745" s="7">
        <v>1</v>
      </c>
      <c r="X745" s="7">
        <v>0</v>
      </c>
      <c r="Y745" s="7">
        <v>0</v>
      </c>
      <c r="Z745" s="7">
        <v>0</v>
      </c>
      <c r="AA745" s="7">
        <v>0</v>
      </c>
      <c r="AB745" s="7">
        <v>1</v>
      </c>
      <c r="AC745" s="7">
        <v>1</v>
      </c>
      <c r="AD745" s="7" t="s">
        <v>5044</v>
      </c>
      <c r="AE745" s="7" t="s">
        <v>5044</v>
      </c>
      <c r="AF745" s="7" t="s">
        <v>5044</v>
      </c>
      <c r="AG745" s="7">
        <v>1</v>
      </c>
      <c r="AH745" s="7">
        <v>0</v>
      </c>
      <c r="AI745" s="7">
        <v>0</v>
      </c>
      <c r="AJ745" s="7" t="s">
        <v>5044</v>
      </c>
      <c r="AK745" s="7" t="s">
        <v>5318</v>
      </c>
      <c r="AL745" s="7">
        <v>1</v>
      </c>
      <c r="AM745" s="7">
        <v>0</v>
      </c>
      <c r="AN745" s="7" t="s">
        <v>5318</v>
      </c>
      <c r="AO745" s="9">
        <v>0</v>
      </c>
    </row>
    <row r="746" spans="1:41" ht="63" customHeight="1" x14ac:dyDescent="0.2">
      <c r="A746" s="7">
        <v>9331</v>
      </c>
      <c r="B746" s="7" t="s">
        <v>3367</v>
      </c>
      <c r="C746" s="7" t="s">
        <v>3368</v>
      </c>
      <c r="D746" s="7" t="s">
        <v>74</v>
      </c>
      <c r="F746" s="7" t="s">
        <v>27</v>
      </c>
      <c r="G746" s="7" t="s">
        <v>18</v>
      </c>
      <c r="H746" s="7" t="s">
        <v>362</v>
      </c>
      <c r="I746" s="7" t="s">
        <v>13</v>
      </c>
      <c r="J746" s="7" t="s">
        <v>3369</v>
      </c>
      <c r="K746" s="7" t="s">
        <v>3370</v>
      </c>
      <c r="L746" s="7" t="s">
        <v>5975</v>
      </c>
      <c r="M746" s="7">
        <v>0</v>
      </c>
      <c r="N746" s="7" t="s">
        <v>5044</v>
      </c>
      <c r="O746" s="7" t="s">
        <v>5044</v>
      </c>
      <c r="P746" s="7">
        <v>0</v>
      </c>
      <c r="Q746" s="7">
        <v>0</v>
      </c>
      <c r="R746" s="7">
        <v>0</v>
      </c>
      <c r="S746" s="7" t="s">
        <v>5708</v>
      </c>
      <c r="T746" s="7">
        <v>1</v>
      </c>
      <c r="U746" s="7">
        <v>148</v>
      </c>
      <c r="V746" s="7">
        <v>0</v>
      </c>
      <c r="W746" s="7">
        <v>1</v>
      </c>
      <c r="X746" s="7">
        <v>0</v>
      </c>
      <c r="Y746" s="7">
        <v>0</v>
      </c>
      <c r="Z746" s="7">
        <v>0</v>
      </c>
      <c r="AA746" s="7">
        <v>0</v>
      </c>
      <c r="AB746" s="7">
        <v>1</v>
      </c>
      <c r="AC746" s="7">
        <v>1</v>
      </c>
      <c r="AD746" s="7" t="s">
        <v>5044</v>
      </c>
      <c r="AE746" s="7" t="s">
        <v>5044</v>
      </c>
      <c r="AF746" s="7" t="s">
        <v>5044</v>
      </c>
      <c r="AG746" s="7">
        <v>2</v>
      </c>
      <c r="AH746" s="7">
        <v>3</v>
      </c>
      <c r="AI746" s="7">
        <v>0</v>
      </c>
      <c r="AJ746" s="7" t="s">
        <v>5044</v>
      </c>
      <c r="AK746" s="7">
        <v>1</v>
      </c>
      <c r="AL746" s="7">
        <v>1</v>
      </c>
      <c r="AM746" s="7">
        <v>0</v>
      </c>
      <c r="AN746" s="7" t="s">
        <v>5318</v>
      </c>
      <c r="AO746" s="11">
        <v>3</v>
      </c>
    </row>
    <row r="747" spans="1:41" ht="63" customHeight="1" x14ac:dyDescent="0.2">
      <c r="A747" s="7">
        <v>9361</v>
      </c>
      <c r="B747" s="7" t="s">
        <v>3375</v>
      </c>
      <c r="C747" s="7" t="s">
        <v>3376</v>
      </c>
      <c r="D747" s="7" t="s">
        <v>95</v>
      </c>
      <c r="F747" s="7" t="s">
        <v>571</v>
      </c>
      <c r="G747" s="7" t="s">
        <v>129</v>
      </c>
      <c r="H747" s="7" t="s">
        <v>59</v>
      </c>
      <c r="I747" s="7" t="s">
        <v>13</v>
      </c>
      <c r="J747" s="7" t="s">
        <v>3377</v>
      </c>
      <c r="K747" s="7" t="s">
        <v>3378</v>
      </c>
      <c r="L747" s="7" t="s">
        <v>5976</v>
      </c>
      <c r="M747" s="7">
        <v>0</v>
      </c>
      <c r="N747" s="7" t="s">
        <v>5044</v>
      </c>
      <c r="O747" s="7" t="s">
        <v>5044</v>
      </c>
      <c r="P747" s="7">
        <v>0</v>
      </c>
      <c r="Q747" s="7">
        <v>0</v>
      </c>
      <c r="R747" s="7">
        <v>0</v>
      </c>
      <c r="S747" s="7">
        <v>1</v>
      </c>
      <c r="T747" s="7">
        <v>4</v>
      </c>
      <c r="U747" s="7">
        <v>75</v>
      </c>
      <c r="V747" s="7">
        <v>0</v>
      </c>
      <c r="W747" s="7">
        <v>1</v>
      </c>
      <c r="X747" s="7">
        <v>0</v>
      </c>
      <c r="Y747" s="7">
        <v>0</v>
      </c>
      <c r="Z747" s="7">
        <v>0</v>
      </c>
      <c r="AA747" s="7">
        <v>0</v>
      </c>
      <c r="AB747" s="7">
        <v>1</v>
      </c>
      <c r="AC747" s="7">
        <v>1</v>
      </c>
      <c r="AD747" s="7" t="s">
        <v>5044</v>
      </c>
      <c r="AE747" s="7" t="s">
        <v>5044</v>
      </c>
      <c r="AF747" s="7" t="s">
        <v>5044</v>
      </c>
      <c r="AG747" s="7">
        <v>2</v>
      </c>
      <c r="AH747" s="7">
        <v>2</v>
      </c>
      <c r="AI747" s="7">
        <v>2</v>
      </c>
      <c r="AJ747" s="7" t="s">
        <v>5044</v>
      </c>
      <c r="AK747" s="7" t="s">
        <v>5318</v>
      </c>
      <c r="AL747" s="7">
        <v>0</v>
      </c>
      <c r="AM747" s="7">
        <v>0</v>
      </c>
      <c r="AN747" s="7" t="s">
        <v>5318</v>
      </c>
      <c r="AO747" s="11">
        <v>2</v>
      </c>
    </row>
    <row r="748" spans="1:41" ht="63" customHeight="1" x14ac:dyDescent="0.2">
      <c r="A748" s="7">
        <v>9386</v>
      </c>
      <c r="B748" s="7" t="s">
        <v>3379</v>
      </c>
      <c r="C748" s="7" t="s">
        <v>3380</v>
      </c>
      <c r="D748" s="7" t="s">
        <v>95</v>
      </c>
      <c r="F748" s="7" t="s">
        <v>356</v>
      </c>
      <c r="G748" s="7" t="s">
        <v>18</v>
      </c>
      <c r="H748" s="7" t="s">
        <v>160</v>
      </c>
      <c r="I748" s="7" t="s">
        <v>13</v>
      </c>
      <c r="J748" s="7" t="s">
        <v>3381</v>
      </c>
      <c r="K748" s="7" t="s">
        <v>3382</v>
      </c>
      <c r="L748" s="7" t="s">
        <v>5977</v>
      </c>
      <c r="M748" s="7">
        <v>0</v>
      </c>
      <c r="N748" s="7" t="s">
        <v>5044</v>
      </c>
      <c r="O748" s="7" t="s">
        <v>5044</v>
      </c>
      <c r="P748" s="7">
        <v>0</v>
      </c>
      <c r="Q748" s="7">
        <v>0</v>
      </c>
      <c r="R748" s="7">
        <v>0</v>
      </c>
      <c r="S748" s="7">
        <v>1</v>
      </c>
      <c r="T748" s="7">
        <v>1</v>
      </c>
      <c r="U748" s="7">
        <v>765</v>
      </c>
      <c r="V748" s="7">
        <v>0</v>
      </c>
      <c r="W748" s="7">
        <v>1</v>
      </c>
      <c r="X748" s="7">
        <v>0</v>
      </c>
      <c r="Y748" s="7">
        <v>0</v>
      </c>
      <c r="Z748" s="7">
        <v>0</v>
      </c>
      <c r="AA748" s="7">
        <v>0</v>
      </c>
      <c r="AB748" s="7">
        <v>1</v>
      </c>
      <c r="AC748" s="7">
        <v>1</v>
      </c>
      <c r="AD748" s="7" t="s">
        <v>5044</v>
      </c>
      <c r="AE748" s="7" t="s">
        <v>5044</v>
      </c>
      <c r="AF748" s="7" t="s">
        <v>5044</v>
      </c>
      <c r="AG748" s="7">
        <v>2</v>
      </c>
      <c r="AH748" s="7">
        <v>2</v>
      </c>
      <c r="AI748" s="7">
        <v>2</v>
      </c>
      <c r="AJ748" s="7" t="s">
        <v>5044</v>
      </c>
      <c r="AK748" s="7" t="s">
        <v>5318</v>
      </c>
      <c r="AL748" s="7">
        <v>1</v>
      </c>
      <c r="AM748" s="7">
        <v>0</v>
      </c>
      <c r="AO748" s="11">
        <v>2</v>
      </c>
    </row>
    <row r="749" spans="1:41" ht="63" customHeight="1" x14ac:dyDescent="0.2">
      <c r="A749" s="7">
        <v>9397</v>
      </c>
      <c r="B749" s="23" t="s">
        <v>3383</v>
      </c>
      <c r="C749" s="7" t="s">
        <v>3384</v>
      </c>
      <c r="D749" s="7" t="s">
        <v>101</v>
      </c>
      <c r="F749" s="7" t="s">
        <v>197</v>
      </c>
      <c r="G749" s="7" t="s">
        <v>144</v>
      </c>
      <c r="H749" s="7" t="s">
        <v>160</v>
      </c>
      <c r="I749" s="7" t="s">
        <v>13</v>
      </c>
      <c r="J749" s="7" t="s">
        <v>3385</v>
      </c>
      <c r="K749" s="7" t="s">
        <v>3386</v>
      </c>
      <c r="L749" s="7" t="s">
        <v>5978</v>
      </c>
      <c r="M749" s="7">
        <v>0</v>
      </c>
      <c r="N749" s="7" t="s">
        <v>5044</v>
      </c>
      <c r="O749" s="7" t="s">
        <v>5044</v>
      </c>
      <c r="P749" s="7">
        <v>0</v>
      </c>
      <c r="Q749" s="7">
        <v>0</v>
      </c>
      <c r="R749" s="7">
        <v>0</v>
      </c>
      <c r="S749" s="7">
        <v>1</v>
      </c>
      <c r="T749" s="7">
        <v>4</v>
      </c>
      <c r="U749" s="7">
        <v>600</v>
      </c>
      <c r="V749" s="7">
        <v>0</v>
      </c>
      <c r="W749" s="7">
        <v>1</v>
      </c>
      <c r="X749" s="7">
        <v>0</v>
      </c>
      <c r="Y749" s="7">
        <v>0</v>
      </c>
      <c r="Z749" s="7">
        <v>0</v>
      </c>
      <c r="AA749" s="7">
        <v>0</v>
      </c>
      <c r="AB749" s="7">
        <v>1</v>
      </c>
      <c r="AC749" s="7">
        <v>1</v>
      </c>
      <c r="AD749" s="7" t="s">
        <v>5044</v>
      </c>
      <c r="AE749" s="7" t="s">
        <v>5044</v>
      </c>
      <c r="AF749" s="7" t="s">
        <v>5044</v>
      </c>
      <c r="AG749" s="7">
        <v>2</v>
      </c>
      <c r="AH749" s="7">
        <v>3</v>
      </c>
      <c r="AI749" s="7">
        <v>0</v>
      </c>
      <c r="AJ749" s="7" t="s">
        <v>5044</v>
      </c>
      <c r="AK749" s="23">
        <v>1</v>
      </c>
      <c r="AL749" s="7">
        <v>0</v>
      </c>
      <c r="AM749" s="7">
        <v>0</v>
      </c>
      <c r="AN749" s="7" t="s">
        <v>5318</v>
      </c>
      <c r="AO749" s="11">
        <v>3</v>
      </c>
    </row>
    <row r="750" spans="1:41" ht="63" customHeight="1" x14ac:dyDescent="0.2">
      <c r="A750" s="7">
        <v>9420</v>
      </c>
      <c r="B750" s="7" t="s">
        <v>3391</v>
      </c>
      <c r="C750" s="7" t="s">
        <v>3392</v>
      </c>
      <c r="D750" s="7" t="s">
        <v>74</v>
      </c>
      <c r="F750" s="7" t="s">
        <v>31</v>
      </c>
      <c r="G750" s="7" t="s">
        <v>175</v>
      </c>
      <c r="H750" s="7" t="s">
        <v>160</v>
      </c>
      <c r="I750" s="7" t="s">
        <v>13</v>
      </c>
      <c r="J750" s="7" t="s">
        <v>3393</v>
      </c>
      <c r="K750" s="7" t="s">
        <v>3394</v>
      </c>
      <c r="L750" s="7" t="s">
        <v>5980</v>
      </c>
      <c r="M750" s="7">
        <v>0</v>
      </c>
      <c r="N750" s="7" t="s">
        <v>5044</v>
      </c>
      <c r="O750" s="7" t="s">
        <v>5044</v>
      </c>
      <c r="P750" s="7">
        <v>0</v>
      </c>
      <c r="Q750" s="7">
        <v>0</v>
      </c>
      <c r="R750" s="7">
        <v>0</v>
      </c>
      <c r="S750" s="7">
        <v>1</v>
      </c>
      <c r="T750" s="7">
        <v>4</v>
      </c>
      <c r="U750" s="7">
        <v>148</v>
      </c>
      <c r="V750" s="7">
        <v>0</v>
      </c>
      <c r="W750" s="7">
        <v>1</v>
      </c>
      <c r="X750" s="7">
        <v>0</v>
      </c>
      <c r="Y750" s="7">
        <v>0</v>
      </c>
      <c r="Z750" s="7">
        <v>0</v>
      </c>
      <c r="AA750" s="7">
        <v>0</v>
      </c>
      <c r="AB750" s="7">
        <v>1</v>
      </c>
      <c r="AC750" s="7">
        <v>1</v>
      </c>
      <c r="AD750" s="7" t="s">
        <v>5044</v>
      </c>
      <c r="AE750" s="7" t="s">
        <v>5044</v>
      </c>
      <c r="AF750" s="7" t="s">
        <v>5044</v>
      </c>
      <c r="AG750" s="7">
        <v>2</v>
      </c>
      <c r="AH750" s="7">
        <v>3</v>
      </c>
      <c r="AI750" s="7">
        <v>0</v>
      </c>
      <c r="AJ750" s="7" t="s">
        <v>5044</v>
      </c>
      <c r="AK750" s="7">
        <v>1</v>
      </c>
      <c r="AL750" s="7">
        <v>1</v>
      </c>
      <c r="AM750" s="7">
        <v>0</v>
      </c>
      <c r="AN750" s="7" t="s">
        <v>5318</v>
      </c>
      <c r="AO750" s="11">
        <v>3</v>
      </c>
    </row>
    <row r="751" spans="1:41" ht="63" customHeight="1" x14ac:dyDescent="0.2">
      <c r="A751" s="7">
        <v>9422</v>
      </c>
      <c r="B751" s="7" t="s">
        <v>3395</v>
      </c>
      <c r="C751" s="7" t="s">
        <v>3396</v>
      </c>
      <c r="D751" s="7" t="s">
        <v>25</v>
      </c>
      <c r="F751" s="7" t="s">
        <v>900</v>
      </c>
      <c r="G751" s="7" t="s">
        <v>144</v>
      </c>
      <c r="H751" s="7" t="s">
        <v>1669</v>
      </c>
      <c r="I751" s="7" t="s">
        <v>13</v>
      </c>
      <c r="J751" s="7" t="s">
        <v>3397</v>
      </c>
      <c r="K751" s="7" t="s">
        <v>3398</v>
      </c>
      <c r="L751" s="11" t="s">
        <v>5044</v>
      </c>
      <c r="M751" s="7">
        <v>0</v>
      </c>
      <c r="N751" s="7" t="s">
        <v>5044</v>
      </c>
      <c r="O751" s="7" t="s">
        <v>5044</v>
      </c>
      <c r="P751" s="7">
        <v>0</v>
      </c>
      <c r="Q751" s="7">
        <v>0</v>
      </c>
      <c r="R751" s="7">
        <v>0</v>
      </c>
      <c r="S751" s="7">
        <v>1</v>
      </c>
      <c r="T751" s="7">
        <v>4</v>
      </c>
      <c r="U751" s="7">
        <v>114</v>
      </c>
      <c r="V751" s="7">
        <v>0</v>
      </c>
      <c r="W751" s="7">
        <v>1</v>
      </c>
      <c r="X751" s="7">
        <v>0</v>
      </c>
      <c r="Y751" s="7">
        <v>0</v>
      </c>
      <c r="Z751" s="7">
        <v>0</v>
      </c>
      <c r="AA751" s="7">
        <v>0</v>
      </c>
      <c r="AB751" s="7">
        <v>1</v>
      </c>
      <c r="AC751" s="7">
        <v>1</v>
      </c>
      <c r="AD751" s="7" t="s">
        <v>5044</v>
      </c>
      <c r="AE751" s="7" t="s">
        <v>5044</v>
      </c>
      <c r="AF751" s="7" t="s">
        <v>5044</v>
      </c>
      <c r="AG751" s="7">
        <v>1</v>
      </c>
      <c r="AH751" s="7">
        <v>0</v>
      </c>
      <c r="AI751" s="7">
        <v>0</v>
      </c>
      <c r="AJ751" s="7" t="s">
        <v>5044</v>
      </c>
      <c r="AK751" s="7" t="s">
        <v>5318</v>
      </c>
      <c r="AL751" s="7">
        <v>0</v>
      </c>
      <c r="AM751" s="7">
        <v>0</v>
      </c>
      <c r="AN751" s="7" t="s">
        <v>5318</v>
      </c>
      <c r="AO751" s="9">
        <v>0</v>
      </c>
    </row>
    <row r="752" spans="1:41" ht="63" customHeight="1" x14ac:dyDescent="0.2">
      <c r="A752" s="7">
        <v>9438</v>
      </c>
      <c r="B752" s="7" t="s">
        <v>3399</v>
      </c>
      <c r="C752" s="7" t="s">
        <v>3400</v>
      </c>
      <c r="D752" s="7" t="s">
        <v>30</v>
      </c>
      <c r="F752" s="7" t="s">
        <v>58</v>
      </c>
      <c r="G752" s="7" t="s">
        <v>17</v>
      </c>
      <c r="H752" s="7" t="s">
        <v>238</v>
      </c>
      <c r="I752" s="7" t="s">
        <v>13</v>
      </c>
      <c r="J752" s="7" t="s">
        <v>3401</v>
      </c>
      <c r="K752" s="7" t="s">
        <v>3402</v>
      </c>
      <c r="L752" s="11" t="s">
        <v>5044</v>
      </c>
      <c r="M752" s="7">
        <v>0</v>
      </c>
      <c r="N752" s="7" t="s">
        <v>5044</v>
      </c>
      <c r="O752" s="7" t="s">
        <v>5044</v>
      </c>
      <c r="P752" s="7">
        <v>0</v>
      </c>
      <c r="Q752" s="7">
        <v>0</v>
      </c>
      <c r="R752" s="7">
        <v>0</v>
      </c>
      <c r="S752" s="7">
        <v>3</v>
      </c>
      <c r="T752" s="7">
        <v>4</v>
      </c>
      <c r="U752" s="7">
        <v>60</v>
      </c>
      <c r="V752" s="7">
        <v>0</v>
      </c>
      <c r="W752" s="7">
        <v>1</v>
      </c>
      <c r="X752" s="7">
        <v>0</v>
      </c>
      <c r="Y752" s="7">
        <v>0</v>
      </c>
      <c r="Z752" s="7">
        <v>0</v>
      </c>
      <c r="AA752" s="7">
        <v>0</v>
      </c>
      <c r="AB752" s="7">
        <v>1</v>
      </c>
      <c r="AC752" s="7">
        <v>1</v>
      </c>
      <c r="AD752" s="7" t="s">
        <v>5044</v>
      </c>
      <c r="AE752" s="7" t="s">
        <v>5044</v>
      </c>
      <c r="AF752" s="7" t="s">
        <v>5044</v>
      </c>
      <c r="AG752" s="7">
        <v>2</v>
      </c>
      <c r="AH752" s="7">
        <v>3</v>
      </c>
      <c r="AI752" s="7">
        <v>0</v>
      </c>
      <c r="AJ752" s="7" t="s">
        <v>5044</v>
      </c>
      <c r="AK752" s="7" t="s">
        <v>5981</v>
      </c>
      <c r="AL752" s="7">
        <v>0</v>
      </c>
      <c r="AM752" s="7">
        <v>0</v>
      </c>
      <c r="AN752" s="7" t="s">
        <v>5318</v>
      </c>
      <c r="AO752" s="11">
        <v>3</v>
      </c>
    </row>
    <row r="753" spans="1:41" ht="63" customHeight="1" x14ac:dyDescent="0.2">
      <c r="A753" s="7">
        <v>9460</v>
      </c>
      <c r="B753" s="7" t="s">
        <v>3403</v>
      </c>
      <c r="C753" s="7" t="s">
        <v>3404</v>
      </c>
      <c r="D753" s="7" t="s">
        <v>149</v>
      </c>
      <c r="F753" s="7" t="s">
        <v>941</v>
      </c>
      <c r="G753" s="7" t="s">
        <v>32</v>
      </c>
      <c r="H753" s="7" t="s">
        <v>71</v>
      </c>
      <c r="I753" s="7" t="s">
        <v>13</v>
      </c>
      <c r="J753" s="7" t="s">
        <v>3405</v>
      </c>
      <c r="K753" s="7" t="s">
        <v>3406</v>
      </c>
      <c r="L753" s="11" t="s">
        <v>5044</v>
      </c>
      <c r="M753" s="7">
        <v>0</v>
      </c>
      <c r="N753" s="7" t="s">
        <v>5044</v>
      </c>
      <c r="O753" s="7" t="s">
        <v>5044</v>
      </c>
      <c r="P753" s="7">
        <v>0</v>
      </c>
      <c r="Q753" s="7">
        <v>0</v>
      </c>
      <c r="R753" s="7">
        <v>0</v>
      </c>
      <c r="S753" s="7">
        <v>9</v>
      </c>
      <c r="T753" s="7">
        <v>1</v>
      </c>
      <c r="U753" s="7">
        <v>73</v>
      </c>
      <c r="V753" s="7">
        <v>0</v>
      </c>
      <c r="W753" s="7">
        <v>1</v>
      </c>
      <c r="X753" s="7">
        <v>0</v>
      </c>
      <c r="Y753" s="7">
        <v>0</v>
      </c>
      <c r="Z753" s="7">
        <v>0</v>
      </c>
      <c r="AA753" s="7">
        <v>0</v>
      </c>
      <c r="AB753" s="7">
        <v>1</v>
      </c>
      <c r="AC753" s="7">
        <v>1</v>
      </c>
      <c r="AD753" s="7" t="s">
        <v>5044</v>
      </c>
      <c r="AE753" s="7" t="s">
        <v>5044</v>
      </c>
      <c r="AF753" s="7" t="s">
        <v>5044</v>
      </c>
      <c r="AG753" s="7">
        <v>2</v>
      </c>
      <c r="AH753" s="7">
        <v>1</v>
      </c>
      <c r="AI753" s="7">
        <v>1</v>
      </c>
      <c r="AJ753" s="7" t="s">
        <v>5044</v>
      </c>
      <c r="AK753" s="7" t="s">
        <v>5318</v>
      </c>
      <c r="AL753" s="7">
        <v>1</v>
      </c>
      <c r="AM753" s="7">
        <v>0</v>
      </c>
      <c r="AN753" s="7" t="s">
        <v>5318</v>
      </c>
      <c r="AO753" s="11">
        <v>1</v>
      </c>
    </row>
    <row r="754" spans="1:41" ht="63" customHeight="1" x14ac:dyDescent="0.2">
      <c r="A754" s="7">
        <v>9473</v>
      </c>
      <c r="B754" s="7" t="s">
        <v>3407</v>
      </c>
      <c r="C754" s="7" t="s">
        <v>3408</v>
      </c>
      <c r="D754" s="7" t="s">
        <v>101</v>
      </c>
      <c r="F754" s="7" t="s">
        <v>1015</v>
      </c>
      <c r="G754" s="7" t="s">
        <v>18</v>
      </c>
      <c r="H754" s="7" t="s">
        <v>679</v>
      </c>
      <c r="I754" s="7" t="s">
        <v>13</v>
      </c>
      <c r="J754" s="7" t="s">
        <v>3409</v>
      </c>
      <c r="K754" s="7" t="s">
        <v>3410</v>
      </c>
      <c r="L754" s="7" t="s">
        <v>5982</v>
      </c>
      <c r="M754" s="7">
        <v>0</v>
      </c>
      <c r="N754" s="7" t="s">
        <v>5044</v>
      </c>
      <c r="O754" s="7" t="s">
        <v>5044</v>
      </c>
      <c r="P754" s="7">
        <v>0</v>
      </c>
      <c r="Q754" s="7">
        <v>0</v>
      </c>
      <c r="R754" s="7">
        <v>0</v>
      </c>
      <c r="S754" s="7">
        <v>3</v>
      </c>
      <c r="T754" s="7">
        <v>1</v>
      </c>
      <c r="U754" s="7">
        <v>305</v>
      </c>
      <c r="V754" s="7">
        <v>0</v>
      </c>
      <c r="W754" s="7">
        <v>1</v>
      </c>
      <c r="X754" s="7">
        <v>0</v>
      </c>
      <c r="Y754" s="7">
        <v>0</v>
      </c>
      <c r="Z754" s="7">
        <v>0</v>
      </c>
      <c r="AA754" s="7">
        <v>0</v>
      </c>
      <c r="AB754" s="7">
        <v>1</v>
      </c>
      <c r="AC754" s="7">
        <v>1</v>
      </c>
      <c r="AD754" s="7" t="s">
        <v>5044</v>
      </c>
      <c r="AE754" s="7" t="s">
        <v>5044</v>
      </c>
      <c r="AF754" s="7" t="s">
        <v>5044</v>
      </c>
      <c r="AG754" s="7">
        <v>2</v>
      </c>
      <c r="AH754" s="7">
        <v>3</v>
      </c>
      <c r="AI754" s="7">
        <v>0</v>
      </c>
      <c r="AJ754" s="7" t="s">
        <v>5044</v>
      </c>
      <c r="AK754" s="7" t="s">
        <v>5983</v>
      </c>
      <c r="AL754" s="7">
        <v>1</v>
      </c>
      <c r="AM754" s="7">
        <v>0</v>
      </c>
      <c r="AN754" s="7" t="s">
        <v>5318</v>
      </c>
      <c r="AO754" s="11">
        <v>3</v>
      </c>
    </row>
    <row r="755" spans="1:41" ht="63" customHeight="1" x14ac:dyDescent="0.2">
      <c r="A755" s="7">
        <v>9494</v>
      </c>
      <c r="B755" s="7" t="s">
        <v>3420</v>
      </c>
      <c r="C755" s="7" t="s">
        <v>3421</v>
      </c>
      <c r="D755" s="7" t="s">
        <v>16</v>
      </c>
      <c r="H755" s="7" t="s">
        <v>3422</v>
      </c>
      <c r="I755" s="7" t="s">
        <v>13</v>
      </c>
      <c r="J755" s="7" t="s">
        <v>3423</v>
      </c>
      <c r="K755" s="7" t="s">
        <v>3424</v>
      </c>
      <c r="L755" s="7" t="s">
        <v>5409</v>
      </c>
      <c r="M755" s="7">
        <v>0</v>
      </c>
      <c r="N755" s="7" t="s">
        <v>5044</v>
      </c>
      <c r="O755" s="7" t="s">
        <v>5044</v>
      </c>
      <c r="P755" s="7">
        <v>0</v>
      </c>
      <c r="Q755" s="7">
        <v>0</v>
      </c>
      <c r="R755" s="7">
        <v>0</v>
      </c>
      <c r="S755" s="7">
        <v>9</v>
      </c>
      <c r="T755" s="7">
        <v>1</v>
      </c>
      <c r="U755" s="7">
        <v>960</v>
      </c>
      <c r="V755" s="7">
        <v>0</v>
      </c>
      <c r="W755" s="7">
        <v>1</v>
      </c>
      <c r="X755" s="7">
        <v>0</v>
      </c>
      <c r="Y755" s="7">
        <v>0</v>
      </c>
      <c r="Z755" s="7">
        <v>0</v>
      </c>
      <c r="AA755" s="7">
        <v>0</v>
      </c>
      <c r="AB755" s="7">
        <v>1</v>
      </c>
      <c r="AC755" s="7">
        <v>1</v>
      </c>
      <c r="AD755" s="7" t="s">
        <v>5044</v>
      </c>
      <c r="AE755" s="7" t="s">
        <v>5044</v>
      </c>
      <c r="AF755" s="7" t="s">
        <v>5044</v>
      </c>
      <c r="AG755" s="7">
        <v>2</v>
      </c>
      <c r="AH755" s="7">
        <v>2</v>
      </c>
      <c r="AI755" s="7">
        <v>2</v>
      </c>
      <c r="AJ755" s="7" t="s">
        <v>5044</v>
      </c>
      <c r="AK755" s="7" t="s">
        <v>5318</v>
      </c>
      <c r="AL755" s="7">
        <v>1</v>
      </c>
      <c r="AM755" s="7">
        <v>0</v>
      </c>
      <c r="AN755" s="7" t="s">
        <v>5318</v>
      </c>
      <c r="AO755" s="11">
        <v>2</v>
      </c>
    </row>
    <row r="756" spans="1:41" ht="63" customHeight="1" x14ac:dyDescent="0.2">
      <c r="A756" s="7">
        <v>9496</v>
      </c>
      <c r="B756" s="7" t="s">
        <v>3425</v>
      </c>
      <c r="C756" s="7" t="s">
        <v>3426</v>
      </c>
      <c r="D756" s="7" t="s">
        <v>30</v>
      </c>
      <c r="F756" s="7" t="s">
        <v>3427</v>
      </c>
      <c r="G756" s="7" t="s">
        <v>11</v>
      </c>
      <c r="H756" s="7" t="s">
        <v>972</v>
      </c>
      <c r="I756" s="7" t="s">
        <v>13</v>
      </c>
      <c r="J756" s="7" t="s">
        <v>3428</v>
      </c>
      <c r="K756" s="7" t="s">
        <v>3429</v>
      </c>
      <c r="L756" s="7" t="s">
        <v>5740</v>
      </c>
      <c r="M756" s="7">
        <v>0</v>
      </c>
      <c r="N756" s="7" t="s">
        <v>5044</v>
      </c>
      <c r="O756" s="7" t="s">
        <v>5044</v>
      </c>
      <c r="P756" s="7">
        <v>0</v>
      </c>
      <c r="Q756" s="7">
        <v>0</v>
      </c>
      <c r="R756" s="7">
        <v>0</v>
      </c>
      <c r="S756" s="7">
        <v>9</v>
      </c>
      <c r="T756" s="7">
        <v>1</v>
      </c>
      <c r="U756" s="7">
        <v>400</v>
      </c>
      <c r="V756" s="7">
        <v>0</v>
      </c>
      <c r="W756" s="7">
        <v>1</v>
      </c>
      <c r="X756" s="7">
        <v>0</v>
      </c>
      <c r="Y756" s="7">
        <v>0</v>
      </c>
      <c r="Z756" s="7">
        <v>0</v>
      </c>
      <c r="AA756" s="7">
        <v>0</v>
      </c>
      <c r="AB756" s="7">
        <v>1</v>
      </c>
      <c r="AC756" s="7">
        <v>0</v>
      </c>
      <c r="AD756" s="7" t="s">
        <v>5044</v>
      </c>
      <c r="AE756" s="7" t="s">
        <v>5044</v>
      </c>
      <c r="AF756" s="7" t="s">
        <v>5044</v>
      </c>
      <c r="AG756" s="7">
        <v>0</v>
      </c>
      <c r="AH756" s="7" t="s">
        <v>5044</v>
      </c>
      <c r="AI756" s="7" t="s">
        <v>5044</v>
      </c>
      <c r="AJ756" s="7" t="s">
        <v>5044</v>
      </c>
      <c r="AK756" s="7" t="s">
        <v>5318</v>
      </c>
      <c r="AL756" s="7">
        <v>1</v>
      </c>
      <c r="AM756" s="7">
        <v>0</v>
      </c>
      <c r="AO756" s="11">
        <v>9</v>
      </c>
    </row>
    <row r="757" spans="1:41" ht="63" customHeight="1" x14ac:dyDescent="0.2">
      <c r="A757" s="7">
        <v>9500</v>
      </c>
      <c r="B757" s="7" t="s">
        <v>3430</v>
      </c>
      <c r="C757" s="7" t="s">
        <v>3431</v>
      </c>
      <c r="D757" s="7" t="s">
        <v>41</v>
      </c>
      <c r="F757" s="7" t="s">
        <v>1353</v>
      </c>
      <c r="G757" s="7" t="s">
        <v>11</v>
      </c>
      <c r="H757" s="7" t="s">
        <v>3432</v>
      </c>
      <c r="I757" s="7" t="s">
        <v>13</v>
      </c>
      <c r="J757" s="7" t="s">
        <v>3433</v>
      </c>
      <c r="K757" s="7" t="s">
        <v>3434</v>
      </c>
      <c r="L757" s="11" t="s">
        <v>5044</v>
      </c>
      <c r="M757" s="7">
        <v>0</v>
      </c>
      <c r="N757" s="7" t="s">
        <v>5044</v>
      </c>
      <c r="O757" s="7" t="s">
        <v>5044</v>
      </c>
      <c r="P757" s="7">
        <v>0</v>
      </c>
      <c r="Q757" s="7">
        <v>0</v>
      </c>
      <c r="R757" s="7">
        <v>0</v>
      </c>
      <c r="S757" s="7">
        <v>3</v>
      </c>
      <c r="T757" s="7">
        <v>1</v>
      </c>
      <c r="U757" s="7">
        <v>110</v>
      </c>
      <c r="V757" s="7">
        <v>0</v>
      </c>
      <c r="W757" s="7">
        <v>1</v>
      </c>
      <c r="X757" s="7">
        <v>0</v>
      </c>
      <c r="Y757" s="7">
        <v>0</v>
      </c>
      <c r="Z757" s="7">
        <v>0</v>
      </c>
      <c r="AA757" s="7">
        <v>0</v>
      </c>
      <c r="AB757" s="7">
        <v>1</v>
      </c>
      <c r="AC757" s="7">
        <v>1</v>
      </c>
      <c r="AD757" s="7" t="s">
        <v>5044</v>
      </c>
      <c r="AE757" s="7" t="s">
        <v>5044</v>
      </c>
      <c r="AF757" s="7" t="s">
        <v>5044</v>
      </c>
      <c r="AG757" s="7">
        <v>2</v>
      </c>
      <c r="AH757" s="7">
        <v>2</v>
      </c>
      <c r="AI757" s="7">
        <v>2</v>
      </c>
      <c r="AJ757" s="7" t="s">
        <v>5044</v>
      </c>
      <c r="AK757" s="7" t="s">
        <v>5318</v>
      </c>
      <c r="AL757" s="7">
        <v>0</v>
      </c>
      <c r="AM757" s="7">
        <v>0</v>
      </c>
      <c r="AO757" s="11">
        <v>2</v>
      </c>
    </row>
    <row r="758" spans="1:41" ht="63" customHeight="1" x14ac:dyDescent="0.2">
      <c r="A758" s="7">
        <v>9513</v>
      </c>
      <c r="B758" s="7" t="s">
        <v>3435</v>
      </c>
      <c r="C758" s="7" t="s">
        <v>3436</v>
      </c>
      <c r="D758" s="7" t="s">
        <v>16</v>
      </c>
      <c r="F758" s="7" t="s">
        <v>136</v>
      </c>
      <c r="G758" s="7" t="s">
        <v>3437</v>
      </c>
      <c r="H758" s="7" t="s">
        <v>319</v>
      </c>
      <c r="I758" s="7" t="s">
        <v>13</v>
      </c>
      <c r="J758" s="7" t="s">
        <v>3438</v>
      </c>
      <c r="K758" s="7" t="s">
        <v>3439</v>
      </c>
      <c r="L758" s="7" t="s">
        <v>5986</v>
      </c>
      <c r="M758" s="7">
        <v>0</v>
      </c>
      <c r="N758" s="7" t="s">
        <v>5044</v>
      </c>
      <c r="O758" s="7" t="s">
        <v>5044</v>
      </c>
      <c r="P758" s="7">
        <v>0</v>
      </c>
      <c r="Q758" s="7">
        <v>0</v>
      </c>
      <c r="R758" s="7">
        <v>0</v>
      </c>
      <c r="S758" s="7">
        <v>9</v>
      </c>
      <c r="T758" s="7">
        <v>4</v>
      </c>
      <c r="U758" s="7">
        <v>40</v>
      </c>
      <c r="V758" s="7">
        <v>0</v>
      </c>
      <c r="W758" s="7">
        <v>1</v>
      </c>
      <c r="X758" s="7">
        <v>0</v>
      </c>
      <c r="Y758" s="7">
        <v>0</v>
      </c>
      <c r="Z758" s="7">
        <v>0</v>
      </c>
      <c r="AA758" s="7">
        <v>0</v>
      </c>
      <c r="AB758" s="7">
        <v>1</v>
      </c>
      <c r="AC758" s="7">
        <v>1</v>
      </c>
      <c r="AD758" s="7" t="s">
        <v>5044</v>
      </c>
      <c r="AE758" s="7" t="s">
        <v>5044</v>
      </c>
      <c r="AF758" s="7" t="s">
        <v>5044</v>
      </c>
      <c r="AG758" s="7">
        <v>2</v>
      </c>
      <c r="AH758" s="7">
        <v>3</v>
      </c>
      <c r="AI758" s="7">
        <v>0</v>
      </c>
      <c r="AJ758" s="7" t="s">
        <v>5044</v>
      </c>
      <c r="AK758" s="7" t="s">
        <v>5915</v>
      </c>
      <c r="AL758" s="7">
        <v>1</v>
      </c>
      <c r="AM758" s="7">
        <v>0</v>
      </c>
      <c r="AN758" s="7" t="s">
        <v>5318</v>
      </c>
      <c r="AO758" s="11">
        <v>3</v>
      </c>
    </row>
    <row r="759" spans="1:41" ht="63" customHeight="1" x14ac:dyDescent="0.2">
      <c r="A759" s="7">
        <v>9517</v>
      </c>
      <c r="B759" s="7" t="s">
        <v>3440</v>
      </c>
      <c r="C759" s="7" t="s">
        <v>3441</v>
      </c>
      <c r="D759" s="7" t="s">
        <v>41</v>
      </c>
      <c r="F759" s="7" t="s">
        <v>3442</v>
      </c>
      <c r="G759" s="7" t="s">
        <v>52</v>
      </c>
      <c r="H759" s="7" t="s">
        <v>1083</v>
      </c>
      <c r="I759" s="7" t="s">
        <v>13</v>
      </c>
      <c r="J759" s="7" t="s">
        <v>3443</v>
      </c>
      <c r="K759" s="7" t="s">
        <v>3444</v>
      </c>
      <c r="L759" s="7" t="s">
        <v>5987</v>
      </c>
      <c r="M759" s="7">
        <v>0</v>
      </c>
      <c r="N759" s="7" t="s">
        <v>5044</v>
      </c>
      <c r="O759" s="7" t="s">
        <v>5044</v>
      </c>
      <c r="P759" s="7">
        <v>0</v>
      </c>
      <c r="Q759" s="7">
        <v>0</v>
      </c>
      <c r="R759" s="7">
        <v>0</v>
      </c>
      <c r="S759" s="7">
        <v>1</v>
      </c>
      <c r="T759" s="7">
        <v>1</v>
      </c>
      <c r="U759" s="7">
        <v>184</v>
      </c>
      <c r="V759" s="7">
        <v>0</v>
      </c>
      <c r="W759" s="7">
        <v>1</v>
      </c>
      <c r="X759" s="7">
        <v>0</v>
      </c>
      <c r="Y759" s="7">
        <v>0</v>
      </c>
      <c r="Z759" s="7">
        <v>0</v>
      </c>
      <c r="AA759" s="7">
        <v>0</v>
      </c>
      <c r="AB759" s="7">
        <v>1</v>
      </c>
      <c r="AC759" s="7">
        <v>1</v>
      </c>
      <c r="AD759" s="7" t="s">
        <v>5044</v>
      </c>
      <c r="AE759" s="7" t="s">
        <v>5044</v>
      </c>
      <c r="AF759" s="7" t="s">
        <v>5044</v>
      </c>
      <c r="AG759" s="7">
        <v>2</v>
      </c>
      <c r="AH759" s="7">
        <v>1</v>
      </c>
      <c r="AI759" s="7">
        <v>2</v>
      </c>
      <c r="AJ759" s="7" t="s">
        <v>5044</v>
      </c>
      <c r="AK759" s="7" t="s">
        <v>5988</v>
      </c>
      <c r="AL759" s="7">
        <v>0</v>
      </c>
      <c r="AM759" s="7">
        <v>0</v>
      </c>
      <c r="AN759" s="7" t="s">
        <v>5318</v>
      </c>
      <c r="AO759" s="11">
        <v>1</v>
      </c>
    </row>
    <row r="760" spans="1:41" ht="63" customHeight="1" x14ac:dyDescent="0.2">
      <c r="A760" s="7">
        <v>9522</v>
      </c>
      <c r="B760" s="7" t="s">
        <v>3445</v>
      </c>
      <c r="C760" s="7" t="s">
        <v>3446</v>
      </c>
      <c r="D760" s="7" t="s">
        <v>101</v>
      </c>
      <c r="F760" s="7" t="s">
        <v>58</v>
      </c>
      <c r="G760" s="7" t="s">
        <v>27</v>
      </c>
      <c r="H760" s="7" t="s">
        <v>2272</v>
      </c>
      <c r="I760" s="7" t="s">
        <v>13</v>
      </c>
      <c r="J760" s="7" t="s">
        <v>3447</v>
      </c>
      <c r="K760" s="7" t="s">
        <v>3448</v>
      </c>
      <c r="L760" s="7" t="s">
        <v>5989</v>
      </c>
      <c r="M760" s="7">
        <v>0</v>
      </c>
      <c r="N760" s="7" t="s">
        <v>5044</v>
      </c>
      <c r="O760" s="7" t="s">
        <v>5044</v>
      </c>
      <c r="P760" s="7">
        <v>0</v>
      </c>
      <c r="Q760" s="7">
        <v>0</v>
      </c>
      <c r="R760" s="7">
        <v>0</v>
      </c>
      <c r="S760" s="7">
        <v>1</v>
      </c>
      <c r="T760" s="7">
        <v>4</v>
      </c>
      <c r="U760" s="7">
        <v>26</v>
      </c>
      <c r="V760" s="7">
        <v>0</v>
      </c>
      <c r="W760" s="7">
        <v>1</v>
      </c>
      <c r="X760" s="7">
        <v>0</v>
      </c>
      <c r="Y760" s="7">
        <v>0</v>
      </c>
      <c r="Z760" s="7">
        <v>0</v>
      </c>
      <c r="AA760" s="7">
        <v>0</v>
      </c>
      <c r="AB760" s="7">
        <v>1</v>
      </c>
      <c r="AC760" s="7">
        <v>1</v>
      </c>
      <c r="AD760" s="7" t="s">
        <v>5044</v>
      </c>
      <c r="AE760" s="7" t="s">
        <v>5044</v>
      </c>
      <c r="AF760" s="7" t="s">
        <v>5044</v>
      </c>
      <c r="AG760" s="7">
        <v>2</v>
      </c>
      <c r="AH760" s="7">
        <v>3</v>
      </c>
      <c r="AI760" s="7">
        <v>0</v>
      </c>
      <c r="AJ760" s="7" t="s">
        <v>5044</v>
      </c>
      <c r="AK760" s="7" t="s">
        <v>5990</v>
      </c>
      <c r="AL760" s="7">
        <v>0</v>
      </c>
      <c r="AM760" s="7">
        <v>0</v>
      </c>
      <c r="AN760" s="7" t="s">
        <v>5318</v>
      </c>
      <c r="AO760" s="11">
        <v>3</v>
      </c>
    </row>
    <row r="761" spans="1:41" ht="63" customHeight="1" x14ac:dyDescent="0.2">
      <c r="A761" s="7">
        <v>9553</v>
      </c>
      <c r="B761" s="7" t="s">
        <v>3449</v>
      </c>
      <c r="C761" s="7" t="s">
        <v>3450</v>
      </c>
      <c r="D761" s="7" t="s">
        <v>25</v>
      </c>
      <c r="F761" s="7" t="s">
        <v>237</v>
      </c>
      <c r="G761" s="7" t="s">
        <v>32</v>
      </c>
      <c r="H761" s="7" t="s">
        <v>160</v>
      </c>
      <c r="I761" s="7" t="s">
        <v>13</v>
      </c>
      <c r="J761" s="7" t="s">
        <v>3451</v>
      </c>
      <c r="K761" s="7" t="s">
        <v>3452</v>
      </c>
      <c r="L761" s="7" t="s">
        <v>5991</v>
      </c>
      <c r="M761" s="7">
        <v>0</v>
      </c>
      <c r="N761" s="7" t="s">
        <v>5044</v>
      </c>
      <c r="O761" s="7" t="s">
        <v>5044</v>
      </c>
      <c r="P761" s="7">
        <v>0</v>
      </c>
      <c r="Q761" s="7">
        <v>0</v>
      </c>
      <c r="R761" s="7">
        <v>0</v>
      </c>
      <c r="S761" s="7">
        <v>1</v>
      </c>
      <c r="T761" s="7">
        <v>4</v>
      </c>
      <c r="U761" s="7">
        <v>200</v>
      </c>
      <c r="V761" s="7">
        <v>0</v>
      </c>
      <c r="W761" s="7">
        <v>1</v>
      </c>
      <c r="X761" s="7">
        <v>0</v>
      </c>
      <c r="Y761" s="7">
        <v>0</v>
      </c>
      <c r="Z761" s="7">
        <v>0</v>
      </c>
      <c r="AA761" s="7">
        <v>0</v>
      </c>
      <c r="AB761" s="7">
        <v>1</v>
      </c>
      <c r="AC761" s="7">
        <v>1</v>
      </c>
      <c r="AD761" s="7" t="s">
        <v>5044</v>
      </c>
      <c r="AE761" s="7" t="s">
        <v>5044</v>
      </c>
      <c r="AF761" s="7" t="s">
        <v>5044</v>
      </c>
      <c r="AG761" s="7">
        <v>1</v>
      </c>
      <c r="AH761" s="7">
        <v>0</v>
      </c>
      <c r="AI761" s="7">
        <v>0</v>
      </c>
      <c r="AJ761" s="7" t="s">
        <v>5044</v>
      </c>
      <c r="AK761" s="7" t="s">
        <v>5318</v>
      </c>
      <c r="AL761" s="7" t="s">
        <v>5044</v>
      </c>
      <c r="AM761" s="7">
        <v>0</v>
      </c>
      <c r="AN761" s="7" t="s">
        <v>6500</v>
      </c>
      <c r="AO761" s="9">
        <v>0</v>
      </c>
    </row>
    <row r="762" spans="1:41" ht="63" customHeight="1" x14ac:dyDescent="0.2">
      <c r="A762" s="7">
        <v>9555</v>
      </c>
      <c r="B762" s="7" t="s">
        <v>3453</v>
      </c>
      <c r="C762" s="7" t="s">
        <v>3454</v>
      </c>
      <c r="D762" s="7" t="s">
        <v>95</v>
      </c>
      <c r="F762" s="7" t="s">
        <v>197</v>
      </c>
      <c r="G762" s="7" t="s">
        <v>37</v>
      </c>
      <c r="H762" s="7" t="s">
        <v>169</v>
      </c>
      <c r="I762" s="7" t="s">
        <v>13</v>
      </c>
      <c r="J762" s="7" t="s">
        <v>3455</v>
      </c>
      <c r="K762" s="7" t="s">
        <v>3456</v>
      </c>
      <c r="L762" s="11" t="s">
        <v>5044</v>
      </c>
      <c r="M762" s="7">
        <v>0</v>
      </c>
      <c r="N762" s="7" t="s">
        <v>5044</v>
      </c>
      <c r="O762" s="7" t="s">
        <v>5044</v>
      </c>
      <c r="P762" s="7">
        <v>0</v>
      </c>
      <c r="Q762" s="7">
        <v>0</v>
      </c>
      <c r="R762" s="7">
        <v>0</v>
      </c>
      <c r="S762" s="7">
        <v>1</v>
      </c>
      <c r="T762" s="7">
        <v>4</v>
      </c>
      <c r="U762" s="7">
        <v>68</v>
      </c>
      <c r="V762" s="7">
        <v>0</v>
      </c>
      <c r="W762" s="7">
        <v>1</v>
      </c>
      <c r="X762" s="7">
        <v>0</v>
      </c>
      <c r="Y762" s="7">
        <v>0</v>
      </c>
      <c r="Z762" s="7">
        <v>0</v>
      </c>
      <c r="AA762" s="7">
        <v>0</v>
      </c>
      <c r="AB762" s="7">
        <v>1</v>
      </c>
      <c r="AC762" s="7">
        <v>1</v>
      </c>
      <c r="AD762" s="7" t="s">
        <v>5044</v>
      </c>
      <c r="AE762" s="7" t="s">
        <v>5044</v>
      </c>
      <c r="AF762" s="7" t="s">
        <v>5044</v>
      </c>
      <c r="AG762" s="7">
        <v>2</v>
      </c>
      <c r="AH762" s="7">
        <v>1</v>
      </c>
      <c r="AI762" s="7">
        <v>2</v>
      </c>
      <c r="AJ762" s="7" t="s">
        <v>5044</v>
      </c>
      <c r="AK762" s="7" t="s">
        <v>5318</v>
      </c>
      <c r="AL762" s="7">
        <v>0</v>
      </c>
      <c r="AM762" s="7">
        <v>0</v>
      </c>
      <c r="AN762" s="7" t="s">
        <v>5318</v>
      </c>
      <c r="AO762" s="11">
        <v>1</v>
      </c>
    </row>
    <row r="763" spans="1:41" ht="63" customHeight="1" x14ac:dyDescent="0.2">
      <c r="A763" s="7">
        <v>9560</v>
      </c>
      <c r="B763" s="7" t="s">
        <v>3461</v>
      </c>
      <c r="C763" s="7" t="s">
        <v>3462</v>
      </c>
      <c r="D763" s="7" t="s">
        <v>46</v>
      </c>
      <c r="F763" s="7" t="s">
        <v>114</v>
      </c>
      <c r="G763" s="7" t="s">
        <v>175</v>
      </c>
      <c r="H763" s="7" t="s">
        <v>1334</v>
      </c>
      <c r="I763" s="7" t="s">
        <v>13</v>
      </c>
      <c r="J763" s="7" t="s">
        <v>3463</v>
      </c>
      <c r="K763" s="7" t="s">
        <v>3464</v>
      </c>
      <c r="L763" s="7" t="s">
        <v>5993</v>
      </c>
      <c r="M763" s="7">
        <v>0</v>
      </c>
      <c r="N763" s="7" t="s">
        <v>5044</v>
      </c>
      <c r="O763" s="7" t="s">
        <v>5044</v>
      </c>
      <c r="P763" s="7">
        <v>0</v>
      </c>
      <c r="Q763" s="7">
        <v>0</v>
      </c>
      <c r="R763" s="7">
        <v>0</v>
      </c>
      <c r="S763" s="7">
        <v>9</v>
      </c>
      <c r="T763" s="7">
        <v>1</v>
      </c>
      <c r="U763" s="7">
        <v>65</v>
      </c>
      <c r="V763" s="7">
        <v>0</v>
      </c>
      <c r="W763" s="7">
        <v>1</v>
      </c>
      <c r="X763" s="7">
        <v>0</v>
      </c>
      <c r="Y763" s="7">
        <v>0</v>
      </c>
      <c r="Z763" s="7">
        <v>0</v>
      </c>
      <c r="AA763" s="7">
        <v>0</v>
      </c>
      <c r="AB763" s="7">
        <v>1</v>
      </c>
      <c r="AC763" s="7">
        <v>1</v>
      </c>
      <c r="AD763" s="7" t="s">
        <v>5044</v>
      </c>
      <c r="AE763" s="7" t="s">
        <v>5044</v>
      </c>
      <c r="AF763" s="7" t="s">
        <v>5044</v>
      </c>
      <c r="AG763" s="7">
        <v>2</v>
      </c>
      <c r="AH763" s="7">
        <v>3</v>
      </c>
      <c r="AI763" s="7">
        <v>0</v>
      </c>
      <c r="AJ763" s="7" t="s">
        <v>5044</v>
      </c>
      <c r="AK763" s="7">
        <v>1</v>
      </c>
      <c r="AL763" s="7">
        <v>0</v>
      </c>
      <c r="AM763" s="7">
        <v>0</v>
      </c>
      <c r="AN763" s="7" t="s">
        <v>5318</v>
      </c>
      <c r="AO763" s="11">
        <v>3</v>
      </c>
    </row>
    <row r="764" spans="1:41" ht="63" customHeight="1" x14ac:dyDescent="0.2">
      <c r="A764" s="7">
        <v>9572</v>
      </c>
      <c r="B764" s="7" t="s">
        <v>3469</v>
      </c>
      <c r="C764" s="7" t="s">
        <v>3470</v>
      </c>
      <c r="D764" s="7" t="s">
        <v>35</v>
      </c>
      <c r="F764" s="7" t="s">
        <v>3471</v>
      </c>
      <c r="G764" s="7" t="s">
        <v>37</v>
      </c>
      <c r="H764" s="7" t="s">
        <v>43</v>
      </c>
      <c r="I764" s="7" t="s">
        <v>13</v>
      </c>
      <c r="J764" s="7" t="s">
        <v>3472</v>
      </c>
      <c r="K764" s="7" t="s">
        <v>3473</v>
      </c>
      <c r="L764" s="7" t="s">
        <v>5995</v>
      </c>
      <c r="M764" s="7">
        <v>0</v>
      </c>
      <c r="N764" s="7" t="s">
        <v>5044</v>
      </c>
      <c r="O764" s="7" t="s">
        <v>5044</v>
      </c>
      <c r="P764" s="7">
        <v>0</v>
      </c>
      <c r="Q764" s="7">
        <v>0</v>
      </c>
      <c r="R764" s="7">
        <v>0</v>
      </c>
      <c r="S764" s="7">
        <v>1</v>
      </c>
      <c r="T764" s="7">
        <v>1</v>
      </c>
      <c r="U764" s="7">
        <v>58</v>
      </c>
      <c r="V764" s="7">
        <v>0</v>
      </c>
      <c r="W764" s="7">
        <v>1</v>
      </c>
      <c r="X764" s="7">
        <v>0</v>
      </c>
      <c r="Y764" s="7">
        <v>0</v>
      </c>
      <c r="Z764" s="7">
        <v>0</v>
      </c>
      <c r="AA764" s="7">
        <v>0</v>
      </c>
      <c r="AB764" s="7">
        <v>1</v>
      </c>
      <c r="AC764" s="7">
        <v>1</v>
      </c>
      <c r="AD764" s="7" t="s">
        <v>5044</v>
      </c>
      <c r="AE764" s="7" t="s">
        <v>5044</v>
      </c>
      <c r="AF764" s="7" t="s">
        <v>5044</v>
      </c>
      <c r="AG764" s="7">
        <v>2</v>
      </c>
      <c r="AH764" s="7">
        <v>2</v>
      </c>
      <c r="AI764" s="7">
        <v>2</v>
      </c>
      <c r="AJ764" s="7" t="s">
        <v>5044</v>
      </c>
      <c r="AK764" s="7" t="s">
        <v>5318</v>
      </c>
      <c r="AL764" s="7">
        <v>0</v>
      </c>
      <c r="AM764" s="7">
        <v>0</v>
      </c>
      <c r="AN764" s="7" t="s">
        <v>5318</v>
      </c>
      <c r="AO764" s="11">
        <v>2</v>
      </c>
    </row>
    <row r="765" spans="1:41" ht="63" customHeight="1" x14ac:dyDescent="0.2">
      <c r="A765" s="7">
        <v>9581</v>
      </c>
      <c r="B765" s="7" t="s">
        <v>3478</v>
      </c>
      <c r="C765" s="7" t="s">
        <v>3479</v>
      </c>
      <c r="D765" s="7" t="s">
        <v>22</v>
      </c>
      <c r="F765" s="7" t="s">
        <v>154</v>
      </c>
      <c r="G765" s="7" t="s">
        <v>47</v>
      </c>
      <c r="H765" s="7" t="s">
        <v>38</v>
      </c>
      <c r="I765" s="7" t="s">
        <v>13</v>
      </c>
      <c r="J765" s="7" t="s">
        <v>3480</v>
      </c>
      <c r="K765" s="7" t="s">
        <v>3481</v>
      </c>
      <c r="L765" s="7" t="s">
        <v>5997</v>
      </c>
      <c r="M765" s="7">
        <v>0</v>
      </c>
      <c r="N765" s="7" t="s">
        <v>5044</v>
      </c>
      <c r="O765" s="7" t="s">
        <v>5044</v>
      </c>
      <c r="P765" s="7">
        <v>0</v>
      </c>
      <c r="Q765" s="7">
        <v>0</v>
      </c>
      <c r="R765" s="7">
        <v>0</v>
      </c>
      <c r="S765" s="7">
        <v>1</v>
      </c>
      <c r="T765" s="7">
        <v>1</v>
      </c>
      <c r="U765" s="7">
        <v>142</v>
      </c>
      <c r="V765" s="7">
        <v>0</v>
      </c>
      <c r="W765" s="7">
        <v>1</v>
      </c>
      <c r="X765" s="7">
        <v>0</v>
      </c>
      <c r="Y765" s="7">
        <v>0</v>
      </c>
      <c r="Z765" s="7">
        <v>0</v>
      </c>
      <c r="AA765" s="7">
        <v>0</v>
      </c>
      <c r="AB765" s="7">
        <v>1</v>
      </c>
      <c r="AC765" s="7">
        <v>1</v>
      </c>
      <c r="AD765" s="7" t="s">
        <v>5044</v>
      </c>
      <c r="AE765" s="7" t="s">
        <v>5044</v>
      </c>
      <c r="AF765" s="7" t="s">
        <v>5044</v>
      </c>
      <c r="AG765" s="7">
        <v>1</v>
      </c>
      <c r="AH765" s="7">
        <v>0</v>
      </c>
      <c r="AI765" s="7">
        <v>0</v>
      </c>
      <c r="AJ765" s="7" t="s">
        <v>5044</v>
      </c>
      <c r="AK765" s="7" t="s">
        <v>5318</v>
      </c>
      <c r="AL765" s="7">
        <v>1</v>
      </c>
      <c r="AM765" s="7">
        <v>0</v>
      </c>
      <c r="AN765" s="7" t="s">
        <v>5318</v>
      </c>
      <c r="AO765" s="9">
        <v>0</v>
      </c>
    </row>
    <row r="766" spans="1:41" ht="63" customHeight="1" x14ac:dyDescent="0.2">
      <c r="A766" s="7">
        <v>9585</v>
      </c>
      <c r="B766" s="7" t="s">
        <v>3482</v>
      </c>
      <c r="C766" s="7" t="s">
        <v>3483</v>
      </c>
      <c r="D766" s="7" t="s">
        <v>41</v>
      </c>
      <c r="F766" s="7" t="s">
        <v>107</v>
      </c>
      <c r="G766" s="7" t="s">
        <v>175</v>
      </c>
      <c r="H766" s="7" t="s">
        <v>3484</v>
      </c>
      <c r="I766" s="7" t="s">
        <v>13</v>
      </c>
      <c r="J766" s="7" t="s">
        <v>3485</v>
      </c>
      <c r="K766" s="7" t="s">
        <v>3486</v>
      </c>
      <c r="L766" s="11" t="s">
        <v>5044</v>
      </c>
      <c r="M766" s="7">
        <v>0</v>
      </c>
      <c r="N766" s="7" t="s">
        <v>5044</v>
      </c>
      <c r="O766" s="7" t="s">
        <v>5044</v>
      </c>
      <c r="P766" s="7">
        <v>0</v>
      </c>
      <c r="Q766" s="7">
        <v>0</v>
      </c>
      <c r="R766" s="7">
        <v>0</v>
      </c>
      <c r="S766" s="7">
        <v>1</v>
      </c>
      <c r="T766" s="7">
        <v>1</v>
      </c>
      <c r="U766" s="7">
        <v>100</v>
      </c>
      <c r="V766" s="7">
        <v>0</v>
      </c>
      <c r="W766" s="7">
        <v>1</v>
      </c>
      <c r="X766" s="7">
        <v>0</v>
      </c>
      <c r="Y766" s="7">
        <v>0</v>
      </c>
      <c r="Z766" s="7">
        <v>0</v>
      </c>
      <c r="AA766" s="7">
        <v>0</v>
      </c>
      <c r="AB766" s="7">
        <v>1</v>
      </c>
      <c r="AC766" s="7">
        <v>1</v>
      </c>
      <c r="AD766" s="7" t="s">
        <v>5044</v>
      </c>
      <c r="AE766" s="7" t="s">
        <v>5044</v>
      </c>
      <c r="AF766" s="7" t="s">
        <v>5044</v>
      </c>
      <c r="AG766" s="7">
        <v>2</v>
      </c>
      <c r="AH766" s="7">
        <v>3</v>
      </c>
      <c r="AI766" s="7">
        <v>0</v>
      </c>
      <c r="AJ766" s="7" t="s">
        <v>5044</v>
      </c>
      <c r="AK766" s="7" t="s">
        <v>5318</v>
      </c>
      <c r="AL766" s="7">
        <v>0</v>
      </c>
      <c r="AM766" s="7">
        <v>0</v>
      </c>
      <c r="AN766" s="7" t="s">
        <v>5318</v>
      </c>
      <c r="AO766" s="11">
        <v>3</v>
      </c>
    </row>
    <row r="767" spans="1:41" ht="63" customHeight="1" x14ac:dyDescent="0.2">
      <c r="A767" s="7">
        <v>9591</v>
      </c>
      <c r="B767" s="23" t="s">
        <v>3487</v>
      </c>
      <c r="C767" s="7" t="s">
        <v>3488</v>
      </c>
      <c r="D767" s="7" t="s">
        <v>41</v>
      </c>
      <c r="F767" s="7" t="s">
        <v>626</v>
      </c>
      <c r="H767" s="7" t="s">
        <v>1449</v>
      </c>
      <c r="I767" s="7" t="s">
        <v>13</v>
      </c>
      <c r="J767" s="7" t="s">
        <v>3489</v>
      </c>
      <c r="K767" s="7" t="s">
        <v>3490</v>
      </c>
      <c r="L767" s="11" t="s">
        <v>5044</v>
      </c>
      <c r="M767" s="7">
        <v>0</v>
      </c>
      <c r="N767" s="7" t="s">
        <v>5044</v>
      </c>
      <c r="O767" s="7" t="s">
        <v>5044</v>
      </c>
      <c r="P767" s="7">
        <v>0</v>
      </c>
      <c r="Q767" s="7">
        <v>0</v>
      </c>
      <c r="R767" s="7">
        <v>0</v>
      </c>
      <c r="S767" s="7" t="s">
        <v>5170</v>
      </c>
      <c r="T767" s="7">
        <v>1</v>
      </c>
      <c r="U767" s="7">
        <v>104</v>
      </c>
      <c r="V767" s="7">
        <v>1</v>
      </c>
      <c r="W767" s="7">
        <v>0</v>
      </c>
      <c r="X767" s="7">
        <v>0</v>
      </c>
      <c r="Y767" s="7">
        <v>0</v>
      </c>
      <c r="Z767" s="7">
        <v>0</v>
      </c>
      <c r="AA767" s="7">
        <v>0</v>
      </c>
      <c r="AB767" s="7">
        <v>1</v>
      </c>
      <c r="AC767" s="7">
        <v>1</v>
      </c>
      <c r="AD767" s="7">
        <v>1</v>
      </c>
      <c r="AE767" s="7">
        <v>0</v>
      </c>
      <c r="AF767" s="7">
        <v>0</v>
      </c>
      <c r="AG767" s="23" t="s">
        <v>5044</v>
      </c>
      <c r="AH767" s="23" t="s">
        <v>5044</v>
      </c>
      <c r="AI767" s="23" t="s">
        <v>5044</v>
      </c>
      <c r="AJ767" s="7" t="s">
        <v>5044</v>
      </c>
      <c r="AK767" s="7" t="s">
        <v>5318</v>
      </c>
      <c r="AL767" s="7">
        <v>1</v>
      </c>
      <c r="AM767" s="7">
        <v>0</v>
      </c>
      <c r="AO767" s="9">
        <v>0</v>
      </c>
    </row>
    <row r="768" spans="1:41" ht="63" customHeight="1" x14ac:dyDescent="0.2">
      <c r="A768" s="7">
        <v>9596</v>
      </c>
      <c r="B768" s="7" t="s">
        <v>3491</v>
      </c>
      <c r="C768" s="7" t="s">
        <v>3492</v>
      </c>
      <c r="D768" s="7" t="s">
        <v>22</v>
      </c>
      <c r="F768" s="7" t="s">
        <v>626</v>
      </c>
      <c r="G768" s="7" t="s">
        <v>32</v>
      </c>
      <c r="H768" s="7" t="s">
        <v>43</v>
      </c>
      <c r="I768" s="7" t="s">
        <v>437</v>
      </c>
      <c r="J768" s="7" t="s">
        <v>3493</v>
      </c>
      <c r="K768" s="7" t="s">
        <v>3494</v>
      </c>
      <c r="L768" s="7" t="s">
        <v>5890</v>
      </c>
      <c r="M768" s="7">
        <v>0</v>
      </c>
      <c r="N768" s="7" t="s">
        <v>5044</v>
      </c>
      <c r="O768" s="7" t="s">
        <v>5044</v>
      </c>
      <c r="P768" s="7">
        <v>0</v>
      </c>
      <c r="Q768" s="7">
        <v>0</v>
      </c>
      <c r="R768" s="7">
        <v>0</v>
      </c>
      <c r="S768" s="7">
        <v>1</v>
      </c>
      <c r="T768" s="7">
        <v>1</v>
      </c>
      <c r="U768" s="7">
        <v>280</v>
      </c>
      <c r="V768" s="7">
        <v>1</v>
      </c>
      <c r="W768" s="7">
        <v>0</v>
      </c>
      <c r="X768" s="7">
        <v>0</v>
      </c>
      <c r="Y768" s="7">
        <v>0</v>
      </c>
      <c r="Z768" s="7">
        <v>1</v>
      </c>
      <c r="AA768" s="7">
        <v>0</v>
      </c>
      <c r="AB768" s="7">
        <v>1</v>
      </c>
      <c r="AC768" s="7">
        <v>1</v>
      </c>
      <c r="AD768" s="7">
        <v>2</v>
      </c>
      <c r="AE768" s="7">
        <v>3</v>
      </c>
      <c r="AF768" s="7">
        <v>0</v>
      </c>
      <c r="AG768" s="7" t="s">
        <v>5044</v>
      </c>
      <c r="AH768" s="7" t="s">
        <v>5044</v>
      </c>
      <c r="AI768" s="7" t="s">
        <v>5044</v>
      </c>
      <c r="AJ768" s="7">
        <v>1</v>
      </c>
      <c r="AK768" s="7">
        <v>1</v>
      </c>
      <c r="AL768" s="7">
        <v>1</v>
      </c>
      <c r="AM768" s="7">
        <v>0</v>
      </c>
      <c r="AN768" s="7" t="s">
        <v>5318</v>
      </c>
      <c r="AO768" s="11">
        <v>3</v>
      </c>
    </row>
    <row r="769" spans="1:41" ht="63" customHeight="1" x14ac:dyDescent="0.2">
      <c r="A769" s="7">
        <v>9626</v>
      </c>
      <c r="B769" s="7" t="s">
        <v>3499</v>
      </c>
      <c r="C769" s="7" t="s">
        <v>3500</v>
      </c>
      <c r="D769" s="7" t="s">
        <v>16</v>
      </c>
      <c r="F769" s="7" t="s">
        <v>289</v>
      </c>
      <c r="H769" s="7" t="s">
        <v>3501</v>
      </c>
      <c r="I769" s="7" t="s">
        <v>13</v>
      </c>
      <c r="J769" s="7" t="s">
        <v>3502</v>
      </c>
      <c r="K769" s="7" t="s">
        <v>3503</v>
      </c>
      <c r="L769" s="7" t="s">
        <v>5999</v>
      </c>
      <c r="M769" s="7">
        <v>0</v>
      </c>
      <c r="N769" s="7" t="s">
        <v>5044</v>
      </c>
      <c r="O769" s="7" t="s">
        <v>5044</v>
      </c>
      <c r="P769" s="7">
        <v>0</v>
      </c>
      <c r="Q769" s="7">
        <v>0</v>
      </c>
      <c r="R769" s="7">
        <v>0</v>
      </c>
      <c r="S769" s="7">
        <v>1</v>
      </c>
      <c r="T769" s="7">
        <v>2</v>
      </c>
      <c r="U769" s="7">
        <v>130</v>
      </c>
      <c r="V769" s="7">
        <v>0</v>
      </c>
      <c r="W769" s="7">
        <v>1</v>
      </c>
      <c r="X769" s="7">
        <v>0</v>
      </c>
      <c r="Y769" s="7">
        <v>0</v>
      </c>
      <c r="Z769" s="7">
        <v>0</v>
      </c>
      <c r="AA769" s="7">
        <v>0</v>
      </c>
      <c r="AB769" s="7">
        <v>1</v>
      </c>
      <c r="AC769" s="7">
        <v>0</v>
      </c>
      <c r="AD769" s="7" t="s">
        <v>5044</v>
      </c>
      <c r="AE769" s="7" t="s">
        <v>5044</v>
      </c>
      <c r="AF769" s="7" t="s">
        <v>5044</v>
      </c>
      <c r="AG769" s="7">
        <v>0</v>
      </c>
      <c r="AH769" s="7" t="s">
        <v>5044</v>
      </c>
      <c r="AI769" s="7" t="s">
        <v>5044</v>
      </c>
      <c r="AJ769" s="7" t="s">
        <v>5044</v>
      </c>
      <c r="AK769" s="7" t="s">
        <v>5318</v>
      </c>
      <c r="AL769" s="7">
        <v>0</v>
      </c>
      <c r="AM769" s="7">
        <v>0</v>
      </c>
      <c r="AN769" s="7" t="s">
        <v>5318</v>
      </c>
      <c r="AO769" s="11">
        <v>9</v>
      </c>
    </row>
    <row r="770" spans="1:41" ht="63" customHeight="1" x14ac:dyDescent="0.2">
      <c r="A770" s="7">
        <v>9631</v>
      </c>
      <c r="B770" s="7" t="s">
        <v>3504</v>
      </c>
      <c r="C770" s="7" t="s">
        <v>3505</v>
      </c>
      <c r="D770" s="7" t="s">
        <v>56</v>
      </c>
      <c r="F770" s="7" t="s">
        <v>51</v>
      </c>
      <c r="G770" s="7" t="s">
        <v>48</v>
      </c>
      <c r="H770" s="7" t="s">
        <v>911</v>
      </c>
      <c r="I770" s="7" t="s">
        <v>13</v>
      </c>
      <c r="J770" s="7" t="s">
        <v>3506</v>
      </c>
      <c r="K770" s="7" t="s">
        <v>3507</v>
      </c>
      <c r="L770" s="7" t="s">
        <v>6000</v>
      </c>
      <c r="M770" s="7">
        <v>0</v>
      </c>
      <c r="N770" s="7" t="s">
        <v>5044</v>
      </c>
      <c r="O770" s="7" t="s">
        <v>5044</v>
      </c>
      <c r="P770" s="7">
        <v>1</v>
      </c>
      <c r="Q770" s="7">
        <v>0</v>
      </c>
      <c r="R770" s="7">
        <v>0</v>
      </c>
      <c r="S770" s="7">
        <v>1</v>
      </c>
      <c r="T770" s="7">
        <v>1</v>
      </c>
      <c r="U770" s="7">
        <v>31</v>
      </c>
      <c r="V770" s="7">
        <v>0</v>
      </c>
      <c r="W770" s="7">
        <v>1</v>
      </c>
      <c r="X770" s="7">
        <v>0</v>
      </c>
      <c r="Y770" s="7">
        <v>0</v>
      </c>
      <c r="Z770" s="7">
        <v>0</v>
      </c>
      <c r="AA770" s="7">
        <v>0</v>
      </c>
      <c r="AB770" s="7">
        <v>1</v>
      </c>
      <c r="AC770" s="7">
        <v>1</v>
      </c>
      <c r="AD770" s="7" t="s">
        <v>5044</v>
      </c>
      <c r="AE770" s="7" t="s">
        <v>5044</v>
      </c>
      <c r="AF770" s="7" t="s">
        <v>5044</v>
      </c>
      <c r="AG770" s="7">
        <v>2</v>
      </c>
      <c r="AH770" s="7">
        <v>3</v>
      </c>
      <c r="AI770" s="7">
        <v>0</v>
      </c>
      <c r="AJ770" s="7" t="s">
        <v>5044</v>
      </c>
      <c r="AK770" s="7" t="s">
        <v>5318</v>
      </c>
      <c r="AL770" s="7" t="s">
        <v>5044</v>
      </c>
      <c r="AM770" s="7">
        <v>0</v>
      </c>
      <c r="AO770" s="11">
        <v>3</v>
      </c>
    </row>
    <row r="771" spans="1:41" ht="63" customHeight="1" x14ac:dyDescent="0.2">
      <c r="A771" s="7">
        <v>9636</v>
      </c>
      <c r="B771" s="7" t="s">
        <v>3508</v>
      </c>
      <c r="C771" s="7" t="s">
        <v>3509</v>
      </c>
      <c r="D771" s="7" t="s">
        <v>56</v>
      </c>
      <c r="F771" s="7" t="s">
        <v>147</v>
      </c>
      <c r="G771" s="7" t="s">
        <v>37</v>
      </c>
      <c r="H771" s="7" t="s">
        <v>296</v>
      </c>
      <c r="I771" s="7" t="s">
        <v>13</v>
      </c>
      <c r="J771" s="7" t="s">
        <v>3510</v>
      </c>
      <c r="K771" s="7" t="s">
        <v>3511</v>
      </c>
      <c r="L771" s="7" t="s">
        <v>6001</v>
      </c>
      <c r="M771" s="7">
        <v>0</v>
      </c>
      <c r="N771" s="7" t="s">
        <v>5044</v>
      </c>
      <c r="O771" s="7" t="s">
        <v>5044</v>
      </c>
      <c r="P771" s="7">
        <v>0</v>
      </c>
      <c r="Q771" s="7">
        <v>0</v>
      </c>
      <c r="R771" s="7">
        <v>0</v>
      </c>
      <c r="S771" s="7">
        <v>1</v>
      </c>
      <c r="T771" s="7">
        <v>1</v>
      </c>
      <c r="U771" s="7">
        <v>329</v>
      </c>
      <c r="V771" s="7">
        <v>0</v>
      </c>
      <c r="W771" s="7">
        <v>1</v>
      </c>
      <c r="X771" s="7">
        <v>0</v>
      </c>
      <c r="Y771" s="7">
        <v>0</v>
      </c>
      <c r="Z771" s="7">
        <v>0</v>
      </c>
      <c r="AA771" s="7">
        <v>0</v>
      </c>
      <c r="AB771" s="7">
        <v>1</v>
      </c>
      <c r="AC771" s="7">
        <v>1</v>
      </c>
      <c r="AD771" s="7" t="s">
        <v>5044</v>
      </c>
      <c r="AE771" s="7" t="s">
        <v>5044</v>
      </c>
      <c r="AF771" s="7" t="s">
        <v>5044</v>
      </c>
      <c r="AG771" s="7">
        <v>1</v>
      </c>
      <c r="AH771" s="7">
        <v>0</v>
      </c>
      <c r="AI771" s="7">
        <v>0</v>
      </c>
      <c r="AJ771" s="7" t="s">
        <v>5044</v>
      </c>
      <c r="AK771" s="7" t="s">
        <v>5318</v>
      </c>
      <c r="AL771" s="7">
        <v>1</v>
      </c>
      <c r="AM771" s="7">
        <v>0</v>
      </c>
      <c r="AN771" s="7" t="s">
        <v>5318</v>
      </c>
      <c r="AO771" s="9">
        <v>0</v>
      </c>
    </row>
    <row r="772" spans="1:41" ht="63" customHeight="1" x14ac:dyDescent="0.2">
      <c r="A772" s="7">
        <v>9641</v>
      </c>
      <c r="B772" s="7" t="s">
        <v>3512</v>
      </c>
      <c r="C772" s="7" t="s">
        <v>3513</v>
      </c>
      <c r="D772" s="7" t="s">
        <v>101</v>
      </c>
      <c r="F772" s="7" t="s">
        <v>175</v>
      </c>
      <c r="H772" s="7" t="s">
        <v>3514</v>
      </c>
      <c r="I772" s="7" t="s">
        <v>13</v>
      </c>
      <c r="K772" s="7" t="s">
        <v>3515</v>
      </c>
      <c r="L772" s="7" t="s">
        <v>6002</v>
      </c>
      <c r="M772" s="7">
        <v>0</v>
      </c>
      <c r="N772" s="7" t="s">
        <v>5044</v>
      </c>
      <c r="O772" s="7" t="s">
        <v>5044</v>
      </c>
      <c r="P772" s="7">
        <v>0</v>
      </c>
      <c r="Q772" s="7">
        <v>0</v>
      </c>
      <c r="R772" s="7">
        <v>0</v>
      </c>
      <c r="S772" s="7">
        <v>1</v>
      </c>
      <c r="T772" s="7">
        <v>1</v>
      </c>
      <c r="U772" s="7">
        <v>12</v>
      </c>
      <c r="V772" s="7">
        <v>0</v>
      </c>
      <c r="W772" s="7">
        <v>1</v>
      </c>
      <c r="X772" s="7">
        <v>0</v>
      </c>
      <c r="Y772" s="7">
        <v>0</v>
      </c>
      <c r="Z772" s="7">
        <v>0</v>
      </c>
      <c r="AA772" s="7">
        <v>0</v>
      </c>
      <c r="AB772" s="7">
        <v>1</v>
      </c>
      <c r="AC772" s="7">
        <v>1</v>
      </c>
      <c r="AD772" s="7" t="s">
        <v>5044</v>
      </c>
      <c r="AE772" s="7" t="s">
        <v>5044</v>
      </c>
      <c r="AF772" s="7" t="s">
        <v>5044</v>
      </c>
      <c r="AG772" s="7">
        <v>1</v>
      </c>
      <c r="AH772" s="7">
        <v>0</v>
      </c>
      <c r="AI772" s="7">
        <v>0</v>
      </c>
      <c r="AJ772" s="7" t="s">
        <v>5044</v>
      </c>
      <c r="AK772" s="7" t="s">
        <v>5318</v>
      </c>
      <c r="AL772" s="7">
        <v>1</v>
      </c>
      <c r="AM772" s="7">
        <v>0</v>
      </c>
      <c r="AN772" s="7" t="s">
        <v>5318</v>
      </c>
      <c r="AO772" s="9">
        <v>0</v>
      </c>
    </row>
    <row r="773" spans="1:41" ht="63" customHeight="1" x14ac:dyDescent="0.2">
      <c r="A773" s="7">
        <v>9643</v>
      </c>
      <c r="B773" s="7" t="s">
        <v>3516</v>
      </c>
      <c r="C773" s="7" t="s">
        <v>3517</v>
      </c>
      <c r="D773" s="7" t="s">
        <v>46</v>
      </c>
      <c r="F773" s="7" t="s">
        <v>31</v>
      </c>
      <c r="G773" s="7" t="s">
        <v>197</v>
      </c>
      <c r="H773" s="7" t="s">
        <v>329</v>
      </c>
      <c r="I773" s="7" t="s">
        <v>13</v>
      </c>
      <c r="J773" s="7" t="s">
        <v>3518</v>
      </c>
      <c r="K773" s="7" t="s">
        <v>3519</v>
      </c>
      <c r="L773" s="7" t="s">
        <v>6003</v>
      </c>
      <c r="M773" s="7">
        <v>0</v>
      </c>
      <c r="N773" s="7" t="s">
        <v>5044</v>
      </c>
      <c r="O773" s="7" t="s">
        <v>5044</v>
      </c>
      <c r="P773" s="7">
        <v>0</v>
      </c>
      <c r="Q773" s="7">
        <v>0</v>
      </c>
      <c r="R773" s="7">
        <v>0</v>
      </c>
      <c r="S773" s="7">
        <v>10</v>
      </c>
      <c r="T773" s="7">
        <v>1</v>
      </c>
      <c r="U773" s="7">
        <v>311</v>
      </c>
      <c r="V773" s="7">
        <v>0</v>
      </c>
      <c r="W773" s="7">
        <v>1</v>
      </c>
      <c r="X773" s="7">
        <v>0</v>
      </c>
      <c r="Y773" s="7">
        <v>0</v>
      </c>
      <c r="Z773" s="7">
        <v>0</v>
      </c>
      <c r="AA773" s="7">
        <v>0</v>
      </c>
      <c r="AB773" s="7">
        <v>1</v>
      </c>
      <c r="AC773" s="7">
        <v>1</v>
      </c>
      <c r="AD773" s="7" t="s">
        <v>5044</v>
      </c>
      <c r="AE773" s="7" t="s">
        <v>5044</v>
      </c>
      <c r="AF773" s="7" t="s">
        <v>5044</v>
      </c>
      <c r="AG773" s="7">
        <v>2</v>
      </c>
      <c r="AH773" s="7">
        <v>3</v>
      </c>
      <c r="AI773" s="7">
        <v>0</v>
      </c>
      <c r="AJ773" s="7" t="s">
        <v>5044</v>
      </c>
      <c r="AK773" s="7">
        <v>1</v>
      </c>
      <c r="AL773" s="7" t="s">
        <v>5044</v>
      </c>
      <c r="AM773" s="7">
        <v>0</v>
      </c>
      <c r="AO773" s="11">
        <v>3</v>
      </c>
    </row>
    <row r="774" spans="1:41" ht="63" customHeight="1" x14ac:dyDescent="0.2">
      <c r="A774" s="7">
        <v>9653</v>
      </c>
      <c r="B774" s="7" t="s">
        <v>3520</v>
      </c>
      <c r="C774" s="7" t="s">
        <v>3521</v>
      </c>
      <c r="D774" s="7" t="s">
        <v>149</v>
      </c>
      <c r="F774" s="7" t="s">
        <v>810</v>
      </c>
      <c r="G774" s="7" t="s">
        <v>129</v>
      </c>
      <c r="H774" s="7" t="s">
        <v>733</v>
      </c>
      <c r="I774" s="7" t="s">
        <v>13</v>
      </c>
      <c r="J774" s="7" t="s">
        <v>3522</v>
      </c>
      <c r="K774" s="7" t="s">
        <v>3523</v>
      </c>
      <c r="L774" s="7" t="s">
        <v>6005</v>
      </c>
      <c r="M774" s="7">
        <v>0</v>
      </c>
      <c r="N774" s="7" t="s">
        <v>5044</v>
      </c>
      <c r="O774" s="7" t="s">
        <v>5044</v>
      </c>
      <c r="P774" s="7">
        <v>0</v>
      </c>
      <c r="Q774" s="7">
        <v>0</v>
      </c>
      <c r="R774" s="7">
        <v>0</v>
      </c>
      <c r="S774" s="7">
        <v>1</v>
      </c>
      <c r="T774" s="7">
        <v>2</v>
      </c>
      <c r="U774" s="7">
        <v>486</v>
      </c>
      <c r="V774" s="7">
        <v>0</v>
      </c>
      <c r="W774" s="7">
        <v>1</v>
      </c>
      <c r="X774" s="7">
        <v>0</v>
      </c>
      <c r="Y774" s="7">
        <v>0</v>
      </c>
      <c r="Z774" s="7">
        <v>0</v>
      </c>
      <c r="AA774" s="7">
        <v>0</v>
      </c>
      <c r="AB774" s="7">
        <v>1</v>
      </c>
      <c r="AC774" s="7">
        <v>1</v>
      </c>
      <c r="AD774" s="7" t="s">
        <v>5044</v>
      </c>
      <c r="AE774" s="7" t="s">
        <v>5044</v>
      </c>
      <c r="AF774" s="7" t="s">
        <v>5044</v>
      </c>
      <c r="AG774" s="7">
        <v>2</v>
      </c>
      <c r="AH774" s="7">
        <v>2</v>
      </c>
      <c r="AI774" s="7">
        <v>2</v>
      </c>
      <c r="AJ774" s="7" t="s">
        <v>5044</v>
      </c>
      <c r="AK774" s="7" t="s">
        <v>6006</v>
      </c>
      <c r="AL774" s="7">
        <v>0</v>
      </c>
      <c r="AM774" s="7">
        <v>0</v>
      </c>
      <c r="AO774" s="11">
        <v>2</v>
      </c>
    </row>
    <row r="775" spans="1:41" ht="63" customHeight="1" x14ac:dyDescent="0.2">
      <c r="A775" s="7">
        <v>9670</v>
      </c>
      <c r="B775" s="7" t="s">
        <v>3524</v>
      </c>
      <c r="C775" s="7" t="s">
        <v>3525</v>
      </c>
      <c r="D775" s="7" t="s">
        <v>101</v>
      </c>
      <c r="F775" s="7" t="s">
        <v>587</v>
      </c>
      <c r="G775" s="7" t="s">
        <v>27</v>
      </c>
      <c r="H775" s="7" t="s">
        <v>2634</v>
      </c>
      <c r="I775" s="7" t="s">
        <v>13</v>
      </c>
      <c r="J775" s="7" t="s">
        <v>3526</v>
      </c>
      <c r="K775" s="7" t="s">
        <v>3527</v>
      </c>
      <c r="L775" s="7" t="s">
        <v>6007</v>
      </c>
      <c r="M775" s="7">
        <v>0</v>
      </c>
      <c r="N775" s="7" t="s">
        <v>5044</v>
      </c>
      <c r="O775" s="7" t="s">
        <v>5044</v>
      </c>
      <c r="P775" s="7">
        <v>0</v>
      </c>
      <c r="Q775" s="7">
        <v>0</v>
      </c>
      <c r="R775" s="7">
        <v>0</v>
      </c>
      <c r="S775" s="7">
        <v>1</v>
      </c>
      <c r="T775" s="7">
        <v>1</v>
      </c>
      <c r="U775" s="7">
        <v>46</v>
      </c>
      <c r="V775" s="7">
        <v>0</v>
      </c>
      <c r="W775" s="7">
        <v>1</v>
      </c>
      <c r="X775" s="7">
        <v>0</v>
      </c>
      <c r="Y775" s="7">
        <v>0</v>
      </c>
      <c r="Z775" s="7">
        <v>0</v>
      </c>
      <c r="AA775" s="7">
        <v>0</v>
      </c>
      <c r="AB775" s="7">
        <v>1</v>
      </c>
      <c r="AC775" s="7">
        <v>0</v>
      </c>
      <c r="AD775" s="7" t="s">
        <v>5044</v>
      </c>
      <c r="AE775" s="7" t="s">
        <v>5044</v>
      </c>
      <c r="AF775" s="7" t="s">
        <v>5044</v>
      </c>
      <c r="AG775" s="7">
        <v>0</v>
      </c>
      <c r="AH775" s="7" t="s">
        <v>5044</v>
      </c>
      <c r="AI775" s="7" t="s">
        <v>5044</v>
      </c>
      <c r="AJ775" s="7" t="s">
        <v>5044</v>
      </c>
      <c r="AK775" s="7" t="s">
        <v>5318</v>
      </c>
      <c r="AL775" s="7">
        <v>1</v>
      </c>
      <c r="AM775" s="7">
        <v>0</v>
      </c>
      <c r="AN775" s="7" t="s">
        <v>5318</v>
      </c>
      <c r="AO775" s="11">
        <v>9</v>
      </c>
    </row>
    <row r="776" spans="1:41" ht="63" customHeight="1" x14ac:dyDescent="0.2">
      <c r="A776" s="7">
        <v>9679</v>
      </c>
      <c r="B776" s="7" t="s">
        <v>3528</v>
      </c>
      <c r="C776" s="7" t="s">
        <v>3529</v>
      </c>
      <c r="D776" s="7" t="s">
        <v>95</v>
      </c>
      <c r="F776" s="7" t="s">
        <v>1801</v>
      </c>
      <c r="G776" s="7" t="s">
        <v>32</v>
      </c>
      <c r="H776" s="7" t="s">
        <v>43</v>
      </c>
      <c r="I776" s="7" t="s">
        <v>13</v>
      </c>
      <c r="J776" s="7" t="s">
        <v>3530</v>
      </c>
      <c r="K776" s="7" t="s">
        <v>3531</v>
      </c>
      <c r="L776" s="7" t="s">
        <v>6008</v>
      </c>
      <c r="M776" s="7">
        <v>0</v>
      </c>
      <c r="N776" s="7" t="s">
        <v>5044</v>
      </c>
      <c r="O776" s="7" t="s">
        <v>5044</v>
      </c>
      <c r="P776" s="7">
        <v>0</v>
      </c>
      <c r="Q776" s="7">
        <v>0</v>
      </c>
      <c r="R776" s="7">
        <v>0</v>
      </c>
      <c r="S776" s="7">
        <v>1</v>
      </c>
      <c r="T776" s="7">
        <v>2</v>
      </c>
      <c r="U776" s="7">
        <v>100</v>
      </c>
      <c r="V776" s="7">
        <v>0</v>
      </c>
      <c r="W776" s="7">
        <v>1</v>
      </c>
      <c r="X776" s="7">
        <v>0</v>
      </c>
      <c r="Y776" s="7">
        <v>0</v>
      </c>
      <c r="Z776" s="7">
        <v>1</v>
      </c>
      <c r="AA776" s="7">
        <v>0</v>
      </c>
      <c r="AB776" s="7">
        <v>1</v>
      </c>
      <c r="AC776" s="7">
        <v>1</v>
      </c>
      <c r="AD776" s="7" t="s">
        <v>5044</v>
      </c>
      <c r="AE776" s="7" t="s">
        <v>5044</v>
      </c>
      <c r="AF776" s="7" t="s">
        <v>5044</v>
      </c>
      <c r="AG776" s="7">
        <v>1</v>
      </c>
      <c r="AH776" s="7">
        <v>0</v>
      </c>
      <c r="AI776" s="7">
        <v>0</v>
      </c>
      <c r="AJ776" s="7">
        <v>0</v>
      </c>
      <c r="AK776" s="7" t="s">
        <v>5318</v>
      </c>
      <c r="AL776" s="7">
        <v>0</v>
      </c>
      <c r="AM776" s="7">
        <v>0</v>
      </c>
      <c r="AO776" s="9">
        <v>0</v>
      </c>
    </row>
    <row r="777" spans="1:41" ht="63" customHeight="1" x14ac:dyDescent="0.2">
      <c r="A777" s="7">
        <v>9680</v>
      </c>
      <c r="B777" s="7" t="s">
        <v>3532</v>
      </c>
      <c r="C777" s="7" t="s">
        <v>3533</v>
      </c>
      <c r="D777" s="7" t="s">
        <v>101</v>
      </c>
      <c r="F777" s="7" t="s">
        <v>3534</v>
      </c>
      <c r="G777" s="7" t="s">
        <v>11</v>
      </c>
      <c r="H777" s="7" t="s">
        <v>89</v>
      </c>
      <c r="I777" s="7" t="s">
        <v>13</v>
      </c>
      <c r="J777" s="7" t="s">
        <v>3535</v>
      </c>
      <c r="K777" s="7" t="s">
        <v>3536</v>
      </c>
      <c r="L777" s="7" t="s">
        <v>6009</v>
      </c>
      <c r="M777" s="7">
        <v>0</v>
      </c>
      <c r="N777" s="7" t="s">
        <v>5044</v>
      </c>
      <c r="O777" s="7" t="s">
        <v>5044</v>
      </c>
      <c r="P777" s="7">
        <v>0</v>
      </c>
      <c r="Q777" s="7">
        <v>0</v>
      </c>
      <c r="R777" s="7">
        <v>0</v>
      </c>
      <c r="S777" s="7">
        <v>9</v>
      </c>
      <c r="T777" s="7">
        <v>1</v>
      </c>
      <c r="U777" s="7">
        <v>60</v>
      </c>
      <c r="V777" s="7">
        <v>0</v>
      </c>
      <c r="W777" s="7">
        <v>1</v>
      </c>
      <c r="X777" s="7">
        <v>0</v>
      </c>
      <c r="Y777" s="7">
        <v>0</v>
      </c>
      <c r="Z777" s="7">
        <v>1</v>
      </c>
      <c r="AA777" s="7">
        <v>0</v>
      </c>
      <c r="AB777" s="7">
        <v>1</v>
      </c>
      <c r="AC777" s="7">
        <v>1</v>
      </c>
      <c r="AD777" s="7" t="s">
        <v>5044</v>
      </c>
      <c r="AE777" s="7" t="s">
        <v>5044</v>
      </c>
      <c r="AF777" s="7" t="s">
        <v>5044</v>
      </c>
      <c r="AG777" s="7">
        <v>0</v>
      </c>
      <c r="AH777" s="7" t="s">
        <v>5044</v>
      </c>
      <c r="AI777" s="7" t="s">
        <v>5044</v>
      </c>
      <c r="AJ777" s="7">
        <v>0</v>
      </c>
      <c r="AK777" s="7" t="s">
        <v>5318</v>
      </c>
      <c r="AL777" s="7">
        <v>1</v>
      </c>
      <c r="AM777" s="7">
        <v>0</v>
      </c>
      <c r="AN777" s="7" t="s">
        <v>5318</v>
      </c>
      <c r="AO777" s="11">
        <v>9</v>
      </c>
    </row>
    <row r="778" spans="1:41" ht="63" customHeight="1" x14ac:dyDescent="0.2">
      <c r="A778" s="7">
        <v>9681</v>
      </c>
      <c r="B778" s="7" t="s">
        <v>3537</v>
      </c>
      <c r="C778" s="7" t="s">
        <v>3538</v>
      </c>
      <c r="D778" s="7" t="s">
        <v>41</v>
      </c>
      <c r="F778" s="7" t="s">
        <v>3442</v>
      </c>
      <c r="G778" s="7" t="s">
        <v>92</v>
      </c>
      <c r="H778" s="7" t="s">
        <v>1083</v>
      </c>
      <c r="I778" s="7" t="s">
        <v>13</v>
      </c>
      <c r="J778" s="7" t="s">
        <v>3539</v>
      </c>
      <c r="K778" s="7" t="s">
        <v>3540</v>
      </c>
      <c r="L778" s="7" t="s">
        <v>6010</v>
      </c>
      <c r="M778" s="7">
        <v>0</v>
      </c>
      <c r="N778" s="7" t="s">
        <v>5044</v>
      </c>
      <c r="O778" s="7" t="s">
        <v>5044</v>
      </c>
      <c r="P778" s="7">
        <v>0</v>
      </c>
      <c r="Q778" s="7">
        <v>0</v>
      </c>
      <c r="R778" s="7">
        <v>0</v>
      </c>
      <c r="S778" s="7">
        <v>9</v>
      </c>
      <c r="T778" s="7">
        <v>1</v>
      </c>
      <c r="U778" s="7">
        <v>60</v>
      </c>
      <c r="V778" s="7">
        <v>0</v>
      </c>
      <c r="W778" s="7">
        <v>1</v>
      </c>
      <c r="X778" s="7">
        <v>0</v>
      </c>
      <c r="Y778" s="7">
        <v>0</v>
      </c>
      <c r="Z778" s="7">
        <v>1</v>
      </c>
      <c r="AA778" s="7">
        <v>0</v>
      </c>
      <c r="AB778" s="7">
        <v>1</v>
      </c>
      <c r="AC778" s="7">
        <v>0</v>
      </c>
      <c r="AD778" s="7" t="s">
        <v>5044</v>
      </c>
      <c r="AE778" s="7" t="s">
        <v>5044</v>
      </c>
      <c r="AF778" s="7" t="s">
        <v>5044</v>
      </c>
      <c r="AG778" s="7">
        <v>0</v>
      </c>
      <c r="AH778" s="7" t="s">
        <v>5044</v>
      </c>
      <c r="AI778" s="7" t="s">
        <v>5044</v>
      </c>
      <c r="AJ778" s="7">
        <v>0</v>
      </c>
      <c r="AK778" s="7" t="s">
        <v>5318</v>
      </c>
      <c r="AL778" s="7">
        <v>1</v>
      </c>
      <c r="AM778" s="7">
        <v>0</v>
      </c>
      <c r="AO778" s="11">
        <v>9</v>
      </c>
    </row>
    <row r="779" spans="1:41" ht="63" customHeight="1" x14ac:dyDescent="0.2">
      <c r="A779" s="7">
        <v>9696</v>
      </c>
      <c r="B779" s="7" t="s">
        <v>3545</v>
      </c>
      <c r="C779" s="7" t="s">
        <v>3546</v>
      </c>
      <c r="D779" s="7" t="s">
        <v>74</v>
      </c>
      <c r="F779" s="7" t="s">
        <v>107</v>
      </c>
      <c r="G779" s="7" t="s">
        <v>52</v>
      </c>
      <c r="H779" s="7" t="s">
        <v>3547</v>
      </c>
      <c r="I779" s="7" t="s">
        <v>13</v>
      </c>
      <c r="J779" s="7" t="s">
        <v>3548</v>
      </c>
      <c r="K779" s="7" t="s">
        <v>3549</v>
      </c>
      <c r="L779" s="7" t="s">
        <v>6012</v>
      </c>
      <c r="M779" s="7">
        <v>0</v>
      </c>
      <c r="N779" s="7" t="s">
        <v>5044</v>
      </c>
      <c r="O779" s="7" t="s">
        <v>5044</v>
      </c>
      <c r="P779" s="7">
        <v>0</v>
      </c>
      <c r="Q779" s="7">
        <v>0</v>
      </c>
      <c r="R779" s="7">
        <v>0</v>
      </c>
      <c r="S779" s="7">
        <v>1</v>
      </c>
      <c r="T779" s="7">
        <v>1</v>
      </c>
      <c r="U779" s="7">
        <v>193</v>
      </c>
      <c r="V779" s="7">
        <v>0</v>
      </c>
      <c r="W779" s="7">
        <v>1</v>
      </c>
      <c r="X779" s="7">
        <v>0</v>
      </c>
      <c r="Y779" s="7">
        <v>0</v>
      </c>
      <c r="Z779" s="7">
        <v>0</v>
      </c>
      <c r="AA779" s="7">
        <v>0</v>
      </c>
      <c r="AB779" s="7">
        <v>1</v>
      </c>
      <c r="AC779" s="7">
        <v>1</v>
      </c>
      <c r="AD779" s="7" t="s">
        <v>5044</v>
      </c>
      <c r="AE779" s="7" t="s">
        <v>5044</v>
      </c>
      <c r="AF779" s="7" t="s">
        <v>5044</v>
      </c>
      <c r="AG779" s="7">
        <v>2</v>
      </c>
      <c r="AH779" s="7">
        <v>1</v>
      </c>
      <c r="AI779" s="7">
        <v>2</v>
      </c>
      <c r="AJ779" s="7" t="s">
        <v>5044</v>
      </c>
      <c r="AK779" s="7" t="s">
        <v>5318</v>
      </c>
      <c r="AL779" s="7">
        <v>0</v>
      </c>
      <c r="AM779" s="7">
        <v>0</v>
      </c>
      <c r="AN779" s="7" t="s">
        <v>5318</v>
      </c>
      <c r="AO779" s="11">
        <v>1</v>
      </c>
    </row>
    <row r="780" spans="1:41" ht="63" customHeight="1" x14ac:dyDescent="0.2">
      <c r="A780" s="7">
        <v>9710</v>
      </c>
      <c r="B780" s="7" t="s">
        <v>3550</v>
      </c>
      <c r="C780" s="7" t="s">
        <v>3551</v>
      </c>
      <c r="D780" s="7" t="s">
        <v>74</v>
      </c>
      <c r="F780" s="7" t="s">
        <v>2221</v>
      </c>
      <c r="H780" s="7" t="s">
        <v>1377</v>
      </c>
      <c r="I780" s="7" t="s">
        <v>13</v>
      </c>
      <c r="J780" s="7" t="s">
        <v>3552</v>
      </c>
      <c r="K780" s="7" t="s">
        <v>3553</v>
      </c>
      <c r="L780" s="7" t="s">
        <v>6013</v>
      </c>
      <c r="M780" s="7">
        <v>0</v>
      </c>
      <c r="N780" s="7" t="s">
        <v>5044</v>
      </c>
      <c r="O780" s="7" t="s">
        <v>5044</v>
      </c>
      <c r="P780" s="7">
        <v>0</v>
      </c>
      <c r="Q780" s="7">
        <v>0</v>
      </c>
      <c r="R780" s="7">
        <v>0</v>
      </c>
      <c r="S780" s="7">
        <v>5</v>
      </c>
      <c r="T780" s="7">
        <v>1</v>
      </c>
      <c r="U780" s="7">
        <v>188</v>
      </c>
      <c r="V780" s="7">
        <v>0</v>
      </c>
      <c r="W780" s="7">
        <v>1</v>
      </c>
      <c r="X780" s="7">
        <v>0</v>
      </c>
      <c r="Y780" s="7">
        <v>0</v>
      </c>
      <c r="Z780" s="7">
        <v>0</v>
      </c>
      <c r="AA780" s="7">
        <v>0</v>
      </c>
      <c r="AB780" s="7">
        <v>1</v>
      </c>
      <c r="AC780" s="7">
        <v>1</v>
      </c>
      <c r="AD780" s="7" t="s">
        <v>5044</v>
      </c>
      <c r="AE780" s="7" t="s">
        <v>5044</v>
      </c>
      <c r="AF780" s="7" t="s">
        <v>5044</v>
      </c>
      <c r="AG780" s="7">
        <v>2</v>
      </c>
      <c r="AH780" s="7">
        <v>2</v>
      </c>
      <c r="AI780" s="7">
        <v>2</v>
      </c>
      <c r="AJ780" s="7" t="s">
        <v>5044</v>
      </c>
      <c r="AK780" s="7" t="s">
        <v>5318</v>
      </c>
      <c r="AL780" s="7">
        <v>0</v>
      </c>
      <c r="AM780" s="7">
        <v>0</v>
      </c>
      <c r="AN780" s="7" t="s">
        <v>5318</v>
      </c>
      <c r="AO780" s="11">
        <v>2</v>
      </c>
    </row>
    <row r="781" spans="1:41" ht="63" customHeight="1" x14ac:dyDescent="0.2">
      <c r="A781" s="7">
        <v>9717</v>
      </c>
      <c r="B781" s="7" t="s">
        <v>3554</v>
      </c>
      <c r="C781" s="7" t="s">
        <v>3555</v>
      </c>
      <c r="D781" s="7" t="s">
        <v>41</v>
      </c>
      <c r="F781" s="7" t="s">
        <v>684</v>
      </c>
      <c r="G781" s="7" t="s">
        <v>11</v>
      </c>
      <c r="H781" s="7" t="s">
        <v>685</v>
      </c>
      <c r="I781" s="7" t="s">
        <v>13</v>
      </c>
      <c r="J781" s="7" t="s">
        <v>3556</v>
      </c>
      <c r="K781" s="7" t="s">
        <v>3557</v>
      </c>
      <c r="L781" s="11" t="s">
        <v>5044</v>
      </c>
      <c r="M781" s="7">
        <v>0</v>
      </c>
      <c r="N781" s="7" t="s">
        <v>5044</v>
      </c>
      <c r="O781" s="7" t="s">
        <v>5044</v>
      </c>
      <c r="P781" s="7">
        <v>0</v>
      </c>
      <c r="Q781" s="7">
        <v>0</v>
      </c>
      <c r="R781" s="7">
        <v>0</v>
      </c>
      <c r="S781" s="7">
        <v>9</v>
      </c>
      <c r="T781" s="7">
        <v>2</v>
      </c>
      <c r="U781" s="7">
        <v>124</v>
      </c>
      <c r="V781" s="7">
        <v>0</v>
      </c>
      <c r="W781" s="7">
        <v>1</v>
      </c>
      <c r="X781" s="7">
        <v>0</v>
      </c>
      <c r="Y781" s="7">
        <v>0</v>
      </c>
      <c r="Z781" s="7">
        <v>1</v>
      </c>
      <c r="AA781" s="7">
        <v>0</v>
      </c>
      <c r="AB781" s="7">
        <v>1</v>
      </c>
      <c r="AC781" s="7">
        <v>1</v>
      </c>
      <c r="AD781" s="7" t="s">
        <v>5044</v>
      </c>
      <c r="AE781" s="7" t="s">
        <v>5044</v>
      </c>
      <c r="AF781" s="7" t="s">
        <v>5044</v>
      </c>
      <c r="AG781" s="7">
        <v>2</v>
      </c>
      <c r="AH781" s="7">
        <v>3</v>
      </c>
      <c r="AI781" s="7">
        <v>0</v>
      </c>
      <c r="AJ781" s="7">
        <v>0</v>
      </c>
      <c r="AK781" s="7" t="s">
        <v>6014</v>
      </c>
      <c r="AL781" s="7">
        <v>0</v>
      </c>
      <c r="AM781" s="7">
        <v>0</v>
      </c>
      <c r="AO781" s="11">
        <v>3</v>
      </c>
    </row>
    <row r="782" spans="1:41" ht="63" customHeight="1" x14ac:dyDescent="0.2">
      <c r="A782" s="7">
        <v>9737</v>
      </c>
      <c r="B782" s="7" t="s">
        <v>3558</v>
      </c>
      <c r="C782" s="7" t="s">
        <v>3559</v>
      </c>
      <c r="D782" s="7" t="s">
        <v>16</v>
      </c>
      <c r="F782" s="7" t="s">
        <v>175</v>
      </c>
      <c r="G782" s="7" t="s">
        <v>92</v>
      </c>
      <c r="H782" s="7" t="s">
        <v>362</v>
      </c>
      <c r="I782" s="7" t="s">
        <v>13</v>
      </c>
      <c r="J782" s="7" t="s">
        <v>3560</v>
      </c>
      <c r="K782" s="7" t="s">
        <v>3561</v>
      </c>
      <c r="L782" s="7" t="s">
        <v>6015</v>
      </c>
      <c r="M782" s="7">
        <v>0</v>
      </c>
      <c r="N782" s="7" t="s">
        <v>5044</v>
      </c>
      <c r="O782" s="7" t="s">
        <v>5044</v>
      </c>
      <c r="P782" s="7">
        <v>0</v>
      </c>
      <c r="Q782" s="7">
        <v>0</v>
      </c>
      <c r="R782" s="7">
        <v>0</v>
      </c>
      <c r="S782" s="7">
        <v>1</v>
      </c>
      <c r="T782" s="7">
        <v>4</v>
      </c>
      <c r="U782" s="7">
        <v>1240</v>
      </c>
      <c r="V782" s="7">
        <v>0</v>
      </c>
      <c r="W782" s="7">
        <v>1</v>
      </c>
      <c r="X782" s="7">
        <v>0</v>
      </c>
      <c r="Y782" s="7">
        <v>0</v>
      </c>
      <c r="Z782" s="7">
        <v>0</v>
      </c>
      <c r="AA782" s="7">
        <v>0</v>
      </c>
      <c r="AB782" s="7">
        <v>1</v>
      </c>
      <c r="AC782" s="7">
        <v>1</v>
      </c>
      <c r="AD782" s="7" t="s">
        <v>5044</v>
      </c>
      <c r="AE782" s="7" t="s">
        <v>5044</v>
      </c>
      <c r="AF782" s="7" t="s">
        <v>5044</v>
      </c>
      <c r="AG782" s="7">
        <v>2</v>
      </c>
      <c r="AH782" s="7">
        <v>1</v>
      </c>
      <c r="AI782" s="7">
        <v>1</v>
      </c>
      <c r="AJ782" s="7" t="s">
        <v>5044</v>
      </c>
      <c r="AK782" s="7" t="s">
        <v>5318</v>
      </c>
      <c r="AL782" s="7" t="s">
        <v>5044</v>
      </c>
      <c r="AM782" s="7">
        <v>0</v>
      </c>
      <c r="AO782" s="11">
        <v>1</v>
      </c>
    </row>
    <row r="783" spans="1:41" ht="63" customHeight="1" x14ac:dyDescent="0.2">
      <c r="A783" s="7">
        <v>9739</v>
      </c>
      <c r="B783" s="23" t="s">
        <v>3562</v>
      </c>
      <c r="C783" s="7" t="s">
        <v>3563</v>
      </c>
      <c r="D783" s="7" t="s">
        <v>16</v>
      </c>
      <c r="F783" s="7" t="s">
        <v>1015</v>
      </c>
      <c r="G783" s="7" t="s">
        <v>27</v>
      </c>
      <c r="H783" s="7" t="s">
        <v>251</v>
      </c>
      <c r="I783" s="7" t="s">
        <v>13</v>
      </c>
      <c r="J783" s="7" t="s">
        <v>3564</v>
      </c>
      <c r="K783" s="7" t="s">
        <v>3565</v>
      </c>
      <c r="L783" s="7" t="s">
        <v>6016</v>
      </c>
      <c r="M783" s="7">
        <v>0</v>
      </c>
      <c r="N783" s="7" t="s">
        <v>5044</v>
      </c>
      <c r="O783" s="7" t="s">
        <v>5044</v>
      </c>
      <c r="P783" s="7">
        <v>0</v>
      </c>
      <c r="Q783" s="7">
        <v>0</v>
      </c>
      <c r="R783" s="7">
        <v>0</v>
      </c>
      <c r="S783" s="7">
        <v>1</v>
      </c>
      <c r="T783" s="7">
        <v>4</v>
      </c>
      <c r="U783" s="7">
        <v>347</v>
      </c>
      <c r="V783" s="7">
        <v>1</v>
      </c>
      <c r="W783" s="7">
        <v>0</v>
      </c>
      <c r="X783" s="7">
        <v>0</v>
      </c>
      <c r="Y783" s="7">
        <v>0</v>
      </c>
      <c r="Z783" s="7">
        <v>0</v>
      </c>
      <c r="AA783" s="7">
        <v>0</v>
      </c>
      <c r="AB783" s="7">
        <v>1</v>
      </c>
      <c r="AC783" s="7">
        <v>1</v>
      </c>
      <c r="AD783" s="7">
        <v>2</v>
      </c>
      <c r="AE783" s="7">
        <v>1</v>
      </c>
      <c r="AF783" s="7">
        <v>1</v>
      </c>
      <c r="AG783" s="23" t="s">
        <v>5044</v>
      </c>
      <c r="AH783" s="23" t="s">
        <v>5044</v>
      </c>
      <c r="AI783" s="23" t="s">
        <v>5044</v>
      </c>
      <c r="AJ783" s="7" t="s">
        <v>5044</v>
      </c>
      <c r="AK783" s="7" t="s">
        <v>5318</v>
      </c>
      <c r="AL783" s="7">
        <v>1</v>
      </c>
      <c r="AM783" s="7">
        <v>0</v>
      </c>
      <c r="AN783" s="7" t="s">
        <v>5318</v>
      </c>
      <c r="AO783" s="11">
        <v>1</v>
      </c>
    </row>
    <row r="784" spans="1:41" ht="63" customHeight="1" x14ac:dyDescent="0.2">
      <c r="A784" s="7">
        <v>9741</v>
      </c>
      <c r="B784" s="7" t="s">
        <v>3566</v>
      </c>
      <c r="C784" s="7" t="s">
        <v>3567</v>
      </c>
      <c r="D784" s="7" t="s">
        <v>16</v>
      </c>
      <c r="F784" s="7" t="s">
        <v>151</v>
      </c>
      <c r="G784" s="7" t="s">
        <v>52</v>
      </c>
      <c r="H784" s="7" t="s">
        <v>768</v>
      </c>
      <c r="I784" s="7" t="s">
        <v>13</v>
      </c>
      <c r="J784" s="7" t="s">
        <v>3568</v>
      </c>
      <c r="K784" s="7" t="s">
        <v>3569</v>
      </c>
      <c r="L784" s="7" t="s">
        <v>6017</v>
      </c>
      <c r="M784" s="7">
        <v>0</v>
      </c>
      <c r="N784" s="7" t="s">
        <v>5044</v>
      </c>
      <c r="O784" s="7" t="s">
        <v>5044</v>
      </c>
      <c r="P784" s="7">
        <v>0</v>
      </c>
      <c r="Q784" s="7">
        <v>0</v>
      </c>
      <c r="R784" s="7">
        <v>0</v>
      </c>
      <c r="S784" s="7">
        <v>1</v>
      </c>
      <c r="T784" s="7">
        <v>4</v>
      </c>
      <c r="U784" s="7">
        <v>126</v>
      </c>
      <c r="V784" s="7">
        <v>0</v>
      </c>
      <c r="W784" s="7">
        <v>1</v>
      </c>
      <c r="X784" s="7">
        <v>0</v>
      </c>
      <c r="Y784" s="7">
        <v>0</v>
      </c>
      <c r="Z784" s="7">
        <v>0</v>
      </c>
      <c r="AA784" s="7">
        <v>0</v>
      </c>
      <c r="AB784" s="7">
        <v>1</v>
      </c>
      <c r="AC784" s="7">
        <v>1</v>
      </c>
      <c r="AD784" s="7" t="s">
        <v>5044</v>
      </c>
      <c r="AE784" s="7" t="s">
        <v>5044</v>
      </c>
      <c r="AF784" s="7" t="s">
        <v>5044</v>
      </c>
      <c r="AG784" s="7">
        <v>2</v>
      </c>
      <c r="AH784" s="7">
        <v>2</v>
      </c>
      <c r="AI784" s="7">
        <v>2</v>
      </c>
      <c r="AJ784" s="7" t="s">
        <v>5044</v>
      </c>
      <c r="AK784" s="7" t="s">
        <v>5318</v>
      </c>
      <c r="AL784" s="7">
        <v>1</v>
      </c>
      <c r="AM784" s="7">
        <v>0</v>
      </c>
      <c r="AN784" s="7" t="s">
        <v>5318</v>
      </c>
      <c r="AO784" s="11">
        <v>2</v>
      </c>
    </row>
    <row r="785" spans="1:41" ht="63" customHeight="1" x14ac:dyDescent="0.2">
      <c r="A785" s="7">
        <v>9746</v>
      </c>
      <c r="B785" s="7" t="s">
        <v>3570</v>
      </c>
      <c r="C785" s="7" t="s">
        <v>3571</v>
      </c>
      <c r="D785" s="7" t="s">
        <v>74</v>
      </c>
      <c r="F785" s="7" t="s">
        <v>107</v>
      </c>
      <c r="G785" s="7" t="s">
        <v>52</v>
      </c>
      <c r="H785" s="7" t="s">
        <v>137</v>
      </c>
      <c r="I785" s="7" t="s">
        <v>13</v>
      </c>
      <c r="J785" s="7" t="s">
        <v>3572</v>
      </c>
      <c r="K785" s="7" t="s">
        <v>3573</v>
      </c>
      <c r="L785" s="7" t="s">
        <v>6018</v>
      </c>
      <c r="M785" s="7">
        <v>0</v>
      </c>
      <c r="N785" s="7" t="s">
        <v>5044</v>
      </c>
      <c r="O785" s="7" t="s">
        <v>5044</v>
      </c>
      <c r="P785" s="7">
        <v>0</v>
      </c>
      <c r="Q785" s="7">
        <v>0</v>
      </c>
      <c r="R785" s="7">
        <v>0</v>
      </c>
      <c r="S785" s="7">
        <v>9</v>
      </c>
      <c r="T785" s="7">
        <v>4</v>
      </c>
      <c r="U785" s="7">
        <v>154</v>
      </c>
      <c r="V785" s="7">
        <v>1</v>
      </c>
      <c r="W785" s="7">
        <v>0</v>
      </c>
      <c r="X785" s="7">
        <v>0</v>
      </c>
      <c r="Y785" s="7">
        <v>0</v>
      </c>
      <c r="Z785" s="7">
        <v>0</v>
      </c>
      <c r="AA785" s="7">
        <v>0</v>
      </c>
      <c r="AB785" s="7">
        <v>1</v>
      </c>
      <c r="AC785" s="7">
        <v>1</v>
      </c>
      <c r="AD785" s="7">
        <v>2</v>
      </c>
      <c r="AE785" s="7">
        <v>2</v>
      </c>
      <c r="AF785" s="7">
        <v>1</v>
      </c>
      <c r="AG785" s="7" t="s">
        <v>5044</v>
      </c>
      <c r="AH785" s="7" t="s">
        <v>5044</v>
      </c>
      <c r="AI785" s="7" t="s">
        <v>5044</v>
      </c>
      <c r="AJ785" s="7" t="s">
        <v>5044</v>
      </c>
      <c r="AK785" s="7" t="s">
        <v>5318</v>
      </c>
      <c r="AL785" s="7">
        <v>1</v>
      </c>
      <c r="AM785" s="7">
        <v>0</v>
      </c>
      <c r="AO785" s="11">
        <v>2</v>
      </c>
    </row>
    <row r="786" spans="1:41" ht="63" customHeight="1" x14ac:dyDescent="0.2">
      <c r="A786" s="7">
        <v>9752</v>
      </c>
      <c r="B786" s="7" t="s">
        <v>3574</v>
      </c>
      <c r="C786" s="7" t="s">
        <v>3575</v>
      </c>
      <c r="D786" s="7" t="s">
        <v>149</v>
      </c>
      <c r="F786" s="7" t="s">
        <v>48</v>
      </c>
      <c r="G786" s="7" t="s">
        <v>175</v>
      </c>
      <c r="H786" s="7" t="s">
        <v>319</v>
      </c>
      <c r="I786" s="7" t="s">
        <v>13</v>
      </c>
      <c r="J786" s="7" t="s">
        <v>3576</v>
      </c>
      <c r="K786" s="7" t="s">
        <v>3577</v>
      </c>
      <c r="L786" s="7" t="s">
        <v>6019</v>
      </c>
      <c r="M786" s="7">
        <v>0</v>
      </c>
      <c r="N786" s="7" t="s">
        <v>5044</v>
      </c>
      <c r="O786" s="7" t="s">
        <v>5044</v>
      </c>
      <c r="P786" s="7">
        <v>0</v>
      </c>
      <c r="Q786" s="7">
        <v>0</v>
      </c>
      <c r="R786" s="7">
        <v>0</v>
      </c>
      <c r="S786" s="7">
        <v>9</v>
      </c>
      <c r="T786" s="7">
        <v>1</v>
      </c>
      <c r="U786" s="7">
        <v>41</v>
      </c>
      <c r="V786" s="7">
        <v>0</v>
      </c>
      <c r="W786" s="7">
        <v>1</v>
      </c>
      <c r="X786" s="7">
        <v>0</v>
      </c>
      <c r="Y786" s="7">
        <v>0</v>
      </c>
      <c r="Z786" s="7">
        <v>0</v>
      </c>
      <c r="AA786" s="7">
        <v>0</v>
      </c>
      <c r="AB786" s="7">
        <v>0</v>
      </c>
      <c r="AC786" s="7">
        <v>1</v>
      </c>
      <c r="AD786" s="7" t="s">
        <v>5044</v>
      </c>
      <c r="AE786" s="7" t="s">
        <v>5044</v>
      </c>
      <c r="AF786" s="7" t="s">
        <v>5044</v>
      </c>
      <c r="AG786" s="7">
        <v>1</v>
      </c>
      <c r="AH786" s="7">
        <v>0</v>
      </c>
      <c r="AI786" s="7">
        <v>0</v>
      </c>
      <c r="AJ786" s="7" t="s">
        <v>5044</v>
      </c>
      <c r="AK786" s="7" t="s">
        <v>5318</v>
      </c>
      <c r="AL786" s="7">
        <v>0</v>
      </c>
      <c r="AM786" s="7">
        <v>0</v>
      </c>
      <c r="AN786" s="7" t="s">
        <v>5318</v>
      </c>
      <c r="AO786" s="9">
        <v>0</v>
      </c>
    </row>
    <row r="787" spans="1:41" ht="63" customHeight="1" x14ac:dyDescent="0.2">
      <c r="A787" s="7">
        <v>9753</v>
      </c>
      <c r="B787" s="7" t="s">
        <v>3578</v>
      </c>
      <c r="C787" s="7" t="s">
        <v>3579</v>
      </c>
      <c r="D787" s="7" t="s">
        <v>30</v>
      </c>
      <c r="F787" s="7" t="s">
        <v>791</v>
      </c>
      <c r="G787" s="7" t="s">
        <v>32</v>
      </c>
      <c r="H787" s="7" t="s">
        <v>89</v>
      </c>
      <c r="I787" s="7" t="s">
        <v>13</v>
      </c>
      <c r="J787" s="7" t="s">
        <v>3580</v>
      </c>
      <c r="K787" s="7" t="s">
        <v>3581</v>
      </c>
      <c r="L787" s="7" t="s">
        <v>6020</v>
      </c>
      <c r="M787" s="7">
        <v>0</v>
      </c>
      <c r="N787" s="7" t="s">
        <v>5044</v>
      </c>
      <c r="O787" s="7" t="s">
        <v>5044</v>
      </c>
      <c r="P787" s="7">
        <v>0</v>
      </c>
      <c r="Q787" s="7">
        <v>0</v>
      </c>
      <c r="R787" s="7">
        <v>0</v>
      </c>
      <c r="S787" s="7">
        <v>9</v>
      </c>
      <c r="T787" s="7">
        <v>1</v>
      </c>
      <c r="U787" s="7">
        <v>50</v>
      </c>
      <c r="V787" s="7">
        <v>0</v>
      </c>
      <c r="W787" s="7">
        <v>1</v>
      </c>
      <c r="X787" s="7">
        <v>0</v>
      </c>
      <c r="Y787" s="7">
        <v>0</v>
      </c>
      <c r="Z787" s="7">
        <v>0</v>
      </c>
      <c r="AA787" s="7">
        <v>0</v>
      </c>
      <c r="AB787" s="7">
        <v>0</v>
      </c>
      <c r="AC787" s="7">
        <v>1</v>
      </c>
      <c r="AD787" s="7" t="s">
        <v>5044</v>
      </c>
      <c r="AE787" s="7" t="s">
        <v>5044</v>
      </c>
      <c r="AF787" s="7" t="s">
        <v>5044</v>
      </c>
      <c r="AG787" s="7">
        <v>1</v>
      </c>
      <c r="AH787" s="7">
        <v>0</v>
      </c>
      <c r="AI787" s="7">
        <v>0</v>
      </c>
      <c r="AJ787" s="7" t="s">
        <v>5044</v>
      </c>
      <c r="AK787" s="7" t="s">
        <v>5318</v>
      </c>
      <c r="AL787" s="7">
        <v>1</v>
      </c>
      <c r="AM787" s="7">
        <v>0</v>
      </c>
      <c r="AN787" s="7" t="s">
        <v>5318</v>
      </c>
      <c r="AO787" s="9">
        <v>0</v>
      </c>
    </row>
    <row r="788" spans="1:41" ht="63" customHeight="1" x14ac:dyDescent="0.2">
      <c r="A788" s="7">
        <v>9760</v>
      </c>
      <c r="B788" s="7" t="s">
        <v>3582</v>
      </c>
      <c r="C788" s="7" t="s">
        <v>3583</v>
      </c>
      <c r="D788" s="7" t="s">
        <v>149</v>
      </c>
      <c r="F788" s="7" t="s">
        <v>416</v>
      </c>
      <c r="G788" s="7" t="s">
        <v>144</v>
      </c>
      <c r="H788" s="7" t="s">
        <v>3584</v>
      </c>
      <c r="I788" s="7" t="s">
        <v>13</v>
      </c>
      <c r="J788" s="7" t="s">
        <v>3585</v>
      </c>
      <c r="K788" s="7" t="s">
        <v>3586</v>
      </c>
      <c r="L788" s="11" t="s">
        <v>5044</v>
      </c>
      <c r="M788" s="7">
        <v>0</v>
      </c>
      <c r="N788" s="7" t="s">
        <v>5044</v>
      </c>
      <c r="O788" s="7" t="s">
        <v>5044</v>
      </c>
      <c r="P788" s="7">
        <v>0</v>
      </c>
      <c r="Q788" s="7">
        <v>0</v>
      </c>
      <c r="R788" s="7">
        <v>0</v>
      </c>
      <c r="S788" s="7">
        <v>1</v>
      </c>
      <c r="T788" s="7">
        <v>4</v>
      </c>
      <c r="U788" s="7">
        <v>125</v>
      </c>
      <c r="V788" s="7">
        <v>0</v>
      </c>
      <c r="W788" s="7">
        <v>1</v>
      </c>
      <c r="X788" s="7">
        <v>0</v>
      </c>
      <c r="Y788" s="7">
        <v>0</v>
      </c>
      <c r="Z788" s="7">
        <v>0</v>
      </c>
      <c r="AA788" s="7">
        <v>0</v>
      </c>
      <c r="AB788" s="7">
        <v>1</v>
      </c>
      <c r="AC788" s="7">
        <v>1</v>
      </c>
      <c r="AD788" s="7" t="s">
        <v>5044</v>
      </c>
      <c r="AE788" s="7" t="s">
        <v>5044</v>
      </c>
      <c r="AF788" s="7" t="s">
        <v>5044</v>
      </c>
      <c r="AG788" s="7">
        <v>1</v>
      </c>
      <c r="AH788" s="7">
        <v>0</v>
      </c>
      <c r="AI788" s="7">
        <v>0</v>
      </c>
      <c r="AJ788" s="7" t="s">
        <v>5044</v>
      </c>
      <c r="AK788" s="7" t="s">
        <v>5318</v>
      </c>
      <c r="AL788" s="7">
        <v>1</v>
      </c>
      <c r="AM788" s="7">
        <v>0</v>
      </c>
      <c r="AN788" s="7" t="s">
        <v>5318</v>
      </c>
      <c r="AO788" s="9">
        <v>0</v>
      </c>
    </row>
    <row r="789" spans="1:41" ht="63" customHeight="1" x14ac:dyDescent="0.2">
      <c r="A789" s="7">
        <v>9767</v>
      </c>
      <c r="B789" s="7" t="s">
        <v>3587</v>
      </c>
      <c r="C789" s="7" t="s">
        <v>3588</v>
      </c>
      <c r="D789" s="7" t="s">
        <v>25</v>
      </c>
      <c r="F789" s="7" t="s">
        <v>3111</v>
      </c>
      <c r="G789" s="7" t="s">
        <v>47</v>
      </c>
      <c r="H789" s="7" t="s">
        <v>3589</v>
      </c>
      <c r="I789" s="7" t="s">
        <v>13</v>
      </c>
      <c r="J789" s="7" t="s">
        <v>3590</v>
      </c>
      <c r="K789" s="7" t="s">
        <v>3591</v>
      </c>
      <c r="L789" s="11" t="s">
        <v>5044</v>
      </c>
      <c r="M789" s="7">
        <v>0</v>
      </c>
      <c r="N789" s="7" t="s">
        <v>5044</v>
      </c>
      <c r="O789" s="7" t="s">
        <v>5044</v>
      </c>
      <c r="P789" s="7">
        <v>0</v>
      </c>
      <c r="Q789" s="7">
        <v>0</v>
      </c>
      <c r="R789" s="7">
        <v>0</v>
      </c>
      <c r="S789" s="7">
        <v>1</v>
      </c>
      <c r="T789" s="7">
        <v>1</v>
      </c>
      <c r="U789" s="7">
        <v>97</v>
      </c>
      <c r="V789" s="7">
        <v>0</v>
      </c>
      <c r="W789" s="7">
        <v>1</v>
      </c>
      <c r="X789" s="7">
        <v>0</v>
      </c>
      <c r="Y789" s="7">
        <v>0</v>
      </c>
      <c r="Z789" s="7">
        <v>0</v>
      </c>
      <c r="AA789" s="7">
        <v>0</v>
      </c>
      <c r="AB789" s="7">
        <v>1</v>
      </c>
      <c r="AC789" s="7">
        <v>1</v>
      </c>
      <c r="AD789" s="7" t="s">
        <v>5044</v>
      </c>
      <c r="AE789" s="7" t="s">
        <v>5044</v>
      </c>
      <c r="AF789" s="7" t="s">
        <v>5044</v>
      </c>
      <c r="AG789" s="7">
        <v>1</v>
      </c>
      <c r="AH789" s="7">
        <v>0</v>
      </c>
      <c r="AI789" s="7">
        <v>0</v>
      </c>
      <c r="AJ789" s="7" t="s">
        <v>5044</v>
      </c>
      <c r="AK789" s="7" t="s">
        <v>5318</v>
      </c>
      <c r="AL789" s="7">
        <v>0</v>
      </c>
      <c r="AM789" s="7">
        <v>0</v>
      </c>
      <c r="AN789" s="7" t="s">
        <v>4675</v>
      </c>
      <c r="AO789" s="9">
        <v>0</v>
      </c>
    </row>
    <row r="790" spans="1:41" ht="63" customHeight="1" x14ac:dyDescent="0.2">
      <c r="A790" s="7">
        <v>9770</v>
      </c>
      <c r="B790" s="23" t="s">
        <v>3592</v>
      </c>
      <c r="C790" s="7" t="s">
        <v>3593</v>
      </c>
      <c r="D790" s="7" t="s">
        <v>16</v>
      </c>
      <c r="F790" s="7" t="s">
        <v>280</v>
      </c>
      <c r="G790" s="7" t="s">
        <v>52</v>
      </c>
      <c r="H790" s="7" t="s">
        <v>1043</v>
      </c>
      <c r="I790" s="7" t="s">
        <v>13</v>
      </c>
      <c r="J790" s="7" t="s">
        <v>3594</v>
      </c>
      <c r="K790" s="7" t="s">
        <v>3595</v>
      </c>
      <c r="L790" s="11" t="s">
        <v>5044</v>
      </c>
      <c r="M790" s="7">
        <v>0</v>
      </c>
      <c r="N790" s="7" t="s">
        <v>5044</v>
      </c>
      <c r="O790" s="7" t="s">
        <v>5044</v>
      </c>
      <c r="P790" s="7">
        <v>0</v>
      </c>
      <c r="Q790" s="7">
        <v>0</v>
      </c>
      <c r="R790" s="7">
        <v>0</v>
      </c>
      <c r="S790" s="7">
        <v>3</v>
      </c>
      <c r="T790" s="7">
        <v>6</v>
      </c>
      <c r="U790" s="7">
        <v>121</v>
      </c>
      <c r="V790" s="7">
        <v>1</v>
      </c>
      <c r="W790" s="7">
        <v>0</v>
      </c>
      <c r="X790" s="7">
        <v>0</v>
      </c>
      <c r="Y790" s="7">
        <v>0</v>
      </c>
      <c r="Z790" s="7">
        <v>0</v>
      </c>
      <c r="AA790" s="7">
        <v>0</v>
      </c>
      <c r="AB790" s="7">
        <v>1</v>
      </c>
      <c r="AC790" s="7">
        <v>1</v>
      </c>
      <c r="AD790" s="7">
        <v>1</v>
      </c>
      <c r="AE790" s="7">
        <v>0</v>
      </c>
      <c r="AF790" s="7">
        <v>0</v>
      </c>
      <c r="AG790" s="23" t="s">
        <v>5044</v>
      </c>
      <c r="AH790" s="23" t="s">
        <v>5044</v>
      </c>
      <c r="AI790" s="23" t="s">
        <v>5044</v>
      </c>
      <c r="AJ790" s="7" t="s">
        <v>5044</v>
      </c>
      <c r="AK790" s="7" t="s">
        <v>5318</v>
      </c>
      <c r="AL790" s="7">
        <v>0</v>
      </c>
      <c r="AM790" s="7">
        <v>0</v>
      </c>
      <c r="AN790" s="7" t="s">
        <v>5318</v>
      </c>
      <c r="AO790" s="9">
        <v>0</v>
      </c>
    </row>
    <row r="791" spans="1:41" ht="63" customHeight="1" x14ac:dyDescent="0.2">
      <c r="A791" s="7">
        <v>9794</v>
      </c>
      <c r="B791" s="7" t="s">
        <v>3596</v>
      </c>
      <c r="C791" s="7" t="s">
        <v>3597</v>
      </c>
      <c r="D791" s="7" t="s">
        <v>41</v>
      </c>
      <c r="F791" s="7" t="s">
        <v>163</v>
      </c>
      <c r="H791" s="7" t="s">
        <v>2166</v>
      </c>
      <c r="I791" s="7" t="s">
        <v>13</v>
      </c>
      <c r="J791" s="7" t="s">
        <v>3598</v>
      </c>
      <c r="K791" s="7" t="s">
        <v>3599</v>
      </c>
      <c r="L791" s="7" t="s">
        <v>6021</v>
      </c>
      <c r="M791" s="7">
        <v>0</v>
      </c>
      <c r="N791" s="7" t="s">
        <v>5044</v>
      </c>
      <c r="O791" s="7" t="s">
        <v>5044</v>
      </c>
      <c r="P791" s="7">
        <v>0</v>
      </c>
      <c r="Q791" s="7">
        <v>0</v>
      </c>
      <c r="R791" s="7">
        <v>0</v>
      </c>
      <c r="S791" s="7">
        <v>3</v>
      </c>
      <c r="T791" s="7">
        <v>1</v>
      </c>
      <c r="U791" s="7">
        <v>44</v>
      </c>
      <c r="V791" s="7">
        <v>0</v>
      </c>
      <c r="W791" s="7">
        <v>1</v>
      </c>
      <c r="X791" s="7">
        <v>0</v>
      </c>
      <c r="Y791" s="7">
        <v>0</v>
      </c>
      <c r="Z791" s="7">
        <v>0</v>
      </c>
      <c r="AA791" s="7">
        <v>0</v>
      </c>
      <c r="AB791" s="7">
        <v>1</v>
      </c>
      <c r="AC791" s="7">
        <v>1</v>
      </c>
      <c r="AD791" s="7" t="s">
        <v>5044</v>
      </c>
      <c r="AE791" s="7" t="s">
        <v>5044</v>
      </c>
      <c r="AF791" s="7" t="s">
        <v>5044</v>
      </c>
      <c r="AG791" s="7">
        <v>1</v>
      </c>
      <c r="AH791" s="7">
        <v>0</v>
      </c>
      <c r="AI791" s="7">
        <v>0</v>
      </c>
      <c r="AJ791" s="7" t="s">
        <v>5044</v>
      </c>
      <c r="AK791" s="7" t="s">
        <v>5318</v>
      </c>
      <c r="AL791" s="7">
        <v>0</v>
      </c>
      <c r="AM791" s="7">
        <v>0</v>
      </c>
      <c r="AN791" s="7" t="s">
        <v>5318</v>
      </c>
      <c r="AO791" s="9">
        <v>0</v>
      </c>
    </row>
    <row r="792" spans="1:41" ht="63" customHeight="1" x14ac:dyDescent="0.2">
      <c r="A792" s="7">
        <v>9802</v>
      </c>
      <c r="B792" s="7" t="s">
        <v>3600</v>
      </c>
      <c r="C792" s="7" t="s">
        <v>3601</v>
      </c>
      <c r="D792" s="7" t="s">
        <v>56</v>
      </c>
      <c r="F792" s="7" t="s">
        <v>118</v>
      </c>
      <c r="G792" s="7" t="s">
        <v>11</v>
      </c>
      <c r="H792" s="7" t="s">
        <v>650</v>
      </c>
      <c r="I792" s="7" t="s">
        <v>13</v>
      </c>
      <c r="J792" s="7" t="s">
        <v>3602</v>
      </c>
      <c r="K792" s="7" t="s">
        <v>3603</v>
      </c>
      <c r="L792" s="7" t="s">
        <v>6022</v>
      </c>
      <c r="M792" s="7">
        <v>0</v>
      </c>
      <c r="N792" s="7" t="s">
        <v>5044</v>
      </c>
      <c r="O792" s="7" t="s">
        <v>5044</v>
      </c>
      <c r="P792" s="7">
        <v>0</v>
      </c>
      <c r="Q792" s="7">
        <v>0</v>
      </c>
      <c r="R792" s="7">
        <v>0</v>
      </c>
      <c r="S792" s="7">
        <v>5</v>
      </c>
      <c r="T792" s="7">
        <v>1</v>
      </c>
      <c r="U792" s="7">
        <v>90</v>
      </c>
      <c r="V792" s="7">
        <v>0</v>
      </c>
      <c r="W792" s="7">
        <v>1</v>
      </c>
      <c r="X792" s="7">
        <v>0</v>
      </c>
      <c r="Y792" s="7">
        <v>0</v>
      </c>
      <c r="Z792" s="7">
        <v>0</v>
      </c>
      <c r="AA792" s="7">
        <v>0</v>
      </c>
      <c r="AB792" s="7">
        <v>1</v>
      </c>
      <c r="AC792" s="7">
        <v>1</v>
      </c>
      <c r="AD792" s="7" t="s">
        <v>5044</v>
      </c>
      <c r="AE792" s="7" t="s">
        <v>5044</v>
      </c>
      <c r="AF792" s="7" t="s">
        <v>5044</v>
      </c>
      <c r="AG792" s="7">
        <v>2</v>
      </c>
      <c r="AH792" s="7">
        <v>3</v>
      </c>
      <c r="AI792" s="7">
        <v>0</v>
      </c>
      <c r="AJ792" s="7" t="s">
        <v>5044</v>
      </c>
      <c r="AK792" s="7" t="s">
        <v>5318</v>
      </c>
      <c r="AL792" s="7">
        <v>0</v>
      </c>
      <c r="AM792" s="7">
        <v>0</v>
      </c>
      <c r="AN792" s="7" t="s">
        <v>5318</v>
      </c>
      <c r="AO792" s="11">
        <v>3</v>
      </c>
    </row>
    <row r="793" spans="1:41" ht="63" customHeight="1" x14ac:dyDescent="0.2">
      <c r="A793" s="7">
        <v>9818</v>
      </c>
      <c r="B793" s="7" t="s">
        <v>3604</v>
      </c>
      <c r="C793" s="7" t="s">
        <v>3605</v>
      </c>
      <c r="D793" s="7" t="s">
        <v>74</v>
      </c>
      <c r="F793" s="7" t="s">
        <v>197</v>
      </c>
      <c r="G793" s="7" t="s">
        <v>11</v>
      </c>
      <c r="H793" s="7" t="s">
        <v>2782</v>
      </c>
      <c r="I793" s="7" t="s">
        <v>13</v>
      </c>
      <c r="J793" s="7" t="s">
        <v>3606</v>
      </c>
      <c r="K793" s="7" t="s">
        <v>3607</v>
      </c>
      <c r="L793" s="7" t="s">
        <v>6023</v>
      </c>
      <c r="M793" s="7">
        <v>0</v>
      </c>
      <c r="N793" s="9" t="s">
        <v>5044</v>
      </c>
      <c r="O793" s="9" t="s">
        <v>5044</v>
      </c>
      <c r="P793" s="7">
        <v>0</v>
      </c>
      <c r="Q793" s="7">
        <v>0</v>
      </c>
      <c r="R793" s="7">
        <v>0</v>
      </c>
      <c r="S793" s="7">
        <v>1</v>
      </c>
      <c r="T793" s="7">
        <v>3</v>
      </c>
      <c r="U793" s="7">
        <v>33</v>
      </c>
      <c r="V793" s="7">
        <v>0</v>
      </c>
      <c r="W793" s="7">
        <v>1</v>
      </c>
      <c r="X793" s="7">
        <v>0</v>
      </c>
      <c r="Y793" s="7">
        <v>0</v>
      </c>
      <c r="Z793" s="7">
        <v>0</v>
      </c>
      <c r="AA793" s="7">
        <v>0</v>
      </c>
      <c r="AB793" s="7">
        <v>1</v>
      </c>
      <c r="AC793" s="7">
        <v>0</v>
      </c>
      <c r="AD793" s="7" t="s">
        <v>5044</v>
      </c>
      <c r="AE793" s="7" t="s">
        <v>5044</v>
      </c>
      <c r="AF793" s="7" t="s">
        <v>5044</v>
      </c>
      <c r="AG793" s="7">
        <v>0</v>
      </c>
      <c r="AH793" s="7" t="s">
        <v>5044</v>
      </c>
      <c r="AI793" s="7" t="s">
        <v>5044</v>
      </c>
      <c r="AJ793" s="7" t="s">
        <v>5044</v>
      </c>
      <c r="AK793" s="7" t="s">
        <v>5318</v>
      </c>
      <c r="AL793" s="7">
        <v>1</v>
      </c>
      <c r="AM793" s="7">
        <v>0</v>
      </c>
      <c r="AO793" s="11">
        <v>9</v>
      </c>
    </row>
    <row r="794" spans="1:41" ht="63" customHeight="1" x14ac:dyDescent="0.2">
      <c r="A794" s="7">
        <v>9834</v>
      </c>
      <c r="B794" s="7" t="s">
        <v>3612</v>
      </c>
      <c r="C794" s="7" t="s">
        <v>3613</v>
      </c>
      <c r="D794" s="7" t="s">
        <v>16</v>
      </c>
      <c r="F794" s="7" t="s">
        <v>3614</v>
      </c>
      <c r="G794" s="7" t="s">
        <v>92</v>
      </c>
      <c r="H794" s="7" t="s">
        <v>1553</v>
      </c>
      <c r="I794" s="7" t="s">
        <v>13</v>
      </c>
      <c r="J794" s="7" t="s">
        <v>3615</v>
      </c>
      <c r="K794" s="7" t="s">
        <v>3616</v>
      </c>
      <c r="L794" s="11" t="s">
        <v>5044</v>
      </c>
      <c r="M794" s="7">
        <v>0</v>
      </c>
      <c r="N794" s="7" t="s">
        <v>5044</v>
      </c>
      <c r="O794" s="7" t="s">
        <v>5044</v>
      </c>
      <c r="P794" s="7">
        <v>0</v>
      </c>
      <c r="Q794" s="7">
        <v>0</v>
      </c>
      <c r="R794" s="7">
        <v>0</v>
      </c>
      <c r="S794" s="7">
        <v>3</v>
      </c>
      <c r="T794" s="7">
        <v>6</v>
      </c>
      <c r="U794" s="7">
        <v>75</v>
      </c>
      <c r="V794" s="7">
        <v>0</v>
      </c>
      <c r="W794" s="7">
        <v>1</v>
      </c>
      <c r="X794" s="7">
        <v>0</v>
      </c>
      <c r="Y794" s="7">
        <v>0</v>
      </c>
      <c r="Z794" s="7">
        <v>0</v>
      </c>
      <c r="AA794" s="7">
        <v>0</v>
      </c>
      <c r="AB794" s="7">
        <v>1</v>
      </c>
      <c r="AC794" s="7">
        <v>1</v>
      </c>
      <c r="AD794" s="7" t="s">
        <v>5044</v>
      </c>
      <c r="AE794" s="7" t="s">
        <v>5044</v>
      </c>
      <c r="AF794" s="7" t="s">
        <v>5044</v>
      </c>
      <c r="AG794" s="7">
        <v>1</v>
      </c>
      <c r="AH794" s="7">
        <v>0</v>
      </c>
      <c r="AI794" s="7">
        <v>0</v>
      </c>
      <c r="AJ794" s="7" t="s">
        <v>5044</v>
      </c>
      <c r="AK794" s="7" t="s">
        <v>5318</v>
      </c>
      <c r="AL794" s="7">
        <v>1</v>
      </c>
      <c r="AM794" s="7">
        <v>0</v>
      </c>
      <c r="AN794" s="7" t="s">
        <v>5318</v>
      </c>
      <c r="AO794" s="9">
        <v>0</v>
      </c>
    </row>
    <row r="795" spans="1:41" ht="63" customHeight="1" x14ac:dyDescent="0.2">
      <c r="A795" s="7">
        <v>9839</v>
      </c>
      <c r="B795" s="23" t="s">
        <v>3617</v>
      </c>
      <c r="C795" s="7" t="s">
        <v>3618</v>
      </c>
      <c r="D795" s="7" t="s">
        <v>25</v>
      </c>
      <c r="F795" s="7" t="s">
        <v>107</v>
      </c>
      <c r="G795" s="7" t="s">
        <v>144</v>
      </c>
      <c r="H795" s="7" t="s">
        <v>650</v>
      </c>
      <c r="I795" s="7" t="s">
        <v>13</v>
      </c>
      <c r="J795" s="7" t="s">
        <v>3619</v>
      </c>
      <c r="K795" s="7" t="s">
        <v>3620</v>
      </c>
      <c r="L795" s="7" t="s">
        <v>6025</v>
      </c>
      <c r="M795" s="7">
        <v>0</v>
      </c>
      <c r="N795" s="7" t="s">
        <v>5044</v>
      </c>
      <c r="O795" s="7" t="s">
        <v>5044</v>
      </c>
      <c r="P795" s="7">
        <v>0</v>
      </c>
      <c r="Q795" s="7">
        <v>0</v>
      </c>
      <c r="R795" s="7">
        <v>0</v>
      </c>
      <c r="S795" s="7">
        <v>5</v>
      </c>
      <c r="T795" s="7">
        <v>1</v>
      </c>
      <c r="U795" s="7">
        <v>50</v>
      </c>
      <c r="V795" s="7">
        <v>0</v>
      </c>
      <c r="W795" s="7">
        <v>1</v>
      </c>
      <c r="X795" s="7">
        <v>0</v>
      </c>
      <c r="Y795" s="7">
        <v>0</v>
      </c>
      <c r="Z795" s="7">
        <v>0</v>
      </c>
      <c r="AA795" s="7">
        <v>0</v>
      </c>
      <c r="AB795" s="7">
        <v>1</v>
      </c>
      <c r="AC795" s="7">
        <v>1</v>
      </c>
      <c r="AD795" s="7" t="s">
        <v>5044</v>
      </c>
      <c r="AE795" s="7" t="s">
        <v>5044</v>
      </c>
      <c r="AF795" s="7" t="s">
        <v>5044</v>
      </c>
      <c r="AG795" s="7">
        <v>2</v>
      </c>
      <c r="AH795" s="7">
        <v>3</v>
      </c>
      <c r="AI795" s="7">
        <v>0</v>
      </c>
      <c r="AJ795" s="7" t="s">
        <v>5044</v>
      </c>
      <c r="AK795" s="7" t="s">
        <v>5318</v>
      </c>
      <c r="AL795" s="7">
        <v>1</v>
      </c>
      <c r="AM795" s="7">
        <v>0</v>
      </c>
      <c r="AN795" s="7" t="s">
        <v>5318</v>
      </c>
      <c r="AO795" s="11">
        <v>3</v>
      </c>
    </row>
    <row r="796" spans="1:41" ht="63" customHeight="1" x14ac:dyDescent="0.2">
      <c r="A796" s="7">
        <v>9893</v>
      </c>
      <c r="B796" s="7" t="s">
        <v>3625</v>
      </c>
      <c r="C796" s="7" t="s">
        <v>3626</v>
      </c>
      <c r="D796" s="7" t="s">
        <v>101</v>
      </c>
      <c r="H796" s="7" t="s">
        <v>102</v>
      </c>
      <c r="I796" s="7" t="s">
        <v>13</v>
      </c>
      <c r="J796" s="7" t="s">
        <v>3627</v>
      </c>
      <c r="K796" s="7" t="s">
        <v>3628</v>
      </c>
      <c r="L796" s="11" t="s">
        <v>5044</v>
      </c>
      <c r="M796" s="7">
        <v>0</v>
      </c>
      <c r="N796" s="7" t="s">
        <v>5044</v>
      </c>
      <c r="O796" s="7" t="s">
        <v>5044</v>
      </c>
      <c r="P796" s="7">
        <v>0</v>
      </c>
      <c r="Q796" s="7">
        <v>0</v>
      </c>
      <c r="R796" s="7">
        <v>0</v>
      </c>
      <c r="S796" s="7">
        <v>3</v>
      </c>
      <c r="T796" s="7">
        <v>1</v>
      </c>
      <c r="U796" s="7">
        <v>114</v>
      </c>
      <c r="V796" s="7">
        <v>0</v>
      </c>
      <c r="W796" s="7">
        <v>1</v>
      </c>
      <c r="X796" s="7">
        <v>0</v>
      </c>
      <c r="Y796" s="7">
        <v>0</v>
      </c>
      <c r="Z796" s="7">
        <v>0</v>
      </c>
      <c r="AA796" s="7">
        <v>0</v>
      </c>
      <c r="AB796" s="7">
        <v>1</v>
      </c>
      <c r="AC796" s="7">
        <v>1</v>
      </c>
      <c r="AD796" s="7" t="s">
        <v>5044</v>
      </c>
      <c r="AE796" s="7" t="s">
        <v>5044</v>
      </c>
      <c r="AF796" s="7" t="s">
        <v>5044</v>
      </c>
      <c r="AG796" s="7">
        <v>2</v>
      </c>
      <c r="AH796" s="7">
        <v>3</v>
      </c>
      <c r="AI796" s="7">
        <v>0</v>
      </c>
      <c r="AJ796" s="7" t="s">
        <v>5044</v>
      </c>
      <c r="AK796" s="7" t="s">
        <v>5318</v>
      </c>
      <c r="AL796" s="7">
        <v>1</v>
      </c>
      <c r="AM796" s="7">
        <v>0</v>
      </c>
      <c r="AO796" s="11">
        <v>3</v>
      </c>
    </row>
    <row r="797" spans="1:41" ht="63" customHeight="1" x14ac:dyDescent="0.2">
      <c r="A797" s="7">
        <v>9900</v>
      </c>
      <c r="B797" s="7" t="s">
        <v>3629</v>
      </c>
      <c r="C797" s="7" t="s">
        <v>3630</v>
      </c>
      <c r="D797" s="7" t="s">
        <v>101</v>
      </c>
      <c r="F797" s="7" t="s">
        <v>11</v>
      </c>
      <c r="G797" s="7" t="s">
        <v>27</v>
      </c>
      <c r="H797" s="7" t="s">
        <v>362</v>
      </c>
      <c r="I797" s="7" t="s">
        <v>13</v>
      </c>
      <c r="J797" s="7" t="s">
        <v>3631</v>
      </c>
      <c r="K797" s="7" t="s">
        <v>3632</v>
      </c>
      <c r="L797" s="7" t="s">
        <v>6027</v>
      </c>
      <c r="M797" s="7">
        <v>0</v>
      </c>
      <c r="N797" s="7" t="s">
        <v>5044</v>
      </c>
      <c r="O797" s="7" t="s">
        <v>5044</v>
      </c>
      <c r="P797" s="7">
        <v>0</v>
      </c>
      <c r="Q797" s="7">
        <v>0</v>
      </c>
      <c r="R797" s="7">
        <v>0</v>
      </c>
      <c r="S797" s="7">
        <v>1</v>
      </c>
      <c r="T797" s="7">
        <v>1</v>
      </c>
      <c r="U797" s="7">
        <v>565</v>
      </c>
      <c r="V797" s="7">
        <v>0</v>
      </c>
      <c r="W797" s="7">
        <v>1</v>
      </c>
      <c r="X797" s="7">
        <v>0</v>
      </c>
      <c r="Y797" s="7">
        <v>0</v>
      </c>
      <c r="Z797" s="7">
        <v>0</v>
      </c>
      <c r="AA797" s="7">
        <v>0</v>
      </c>
      <c r="AB797" s="7">
        <v>1</v>
      </c>
      <c r="AC797" s="7">
        <v>1</v>
      </c>
      <c r="AD797" s="7" t="s">
        <v>5044</v>
      </c>
      <c r="AE797" s="7" t="s">
        <v>5044</v>
      </c>
      <c r="AF797" s="7" t="s">
        <v>5044</v>
      </c>
      <c r="AG797" s="7">
        <v>1</v>
      </c>
      <c r="AH797" s="7">
        <v>0</v>
      </c>
      <c r="AI797" s="7">
        <v>0</v>
      </c>
      <c r="AJ797" s="7" t="s">
        <v>5044</v>
      </c>
      <c r="AK797" s="7" t="s">
        <v>5318</v>
      </c>
      <c r="AL797" s="7">
        <v>1</v>
      </c>
      <c r="AM797" s="7">
        <v>0</v>
      </c>
      <c r="AN797" s="7" t="s">
        <v>5318</v>
      </c>
      <c r="AO797" s="9">
        <v>0</v>
      </c>
    </row>
    <row r="798" spans="1:41" ht="63" customHeight="1" x14ac:dyDescent="0.2">
      <c r="A798" s="7">
        <v>9905</v>
      </c>
      <c r="B798" s="7" t="s">
        <v>3633</v>
      </c>
      <c r="C798" s="7" t="s">
        <v>3634</v>
      </c>
      <c r="D798" s="7" t="s">
        <v>149</v>
      </c>
      <c r="F798" s="7" t="s">
        <v>80</v>
      </c>
      <c r="G798" s="7" t="s">
        <v>47</v>
      </c>
      <c r="H798" s="7" t="s">
        <v>38</v>
      </c>
      <c r="I798" s="7" t="s">
        <v>13</v>
      </c>
      <c r="J798" s="7" t="s">
        <v>3635</v>
      </c>
      <c r="K798" s="7" t="s">
        <v>3636</v>
      </c>
      <c r="L798" s="7" t="s">
        <v>6028</v>
      </c>
      <c r="M798" s="7">
        <v>0</v>
      </c>
      <c r="N798" s="7" t="s">
        <v>5044</v>
      </c>
      <c r="O798" s="7" t="s">
        <v>5044</v>
      </c>
      <c r="P798" s="7">
        <v>0</v>
      </c>
      <c r="Q798" s="7">
        <v>0</v>
      </c>
      <c r="R798" s="7">
        <v>0</v>
      </c>
      <c r="S798" s="7">
        <v>1</v>
      </c>
      <c r="T798" s="7">
        <v>1</v>
      </c>
      <c r="U798" s="7">
        <v>65</v>
      </c>
      <c r="V798" s="7">
        <v>0</v>
      </c>
      <c r="W798" s="7">
        <v>1</v>
      </c>
      <c r="X798" s="7">
        <v>0</v>
      </c>
      <c r="Y798" s="7">
        <v>0</v>
      </c>
      <c r="Z798" s="7">
        <v>0</v>
      </c>
      <c r="AA798" s="7">
        <v>0</v>
      </c>
      <c r="AB798" s="7">
        <v>1</v>
      </c>
      <c r="AC798" s="7">
        <v>1</v>
      </c>
      <c r="AD798" s="7" t="s">
        <v>5044</v>
      </c>
      <c r="AE798" s="7" t="s">
        <v>5044</v>
      </c>
      <c r="AF798" s="7" t="s">
        <v>5044</v>
      </c>
      <c r="AG798" s="7">
        <v>2</v>
      </c>
      <c r="AH798" s="7">
        <v>3</v>
      </c>
      <c r="AI798" s="7">
        <v>0</v>
      </c>
      <c r="AJ798" s="7" t="s">
        <v>5044</v>
      </c>
      <c r="AK798" s="7" t="s">
        <v>5318</v>
      </c>
      <c r="AL798" s="7">
        <v>0</v>
      </c>
      <c r="AM798" s="7">
        <v>0</v>
      </c>
      <c r="AN798" s="7" t="s">
        <v>5318</v>
      </c>
      <c r="AO798" s="11">
        <v>3</v>
      </c>
    </row>
    <row r="799" spans="1:41" ht="63" customHeight="1" x14ac:dyDescent="0.2">
      <c r="A799" s="7">
        <v>9962</v>
      </c>
      <c r="B799" s="7" t="s">
        <v>3641</v>
      </c>
      <c r="C799" s="7" t="s">
        <v>3642</v>
      </c>
      <c r="D799" s="7" t="s">
        <v>16</v>
      </c>
      <c r="F799" s="7" t="s">
        <v>136</v>
      </c>
      <c r="G799" s="7" t="s">
        <v>52</v>
      </c>
      <c r="H799" s="7" t="s">
        <v>300</v>
      </c>
      <c r="I799" s="7" t="s">
        <v>13</v>
      </c>
      <c r="J799" s="7" t="s">
        <v>3643</v>
      </c>
      <c r="K799" s="7" t="s">
        <v>3644</v>
      </c>
      <c r="L799" s="7" t="s">
        <v>6030</v>
      </c>
      <c r="M799" s="7">
        <v>0</v>
      </c>
      <c r="N799" s="7" t="s">
        <v>5044</v>
      </c>
      <c r="O799" s="7" t="s">
        <v>5044</v>
      </c>
      <c r="P799" s="7">
        <v>0</v>
      </c>
      <c r="Q799" s="7">
        <v>0</v>
      </c>
      <c r="R799" s="7">
        <v>0</v>
      </c>
      <c r="S799" s="7">
        <v>1</v>
      </c>
      <c r="T799" s="7">
        <v>1</v>
      </c>
      <c r="U799" s="7">
        <v>97</v>
      </c>
      <c r="V799" s="7">
        <v>0</v>
      </c>
      <c r="W799" s="7">
        <v>1</v>
      </c>
      <c r="X799" s="7">
        <v>0</v>
      </c>
      <c r="Y799" s="7">
        <v>0</v>
      </c>
      <c r="Z799" s="7">
        <v>1</v>
      </c>
      <c r="AA799" s="7">
        <v>0</v>
      </c>
      <c r="AB799" s="7">
        <v>1</v>
      </c>
      <c r="AC799" s="7">
        <v>1</v>
      </c>
      <c r="AD799" s="7" t="s">
        <v>5044</v>
      </c>
      <c r="AE799" s="7" t="s">
        <v>5044</v>
      </c>
      <c r="AF799" s="7" t="s">
        <v>5044</v>
      </c>
      <c r="AG799" s="7">
        <v>1</v>
      </c>
      <c r="AH799" s="7">
        <v>0</v>
      </c>
      <c r="AI799" s="7">
        <v>0</v>
      </c>
      <c r="AJ799" s="7">
        <v>0</v>
      </c>
      <c r="AK799" s="7" t="s">
        <v>5318</v>
      </c>
      <c r="AL799" s="7">
        <v>1</v>
      </c>
      <c r="AM799" s="7">
        <v>0</v>
      </c>
      <c r="AN799" s="7" t="s">
        <v>5318</v>
      </c>
      <c r="AO799" s="9">
        <v>0</v>
      </c>
    </row>
    <row r="800" spans="1:41" ht="63" customHeight="1" x14ac:dyDescent="0.2">
      <c r="A800" s="7">
        <v>9963</v>
      </c>
      <c r="B800" s="7" t="s">
        <v>3645</v>
      </c>
      <c r="C800" s="7" t="s">
        <v>3646</v>
      </c>
      <c r="D800" s="7" t="s">
        <v>74</v>
      </c>
      <c r="F800" s="7" t="s">
        <v>51</v>
      </c>
      <c r="G800" s="7" t="s">
        <v>37</v>
      </c>
      <c r="H800" s="7" t="s">
        <v>3647</v>
      </c>
      <c r="I800" s="7" t="s">
        <v>13</v>
      </c>
      <c r="J800" s="7" t="s">
        <v>3648</v>
      </c>
      <c r="K800" s="7" t="s">
        <v>3649</v>
      </c>
      <c r="L800" s="11" t="s">
        <v>5044</v>
      </c>
      <c r="M800" s="7">
        <v>0</v>
      </c>
      <c r="N800" s="7" t="s">
        <v>5044</v>
      </c>
      <c r="O800" s="7" t="s">
        <v>5044</v>
      </c>
      <c r="P800" s="7">
        <v>0</v>
      </c>
      <c r="Q800" s="7">
        <v>0</v>
      </c>
      <c r="R800" s="7">
        <v>0</v>
      </c>
      <c r="S800" s="7">
        <v>1</v>
      </c>
      <c r="T800" s="7">
        <v>1</v>
      </c>
      <c r="U800" s="7">
        <v>124</v>
      </c>
      <c r="V800" s="7">
        <v>0</v>
      </c>
      <c r="W800" s="7">
        <v>1</v>
      </c>
      <c r="X800" s="7">
        <v>0</v>
      </c>
      <c r="Y800" s="7">
        <v>0</v>
      </c>
      <c r="Z800" s="7">
        <v>1</v>
      </c>
      <c r="AA800" s="7">
        <v>0</v>
      </c>
      <c r="AB800" s="7">
        <v>1</v>
      </c>
      <c r="AC800" s="7">
        <v>1</v>
      </c>
      <c r="AD800" s="7" t="s">
        <v>5044</v>
      </c>
      <c r="AE800" s="7" t="s">
        <v>5044</v>
      </c>
      <c r="AF800" s="7" t="s">
        <v>5044</v>
      </c>
      <c r="AG800" s="7">
        <v>1</v>
      </c>
      <c r="AH800" s="7">
        <v>0</v>
      </c>
      <c r="AI800" s="7">
        <v>0</v>
      </c>
      <c r="AJ800" s="7">
        <v>0</v>
      </c>
      <c r="AK800" s="7" t="s">
        <v>5318</v>
      </c>
      <c r="AL800" s="7">
        <v>0</v>
      </c>
      <c r="AM800" s="7">
        <v>0</v>
      </c>
      <c r="AO800" s="9">
        <v>0</v>
      </c>
    </row>
    <row r="801" spans="1:41" ht="63" customHeight="1" x14ac:dyDescent="0.2">
      <c r="A801" s="7">
        <v>9966</v>
      </c>
      <c r="B801" s="7" t="s">
        <v>3650</v>
      </c>
      <c r="C801" s="7" t="s">
        <v>3651</v>
      </c>
      <c r="D801" s="7" t="s">
        <v>46</v>
      </c>
      <c r="F801" s="7" t="s">
        <v>31</v>
      </c>
      <c r="G801" s="7" t="s">
        <v>144</v>
      </c>
      <c r="H801" s="7" t="s">
        <v>2011</v>
      </c>
      <c r="I801" s="7" t="s">
        <v>13</v>
      </c>
      <c r="J801" s="7" t="s">
        <v>3652</v>
      </c>
      <c r="K801" s="7" t="s">
        <v>3653</v>
      </c>
      <c r="L801" s="7" t="s">
        <v>6031</v>
      </c>
      <c r="M801" s="7">
        <v>0</v>
      </c>
      <c r="N801" s="7" t="s">
        <v>5044</v>
      </c>
      <c r="O801" s="7" t="s">
        <v>5044</v>
      </c>
      <c r="P801" s="7">
        <v>0</v>
      </c>
      <c r="Q801" s="7">
        <v>0</v>
      </c>
      <c r="R801" s="7">
        <v>0</v>
      </c>
      <c r="S801" s="7">
        <v>3</v>
      </c>
      <c r="T801" s="7">
        <v>6</v>
      </c>
      <c r="U801" s="7">
        <v>260</v>
      </c>
      <c r="V801" s="7">
        <v>0</v>
      </c>
      <c r="W801" s="7">
        <v>1</v>
      </c>
      <c r="X801" s="7">
        <v>0</v>
      </c>
      <c r="Y801" s="7">
        <v>0</v>
      </c>
      <c r="Z801" s="7">
        <v>0</v>
      </c>
      <c r="AA801" s="7">
        <v>0</v>
      </c>
      <c r="AB801" s="7">
        <v>1</v>
      </c>
      <c r="AC801" s="7">
        <v>1</v>
      </c>
      <c r="AD801" s="7" t="s">
        <v>5044</v>
      </c>
      <c r="AE801" s="7" t="s">
        <v>5044</v>
      </c>
      <c r="AF801" s="7" t="s">
        <v>5044</v>
      </c>
      <c r="AG801" s="7">
        <v>1</v>
      </c>
      <c r="AH801" s="7">
        <v>0</v>
      </c>
      <c r="AI801" s="7">
        <v>0</v>
      </c>
      <c r="AJ801" s="7" t="s">
        <v>5044</v>
      </c>
      <c r="AK801" s="7" t="s">
        <v>5318</v>
      </c>
      <c r="AL801" s="7">
        <v>0</v>
      </c>
      <c r="AM801" s="7">
        <v>0</v>
      </c>
      <c r="AN801" s="7" t="s">
        <v>5318</v>
      </c>
      <c r="AO801" s="9">
        <v>0</v>
      </c>
    </row>
    <row r="802" spans="1:41" ht="63" customHeight="1" x14ac:dyDescent="0.2">
      <c r="A802" s="7">
        <v>9984</v>
      </c>
      <c r="B802" s="7" t="s">
        <v>3654</v>
      </c>
      <c r="C802" s="7" t="s">
        <v>3655</v>
      </c>
      <c r="D802" s="7" t="s">
        <v>74</v>
      </c>
      <c r="F802" s="7" t="s">
        <v>129</v>
      </c>
      <c r="G802" s="7" t="s">
        <v>52</v>
      </c>
      <c r="H802" s="7" t="s">
        <v>183</v>
      </c>
      <c r="I802" s="7" t="s">
        <v>13</v>
      </c>
      <c r="J802" s="7" t="s">
        <v>3656</v>
      </c>
      <c r="K802" s="7" t="s">
        <v>3657</v>
      </c>
      <c r="L802" s="7" t="s">
        <v>6033</v>
      </c>
      <c r="M802" s="7">
        <v>0</v>
      </c>
      <c r="N802" s="7" t="s">
        <v>5044</v>
      </c>
      <c r="O802" s="7" t="s">
        <v>5044</v>
      </c>
      <c r="P802" s="7">
        <v>0</v>
      </c>
      <c r="Q802" s="7">
        <v>0</v>
      </c>
      <c r="R802" s="7">
        <v>0</v>
      </c>
      <c r="S802" s="7">
        <v>1</v>
      </c>
      <c r="T802" s="7">
        <v>1</v>
      </c>
      <c r="U802" s="7">
        <v>2141</v>
      </c>
      <c r="V802" s="7">
        <v>1</v>
      </c>
      <c r="W802" s="7">
        <v>1</v>
      </c>
      <c r="X802" s="7">
        <v>0</v>
      </c>
      <c r="Y802" s="7">
        <v>1</v>
      </c>
      <c r="Z802" s="7">
        <v>1</v>
      </c>
      <c r="AA802" s="7">
        <v>0</v>
      </c>
      <c r="AB802" s="7">
        <v>1</v>
      </c>
      <c r="AC802" s="7">
        <v>1</v>
      </c>
      <c r="AD802" s="7">
        <v>0</v>
      </c>
      <c r="AE802" s="7" t="s">
        <v>5044</v>
      </c>
      <c r="AF802" s="7" t="s">
        <v>5044</v>
      </c>
      <c r="AG802" s="7">
        <v>1</v>
      </c>
      <c r="AH802" s="7">
        <v>0</v>
      </c>
      <c r="AI802" s="7">
        <v>0</v>
      </c>
      <c r="AJ802" s="7">
        <v>0</v>
      </c>
      <c r="AK802" s="7" t="s">
        <v>5318</v>
      </c>
      <c r="AL802" s="7">
        <v>0</v>
      </c>
      <c r="AM802" s="7">
        <v>0</v>
      </c>
      <c r="AN802" s="7" t="s">
        <v>5318</v>
      </c>
      <c r="AO802" s="9">
        <v>0</v>
      </c>
    </row>
    <row r="803" spans="1:41" ht="63" customHeight="1" x14ac:dyDescent="0.2">
      <c r="A803" s="7">
        <v>9986</v>
      </c>
      <c r="B803" s="7" t="s">
        <v>3658</v>
      </c>
      <c r="C803" s="7" t="s">
        <v>3659</v>
      </c>
      <c r="D803" s="7" t="s">
        <v>46</v>
      </c>
      <c r="F803" s="7" t="s">
        <v>1015</v>
      </c>
      <c r="H803" s="7" t="s">
        <v>490</v>
      </c>
      <c r="I803" s="7" t="s">
        <v>13</v>
      </c>
      <c r="J803" s="7" t="s">
        <v>3660</v>
      </c>
      <c r="K803" s="7" t="s">
        <v>3661</v>
      </c>
      <c r="L803" s="11" t="s">
        <v>5044</v>
      </c>
      <c r="M803" s="7">
        <v>0</v>
      </c>
      <c r="N803" s="7" t="s">
        <v>5044</v>
      </c>
      <c r="O803" s="7" t="s">
        <v>5044</v>
      </c>
      <c r="P803" s="7">
        <v>0</v>
      </c>
      <c r="Q803" s="7">
        <v>0</v>
      </c>
      <c r="R803" s="7">
        <v>0</v>
      </c>
      <c r="S803" s="7">
        <v>3</v>
      </c>
      <c r="T803" s="7">
        <v>6</v>
      </c>
      <c r="U803" s="7">
        <v>60</v>
      </c>
      <c r="V803" s="7">
        <v>0</v>
      </c>
      <c r="W803" s="7">
        <v>1</v>
      </c>
      <c r="X803" s="7">
        <v>0</v>
      </c>
      <c r="Y803" s="7">
        <v>0</v>
      </c>
      <c r="Z803" s="7">
        <v>0</v>
      </c>
      <c r="AA803" s="7">
        <v>0</v>
      </c>
      <c r="AB803" s="7">
        <v>0</v>
      </c>
      <c r="AC803" s="7">
        <v>1</v>
      </c>
      <c r="AD803" s="7" t="s">
        <v>5044</v>
      </c>
      <c r="AE803" s="7" t="s">
        <v>5044</v>
      </c>
      <c r="AF803" s="7" t="s">
        <v>5044</v>
      </c>
      <c r="AG803" s="7">
        <v>2</v>
      </c>
      <c r="AH803" s="7">
        <v>3</v>
      </c>
      <c r="AI803" s="7">
        <v>0</v>
      </c>
      <c r="AJ803" s="7" t="s">
        <v>5044</v>
      </c>
      <c r="AK803" s="7" t="s">
        <v>6035</v>
      </c>
      <c r="AL803" s="7">
        <v>0</v>
      </c>
      <c r="AM803" s="7">
        <v>0</v>
      </c>
      <c r="AO803" s="11">
        <v>3</v>
      </c>
    </row>
    <row r="804" spans="1:41" ht="63" customHeight="1" x14ac:dyDescent="0.2">
      <c r="A804" s="7">
        <v>9993</v>
      </c>
      <c r="B804" s="7" t="s">
        <v>3662</v>
      </c>
      <c r="C804" s="7" t="s">
        <v>3663</v>
      </c>
      <c r="D804" s="7" t="s">
        <v>149</v>
      </c>
      <c r="F804" s="7" t="s">
        <v>92</v>
      </c>
      <c r="G804" s="7" t="s">
        <v>11</v>
      </c>
      <c r="H804" s="7" t="s">
        <v>1125</v>
      </c>
      <c r="I804" s="7" t="s">
        <v>13</v>
      </c>
      <c r="J804" s="7" t="s">
        <v>3664</v>
      </c>
      <c r="K804" s="7" t="s">
        <v>3665</v>
      </c>
      <c r="L804" s="7" t="s">
        <v>6036</v>
      </c>
      <c r="M804" s="7">
        <v>0</v>
      </c>
      <c r="N804" s="7" t="s">
        <v>5044</v>
      </c>
      <c r="O804" s="7" t="s">
        <v>5044</v>
      </c>
      <c r="P804" s="7">
        <v>0</v>
      </c>
      <c r="Q804" s="7">
        <v>0</v>
      </c>
      <c r="R804" s="7">
        <v>0</v>
      </c>
      <c r="S804" s="7">
        <v>1</v>
      </c>
      <c r="T804" s="7">
        <v>6</v>
      </c>
      <c r="U804" s="7">
        <v>114</v>
      </c>
      <c r="V804" s="7">
        <v>0</v>
      </c>
      <c r="W804" s="7">
        <v>1</v>
      </c>
      <c r="X804" s="7">
        <v>0</v>
      </c>
      <c r="Y804" s="7">
        <v>0</v>
      </c>
      <c r="Z804" s="7">
        <v>0</v>
      </c>
      <c r="AA804" s="7">
        <v>0</v>
      </c>
      <c r="AB804" s="7">
        <v>1</v>
      </c>
      <c r="AC804" s="7">
        <v>1</v>
      </c>
      <c r="AD804" s="7" t="s">
        <v>5044</v>
      </c>
      <c r="AE804" s="7" t="s">
        <v>5044</v>
      </c>
      <c r="AF804" s="7" t="s">
        <v>5044</v>
      </c>
      <c r="AG804" s="7">
        <v>2</v>
      </c>
      <c r="AH804" s="7">
        <v>3</v>
      </c>
      <c r="AI804" s="7">
        <v>0</v>
      </c>
      <c r="AJ804" s="7" t="s">
        <v>5044</v>
      </c>
      <c r="AK804" s="7" t="s">
        <v>5318</v>
      </c>
      <c r="AL804" s="7">
        <v>0</v>
      </c>
      <c r="AM804" s="7">
        <v>0</v>
      </c>
      <c r="AN804" s="7" t="s">
        <v>5318</v>
      </c>
      <c r="AO804" s="11">
        <v>3</v>
      </c>
    </row>
    <row r="805" spans="1:41" ht="63" customHeight="1" x14ac:dyDescent="0.2">
      <c r="A805" s="7">
        <v>9998</v>
      </c>
      <c r="B805" s="7" t="s">
        <v>3666</v>
      </c>
      <c r="C805" s="7" t="s">
        <v>3667</v>
      </c>
      <c r="D805" s="7" t="s">
        <v>46</v>
      </c>
      <c r="F805" s="7" t="s">
        <v>505</v>
      </c>
      <c r="H805" s="7" t="s">
        <v>490</v>
      </c>
      <c r="I805" s="7" t="s">
        <v>13</v>
      </c>
      <c r="J805" s="7" t="s">
        <v>3668</v>
      </c>
      <c r="K805" s="7" t="s">
        <v>3669</v>
      </c>
      <c r="L805" s="11" t="s">
        <v>5044</v>
      </c>
      <c r="M805" s="7">
        <v>0</v>
      </c>
      <c r="N805" s="7" t="s">
        <v>5044</v>
      </c>
      <c r="O805" s="7" t="s">
        <v>5044</v>
      </c>
      <c r="P805" s="7">
        <v>0</v>
      </c>
      <c r="Q805" s="7">
        <v>0</v>
      </c>
      <c r="R805" s="7">
        <v>0</v>
      </c>
      <c r="S805" s="7">
        <v>3</v>
      </c>
      <c r="T805" s="7">
        <v>5</v>
      </c>
      <c r="U805" s="7">
        <v>392</v>
      </c>
      <c r="V805" s="7">
        <v>0</v>
      </c>
      <c r="W805" s="7">
        <v>1</v>
      </c>
      <c r="X805" s="7">
        <v>0</v>
      </c>
      <c r="Y805" s="7">
        <v>0</v>
      </c>
      <c r="Z805" s="7">
        <v>0</v>
      </c>
      <c r="AA805" s="7">
        <v>0</v>
      </c>
      <c r="AB805" s="7">
        <v>0</v>
      </c>
      <c r="AC805" s="7">
        <v>1</v>
      </c>
      <c r="AD805" s="7" t="s">
        <v>5044</v>
      </c>
      <c r="AE805" s="7" t="s">
        <v>5044</v>
      </c>
      <c r="AF805" s="7" t="s">
        <v>5044</v>
      </c>
      <c r="AG805" s="7">
        <v>1</v>
      </c>
      <c r="AH805" s="7">
        <v>0</v>
      </c>
      <c r="AI805" s="7">
        <v>0</v>
      </c>
      <c r="AJ805" s="7" t="s">
        <v>5044</v>
      </c>
      <c r="AK805" s="7" t="s">
        <v>5318</v>
      </c>
      <c r="AL805" s="7">
        <v>0</v>
      </c>
      <c r="AM805" s="7">
        <v>0</v>
      </c>
      <c r="AN805" s="7" t="s">
        <v>5318</v>
      </c>
      <c r="AO805" s="9">
        <v>0</v>
      </c>
    </row>
    <row r="806" spans="1:41" ht="63" customHeight="1" x14ac:dyDescent="0.2">
      <c r="A806" s="7">
        <v>10000</v>
      </c>
      <c r="B806" s="7" t="s">
        <v>3670</v>
      </c>
      <c r="C806" s="7" t="s">
        <v>3671</v>
      </c>
      <c r="D806" s="7" t="s">
        <v>95</v>
      </c>
      <c r="F806" s="7" t="s">
        <v>932</v>
      </c>
      <c r="H806" s="7" t="s">
        <v>490</v>
      </c>
      <c r="I806" s="7" t="s">
        <v>13</v>
      </c>
      <c r="J806" s="7" t="s">
        <v>3672</v>
      </c>
      <c r="K806" s="7" t="s">
        <v>3673</v>
      </c>
      <c r="L806" s="11" t="s">
        <v>5044</v>
      </c>
      <c r="M806" s="7">
        <v>0</v>
      </c>
      <c r="N806" s="7" t="s">
        <v>5044</v>
      </c>
      <c r="O806" s="7" t="s">
        <v>5044</v>
      </c>
      <c r="P806" s="7">
        <v>0</v>
      </c>
      <c r="Q806" s="7">
        <v>0</v>
      </c>
      <c r="R806" s="7">
        <v>0</v>
      </c>
      <c r="S806" s="7">
        <v>3</v>
      </c>
      <c r="T806" s="7">
        <v>6</v>
      </c>
      <c r="U806" s="7">
        <v>110</v>
      </c>
      <c r="V806" s="7">
        <v>0</v>
      </c>
      <c r="W806" s="7">
        <v>1</v>
      </c>
      <c r="X806" s="7">
        <v>0</v>
      </c>
      <c r="Y806" s="7">
        <v>0</v>
      </c>
      <c r="Z806" s="7">
        <v>0</v>
      </c>
      <c r="AA806" s="7">
        <v>0</v>
      </c>
      <c r="AB806" s="7">
        <v>1</v>
      </c>
      <c r="AC806" s="7">
        <v>1</v>
      </c>
      <c r="AD806" s="7" t="s">
        <v>5044</v>
      </c>
      <c r="AE806" s="7" t="s">
        <v>5044</v>
      </c>
      <c r="AF806" s="7" t="s">
        <v>5044</v>
      </c>
      <c r="AG806" s="7">
        <v>2</v>
      </c>
      <c r="AH806" s="7">
        <v>3</v>
      </c>
      <c r="AI806" s="7">
        <v>0</v>
      </c>
      <c r="AJ806" s="7" t="s">
        <v>5044</v>
      </c>
      <c r="AK806" s="7" t="s">
        <v>5318</v>
      </c>
      <c r="AL806" s="7">
        <v>0</v>
      </c>
      <c r="AM806" s="7">
        <v>0</v>
      </c>
      <c r="AN806" s="7" t="s">
        <v>5318</v>
      </c>
      <c r="AO806" s="11">
        <v>3</v>
      </c>
    </row>
    <row r="807" spans="1:41" ht="63" customHeight="1" x14ac:dyDescent="0.2">
      <c r="A807" s="7">
        <v>10003</v>
      </c>
      <c r="B807" s="7" t="s">
        <v>3674</v>
      </c>
      <c r="C807" s="7" t="s">
        <v>3675</v>
      </c>
      <c r="D807" s="7" t="s">
        <v>341</v>
      </c>
      <c r="F807" s="7" t="s">
        <v>107</v>
      </c>
      <c r="G807" s="7" t="s">
        <v>27</v>
      </c>
      <c r="H807" s="7" t="s">
        <v>86</v>
      </c>
      <c r="I807" s="7" t="s">
        <v>13</v>
      </c>
      <c r="J807" s="7" t="s">
        <v>3676</v>
      </c>
      <c r="K807" s="7" t="s">
        <v>3677</v>
      </c>
      <c r="L807" s="11" t="s">
        <v>5044</v>
      </c>
      <c r="M807" s="7">
        <v>0</v>
      </c>
      <c r="N807" s="7" t="s">
        <v>5044</v>
      </c>
      <c r="O807" s="7" t="s">
        <v>5044</v>
      </c>
      <c r="P807" s="7">
        <v>0</v>
      </c>
      <c r="Q807" s="7">
        <v>0</v>
      </c>
      <c r="R807" s="7">
        <v>0</v>
      </c>
      <c r="S807" s="7">
        <v>3</v>
      </c>
      <c r="T807" s="7">
        <v>6</v>
      </c>
      <c r="U807" s="7">
        <v>40</v>
      </c>
      <c r="V807" s="7">
        <v>0</v>
      </c>
      <c r="W807" s="7">
        <v>1</v>
      </c>
      <c r="X807" s="7">
        <v>0</v>
      </c>
      <c r="Y807" s="7">
        <v>0</v>
      </c>
      <c r="Z807" s="7">
        <v>0</v>
      </c>
      <c r="AA807" s="7">
        <v>0</v>
      </c>
      <c r="AB807" s="7">
        <v>1</v>
      </c>
      <c r="AC807" s="7">
        <v>1</v>
      </c>
      <c r="AD807" s="7" t="s">
        <v>5044</v>
      </c>
      <c r="AE807" s="7" t="s">
        <v>5044</v>
      </c>
      <c r="AF807" s="7" t="s">
        <v>5044</v>
      </c>
      <c r="AG807" s="7">
        <v>2</v>
      </c>
      <c r="AH807" s="7">
        <v>3</v>
      </c>
      <c r="AI807" s="7">
        <v>0</v>
      </c>
      <c r="AJ807" s="7" t="s">
        <v>5044</v>
      </c>
      <c r="AK807" s="7" t="s">
        <v>5318</v>
      </c>
      <c r="AL807" s="7" t="s">
        <v>5044</v>
      </c>
      <c r="AM807" s="7">
        <v>0</v>
      </c>
      <c r="AN807" s="7" t="s">
        <v>5105</v>
      </c>
      <c r="AO807" s="11">
        <v>3</v>
      </c>
    </row>
    <row r="808" spans="1:41" ht="63" customHeight="1" x14ac:dyDescent="0.2">
      <c r="A808" s="7">
        <v>10004</v>
      </c>
      <c r="B808" s="7" t="s">
        <v>3678</v>
      </c>
      <c r="C808" s="7" t="s">
        <v>3679</v>
      </c>
      <c r="D808" s="7" t="s">
        <v>41</v>
      </c>
      <c r="F808" s="7" t="s">
        <v>1267</v>
      </c>
      <c r="H808" s="7" t="s">
        <v>572</v>
      </c>
      <c r="I808" s="7" t="s">
        <v>13</v>
      </c>
      <c r="J808" s="7" t="s">
        <v>3680</v>
      </c>
      <c r="K808" s="7" t="s">
        <v>3681</v>
      </c>
      <c r="L808" s="7" t="s">
        <v>6037</v>
      </c>
      <c r="M808" s="7">
        <v>0</v>
      </c>
      <c r="N808" s="7" t="s">
        <v>5044</v>
      </c>
      <c r="O808" s="7" t="s">
        <v>5044</v>
      </c>
      <c r="P808" s="7">
        <v>0</v>
      </c>
      <c r="Q808" s="7">
        <v>0</v>
      </c>
      <c r="R808" s="7">
        <v>0</v>
      </c>
      <c r="S808" s="7" t="s">
        <v>7673</v>
      </c>
      <c r="T808" s="7">
        <v>6</v>
      </c>
      <c r="U808" s="7">
        <v>64</v>
      </c>
      <c r="V808" s="7">
        <v>1</v>
      </c>
      <c r="W808" s="7">
        <v>0</v>
      </c>
      <c r="X808" s="7">
        <v>0</v>
      </c>
      <c r="Y808" s="7">
        <v>0</v>
      </c>
      <c r="Z808" s="7">
        <v>0</v>
      </c>
      <c r="AA808" s="7">
        <v>0</v>
      </c>
      <c r="AB808" s="7">
        <v>1</v>
      </c>
      <c r="AC808" s="7">
        <v>1</v>
      </c>
      <c r="AD808" s="7">
        <v>2</v>
      </c>
      <c r="AE808" s="7">
        <v>3</v>
      </c>
      <c r="AF808" s="7">
        <v>0</v>
      </c>
      <c r="AG808" s="7" t="s">
        <v>5044</v>
      </c>
      <c r="AH808" s="7" t="s">
        <v>5044</v>
      </c>
      <c r="AI808" s="7" t="s">
        <v>5044</v>
      </c>
      <c r="AJ808" s="7" t="s">
        <v>5044</v>
      </c>
      <c r="AK808" s="7" t="s">
        <v>5318</v>
      </c>
      <c r="AL808" s="7" t="s">
        <v>5044</v>
      </c>
      <c r="AM808" s="7">
        <v>0</v>
      </c>
      <c r="AN808" s="7" t="s">
        <v>5105</v>
      </c>
      <c r="AO808" s="11">
        <v>3</v>
      </c>
    </row>
    <row r="809" spans="1:41" ht="63" customHeight="1" x14ac:dyDescent="0.2">
      <c r="A809" s="7">
        <v>10006</v>
      </c>
      <c r="B809" s="7" t="s">
        <v>3682</v>
      </c>
      <c r="C809" s="7" t="s">
        <v>3683</v>
      </c>
      <c r="D809" s="7" t="s">
        <v>22</v>
      </c>
      <c r="F809" s="7" t="s">
        <v>237</v>
      </c>
      <c r="G809" s="7" t="s">
        <v>27</v>
      </c>
      <c r="H809" s="7" t="s">
        <v>1185</v>
      </c>
      <c r="I809" s="7" t="s">
        <v>13</v>
      </c>
      <c r="J809" s="7" t="s">
        <v>3684</v>
      </c>
      <c r="K809" s="7" t="s">
        <v>3685</v>
      </c>
      <c r="L809" s="11" t="s">
        <v>5044</v>
      </c>
      <c r="M809" s="7">
        <v>0</v>
      </c>
      <c r="N809" s="7" t="s">
        <v>5044</v>
      </c>
      <c r="O809" s="7" t="s">
        <v>5044</v>
      </c>
      <c r="P809" s="7">
        <v>0</v>
      </c>
      <c r="Q809" s="7">
        <v>0</v>
      </c>
      <c r="R809" s="7">
        <v>0</v>
      </c>
      <c r="S809" s="7" t="s">
        <v>5357</v>
      </c>
      <c r="T809" s="7">
        <v>6</v>
      </c>
      <c r="U809" s="7">
        <v>54</v>
      </c>
      <c r="V809" s="7">
        <v>0</v>
      </c>
      <c r="W809" s="7">
        <v>1</v>
      </c>
      <c r="X809" s="7">
        <v>0</v>
      </c>
      <c r="Y809" s="7">
        <v>0</v>
      </c>
      <c r="Z809" s="7">
        <v>0</v>
      </c>
      <c r="AA809" s="7">
        <v>0</v>
      </c>
      <c r="AB809" s="7">
        <v>1</v>
      </c>
      <c r="AC809" s="7">
        <v>1</v>
      </c>
      <c r="AD809" s="7" t="s">
        <v>5044</v>
      </c>
      <c r="AE809" s="7" t="s">
        <v>5044</v>
      </c>
      <c r="AF809" s="7" t="s">
        <v>5044</v>
      </c>
      <c r="AG809" s="7">
        <v>1</v>
      </c>
      <c r="AH809" s="7">
        <v>0</v>
      </c>
      <c r="AI809" s="7">
        <v>0</v>
      </c>
      <c r="AJ809" s="7" t="s">
        <v>5044</v>
      </c>
      <c r="AK809" s="7" t="s">
        <v>5318</v>
      </c>
      <c r="AL809" s="7">
        <v>1</v>
      </c>
      <c r="AM809" s="7">
        <v>0</v>
      </c>
      <c r="AN809" s="7" t="s">
        <v>5318</v>
      </c>
      <c r="AO809" s="9">
        <v>0</v>
      </c>
    </row>
    <row r="810" spans="1:41" ht="63" customHeight="1" x14ac:dyDescent="0.2">
      <c r="A810" s="7">
        <v>10007</v>
      </c>
      <c r="B810" s="7" t="s">
        <v>3686</v>
      </c>
      <c r="C810" s="7" t="s">
        <v>3687</v>
      </c>
      <c r="D810" s="7" t="s">
        <v>22</v>
      </c>
      <c r="F810" s="7" t="s">
        <v>237</v>
      </c>
      <c r="G810" s="7" t="s">
        <v>144</v>
      </c>
      <c r="H810" s="7" t="s">
        <v>1185</v>
      </c>
      <c r="I810" s="7" t="s">
        <v>13</v>
      </c>
      <c r="J810" s="7" t="s">
        <v>3688</v>
      </c>
      <c r="K810" s="7" t="s">
        <v>3689</v>
      </c>
      <c r="L810" s="11" t="s">
        <v>5044</v>
      </c>
      <c r="M810" s="7">
        <v>0</v>
      </c>
      <c r="N810" s="7" t="s">
        <v>5044</v>
      </c>
      <c r="O810" s="7" t="s">
        <v>5044</v>
      </c>
      <c r="P810" s="7">
        <v>0</v>
      </c>
      <c r="Q810" s="7">
        <v>0</v>
      </c>
      <c r="R810" s="7">
        <v>0</v>
      </c>
      <c r="S810" s="7">
        <v>1</v>
      </c>
      <c r="T810" s="7">
        <v>6</v>
      </c>
      <c r="U810" s="7">
        <v>50</v>
      </c>
      <c r="V810" s="7">
        <v>0</v>
      </c>
      <c r="W810" s="7">
        <v>1</v>
      </c>
      <c r="X810" s="7">
        <v>0</v>
      </c>
      <c r="Y810" s="7">
        <v>0</v>
      </c>
      <c r="Z810" s="7">
        <v>0</v>
      </c>
      <c r="AA810" s="7">
        <v>0</v>
      </c>
      <c r="AB810" s="7">
        <v>1</v>
      </c>
      <c r="AC810" s="7">
        <v>1</v>
      </c>
      <c r="AD810" s="7" t="s">
        <v>5044</v>
      </c>
      <c r="AE810" s="7" t="s">
        <v>5044</v>
      </c>
      <c r="AF810" s="7" t="s">
        <v>5044</v>
      </c>
      <c r="AG810" s="7">
        <v>2</v>
      </c>
      <c r="AH810" s="7">
        <v>2</v>
      </c>
      <c r="AI810" s="7">
        <v>2</v>
      </c>
      <c r="AJ810" s="7" t="s">
        <v>5044</v>
      </c>
      <c r="AK810" s="7" t="s">
        <v>5318</v>
      </c>
      <c r="AL810" s="7">
        <v>1</v>
      </c>
      <c r="AM810" s="7">
        <v>0</v>
      </c>
      <c r="AO810" s="11">
        <v>2</v>
      </c>
    </row>
    <row r="811" spans="1:41" ht="63" customHeight="1" x14ac:dyDescent="0.2">
      <c r="A811" s="7">
        <v>10014</v>
      </c>
      <c r="B811" s="7" t="s">
        <v>3690</v>
      </c>
      <c r="C811" s="7" t="s">
        <v>3691</v>
      </c>
      <c r="D811" s="7" t="s">
        <v>22</v>
      </c>
      <c r="F811" s="7" t="s">
        <v>136</v>
      </c>
      <c r="G811" s="7" t="s">
        <v>52</v>
      </c>
      <c r="H811" s="7" t="s">
        <v>3692</v>
      </c>
      <c r="I811" s="7" t="s">
        <v>13</v>
      </c>
      <c r="J811" s="7" t="s">
        <v>3693</v>
      </c>
      <c r="K811" s="7" t="s">
        <v>3694</v>
      </c>
      <c r="L811" s="7" t="s">
        <v>6038</v>
      </c>
      <c r="M811" s="7">
        <v>0</v>
      </c>
      <c r="N811" s="7" t="s">
        <v>5044</v>
      </c>
      <c r="O811" s="7" t="s">
        <v>5044</v>
      </c>
      <c r="P811" s="7">
        <v>0</v>
      </c>
      <c r="Q811" s="7">
        <v>0</v>
      </c>
      <c r="R811" s="7">
        <v>0</v>
      </c>
      <c r="S811" s="7">
        <v>1</v>
      </c>
      <c r="T811" s="7">
        <v>6</v>
      </c>
      <c r="U811" s="7">
        <v>104</v>
      </c>
      <c r="V811" s="7">
        <v>0</v>
      </c>
      <c r="W811" s="7">
        <v>1</v>
      </c>
      <c r="X811" s="7">
        <v>0</v>
      </c>
      <c r="Y811" s="7">
        <v>0</v>
      </c>
      <c r="Z811" s="7">
        <v>0</v>
      </c>
      <c r="AA811" s="7">
        <v>0</v>
      </c>
      <c r="AB811" s="7">
        <v>1</v>
      </c>
      <c r="AC811" s="7">
        <v>1</v>
      </c>
      <c r="AD811" s="7" t="s">
        <v>5044</v>
      </c>
      <c r="AE811" s="7" t="s">
        <v>5044</v>
      </c>
      <c r="AF811" s="7" t="s">
        <v>5044</v>
      </c>
      <c r="AG811" s="7">
        <v>2</v>
      </c>
      <c r="AH811" s="7">
        <v>3</v>
      </c>
      <c r="AI811" s="7">
        <v>0</v>
      </c>
      <c r="AJ811" s="7" t="s">
        <v>5044</v>
      </c>
      <c r="AK811" s="7" t="s">
        <v>5318</v>
      </c>
      <c r="AL811" s="7">
        <v>0</v>
      </c>
      <c r="AM811" s="7">
        <v>0</v>
      </c>
      <c r="AN811" s="7" t="s">
        <v>5318</v>
      </c>
      <c r="AO811" s="11">
        <v>3</v>
      </c>
    </row>
    <row r="812" spans="1:41" ht="63" customHeight="1" x14ac:dyDescent="0.2">
      <c r="A812" s="7">
        <v>10040</v>
      </c>
      <c r="B812" s="7" t="s">
        <v>3700</v>
      </c>
      <c r="C812" s="7" t="s">
        <v>3701</v>
      </c>
      <c r="D812" s="7" t="s">
        <v>101</v>
      </c>
      <c r="F812" s="7" t="s">
        <v>1031</v>
      </c>
      <c r="G812" s="7" t="s">
        <v>175</v>
      </c>
      <c r="H812" s="7" t="s">
        <v>596</v>
      </c>
      <c r="I812" s="7" t="s">
        <v>13</v>
      </c>
      <c r="J812" s="7" t="s">
        <v>3702</v>
      </c>
      <c r="K812" s="7" t="s">
        <v>3703</v>
      </c>
      <c r="L812" s="11" t="s">
        <v>5044</v>
      </c>
      <c r="M812" s="7">
        <v>0</v>
      </c>
      <c r="N812" s="7" t="s">
        <v>5044</v>
      </c>
      <c r="O812" s="7" t="s">
        <v>5044</v>
      </c>
      <c r="P812" s="7">
        <v>0</v>
      </c>
      <c r="Q812" s="7">
        <v>0</v>
      </c>
      <c r="R812" s="7">
        <v>0</v>
      </c>
      <c r="S812" s="7">
        <v>1</v>
      </c>
      <c r="T812" s="7">
        <v>4</v>
      </c>
      <c r="U812" s="7">
        <v>60</v>
      </c>
      <c r="V812" s="7">
        <v>0</v>
      </c>
      <c r="W812" s="7">
        <v>1</v>
      </c>
      <c r="X812" s="7">
        <v>0</v>
      </c>
      <c r="Y812" s="7">
        <v>0</v>
      </c>
      <c r="Z812" s="7">
        <v>0</v>
      </c>
      <c r="AA812" s="7">
        <v>0</v>
      </c>
      <c r="AB812" s="7">
        <v>1</v>
      </c>
      <c r="AC812" s="7">
        <v>0</v>
      </c>
      <c r="AD812" s="7" t="s">
        <v>5044</v>
      </c>
      <c r="AE812" s="7" t="s">
        <v>5044</v>
      </c>
      <c r="AF812" s="7" t="s">
        <v>5044</v>
      </c>
      <c r="AG812" s="7">
        <v>0</v>
      </c>
      <c r="AH812" s="7" t="s">
        <v>5044</v>
      </c>
      <c r="AI812" s="7" t="s">
        <v>5044</v>
      </c>
      <c r="AJ812" s="7" t="s">
        <v>5044</v>
      </c>
      <c r="AK812" s="7" t="s">
        <v>6039</v>
      </c>
      <c r="AL812" s="7">
        <v>0</v>
      </c>
      <c r="AM812" s="7">
        <v>0</v>
      </c>
      <c r="AO812" s="11">
        <v>9</v>
      </c>
    </row>
    <row r="813" spans="1:41" ht="63" customHeight="1" x14ac:dyDescent="0.2">
      <c r="A813" s="7">
        <v>10042</v>
      </c>
      <c r="B813" s="7" t="s">
        <v>3704</v>
      </c>
      <c r="C813" s="7" t="s">
        <v>3705</v>
      </c>
      <c r="D813" s="7" t="s">
        <v>16</v>
      </c>
      <c r="F813" s="7" t="s">
        <v>1267</v>
      </c>
      <c r="H813" s="7" t="s">
        <v>3706</v>
      </c>
      <c r="I813" s="7" t="s">
        <v>13</v>
      </c>
      <c r="J813" s="7" t="s">
        <v>3707</v>
      </c>
      <c r="K813" s="7" t="s">
        <v>3708</v>
      </c>
      <c r="L813" s="7" t="s">
        <v>6040</v>
      </c>
      <c r="M813" s="7">
        <v>0</v>
      </c>
      <c r="N813" s="7" t="s">
        <v>5044</v>
      </c>
      <c r="O813" s="7" t="s">
        <v>5044</v>
      </c>
      <c r="P813" s="7">
        <v>0</v>
      </c>
      <c r="Q813" s="7">
        <v>0</v>
      </c>
      <c r="R813" s="7">
        <v>0</v>
      </c>
      <c r="S813" s="7">
        <v>4</v>
      </c>
      <c r="T813" s="7">
        <v>1</v>
      </c>
      <c r="U813" s="7">
        <v>70</v>
      </c>
      <c r="V813" s="7">
        <v>1</v>
      </c>
      <c r="W813" s="7">
        <v>0</v>
      </c>
      <c r="X813" s="7">
        <v>0</v>
      </c>
      <c r="Y813" s="7">
        <v>0</v>
      </c>
      <c r="Z813" s="7">
        <v>0</v>
      </c>
      <c r="AA813" s="7">
        <v>0</v>
      </c>
      <c r="AB813" s="7">
        <v>1</v>
      </c>
      <c r="AC813" s="7">
        <v>1</v>
      </c>
      <c r="AD813" s="7">
        <v>1</v>
      </c>
      <c r="AE813" s="7">
        <v>0</v>
      </c>
      <c r="AF813" s="7">
        <v>0</v>
      </c>
      <c r="AG813" s="7" t="s">
        <v>5044</v>
      </c>
      <c r="AH813" s="7" t="s">
        <v>5044</v>
      </c>
      <c r="AI813" s="7" t="s">
        <v>5044</v>
      </c>
      <c r="AJ813" s="7" t="s">
        <v>5044</v>
      </c>
      <c r="AK813" s="7" t="s">
        <v>5318</v>
      </c>
      <c r="AL813" s="7">
        <v>0</v>
      </c>
      <c r="AM813" s="7">
        <v>0</v>
      </c>
      <c r="AN813" s="7" t="s">
        <v>5318</v>
      </c>
      <c r="AO813" s="9">
        <v>0</v>
      </c>
    </row>
    <row r="814" spans="1:41" ht="63" customHeight="1" x14ac:dyDescent="0.2">
      <c r="A814" s="7">
        <v>10049</v>
      </c>
      <c r="B814" s="7" t="s">
        <v>3709</v>
      </c>
      <c r="C814" s="7" t="s">
        <v>3710</v>
      </c>
      <c r="D814" s="7" t="s">
        <v>16</v>
      </c>
      <c r="E814" s="7" t="s">
        <v>3714</v>
      </c>
      <c r="H814" s="7" t="s">
        <v>3711</v>
      </c>
      <c r="I814" s="7" t="s">
        <v>13</v>
      </c>
      <c r="J814" s="7" t="s">
        <v>3712</v>
      </c>
      <c r="K814" s="7" t="s">
        <v>3713</v>
      </c>
      <c r="L814" s="7" t="s">
        <v>6041</v>
      </c>
      <c r="M814" s="7">
        <v>0</v>
      </c>
      <c r="N814" s="7" t="s">
        <v>5044</v>
      </c>
      <c r="O814" s="7" t="s">
        <v>5044</v>
      </c>
      <c r="P814" s="7">
        <v>1</v>
      </c>
      <c r="Q814" s="7">
        <v>0</v>
      </c>
      <c r="R814" s="7">
        <v>0</v>
      </c>
      <c r="S814" s="7" t="s">
        <v>7670</v>
      </c>
      <c r="T814" s="7">
        <v>1</v>
      </c>
      <c r="U814" s="7">
        <v>36</v>
      </c>
      <c r="V814" s="7">
        <v>0</v>
      </c>
      <c r="W814" s="7">
        <v>1</v>
      </c>
      <c r="X814" s="7">
        <v>0</v>
      </c>
      <c r="Y814" s="7">
        <v>0</v>
      </c>
      <c r="Z814" s="7">
        <v>0</v>
      </c>
      <c r="AA814" s="7">
        <v>0</v>
      </c>
      <c r="AB814" s="7">
        <v>1</v>
      </c>
      <c r="AC814" s="7">
        <v>1</v>
      </c>
      <c r="AD814" s="7" t="s">
        <v>5044</v>
      </c>
      <c r="AE814" s="7" t="s">
        <v>5044</v>
      </c>
      <c r="AF814" s="7" t="s">
        <v>5044</v>
      </c>
      <c r="AG814" s="7">
        <v>1</v>
      </c>
      <c r="AH814" s="7">
        <v>0</v>
      </c>
      <c r="AI814" s="7">
        <v>0</v>
      </c>
      <c r="AJ814" s="7" t="s">
        <v>5044</v>
      </c>
      <c r="AK814" s="7" t="s">
        <v>5318</v>
      </c>
      <c r="AL814" s="7">
        <v>0</v>
      </c>
      <c r="AM814" s="7">
        <v>0</v>
      </c>
      <c r="AN814" s="7" t="s">
        <v>5318</v>
      </c>
      <c r="AO814" s="9">
        <v>0</v>
      </c>
    </row>
    <row r="815" spans="1:41" ht="63" customHeight="1" x14ac:dyDescent="0.2">
      <c r="A815" s="7">
        <v>10068</v>
      </c>
      <c r="B815" s="7" t="s">
        <v>3715</v>
      </c>
      <c r="C815" s="7" t="s">
        <v>3716</v>
      </c>
      <c r="D815" s="7" t="s">
        <v>46</v>
      </c>
      <c r="F815" s="7" t="s">
        <v>865</v>
      </c>
      <c r="G815" s="7" t="s">
        <v>17</v>
      </c>
      <c r="H815" s="7" t="s">
        <v>1185</v>
      </c>
      <c r="I815" s="7" t="s">
        <v>13</v>
      </c>
      <c r="J815" s="7" t="s">
        <v>3717</v>
      </c>
      <c r="K815" s="7" t="s">
        <v>3718</v>
      </c>
      <c r="L815" s="11" t="s">
        <v>5044</v>
      </c>
      <c r="M815" s="7">
        <v>0</v>
      </c>
      <c r="N815" s="7" t="s">
        <v>5044</v>
      </c>
      <c r="O815" s="7" t="s">
        <v>5044</v>
      </c>
      <c r="P815" s="7">
        <v>0</v>
      </c>
      <c r="Q815" s="7">
        <v>0</v>
      </c>
      <c r="R815" s="7">
        <v>0</v>
      </c>
      <c r="S815" s="7">
        <v>1</v>
      </c>
      <c r="T815" s="7">
        <v>1</v>
      </c>
      <c r="U815" s="7">
        <v>147</v>
      </c>
      <c r="V815" s="7">
        <v>0</v>
      </c>
      <c r="W815" s="7">
        <v>1</v>
      </c>
      <c r="X815" s="7">
        <v>0</v>
      </c>
      <c r="Y815" s="7">
        <v>0</v>
      </c>
      <c r="Z815" s="7">
        <v>0</v>
      </c>
      <c r="AA815" s="7">
        <v>0</v>
      </c>
      <c r="AB815" s="7">
        <v>1</v>
      </c>
      <c r="AC815" s="7">
        <v>1</v>
      </c>
      <c r="AD815" s="7" t="s">
        <v>5044</v>
      </c>
      <c r="AE815" s="7" t="s">
        <v>5044</v>
      </c>
      <c r="AF815" s="7" t="s">
        <v>5044</v>
      </c>
      <c r="AG815" s="7">
        <v>2</v>
      </c>
      <c r="AH815" s="7">
        <v>3</v>
      </c>
      <c r="AI815" s="7">
        <v>0</v>
      </c>
      <c r="AJ815" s="7" t="s">
        <v>5044</v>
      </c>
      <c r="AK815" s="7" t="s">
        <v>5318</v>
      </c>
      <c r="AL815" s="7" t="s">
        <v>5044</v>
      </c>
      <c r="AM815" s="7">
        <v>0</v>
      </c>
      <c r="AN815" s="7" t="s">
        <v>5105</v>
      </c>
      <c r="AO815" s="11">
        <v>3</v>
      </c>
    </row>
    <row r="816" spans="1:41" ht="63" customHeight="1" x14ac:dyDescent="0.2">
      <c r="A816" s="7">
        <v>10070</v>
      </c>
      <c r="B816" s="7" t="s">
        <v>3719</v>
      </c>
      <c r="C816" s="7" t="s">
        <v>3720</v>
      </c>
      <c r="D816" s="7" t="s">
        <v>74</v>
      </c>
      <c r="F816" s="7" t="s">
        <v>2183</v>
      </c>
      <c r="G816" s="7" t="s">
        <v>37</v>
      </c>
      <c r="H816" s="7" t="s">
        <v>730</v>
      </c>
      <c r="I816" s="7" t="s">
        <v>13</v>
      </c>
      <c r="J816" s="7" t="s">
        <v>3721</v>
      </c>
      <c r="K816" s="7" t="s">
        <v>3722</v>
      </c>
      <c r="L816" s="11" t="s">
        <v>5044</v>
      </c>
      <c r="M816" s="7">
        <v>0</v>
      </c>
      <c r="N816" s="7" t="s">
        <v>5044</v>
      </c>
      <c r="O816" s="7" t="s">
        <v>5044</v>
      </c>
      <c r="P816" s="7">
        <v>0</v>
      </c>
      <c r="Q816" s="7">
        <v>0</v>
      </c>
      <c r="R816" s="7">
        <v>0</v>
      </c>
      <c r="S816" s="7">
        <v>1</v>
      </c>
      <c r="T816" s="7">
        <v>2</v>
      </c>
      <c r="U816" s="7">
        <v>101</v>
      </c>
      <c r="V816" s="7">
        <v>0</v>
      </c>
      <c r="W816" s="7">
        <v>1</v>
      </c>
      <c r="X816" s="7">
        <v>0</v>
      </c>
      <c r="Y816" s="7">
        <v>0</v>
      </c>
      <c r="Z816" s="7">
        <v>0</v>
      </c>
      <c r="AA816" s="7">
        <v>0</v>
      </c>
      <c r="AB816" s="7">
        <v>1</v>
      </c>
      <c r="AC816" s="7">
        <v>0</v>
      </c>
      <c r="AD816" s="7" t="s">
        <v>5044</v>
      </c>
      <c r="AE816" s="7" t="s">
        <v>5044</v>
      </c>
      <c r="AF816" s="7" t="s">
        <v>5044</v>
      </c>
      <c r="AG816" s="7">
        <v>0</v>
      </c>
      <c r="AH816" s="7" t="s">
        <v>5044</v>
      </c>
      <c r="AI816" s="7" t="s">
        <v>5044</v>
      </c>
      <c r="AJ816" s="7" t="s">
        <v>5044</v>
      </c>
      <c r="AK816" s="7" t="s">
        <v>6042</v>
      </c>
      <c r="AL816" s="7">
        <v>1</v>
      </c>
      <c r="AM816" s="7">
        <v>0</v>
      </c>
      <c r="AO816" s="11">
        <v>9</v>
      </c>
    </row>
    <row r="817" spans="1:41" ht="63" customHeight="1" x14ac:dyDescent="0.2">
      <c r="A817" s="7">
        <v>10082</v>
      </c>
      <c r="B817" s="7" t="s">
        <v>3723</v>
      </c>
      <c r="C817" s="7" t="s">
        <v>3724</v>
      </c>
      <c r="D817" s="7" t="s">
        <v>30</v>
      </c>
      <c r="F817" s="7" t="s">
        <v>953</v>
      </c>
      <c r="G817" s="7" t="s">
        <v>52</v>
      </c>
      <c r="H817" s="7" t="s">
        <v>43</v>
      </c>
      <c r="I817" s="7" t="s">
        <v>13</v>
      </c>
      <c r="J817" s="7" t="s">
        <v>3725</v>
      </c>
      <c r="K817" s="7" t="s">
        <v>3726</v>
      </c>
      <c r="L817" s="7" t="s">
        <v>6043</v>
      </c>
      <c r="M817" s="7">
        <v>0</v>
      </c>
      <c r="N817" s="7" t="s">
        <v>5044</v>
      </c>
      <c r="O817" s="7" t="s">
        <v>5044</v>
      </c>
      <c r="P817" s="7">
        <v>0</v>
      </c>
      <c r="Q817" s="7">
        <v>0</v>
      </c>
      <c r="R817" s="7">
        <v>0</v>
      </c>
      <c r="S817" s="7" t="s">
        <v>5708</v>
      </c>
      <c r="T817" s="7">
        <v>1</v>
      </c>
      <c r="U817" s="7">
        <v>54</v>
      </c>
      <c r="V817" s="7">
        <v>0</v>
      </c>
      <c r="W817" s="7">
        <v>1</v>
      </c>
      <c r="X817" s="7">
        <v>0</v>
      </c>
      <c r="Y817" s="7">
        <v>0</v>
      </c>
      <c r="Z817" s="7">
        <v>0</v>
      </c>
      <c r="AA817" s="7">
        <v>0</v>
      </c>
      <c r="AB817" s="7">
        <v>1</v>
      </c>
      <c r="AC817" s="7">
        <v>1</v>
      </c>
      <c r="AD817" s="7" t="s">
        <v>5044</v>
      </c>
      <c r="AE817" s="7" t="s">
        <v>5044</v>
      </c>
      <c r="AF817" s="7" t="s">
        <v>5044</v>
      </c>
      <c r="AG817" s="7">
        <v>2</v>
      </c>
      <c r="AH817" s="7">
        <v>3</v>
      </c>
      <c r="AI817" s="7">
        <v>0</v>
      </c>
      <c r="AJ817" s="7" t="s">
        <v>5044</v>
      </c>
      <c r="AK817" s="7" t="s">
        <v>5318</v>
      </c>
      <c r="AL817" s="7" t="s">
        <v>5044</v>
      </c>
      <c r="AM817" s="7">
        <v>0</v>
      </c>
      <c r="AO817" s="11">
        <v>3</v>
      </c>
    </row>
    <row r="818" spans="1:41" ht="63" customHeight="1" x14ac:dyDescent="0.2">
      <c r="A818" s="7">
        <v>10098</v>
      </c>
      <c r="B818" s="7" t="s">
        <v>3727</v>
      </c>
      <c r="C818" s="7" t="s">
        <v>3728</v>
      </c>
      <c r="D818" s="7" t="s">
        <v>22</v>
      </c>
      <c r="F818" s="7" t="s">
        <v>416</v>
      </c>
      <c r="G818" s="7" t="s">
        <v>48</v>
      </c>
      <c r="H818" s="7" t="s">
        <v>123</v>
      </c>
      <c r="I818" s="7" t="s">
        <v>13</v>
      </c>
      <c r="J818" s="7" t="s">
        <v>3729</v>
      </c>
      <c r="K818" s="7" t="s">
        <v>3730</v>
      </c>
      <c r="L818" s="7" t="s">
        <v>6044</v>
      </c>
      <c r="M818" s="7">
        <v>0</v>
      </c>
      <c r="N818" s="7" t="s">
        <v>5044</v>
      </c>
      <c r="O818" s="7" t="s">
        <v>5044</v>
      </c>
      <c r="P818" s="7">
        <v>0</v>
      </c>
      <c r="Q818" s="7">
        <v>0</v>
      </c>
      <c r="R818" s="7">
        <v>0</v>
      </c>
      <c r="S818" s="7">
        <v>1</v>
      </c>
      <c r="T818" s="7">
        <v>5</v>
      </c>
      <c r="U818" s="7">
        <v>86</v>
      </c>
      <c r="V818" s="7">
        <v>0</v>
      </c>
      <c r="W818" s="7">
        <v>1</v>
      </c>
      <c r="X818" s="7">
        <v>0</v>
      </c>
      <c r="Y818" s="7">
        <v>0</v>
      </c>
      <c r="Z818" s="7">
        <v>0</v>
      </c>
      <c r="AA818" s="7">
        <v>0</v>
      </c>
      <c r="AB818" s="7">
        <v>1</v>
      </c>
      <c r="AC818" s="7">
        <v>1</v>
      </c>
      <c r="AD818" s="7" t="s">
        <v>5044</v>
      </c>
      <c r="AE818" s="7" t="s">
        <v>5044</v>
      </c>
      <c r="AF818" s="7" t="s">
        <v>5044</v>
      </c>
      <c r="AG818" s="7">
        <v>2</v>
      </c>
      <c r="AH818" s="7">
        <v>3</v>
      </c>
      <c r="AI818" s="7">
        <v>0</v>
      </c>
      <c r="AJ818" s="7" t="s">
        <v>5044</v>
      </c>
      <c r="AK818" s="7" t="s">
        <v>5318</v>
      </c>
      <c r="AL818" s="7">
        <v>1</v>
      </c>
      <c r="AM818" s="7">
        <v>0</v>
      </c>
      <c r="AN818" s="7" t="s">
        <v>5318</v>
      </c>
      <c r="AO818" s="11">
        <v>3</v>
      </c>
    </row>
    <row r="819" spans="1:41" ht="63" customHeight="1" x14ac:dyDescent="0.2">
      <c r="A819" s="7">
        <v>10101</v>
      </c>
      <c r="B819" s="7" t="s">
        <v>3731</v>
      </c>
      <c r="C819" s="7" t="s">
        <v>3732</v>
      </c>
      <c r="D819" s="7" t="s">
        <v>41</v>
      </c>
      <c r="F819" s="7" t="s">
        <v>312</v>
      </c>
      <c r="G819" s="7" t="s">
        <v>175</v>
      </c>
      <c r="H819" s="7" t="s">
        <v>38</v>
      </c>
      <c r="I819" s="7" t="s">
        <v>13</v>
      </c>
      <c r="J819" s="7" t="s">
        <v>3733</v>
      </c>
      <c r="K819" s="7" t="s">
        <v>3734</v>
      </c>
      <c r="L819" s="7" t="s">
        <v>6045</v>
      </c>
      <c r="M819" s="7">
        <v>0</v>
      </c>
      <c r="N819" s="7" t="s">
        <v>5044</v>
      </c>
      <c r="O819" s="7" t="s">
        <v>5044</v>
      </c>
      <c r="P819" s="7">
        <v>0</v>
      </c>
      <c r="Q819" s="7">
        <v>0</v>
      </c>
      <c r="R819" s="7">
        <v>0</v>
      </c>
      <c r="S819" s="7">
        <v>1</v>
      </c>
      <c r="T819" s="7">
        <v>5</v>
      </c>
      <c r="U819" s="7">
        <v>170</v>
      </c>
      <c r="V819" s="7">
        <v>0</v>
      </c>
      <c r="W819" s="7">
        <v>1</v>
      </c>
      <c r="X819" s="7">
        <v>0</v>
      </c>
      <c r="Y819" s="7">
        <v>0</v>
      </c>
      <c r="Z819" s="7">
        <v>1</v>
      </c>
      <c r="AA819" s="7">
        <v>0</v>
      </c>
      <c r="AB819" s="7">
        <v>1</v>
      </c>
      <c r="AC819" s="7">
        <v>1</v>
      </c>
      <c r="AD819" s="7" t="s">
        <v>5044</v>
      </c>
      <c r="AE819" s="7" t="s">
        <v>5044</v>
      </c>
      <c r="AF819" s="7" t="s">
        <v>5044</v>
      </c>
      <c r="AG819" s="7">
        <v>2</v>
      </c>
      <c r="AH819" s="7">
        <v>3</v>
      </c>
      <c r="AI819" s="7">
        <v>0</v>
      </c>
      <c r="AJ819" s="7">
        <v>0</v>
      </c>
      <c r="AK819" s="7">
        <v>1</v>
      </c>
      <c r="AL819" s="7">
        <v>1</v>
      </c>
      <c r="AM819" s="7">
        <v>0</v>
      </c>
      <c r="AN819" s="7" t="s">
        <v>5318</v>
      </c>
      <c r="AO819" s="11">
        <v>3</v>
      </c>
    </row>
    <row r="820" spans="1:41" ht="63" customHeight="1" x14ac:dyDescent="0.2">
      <c r="A820" s="7">
        <v>10106</v>
      </c>
      <c r="B820" s="7" t="s">
        <v>3735</v>
      </c>
      <c r="C820" s="7" t="s">
        <v>3736</v>
      </c>
      <c r="D820" s="7" t="s">
        <v>101</v>
      </c>
      <c r="F820" s="7" t="s">
        <v>3737</v>
      </c>
      <c r="H820" s="7" t="s">
        <v>3422</v>
      </c>
      <c r="I820" s="7" t="s">
        <v>13</v>
      </c>
      <c r="J820" s="7" t="s">
        <v>3738</v>
      </c>
      <c r="K820" s="7" t="s">
        <v>3739</v>
      </c>
      <c r="L820" s="7" t="s">
        <v>6046</v>
      </c>
      <c r="M820" s="7">
        <v>0</v>
      </c>
      <c r="N820" s="7" t="s">
        <v>5044</v>
      </c>
      <c r="O820" s="7" t="s">
        <v>5044</v>
      </c>
      <c r="P820" s="7">
        <v>0</v>
      </c>
      <c r="Q820" s="7">
        <v>0</v>
      </c>
      <c r="R820" s="7">
        <v>0</v>
      </c>
      <c r="S820" s="7">
        <v>1</v>
      </c>
      <c r="T820" s="7">
        <v>1</v>
      </c>
      <c r="U820" s="7">
        <v>40</v>
      </c>
      <c r="V820" s="7">
        <v>1</v>
      </c>
      <c r="W820" s="7">
        <v>0</v>
      </c>
      <c r="X820" s="7">
        <v>0</v>
      </c>
      <c r="Y820" s="7">
        <v>0</v>
      </c>
      <c r="Z820" s="7">
        <v>0</v>
      </c>
      <c r="AA820" s="7">
        <v>0</v>
      </c>
      <c r="AB820" s="7">
        <v>1</v>
      </c>
      <c r="AC820" s="7">
        <v>1</v>
      </c>
      <c r="AD820" s="7">
        <v>2</v>
      </c>
      <c r="AE820" s="7">
        <v>3</v>
      </c>
      <c r="AF820" s="7">
        <v>0</v>
      </c>
      <c r="AG820" s="7" t="s">
        <v>5044</v>
      </c>
      <c r="AH820" s="7" t="s">
        <v>5044</v>
      </c>
      <c r="AI820" s="7" t="s">
        <v>5044</v>
      </c>
      <c r="AJ820" s="7" t="s">
        <v>5044</v>
      </c>
      <c r="AK820" s="7" t="s">
        <v>5318</v>
      </c>
      <c r="AL820" s="7">
        <v>1</v>
      </c>
      <c r="AM820" s="7">
        <v>0</v>
      </c>
      <c r="AO820" s="11">
        <v>3</v>
      </c>
    </row>
    <row r="821" spans="1:41" ht="63" customHeight="1" x14ac:dyDescent="0.2">
      <c r="A821" s="7">
        <v>10110</v>
      </c>
      <c r="B821" s="7" t="s">
        <v>3740</v>
      </c>
      <c r="C821" s="7" t="s">
        <v>3741</v>
      </c>
      <c r="D821" s="7" t="s">
        <v>41</v>
      </c>
      <c r="E821" s="7" t="s">
        <v>3714</v>
      </c>
      <c r="F821" s="7" t="s">
        <v>3442</v>
      </c>
      <c r="G821" s="7" t="s">
        <v>47</v>
      </c>
      <c r="H821" s="7" t="s">
        <v>1083</v>
      </c>
      <c r="I821" s="7" t="s">
        <v>13</v>
      </c>
      <c r="J821" s="7" t="s">
        <v>3742</v>
      </c>
      <c r="K821" s="7" t="s">
        <v>3743</v>
      </c>
      <c r="L821" s="7" t="s">
        <v>6047</v>
      </c>
      <c r="M821" s="7">
        <v>0</v>
      </c>
      <c r="N821" s="7" t="s">
        <v>5044</v>
      </c>
      <c r="O821" s="7" t="s">
        <v>5044</v>
      </c>
      <c r="P821" s="7">
        <v>1</v>
      </c>
      <c r="Q821" s="7">
        <v>0</v>
      </c>
      <c r="R821" s="7">
        <v>0</v>
      </c>
      <c r="S821" s="7">
        <v>9</v>
      </c>
      <c r="T821" s="7">
        <v>5</v>
      </c>
      <c r="U821" s="7">
        <v>146</v>
      </c>
      <c r="V821" s="7">
        <v>0</v>
      </c>
      <c r="W821" s="7">
        <v>1</v>
      </c>
      <c r="X821" s="7">
        <v>0</v>
      </c>
      <c r="Y821" s="7">
        <v>0</v>
      </c>
      <c r="Z821" s="7">
        <v>1</v>
      </c>
      <c r="AA821" s="7">
        <v>0</v>
      </c>
      <c r="AB821" s="7">
        <v>1</v>
      </c>
      <c r="AC821" s="7">
        <v>1</v>
      </c>
      <c r="AD821" s="7" t="s">
        <v>5044</v>
      </c>
      <c r="AE821" s="7" t="s">
        <v>5044</v>
      </c>
      <c r="AF821" s="7" t="s">
        <v>5044</v>
      </c>
      <c r="AG821" s="7">
        <v>2</v>
      </c>
      <c r="AH821" s="7">
        <v>3</v>
      </c>
      <c r="AI821" s="7">
        <v>0</v>
      </c>
      <c r="AJ821" s="7">
        <v>0</v>
      </c>
      <c r="AK821" s="7">
        <v>1</v>
      </c>
      <c r="AL821" s="7">
        <v>0</v>
      </c>
      <c r="AM821" s="7">
        <v>0</v>
      </c>
      <c r="AN821" s="7" t="s">
        <v>6290</v>
      </c>
      <c r="AO821" s="11">
        <v>3</v>
      </c>
    </row>
    <row r="822" spans="1:41" ht="63" customHeight="1" x14ac:dyDescent="0.2">
      <c r="A822" s="7">
        <v>10136</v>
      </c>
      <c r="B822" s="7" t="s">
        <v>3744</v>
      </c>
      <c r="C822" s="7" t="s">
        <v>3745</v>
      </c>
      <c r="D822" s="7" t="s">
        <v>101</v>
      </c>
      <c r="F822" s="7" t="s">
        <v>489</v>
      </c>
      <c r="G822" s="7" t="s">
        <v>11</v>
      </c>
      <c r="H822" s="7" t="s">
        <v>12</v>
      </c>
      <c r="I822" s="7" t="s">
        <v>13</v>
      </c>
      <c r="J822" s="7" t="s">
        <v>3746</v>
      </c>
      <c r="K822" s="7" t="s">
        <v>3747</v>
      </c>
      <c r="L822" s="7" t="s">
        <v>5086</v>
      </c>
      <c r="M822" s="7">
        <v>0</v>
      </c>
      <c r="N822" s="7" t="s">
        <v>5044</v>
      </c>
      <c r="O822" s="7" t="s">
        <v>5044</v>
      </c>
      <c r="P822" s="7">
        <v>0</v>
      </c>
      <c r="Q822" s="7">
        <v>0</v>
      </c>
      <c r="R822" s="7">
        <v>0</v>
      </c>
      <c r="S822" s="7">
        <v>3</v>
      </c>
      <c r="T822" s="7">
        <v>1</v>
      </c>
      <c r="U822" s="7">
        <v>820</v>
      </c>
      <c r="V822" s="7">
        <v>0</v>
      </c>
      <c r="W822" s="7">
        <v>1</v>
      </c>
      <c r="X822" s="7">
        <v>0</v>
      </c>
      <c r="Y822" s="7">
        <v>0</v>
      </c>
      <c r="Z822" s="7">
        <v>0</v>
      </c>
      <c r="AA822" s="7">
        <v>0</v>
      </c>
      <c r="AB822" s="7">
        <v>1</v>
      </c>
      <c r="AC822" s="7">
        <v>1</v>
      </c>
      <c r="AD822" s="7" t="s">
        <v>5044</v>
      </c>
      <c r="AE822" s="7" t="s">
        <v>5044</v>
      </c>
      <c r="AF822" s="7" t="s">
        <v>5044</v>
      </c>
      <c r="AG822" s="7">
        <v>1</v>
      </c>
      <c r="AH822" s="7">
        <v>0</v>
      </c>
      <c r="AI822" s="7">
        <v>0</v>
      </c>
      <c r="AJ822" s="7" t="s">
        <v>5044</v>
      </c>
      <c r="AK822" s="7" t="s">
        <v>5318</v>
      </c>
      <c r="AL822" s="7">
        <v>1</v>
      </c>
      <c r="AM822" s="7">
        <v>0</v>
      </c>
      <c r="AN822" s="7" t="s">
        <v>5217</v>
      </c>
      <c r="AO822" s="9">
        <v>0</v>
      </c>
    </row>
    <row r="823" spans="1:41" ht="63" customHeight="1" x14ac:dyDescent="0.2">
      <c r="A823" s="7">
        <v>10140</v>
      </c>
      <c r="B823" s="7" t="s">
        <v>3748</v>
      </c>
      <c r="C823" s="7" t="s">
        <v>3749</v>
      </c>
      <c r="D823" s="7" t="s">
        <v>101</v>
      </c>
      <c r="F823" s="7" t="s">
        <v>37</v>
      </c>
      <c r="G823" s="7" t="s">
        <v>52</v>
      </c>
      <c r="H823" s="7" t="s">
        <v>273</v>
      </c>
      <c r="I823" s="7" t="s">
        <v>13</v>
      </c>
      <c r="J823" s="7" t="s">
        <v>3750</v>
      </c>
      <c r="K823" s="7" t="s">
        <v>3751</v>
      </c>
      <c r="L823" s="7" t="s">
        <v>6048</v>
      </c>
      <c r="M823" s="7">
        <v>0</v>
      </c>
      <c r="N823" s="7" t="s">
        <v>5044</v>
      </c>
      <c r="O823" s="7" t="s">
        <v>5044</v>
      </c>
      <c r="P823" s="7">
        <v>1</v>
      </c>
      <c r="Q823" s="7">
        <v>0</v>
      </c>
      <c r="R823" s="7">
        <v>0</v>
      </c>
      <c r="S823" s="7" t="s">
        <v>5357</v>
      </c>
      <c r="T823" s="7">
        <v>1</v>
      </c>
      <c r="U823" s="7">
        <v>136</v>
      </c>
      <c r="V823" s="7">
        <v>0</v>
      </c>
      <c r="W823" s="7">
        <v>1</v>
      </c>
      <c r="X823" s="7">
        <v>0</v>
      </c>
      <c r="Y823" s="7">
        <v>0</v>
      </c>
      <c r="Z823" s="7">
        <v>0</v>
      </c>
      <c r="AA823" s="7">
        <v>0</v>
      </c>
      <c r="AB823" s="7">
        <v>1</v>
      </c>
      <c r="AC823" s="7">
        <v>1</v>
      </c>
      <c r="AD823" s="7" t="s">
        <v>5044</v>
      </c>
      <c r="AE823" s="7" t="s">
        <v>5044</v>
      </c>
      <c r="AF823" s="7" t="s">
        <v>5044</v>
      </c>
      <c r="AG823" s="7">
        <v>1</v>
      </c>
      <c r="AH823" s="7">
        <v>0</v>
      </c>
      <c r="AI823" s="7">
        <v>0</v>
      </c>
      <c r="AJ823" s="7" t="s">
        <v>5044</v>
      </c>
      <c r="AK823" s="7" t="s">
        <v>5318</v>
      </c>
      <c r="AL823" s="7">
        <v>1</v>
      </c>
      <c r="AM823" s="7">
        <v>0</v>
      </c>
      <c r="AN823" s="7" t="s">
        <v>5318</v>
      </c>
      <c r="AO823" s="9">
        <v>0</v>
      </c>
    </row>
    <row r="824" spans="1:41" ht="63" customHeight="1" x14ac:dyDescent="0.2">
      <c r="A824" s="7">
        <v>10172</v>
      </c>
      <c r="B824" s="7" t="s">
        <v>3752</v>
      </c>
      <c r="C824" s="7" t="s">
        <v>3753</v>
      </c>
      <c r="D824" s="7" t="s">
        <v>74</v>
      </c>
      <c r="F824" s="7" t="s">
        <v>293</v>
      </c>
      <c r="G824" s="7" t="s">
        <v>48</v>
      </c>
      <c r="H824" s="7" t="s">
        <v>283</v>
      </c>
      <c r="I824" s="7" t="s">
        <v>13</v>
      </c>
      <c r="J824" s="7" t="s">
        <v>3754</v>
      </c>
      <c r="K824" s="7" t="s">
        <v>3755</v>
      </c>
      <c r="L824" s="7" t="s">
        <v>6049</v>
      </c>
      <c r="M824" s="7">
        <v>0</v>
      </c>
      <c r="N824" s="7" t="s">
        <v>5044</v>
      </c>
      <c r="O824" s="7" t="s">
        <v>5044</v>
      </c>
      <c r="P824" s="7">
        <v>0</v>
      </c>
      <c r="Q824" s="7">
        <v>0</v>
      </c>
      <c r="R824" s="7">
        <v>0</v>
      </c>
      <c r="S824" s="7">
        <v>1</v>
      </c>
      <c r="T824" s="7">
        <v>1</v>
      </c>
      <c r="U824" s="7">
        <v>66</v>
      </c>
      <c r="V824" s="7">
        <v>0</v>
      </c>
      <c r="W824" s="7">
        <v>1</v>
      </c>
      <c r="X824" s="7">
        <v>0</v>
      </c>
      <c r="Y824" s="7">
        <v>0</v>
      </c>
      <c r="Z824" s="7">
        <v>0</v>
      </c>
      <c r="AA824" s="7">
        <v>0</v>
      </c>
      <c r="AB824" s="7">
        <v>1</v>
      </c>
      <c r="AC824" s="7">
        <v>1</v>
      </c>
      <c r="AD824" s="7" t="s">
        <v>5044</v>
      </c>
      <c r="AE824" s="7" t="s">
        <v>5044</v>
      </c>
      <c r="AF824" s="7" t="s">
        <v>5044</v>
      </c>
      <c r="AG824" s="7">
        <v>2</v>
      </c>
      <c r="AH824" s="7">
        <v>3</v>
      </c>
      <c r="AI824" s="7">
        <v>0</v>
      </c>
      <c r="AJ824" s="7" t="s">
        <v>5044</v>
      </c>
      <c r="AK824" s="7" t="s">
        <v>5318</v>
      </c>
      <c r="AL824" s="7">
        <v>1</v>
      </c>
      <c r="AM824" s="7">
        <v>0</v>
      </c>
      <c r="AN824" s="7" t="s">
        <v>5318</v>
      </c>
      <c r="AO824" s="11">
        <v>3</v>
      </c>
    </row>
    <row r="825" spans="1:41" ht="63" customHeight="1" x14ac:dyDescent="0.2">
      <c r="A825" s="7">
        <v>10173</v>
      </c>
      <c r="B825" s="7" t="s">
        <v>3756</v>
      </c>
      <c r="C825" s="7" t="s">
        <v>3757</v>
      </c>
      <c r="D825" s="7" t="s">
        <v>56</v>
      </c>
      <c r="F825" s="7" t="s">
        <v>587</v>
      </c>
      <c r="G825" s="7" t="s">
        <v>47</v>
      </c>
      <c r="H825" s="7" t="s">
        <v>290</v>
      </c>
      <c r="I825" s="7" t="s">
        <v>13</v>
      </c>
      <c r="J825" s="7" t="s">
        <v>3758</v>
      </c>
      <c r="K825" s="7" t="s">
        <v>3759</v>
      </c>
      <c r="L825" s="7" t="s">
        <v>6050</v>
      </c>
      <c r="M825" s="7">
        <v>0</v>
      </c>
      <c r="N825" s="7" t="s">
        <v>5044</v>
      </c>
      <c r="O825" s="7" t="s">
        <v>5044</v>
      </c>
      <c r="P825" s="7">
        <v>1</v>
      </c>
      <c r="Q825" s="7">
        <v>0</v>
      </c>
      <c r="R825" s="7">
        <v>0</v>
      </c>
      <c r="S825" s="7">
        <v>1</v>
      </c>
      <c r="T825" s="7">
        <v>1</v>
      </c>
      <c r="U825" s="7">
        <v>48</v>
      </c>
      <c r="V825" s="7">
        <v>0</v>
      </c>
      <c r="W825" s="7">
        <v>1</v>
      </c>
      <c r="X825" s="7">
        <v>0</v>
      </c>
      <c r="Y825" s="7">
        <v>0</v>
      </c>
      <c r="Z825" s="7">
        <v>0</v>
      </c>
      <c r="AA825" s="7">
        <v>0</v>
      </c>
      <c r="AB825" s="7">
        <v>1</v>
      </c>
      <c r="AC825" s="7">
        <v>1</v>
      </c>
      <c r="AD825" s="7" t="s">
        <v>5044</v>
      </c>
      <c r="AE825" s="7" t="s">
        <v>5044</v>
      </c>
      <c r="AF825" s="7" t="s">
        <v>5044</v>
      </c>
      <c r="AG825" s="7">
        <v>2</v>
      </c>
      <c r="AH825" s="7">
        <v>2</v>
      </c>
      <c r="AI825" s="7">
        <v>2</v>
      </c>
      <c r="AJ825" s="7" t="s">
        <v>5044</v>
      </c>
      <c r="AK825" s="7" t="s">
        <v>5318</v>
      </c>
      <c r="AL825" s="7">
        <v>0</v>
      </c>
      <c r="AM825" s="7">
        <v>0</v>
      </c>
      <c r="AO825" s="11">
        <v>2</v>
      </c>
    </row>
    <row r="826" spans="1:41" ht="63" customHeight="1" x14ac:dyDescent="0.2">
      <c r="A826" s="7">
        <v>10181</v>
      </c>
      <c r="B826" s="7" t="s">
        <v>3760</v>
      </c>
      <c r="C826" s="7" t="s">
        <v>3761</v>
      </c>
      <c r="D826" s="7" t="s">
        <v>30</v>
      </c>
      <c r="F826" s="7" t="s">
        <v>289</v>
      </c>
      <c r="G826" s="7" t="s">
        <v>144</v>
      </c>
      <c r="H826" s="7" t="s">
        <v>540</v>
      </c>
      <c r="I826" s="7" t="s">
        <v>13</v>
      </c>
      <c r="J826" s="7" t="s">
        <v>3762</v>
      </c>
      <c r="K826" s="7" t="s">
        <v>3763</v>
      </c>
      <c r="L826" s="11" t="s">
        <v>5044</v>
      </c>
      <c r="M826" s="7">
        <v>0</v>
      </c>
      <c r="N826" s="7" t="s">
        <v>5044</v>
      </c>
      <c r="O826" s="7" t="s">
        <v>5044</v>
      </c>
      <c r="P826" s="7">
        <v>0</v>
      </c>
      <c r="Q826" s="7">
        <v>0</v>
      </c>
      <c r="R826" s="7">
        <v>0</v>
      </c>
      <c r="S826" s="7">
        <v>3</v>
      </c>
      <c r="T826" s="7">
        <v>1</v>
      </c>
      <c r="U826" s="7">
        <v>49</v>
      </c>
      <c r="V826" s="7">
        <v>0</v>
      </c>
      <c r="W826" s="7">
        <v>1</v>
      </c>
      <c r="X826" s="7">
        <v>0</v>
      </c>
      <c r="Y826" s="7">
        <v>0</v>
      </c>
      <c r="Z826" s="7">
        <v>0</v>
      </c>
      <c r="AA826" s="7">
        <v>0</v>
      </c>
      <c r="AB826" s="7">
        <v>1</v>
      </c>
      <c r="AC826" s="7">
        <v>1</v>
      </c>
      <c r="AD826" s="7" t="s">
        <v>5044</v>
      </c>
      <c r="AE826" s="7" t="s">
        <v>5044</v>
      </c>
      <c r="AF826" s="7" t="s">
        <v>5044</v>
      </c>
      <c r="AG826" s="7">
        <v>2</v>
      </c>
      <c r="AH826" s="7">
        <v>3</v>
      </c>
      <c r="AI826" s="7">
        <v>0</v>
      </c>
      <c r="AJ826" s="7" t="s">
        <v>5044</v>
      </c>
      <c r="AK826" s="7" t="s">
        <v>5318</v>
      </c>
      <c r="AL826" s="7">
        <v>0</v>
      </c>
      <c r="AM826" s="7">
        <v>0</v>
      </c>
      <c r="AN826" s="7" t="s">
        <v>5318</v>
      </c>
      <c r="AO826" s="11">
        <v>3</v>
      </c>
    </row>
    <row r="827" spans="1:41" ht="63" customHeight="1" x14ac:dyDescent="0.2">
      <c r="A827" s="7">
        <v>10190</v>
      </c>
      <c r="B827" s="7" t="s">
        <v>3764</v>
      </c>
      <c r="C827" s="7" t="s">
        <v>3765</v>
      </c>
      <c r="D827" s="7" t="s">
        <v>16</v>
      </c>
      <c r="F827" s="7" t="s">
        <v>532</v>
      </c>
      <c r="G827" s="7" t="s">
        <v>11</v>
      </c>
      <c r="H827" s="7" t="s">
        <v>43</v>
      </c>
      <c r="I827" s="7" t="s">
        <v>13</v>
      </c>
      <c r="J827" s="7" t="s">
        <v>3766</v>
      </c>
      <c r="K827" s="7" t="s">
        <v>3767</v>
      </c>
      <c r="L827" s="7" t="s">
        <v>6052</v>
      </c>
      <c r="M827" s="7">
        <v>0</v>
      </c>
      <c r="N827" s="7" t="s">
        <v>5044</v>
      </c>
      <c r="O827" s="7" t="s">
        <v>5044</v>
      </c>
      <c r="P827" s="7">
        <v>0</v>
      </c>
      <c r="Q827" s="7">
        <v>0</v>
      </c>
      <c r="R827" s="7">
        <v>0</v>
      </c>
      <c r="S827" s="7">
        <v>1</v>
      </c>
      <c r="T827" s="7">
        <v>1</v>
      </c>
      <c r="U827" s="7">
        <v>89</v>
      </c>
      <c r="V827" s="7">
        <v>0</v>
      </c>
      <c r="W827" s="7">
        <v>1</v>
      </c>
      <c r="X827" s="7">
        <v>0</v>
      </c>
      <c r="Y827" s="7">
        <v>0</v>
      </c>
      <c r="Z827" s="7">
        <v>0</v>
      </c>
      <c r="AA827" s="7">
        <v>0</v>
      </c>
      <c r="AB827" s="7">
        <v>1</v>
      </c>
      <c r="AC827" s="7">
        <v>1</v>
      </c>
      <c r="AD827" s="7" t="s">
        <v>5044</v>
      </c>
      <c r="AE827" s="7" t="s">
        <v>5044</v>
      </c>
      <c r="AF827" s="7" t="s">
        <v>5044</v>
      </c>
      <c r="AG827" s="7">
        <v>2</v>
      </c>
      <c r="AH827" s="7">
        <v>2</v>
      </c>
      <c r="AI827" s="7">
        <v>1</v>
      </c>
      <c r="AJ827" s="7" t="s">
        <v>5044</v>
      </c>
      <c r="AK827" s="7" t="s">
        <v>5318</v>
      </c>
      <c r="AL827" s="7">
        <v>0</v>
      </c>
      <c r="AM827" s="7">
        <v>0</v>
      </c>
      <c r="AN827" s="7" t="s">
        <v>5318</v>
      </c>
      <c r="AO827" s="11">
        <v>2</v>
      </c>
    </row>
    <row r="828" spans="1:41" ht="63" customHeight="1" x14ac:dyDescent="0.2">
      <c r="A828" s="7">
        <v>10199</v>
      </c>
      <c r="B828" s="7" t="s">
        <v>3768</v>
      </c>
      <c r="C828" s="7" t="s">
        <v>3769</v>
      </c>
      <c r="D828" s="7" t="s">
        <v>16</v>
      </c>
      <c r="H828" s="7" t="s">
        <v>140</v>
      </c>
      <c r="I828" s="7" t="s">
        <v>13</v>
      </c>
      <c r="J828" s="7" t="s">
        <v>3770</v>
      </c>
      <c r="K828" s="7" t="s">
        <v>3771</v>
      </c>
      <c r="L828" s="7" t="s">
        <v>6053</v>
      </c>
      <c r="M828" s="7">
        <v>0</v>
      </c>
      <c r="N828" s="7" t="s">
        <v>5044</v>
      </c>
      <c r="O828" s="7" t="s">
        <v>5044</v>
      </c>
      <c r="P828" s="7">
        <v>1</v>
      </c>
      <c r="Q828" s="7">
        <v>0</v>
      </c>
      <c r="R828" s="7">
        <v>0</v>
      </c>
      <c r="S828" s="7">
        <v>9</v>
      </c>
      <c r="T828" s="7">
        <v>2</v>
      </c>
      <c r="U828" s="7">
        <v>81</v>
      </c>
      <c r="V828" s="7">
        <v>0</v>
      </c>
      <c r="W828" s="7">
        <v>1</v>
      </c>
      <c r="X828" s="7">
        <v>0</v>
      </c>
      <c r="Y828" s="7">
        <v>0</v>
      </c>
      <c r="Z828" s="7">
        <v>1</v>
      </c>
      <c r="AA828" s="7">
        <v>0</v>
      </c>
      <c r="AB828" s="7">
        <v>1</v>
      </c>
      <c r="AC828" s="7">
        <v>1</v>
      </c>
      <c r="AD828" s="7" t="s">
        <v>5044</v>
      </c>
      <c r="AE828" s="7" t="s">
        <v>5044</v>
      </c>
      <c r="AF828" s="7" t="s">
        <v>5044</v>
      </c>
      <c r="AG828" s="7">
        <v>2</v>
      </c>
      <c r="AH828" s="7">
        <v>3</v>
      </c>
      <c r="AI828" s="7">
        <v>0</v>
      </c>
      <c r="AJ828" s="7">
        <v>0</v>
      </c>
      <c r="AK828" s="7">
        <v>1</v>
      </c>
      <c r="AL828" s="7">
        <v>1</v>
      </c>
      <c r="AM828" s="7">
        <v>0</v>
      </c>
      <c r="AN828" s="7" t="s">
        <v>6290</v>
      </c>
      <c r="AO828" s="11">
        <v>3</v>
      </c>
    </row>
    <row r="829" spans="1:41" ht="63" customHeight="1" x14ac:dyDescent="0.2">
      <c r="A829" s="7">
        <v>10203</v>
      </c>
      <c r="B829" s="7" t="s">
        <v>3772</v>
      </c>
      <c r="C829" s="7" t="s">
        <v>3773</v>
      </c>
      <c r="D829" s="7" t="s">
        <v>101</v>
      </c>
      <c r="F829" s="7" t="s">
        <v>3774</v>
      </c>
      <c r="H829" s="7" t="s">
        <v>775</v>
      </c>
      <c r="I829" s="7" t="s">
        <v>13</v>
      </c>
      <c r="J829" s="7" t="s">
        <v>3775</v>
      </c>
      <c r="K829" s="7" t="s">
        <v>3776</v>
      </c>
      <c r="L829" s="11" t="s">
        <v>5044</v>
      </c>
      <c r="M829" s="7">
        <v>0</v>
      </c>
      <c r="N829" s="7" t="s">
        <v>5044</v>
      </c>
      <c r="O829" s="7" t="s">
        <v>5044</v>
      </c>
      <c r="P829" s="7">
        <v>0</v>
      </c>
      <c r="Q829" s="7">
        <v>0</v>
      </c>
      <c r="R829" s="7">
        <v>0</v>
      </c>
      <c r="S829" s="7">
        <v>5</v>
      </c>
      <c r="T829" s="7">
        <v>1</v>
      </c>
      <c r="U829" s="7">
        <v>165</v>
      </c>
      <c r="V829" s="7">
        <v>0</v>
      </c>
      <c r="W829" s="7">
        <v>1</v>
      </c>
      <c r="X829" s="7">
        <v>0</v>
      </c>
      <c r="Y829" s="7">
        <v>0</v>
      </c>
      <c r="Z829" s="7">
        <v>0</v>
      </c>
      <c r="AA829" s="7">
        <v>0</v>
      </c>
      <c r="AB829" s="7">
        <v>1</v>
      </c>
      <c r="AC829" s="7">
        <v>1</v>
      </c>
      <c r="AD829" s="7" t="s">
        <v>5044</v>
      </c>
      <c r="AE829" s="7" t="s">
        <v>5044</v>
      </c>
      <c r="AF829" s="7" t="s">
        <v>5044</v>
      </c>
      <c r="AG829" s="7">
        <v>1</v>
      </c>
      <c r="AH829" s="7">
        <v>0</v>
      </c>
      <c r="AI829" s="7">
        <v>0</v>
      </c>
      <c r="AJ829" s="7" t="s">
        <v>5044</v>
      </c>
      <c r="AK829" s="7" t="s">
        <v>5318</v>
      </c>
      <c r="AL829" s="7">
        <v>0</v>
      </c>
      <c r="AM829" s="7">
        <v>0</v>
      </c>
      <c r="AO829" s="9">
        <v>0</v>
      </c>
    </row>
    <row r="830" spans="1:41" ht="63" customHeight="1" x14ac:dyDescent="0.2">
      <c r="A830" s="7">
        <v>10240</v>
      </c>
      <c r="B830" s="7" t="s">
        <v>3785</v>
      </c>
      <c r="C830" s="7" t="s">
        <v>3786</v>
      </c>
      <c r="D830" s="7" t="s">
        <v>56</v>
      </c>
      <c r="F830" s="7" t="s">
        <v>118</v>
      </c>
      <c r="G830" s="7" t="s">
        <v>47</v>
      </c>
      <c r="H830" s="7" t="s">
        <v>157</v>
      </c>
      <c r="I830" s="7" t="s">
        <v>13</v>
      </c>
      <c r="J830" s="7" t="s">
        <v>3787</v>
      </c>
      <c r="K830" s="7" t="s">
        <v>3788</v>
      </c>
      <c r="L830" s="7" t="s">
        <v>6058</v>
      </c>
      <c r="M830" s="7">
        <v>0</v>
      </c>
      <c r="N830" s="7" t="s">
        <v>5044</v>
      </c>
      <c r="O830" s="7" t="s">
        <v>5044</v>
      </c>
      <c r="P830" s="7">
        <v>0</v>
      </c>
      <c r="Q830" s="7">
        <v>0</v>
      </c>
      <c r="R830" s="7">
        <v>0</v>
      </c>
      <c r="S830" s="7">
        <v>5</v>
      </c>
      <c r="T830" s="7">
        <v>1</v>
      </c>
      <c r="U830" s="7">
        <v>60</v>
      </c>
      <c r="V830" s="7">
        <v>0</v>
      </c>
      <c r="W830" s="7">
        <v>1</v>
      </c>
      <c r="X830" s="7">
        <v>0</v>
      </c>
      <c r="Y830" s="7">
        <v>0</v>
      </c>
      <c r="Z830" s="7">
        <v>0</v>
      </c>
      <c r="AA830" s="7">
        <v>0</v>
      </c>
      <c r="AB830" s="7">
        <v>1</v>
      </c>
      <c r="AC830" s="7">
        <v>1</v>
      </c>
      <c r="AD830" s="7" t="s">
        <v>5044</v>
      </c>
      <c r="AE830" s="7" t="s">
        <v>5044</v>
      </c>
      <c r="AF830" s="7" t="s">
        <v>5044</v>
      </c>
      <c r="AG830" s="7">
        <v>2</v>
      </c>
      <c r="AH830" s="7">
        <v>2</v>
      </c>
      <c r="AI830" s="7">
        <v>2</v>
      </c>
      <c r="AJ830" s="7" t="s">
        <v>5044</v>
      </c>
      <c r="AK830" s="7" t="s">
        <v>6059</v>
      </c>
      <c r="AL830" s="7">
        <v>0</v>
      </c>
      <c r="AM830" s="7">
        <v>0</v>
      </c>
      <c r="AO830" s="11">
        <v>2</v>
      </c>
    </row>
    <row r="831" spans="1:41" ht="63" customHeight="1" x14ac:dyDescent="0.2">
      <c r="A831" s="7">
        <v>10241</v>
      </c>
      <c r="B831" s="7" t="s">
        <v>3789</v>
      </c>
      <c r="C831" s="7" t="s">
        <v>3790</v>
      </c>
      <c r="D831" s="7" t="s">
        <v>41</v>
      </c>
      <c r="F831" s="7" t="s">
        <v>477</v>
      </c>
      <c r="G831" s="7" t="s">
        <v>52</v>
      </c>
      <c r="H831" s="7" t="s">
        <v>1377</v>
      </c>
      <c r="I831" s="7" t="s">
        <v>13</v>
      </c>
      <c r="J831" s="7" t="s">
        <v>3791</v>
      </c>
      <c r="K831" s="7" t="s">
        <v>3792</v>
      </c>
      <c r="L831" s="7" t="s">
        <v>6060</v>
      </c>
      <c r="M831" s="7">
        <v>0</v>
      </c>
      <c r="N831" s="7" t="s">
        <v>5044</v>
      </c>
      <c r="O831" s="7" t="s">
        <v>5044</v>
      </c>
      <c r="P831" s="7">
        <v>0</v>
      </c>
      <c r="Q831" s="7">
        <v>0</v>
      </c>
      <c r="R831" s="7">
        <v>0</v>
      </c>
      <c r="S831" s="7">
        <v>5</v>
      </c>
      <c r="T831" s="7">
        <v>1</v>
      </c>
      <c r="U831" s="7">
        <v>209</v>
      </c>
      <c r="V831" s="7">
        <v>1</v>
      </c>
      <c r="W831" s="7">
        <v>0</v>
      </c>
      <c r="X831" s="7">
        <v>0</v>
      </c>
      <c r="Y831" s="7">
        <v>0</v>
      </c>
      <c r="Z831" s="7">
        <v>0</v>
      </c>
      <c r="AA831" s="7">
        <v>0</v>
      </c>
      <c r="AB831" s="7">
        <v>1</v>
      </c>
      <c r="AC831" s="7">
        <v>1</v>
      </c>
      <c r="AD831" s="7">
        <v>2</v>
      </c>
      <c r="AE831" s="7">
        <v>1</v>
      </c>
      <c r="AF831" s="7">
        <v>2</v>
      </c>
      <c r="AG831" s="7" t="s">
        <v>5044</v>
      </c>
      <c r="AH831" s="7" t="s">
        <v>5044</v>
      </c>
      <c r="AI831" s="7" t="s">
        <v>5044</v>
      </c>
      <c r="AJ831" s="7" t="s">
        <v>5044</v>
      </c>
      <c r="AK831" s="7" t="s">
        <v>6061</v>
      </c>
      <c r="AL831" s="7">
        <v>0</v>
      </c>
      <c r="AM831" s="7">
        <v>0</v>
      </c>
      <c r="AO831" s="11">
        <v>1</v>
      </c>
    </row>
    <row r="832" spans="1:41" ht="63" customHeight="1" x14ac:dyDescent="0.2">
      <c r="A832" s="7">
        <v>10253</v>
      </c>
      <c r="B832" s="23" t="s">
        <v>3793</v>
      </c>
      <c r="C832" s="7" t="s">
        <v>3794</v>
      </c>
      <c r="D832" s="7" t="s">
        <v>41</v>
      </c>
      <c r="F832" s="7" t="s">
        <v>3795</v>
      </c>
      <c r="G832" s="7" t="s">
        <v>11</v>
      </c>
      <c r="H832" s="7" t="s">
        <v>71</v>
      </c>
      <c r="I832" s="7" t="s">
        <v>13</v>
      </c>
      <c r="J832" s="7" t="s">
        <v>3796</v>
      </c>
      <c r="K832" s="7" t="s">
        <v>3797</v>
      </c>
      <c r="L832" s="7" t="s">
        <v>6032</v>
      </c>
      <c r="M832" s="7">
        <v>0</v>
      </c>
      <c r="N832" s="7" t="s">
        <v>5044</v>
      </c>
      <c r="O832" s="7" t="s">
        <v>5044</v>
      </c>
      <c r="P832" s="7">
        <v>0</v>
      </c>
      <c r="Q832" s="7">
        <v>0</v>
      </c>
      <c r="R832" s="7">
        <v>0</v>
      </c>
      <c r="S832" s="7">
        <v>9</v>
      </c>
      <c r="T832" s="7">
        <v>1</v>
      </c>
      <c r="U832" s="7">
        <v>401</v>
      </c>
      <c r="V832" s="7">
        <v>1</v>
      </c>
      <c r="W832" s="7">
        <v>0</v>
      </c>
      <c r="X832" s="7">
        <v>0</v>
      </c>
      <c r="Y832" s="7">
        <v>0</v>
      </c>
      <c r="Z832" s="7">
        <v>0</v>
      </c>
      <c r="AA832" s="7">
        <v>0</v>
      </c>
      <c r="AB832" s="7">
        <v>1</v>
      </c>
      <c r="AC832" s="7">
        <v>1</v>
      </c>
      <c r="AD832" s="7">
        <v>2</v>
      </c>
      <c r="AE832" s="7">
        <v>3</v>
      </c>
      <c r="AF832" s="7">
        <v>0</v>
      </c>
      <c r="AG832" s="23" t="s">
        <v>5044</v>
      </c>
      <c r="AH832" s="23" t="s">
        <v>5044</v>
      </c>
      <c r="AI832" s="23" t="s">
        <v>5044</v>
      </c>
      <c r="AJ832" s="7" t="s">
        <v>5044</v>
      </c>
      <c r="AK832" s="7" t="s">
        <v>5318</v>
      </c>
      <c r="AL832" s="7">
        <v>0</v>
      </c>
      <c r="AM832" s="7">
        <v>0</v>
      </c>
      <c r="AO832" s="11">
        <v>3</v>
      </c>
    </row>
    <row r="833" spans="1:41" ht="63" customHeight="1" x14ac:dyDescent="0.2">
      <c r="A833" s="7">
        <v>10260</v>
      </c>
      <c r="B833" s="7" t="s">
        <v>3798</v>
      </c>
      <c r="C833" s="7" t="s">
        <v>3799</v>
      </c>
      <c r="D833" s="7" t="s">
        <v>41</v>
      </c>
      <c r="F833" s="7" t="s">
        <v>791</v>
      </c>
      <c r="H833" s="7" t="s">
        <v>75</v>
      </c>
      <c r="I833" s="7" t="s">
        <v>13</v>
      </c>
      <c r="J833" s="7" t="s">
        <v>3800</v>
      </c>
      <c r="K833" s="7" t="s">
        <v>3801</v>
      </c>
      <c r="L833" s="7" t="s">
        <v>6063</v>
      </c>
      <c r="M833" s="7">
        <v>0</v>
      </c>
      <c r="N833" s="7" t="s">
        <v>5044</v>
      </c>
      <c r="O833" s="7" t="s">
        <v>5044</v>
      </c>
      <c r="P833" s="7">
        <v>0</v>
      </c>
      <c r="Q833" s="7">
        <v>0</v>
      </c>
      <c r="R833" s="7">
        <v>0</v>
      </c>
      <c r="S833" s="7">
        <v>1</v>
      </c>
      <c r="T833" s="7">
        <v>5</v>
      </c>
      <c r="U833" s="7">
        <v>127</v>
      </c>
      <c r="V833" s="7">
        <v>0</v>
      </c>
      <c r="W833" s="7">
        <v>1</v>
      </c>
      <c r="X833" s="7">
        <v>0</v>
      </c>
      <c r="Y833" s="7">
        <v>0</v>
      </c>
      <c r="Z833" s="7">
        <v>0</v>
      </c>
      <c r="AA833" s="7">
        <v>0</v>
      </c>
      <c r="AB833" s="7">
        <v>1</v>
      </c>
      <c r="AC833" s="7">
        <v>1</v>
      </c>
      <c r="AD833" s="7" t="s">
        <v>5044</v>
      </c>
      <c r="AE833" s="7" t="s">
        <v>5044</v>
      </c>
      <c r="AF833" s="7" t="s">
        <v>5044</v>
      </c>
      <c r="AG833" s="7">
        <v>2</v>
      </c>
      <c r="AH833" s="7">
        <v>1</v>
      </c>
      <c r="AI833" s="7">
        <v>1</v>
      </c>
      <c r="AJ833" s="7" t="s">
        <v>5044</v>
      </c>
      <c r="AK833" s="7" t="s">
        <v>6064</v>
      </c>
      <c r="AL833" s="7">
        <v>0</v>
      </c>
      <c r="AM833" s="7">
        <v>0</v>
      </c>
      <c r="AN833" s="7" t="s">
        <v>5318</v>
      </c>
      <c r="AO833" s="11">
        <v>1</v>
      </c>
    </row>
    <row r="834" spans="1:41" ht="63" customHeight="1" x14ac:dyDescent="0.2">
      <c r="A834" s="7">
        <v>10283</v>
      </c>
      <c r="B834" s="7" t="s">
        <v>3802</v>
      </c>
      <c r="C834" s="7" t="s">
        <v>3803</v>
      </c>
      <c r="D834" s="7" t="s">
        <v>41</v>
      </c>
      <c r="F834" s="7" t="s">
        <v>335</v>
      </c>
      <c r="G834" s="7" t="s">
        <v>52</v>
      </c>
      <c r="H834" s="7" t="s">
        <v>43</v>
      </c>
      <c r="I834" s="7" t="s">
        <v>13</v>
      </c>
      <c r="J834" s="7" t="s">
        <v>3804</v>
      </c>
      <c r="K834" s="7" t="s">
        <v>3805</v>
      </c>
      <c r="L834" s="7" t="s">
        <v>6065</v>
      </c>
      <c r="M834" s="7">
        <v>0</v>
      </c>
      <c r="N834" s="7" t="s">
        <v>5044</v>
      </c>
      <c r="O834" s="7" t="s">
        <v>5044</v>
      </c>
      <c r="P834" s="7">
        <v>1</v>
      </c>
      <c r="Q834" s="7">
        <v>0</v>
      </c>
      <c r="R834" s="7">
        <v>0</v>
      </c>
      <c r="S834" s="7">
        <v>1</v>
      </c>
      <c r="T834" s="7">
        <v>1</v>
      </c>
      <c r="U834" s="7">
        <v>132</v>
      </c>
      <c r="V834" s="7">
        <v>0</v>
      </c>
      <c r="W834" s="7">
        <v>1</v>
      </c>
      <c r="X834" s="7">
        <v>0</v>
      </c>
      <c r="Y834" s="7">
        <v>0</v>
      </c>
      <c r="Z834" s="7">
        <v>0</v>
      </c>
      <c r="AA834" s="7">
        <v>0</v>
      </c>
      <c r="AB834" s="7">
        <v>1</v>
      </c>
      <c r="AC834" s="7">
        <v>1</v>
      </c>
      <c r="AD834" s="7" t="s">
        <v>5044</v>
      </c>
      <c r="AE834" s="7" t="s">
        <v>5044</v>
      </c>
      <c r="AF834" s="7" t="s">
        <v>5044</v>
      </c>
      <c r="AG834" s="7">
        <v>2</v>
      </c>
      <c r="AH834" s="7">
        <v>3</v>
      </c>
      <c r="AI834" s="7">
        <v>0</v>
      </c>
      <c r="AJ834" s="7" t="s">
        <v>5044</v>
      </c>
      <c r="AK834" s="7" t="s">
        <v>6066</v>
      </c>
      <c r="AL834" s="7" t="s">
        <v>5044</v>
      </c>
      <c r="AM834" s="7">
        <v>0</v>
      </c>
      <c r="AN834" s="7" t="s">
        <v>6067</v>
      </c>
      <c r="AO834" s="11">
        <v>3</v>
      </c>
    </row>
    <row r="835" spans="1:41" ht="63" customHeight="1" x14ac:dyDescent="0.2">
      <c r="A835" s="7">
        <v>10316</v>
      </c>
      <c r="B835" s="7" t="s">
        <v>3806</v>
      </c>
      <c r="C835" s="7" t="s">
        <v>3807</v>
      </c>
      <c r="D835" s="7" t="s">
        <v>95</v>
      </c>
      <c r="F835" s="7" t="s">
        <v>1028</v>
      </c>
      <c r="G835" s="7" t="s">
        <v>144</v>
      </c>
      <c r="H835" s="7" t="s">
        <v>43</v>
      </c>
      <c r="I835" s="7" t="s">
        <v>13</v>
      </c>
      <c r="J835" s="7" t="s">
        <v>3808</v>
      </c>
      <c r="K835" s="7" t="s">
        <v>3809</v>
      </c>
      <c r="L835" s="7" t="s">
        <v>5205</v>
      </c>
      <c r="M835" s="7">
        <v>0</v>
      </c>
      <c r="N835" s="9" t="s">
        <v>5044</v>
      </c>
      <c r="O835" s="9" t="s">
        <v>5044</v>
      </c>
      <c r="P835" s="7">
        <v>0</v>
      </c>
      <c r="Q835" s="7">
        <v>0</v>
      </c>
      <c r="R835" s="7">
        <v>0</v>
      </c>
      <c r="S835" s="7">
        <v>1</v>
      </c>
      <c r="T835" s="7">
        <v>1</v>
      </c>
      <c r="U835" s="7">
        <v>494</v>
      </c>
      <c r="V835" s="7">
        <v>0</v>
      </c>
      <c r="W835" s="7">
        <v>1</v>
      </c>
      <c r="X835" s="7">
        <v>0</v>
      </c>
      <c r="Y835" s="7">
        <v>0</v>
      </c>
      <c r="Z835" s="7">
        <v>0</v>
      </c>
      <c r="AA835" s="7">
        <v>0</v>
      </c>
      <c r="AB835" s="7">
        <v>1</v>
      </c>
      <c r="AC835" s="7">
        <v>1</v>
      </c>
      <c r="AD835" s="7" t="s">
        <v>5044</v>
      </c>
      <c r="AE835" s="7" t="s">
        <v>5044</v>
      </c>
      <c r="AF835" s="7" t="s">
        <v>5044</v>
      </c>
      <c r="AG835" s="7">
        <v>2</v>
      </c>
      <c r="AH835" s="7">
        <v>3</v>
      </c>
      <c r="AI835" s="7">
        <v>0</v>
      </c>
      <c r="AJ835" s="7" t="s">
        <v>5044</v>
      </c>
      <c r="AK835" s="7">
        <v>1</v>
      </c>
      <c r="AL835" s="7">
        <v>0</v>
      </c>
      <c r="AM835" s="7">
        <v>0</v>
      </c>
      <c r="AO835" s="11">
        <v>3</v>
      </c>
    </row>
    <row r="836" spans="1:41" ht="63" customHeight="1" x14ac:dyDescent="0.2">
      <c r="A836" s="7">
        <v>10322</v>
      </c>
      <c r="B836" s="7" t="s">
        <v>3810</v>
      </c>
      <c r="C836" s="7" t="s">
        <v>3811</v>
      </c>
      <c r="D836" s="7" t="s">
        <v>25</v>
      </c>
      <c r="F836" s="7" t="s">
        <v>3812</v>
      </c>
      <c r="G836" s="7" t="s">
        <v>37</v>
      </c>
      <c r="H836" s="7" t="s">
        <v>43</v>
      </c>
      <c r="I836" s="7" t="s">
        <v>13</v>
      </c>
      <c r="J836" s="7" t="s">
        <v>3813</v>
      </c>
      <c r="K836" s="7" t="s">
        <v>3814</v>
      </c>
      <c r="L836" s="7" t="s">
        <v>5044</v>
      </c>
      <c r="M836" s="7">
        <v>0</v>
      </c>
      <c r="N836" s="9" t="s">
        <v>5044</v>
      </c>
      <c r="O836" s="9" t="s">
        <v>5044</v>
      </c>
      <c r="P836" s="7">
        <v>0</v>
      </c>
      <c r="Q836" s="7">
        <v>0</v>
      </c>
      <c r="R836" s="7">
        <v>0</v>
      </c>
      <c r="S836" s="7">
        <v>1</v>
      </c>
      <c r="T836" s="7">
        <v>1</v>
      </c>
      <c r="U836" s="7">
        <v>100</v>
      </c>
      <c r="V836" s="7">
        <v>0</v>
      </c>
      <c r="W836" s="7">
        <v>1</v>
      </c>
      <c r="X836" s="7">
        <v>0</v>
      </c>
      <c r="Y836" s="7">
        <v>0</v>
      </c>
      <c r="Z836" s="7">
        <v>0</v>
      </c>
      <c r="AA836" s="7">
        <v>0</v>
      </c>
      <c r="AB836" s="7">
        <v>1</v>
      </c>
      <c r="AC836" s="7">
        <v>1</v>
      </c>
      <c r="AD836" s="7" t="s">
        <v>5044</v>
      </c>
      <c r="AE836" s="7" t="s">
        <v>5044</v>
      </c>
      <c r="AF836" s="7" t="s">
        <v>5044</v>
      </c>
      <c r="AG836" s="7">
        <v>2</v>
      </c>
      <c r="AH836" s="7">
        <v>2</v>
      </c>
      <c r="AI836" s="7">
        <v>2</v>
      </c>
      <c r="AJ836" s="7" t="s">
        <v>5044</v>
      </c>
      <c r="AK836" s="7" t="s">
        <v>5206</v>
      </c>
      <c r="AL836" s="7">
        <v>1</v>
      </c>
      <c r="AM836" s="7">
        <v>0</v>
      </c>
      <c r="AO836" s="11">
        <v>2</v>
      </c>
    </row>
    <row r="837" spans="1:41" ht="63" customHeight="1" x14ac:dyDescent="0.2">
      <c r="A837" s="7">
        <v>10323</v>
      </c>
      <c r="B837" s="7" t="s">
        <v>3815</v>
      </c>
      <c r="C837" s="7" t="s">
        <v>3816</v>
      </c>
      <c r="D837" s="7" t="s">
        <v>74</v>
      </c>
      <c r="F837" s="7" t="s">
        <v>1206</v>
      </c>
      <c r="H837" s="7" t="s">
        <v>3501</v>
      </c>
      <c r="I837" s="7" t="s">
        <v>13</v>
      </c>
      <c r="J837" s="7" t="s">
        <v>3817</v>
      </c>
      <c r="K837" s="7" t="s">
        <v>3818</v>
      </c>
      <c r="L837" s="7" t="s">
        <v>5208</v>
      </c>
      <c r="M837" s="7">
        <v>0</v>
      </c>
      <c r="N837" s="9" t="s">
        <v>5044</v>
      </c>
      <c r="O837" s="9" t="s">
        <v>5044</v>
      </c>
      <c r="P837" s="7">
        <v>1</v>
      </c>
      <c r="Q837" s="7">
        <v>0</v>
      </c>
      <c r="R837" s="7">
        <v>0</v>
      </c>
      <c r="S837" s="7" t="s">
        <v>5207</v>
      </c>
      <c r="T837" s="7">
        <v>3</v>
      </c>
      <c r="U837" s="7">
        <v>34</v>
      </c>
      <c r="V837" s="7">
        <v>0</v>
      </c>
      <c r="W837" s="7">
        <v>1</v>
      </c>
      <c r="X837" s="7">
        <v>0</v>
      </c>
      <c r="Y837" s="7">
        <v>0</v>
      </c>
      <c r="Z837" s="7">
        <v>0</v>
      </c>
      <c r="AA837" s="7">
        <v>0</v>
      </c>
      <c r="AB837" s="7">
        <v>1</v>
      </c>
      <c r="AC837" s="7">
        <v>0</v>
      </c>
      <c r="AD837" s="7" t="s">
        <v>5044</v>
      </c>
      <c r="AE837" s="7" t="s">
        <v>5044</v>
      </c>
      <c r="AF837" s="7" t="s">
        <v>5044</v>
      </c>
      <c r="AG837" s="7">
        <v>0</v>
      </c>
      <c r="AH837" s="7" t="s">
        <v>5044</v>
      </c>
      <c r="AI837" s="7" t="s">
        <v>5044</v>
      </c>
      <c r="AJ837" s="7" t="s">
        <v>5044</v>
      </c>
      <c r="AL837" s="7">
        <v>0</v>
      </c>
      <c r="AM837" s="7">
        <v>0</v>
      </c>
      <c r="AN837" s="7" t="s">
        <v>5209</v>
      </c>
      <c r="AO837" s="11">
        <v>9</v>
      </c>
    </row>
    <row r="838" spans="1:41" ht="63" customHeight="1" x14ac:dyDescent="0.2">
      <c r="A838" s="7">
        <v>10340</v>
      </c>
      <c r="B838" s="7" t="s">
        <v>3819</v>
      </c>
      <c r="C838" s="7" t="s">
        <v>3820</v>
      </c>
      <c r="D838" s="7" t="s">
        <v>74</v>
      </c>
      <c r="F838" s="7" t="s">
        <v>31</v>
      </c>
      <c r="G838" s="7" t="s">
        <v>18</v>
      </c>
      <c r="H838" s="7" t="s">
        <v>365</v>
      </c>
      <c r="I838" s="7" t="s">
        <v>13</v>
      </c>
      <c r="J838" s="7" t="s">
        <v>3821</v>
      </c>
      <c r="K838" s="7" t="s">
        <v>3822</v>
      </c>
      <c r="L838" s="7" t="s">
        <v>5210</v>
      </c>
      <c r="M838" s="7">
        <v>0</v>
      </c>
      <c r="N838" s="9" t="s">
        <v>5044</v>
      </c>
      <c r="O838" s="9" t="s">
        <v>5044</v>
      </c>
      <c r="P838" s="7">
        <v>0</v>
      </c>
      <c r="Q838" s="7">
        <v>0</v>
      </c>
      <c r="R838" s="7">
        <v>0</v>
      </c>
      <c r="S838" s="7">
        <v>9</v>
      </c>
      <c r="T838" s="7">
        <v>4</v>
      </c>
      <c r="U838" s="7">
        <v>108</v>
      </c>
      <c r="V838" s="7">
        <v>0</v>
      </c>
      <c r="W838" s="7">
        <v>1</v>
      </c>
      <c r="X838" s="7">
        <v>0</v>
      </c>
      <c r="Y838" s="7">
        <v>0</v>
      </c>
      <c r="Z838" s="7">
        <v>0</v>
      </c>
      <c r="AA838" s="7">
        <v>0</v>
      </c>
      <c r="AB838" s="7">
        <v>1</v>
      </c>
      <c r="AC838" s="7">
        <v>1</v>
      </c>
      <c r="AD838" s="7" t="s">
        <v>5044</v>
      </c>
      <c r="AE838" s="7" t="s">
        <v>5044</v>
      </c>
      <c r="AF838" s="7" t="s">
        <v>5044</v>
      </c>
      <c r="AG838" s="7">
        <v>2</v>
      </c>
      <c r="AH838" s="7">
        <v>1</v>
      </c>
      <c r="AI838" s="7">
        <v>1</v>
      </c>
      <c r="AJ838" s="7" t="s">
        <v>5044</v>
      </c>
      <c r="AL838" s="7">
        <v>0</v>
      </c>
      <c r="AM838" s="7">
        <v>0</v>
      </c>
      <c r="AO838" s="11">
        <v>1</v>
      </c>
    </row>
    <row r="839" spans="1:41" ht="63" customHeight="1" x14ac:dyDescent="0.2">
      <c r="A839" s="7">
        <v>10345</v>
      </c>
      <c r="B839" s="7" t="s">
        <v>3823</v>
      </c>
      <c r="C839" s="7" t="s">
        <v>3824</v>
      </c>
      <c r="D839" s="7" t="s">
        <v>74</v>
      </c>
      <c r="F839" s="7" t="s">
        <v>11</v>
      </c>
      <c r="G839" s="7" t="s">
        <v>27</v>
      </c>
      <c r="H839" s="7" t="s">
        <v>3825</v>
      </c>
      <c r="I839" s="7" t="s">
        <v>13</v>
      </c>
      <c r="J839" s="7" t="s">
        <v>3826</v>
      </c>
      <c r="K839" s="7" t="s">
        <v>3827</v>
      </c>
      <c r="L839" s="7" t="s">
        <v>5211</v>
      </c>
      <c r="M839" s="7">
        <v>0</v>
      </c>
      <c r="N839" s="9" t="s">
        <v>5044</v>
      </c>
      <c r="O839" s="9" t="s">
        <v>5044</v>
      </c>
      <c r="P839" s="7">
        <v>0</v>
      </c>
      <c r="Q839" s="7">
        <v>0</v>
      </c>
      <c r="R839" s="7">
        <v>0</v>
      </c>
      <c r="S839" s="7" t="s">
        <v>6057</v>
      </c>
      <c r="T839" s="7">
        <v>1</v>
      </c>
      <c r="U839" s="7">
        <v>355</v>
      </c>
      <c r="V839" s="7">
        <v>0</v>
      </c>
      <c r="W839" s="7">
        <v>1</v>
      </c>
      <c r="X839" s="7">
        <v>0</v>
      </c>
      <c r="Y839" s="7">
        <v>0</v>
      </c>
      <c r="Z839" s="7">
        <v>0</v>
      </c>
      <c r="AA839" s="7">
        <v>0</v>
      </c>
      <c r="AB839" s="7">
        <v>1</v>
      </c>
      <c r="AC839" s="7">
        <v>1</v>
      </c>
      <c r="AD839" s="7" t="s">
        <v>5044</v>
      </c>
      <c r="AE839" s="7" t="s">
        <v>5044</v>
      </c>
      <c r="AF839" s="7" t="s">
        <v>5044</v>
      </c>
      <c r="AG839" s="7">
        <v>2</v>
      </c>
      <c r="AH839" s="7">
        <v>3</v>
      </c>
      <c r="AI839" s="7">
        <v>0</v>
      </c>
      <c r="AJ839" s="7" t="s">
        <v>5044</v>
      </c>
      <c r="AK839" s="7">
        <v>1</v>
      </c>
      <c r="AL839" s="7">
        <v>1</v>
      </c>
      <c r="AM839" s="7">
        <v>0</v>
      </c>
      <c r="AO839" s="11">
        <v>3</v>
      </c>
    </row>
    <row r="840" spans="1:41" ht="63" customHeight="1" x14ac:dyDescent="0.2">
      <c r="A840" s="7">
        <v>10352</v>
      </c>
      <c r="B840" s="7" t="s">
        <v>3828</v>
      </c>
      <c r="C840" s="7" t="s">
        <v>3829</v>
      </c>
      <c r="D840" s="7" t="s">
        <v>56</v>
      </c>
      <c r="F840" s="7" t="s">
        <v>325</v>
      </c>
      <c r="G840" s="7" t="s">
        <v>17</v>
      </c>
      <c r="H840" s="7" t="s">
        <v>238</v>
      </c>
      <c r="I840" s="7" t="s">
        <v>13</v>
      </c>
      <c r="J840" s="7" t="s">
        <v>3830</v>
      </c>
      <c r="K840" s="7" t="s">
        <v>3831</v>
      </c>
      <c r="L840" s="7" t="s">
        <v>5044</v>
      </c>
      <c r="M840" s="7">
        <v>0</v>
      </c>
      <c r="N840" s="9" t="s">
        <v>5044</v>
      </c>
      <c r="O840" s="9" t="s">
        <v>5044</v>
      </c>
      <c r="P840" s="7">
        <v>0</v>
      </c>
      <c r="Q840" s="7">
        <v>0</v>
      </c>
      <c r="R840" s="7">
        <v>0</v>
      </c>
      <c r="S840" s="7">
        <v>3</v>
      </c>
      <c r="T840" s="7">
        <v>1</v>
      </c>
      <c r="U840" s="7">
        <v>73</v>
      </c>
      <c r="V840" s="7">
        <v>0</v>
      </c>
      <c r="W840" s="7">
        <v>1</v>
      </c>
      <c r="X840" s="7">
        <v>0</v>
      </c>
      <c r="Y840" s="7">
        <v>0</v>
      </c>
      <c r="Z840" s="7">
        <v>0</v>
      </c>
      <c r="AA840" s="7">
        <v>0</v>
      </c>
      <c r="AB840" s="7">
        <v>1</v>
      </c>
      <c r="AC840" s="7">
        <v>1</v>
      </c>
      <c r="AD840" s="7" t="s">
        <v>5044</v>
      </c>
      <c r="AE840" s="7" t="s">
        <v>5044</v>
      </c>
      <c r="AF840" s="7" t="s">
        <v>5044</v>
      </c>
      <c r="AG840" s="7">
        <v>2</v>
      </c>
      <c r="AH840" s="7">
        <v>3</v>
      </c>
      <c r="AI840" s="7">
        <v>0</v>
      </c>
      <c r="AJ840" s="7" t="s">
        <v>5044</v>
      </c>
      <c r="AK840" s="7">
        <v>1</v>
      </c>
      <c r="AL840" s="7" t="s">
        <v>5041</v>
      </c>
      <c r="AM840" s="7">
        <v>0</v>
      </c>
      <c r="AN840" s="7" t="s">
        <v>5105</v>
      </c>
      <c r="AO840" s="11">
        <v>3</v>
      </c>
    </row>
    <row r="841" spans="1:41" ht="63" customHeight="1" x14ac:dyDescent="0.2">
      <c r="A841" s="7">
        <v>10354</v>
      </c>
      <c r="B841" s="7" t="s">
        <v>3832</v>
      </c>
      <c r="C841" s="7" t="s">
        <v>3833</v>
      </c>
      <c r="D841" s="7" t="s">
        <v>46</v>
      </c>
      <c r="F841" s="7" t="s">
        <v>216</v>
      </c>
      <c r="G841" s="7" t="s">
        <v>32</v>
      </c>
      <c r="H841" s="7" t="s">
        <v>3834</v>
      </c>
      <c r="I841" s="7" t="s">
        <v>13</v>
      </c>
      <c r="J841" s="7" t="s">
        <v>3835</v>
      </c>
      <c r="K841" s="7" t="s">
        <v>3836</v>
      </c>
      <c r="L841" s="7" t="s">
        <v>5212</v>
      </c>
      <c r="M841" s="7">
        <v>0</v>
      </c>
      <c r="N841" s="9" t="s">
        <v>5044</v>
      </c>
      <c r="O841" s="9" t="s">
        <v>5044</v>
      </c>
      <c r="P841" s="7">
        <v>0</v>
      </c>
      <c r="Q841" s="7">
        <v>0</v>
      </c>
      <c r="R841" s="7">
        <v>0</v>
      </c>
      <c r="S841" s="7">
        <v>1</v>
      </c>
      <c r="T841" s="7">
        <v>1</v>
      </c>
      <c r="U841" s="7">
        <v>141</v>
      </c>
      <c r="V841" s="7">
        <v>0</v>
      </c>
      <c r="W841" s="7">
        <v>1</v>
      </c>
      <c r="X841" s="7">
        <v>0</v>
      </c>
      <c r="Y841" s="7">
        <v>0</v>
      </c>
      <c r="Z841" s="7">
        <v>0</v>
      </c>
      <c r="AA841" s="7">
        <v>0</v>
      </c>
      <c r="AB841" s="7">
        <v>1</v>
      </c>
      <c r="AC841" s="7">
        <v>1</v>
      </c>
      <c r="AD841" s="7" t="s">
        <v>5044</v>
      </c>
      <c r="AE841" s="7" t="s">
        <v>5044</v>
      </c>
      <c r="AF841" s="7" t="s">
        <v>5044</v>
      </c>
      <c r="AG841" s="7">
        <v>2</v>
      </c>
      <c r="AH841" s="7">
        <v>2</v>
      </c>
      <c r="AI841" s="7">
        <v>2</v>
      </c>
      <c r="AJ841" s="7" t="s">
        <v>5044</v>
      </c>
      <c r="AL841" s="7">
        <v>0</v>
      </c>
      <c r="AM841" s="7">
        <v>0</v>
      </c>
      <c r="AO841" s="11">
        <v>2</v>
      </c>
    </row>
    <row r="842" spans="1:41" ht="63" customHeight="1" x14ac:dyDescent="0.2">
      <c r="A842" s="7">
        <v>10363</v>
      </c>
      <c r="B842" s="7" t="s">
        <v>3837</v>
      </c>
      <c r="C842" s="7" t="s">
        <v>3838</v>
      </c>
      <c r="D842" s="7" t="s">
        <v>22</v>
      </c>
      <c r="F842" s="7" t="s">
        <v>114</v>
      </c>
      <c r="G842" s="7" t="s">
        <v>48</v>
      </c>
      <c r="H842" s="7" t="s">
        <v>102</v>
      </c>
      <c r="I842" s="7" t="s">
        <v>13</v>
      </c>
      <c r="J842" s="7" t="s">
        <v>3839</v>
      </c>
      <c r="K842" s="7" t="s">
        <v>3840</v>
      </c>
      <c r="L842" s="7" t="s">
        <v>5044</v>
      </c>
      <c r="M842" s="7">
        <v>0</v>
      </c>
      <c r="N842" s="9" t="s">
        <v>5044</v>
      </c>
      <c r="O842" s="9" t="s">
        <v>5044</v>
      </c>
      <c r="P842" s="7">
        <v>0</v>
      </c>
      <c r="Q842" s="7">
        <v>0</v>
      </c>
      <c r="R842" s="7">
        <v>0</v>
      </c>
      <c r="S842" s="7">
        <v>3</v>
      </c>
      <c r="T842" s="7">
        <v>1</v>
      </c>
      <c r="U842" s="7">
        <v>95</v>
      </c>
      <c r="V842" s="7">
        <v>0</v>
      </c>
      <c r="W842" s="7">
        <v>1</v>
      </c>
      <c r="X842" s="7">
        <v>0</v>
      </c>
      <c r="Y842" s="7">
        <v>0</v>
      </c>
      <c r="Z842" s="7">
        <v>0</v>
      </c>
      <c r="AA842" s="7">
        <v>0</v>
      </c>
      <c r="AB842" s="7">
        <v>1</v>
      </c>
      <c r="AC842" s="7">
        <v>1</v>
      </c>
      <c r="AD842" s="7" t="s">
        <v>5044</v>
      </c>
      <c r="AE842" s="7" t="s">
        <v>5044</v>
      </c>
      <c r="AF842" s="7" t="s">
        <v>5044</v>
      </c>
      <c r="AG842" s="7">
        <v>1</v>
      </c>
      <c r="AH842" s="7">
        <v>0</v>
      </c>
      <c r="AI842" s="7">
        <v>0</v>
      </c>
      <c r="AJ842" s="7" t="s">
        <v>5044</v>
      </c>
      <c r="AK842" s="7" t="s">
        <v>5213</v>
      </c>
      <c r="AL842" s="7">
        <v>0</v>
      </c>
      <c r="AM842" s="7">
        <v>0</v>
      </c>
      <c r="AO842" s="9">
        <v>0</v>
      </c>
    </row>
    <row r="843" spans="1:41" ht="63" customHeight="1" x14ac:dyDescent="0.2">
      <c r="A843" s="7">
        <v>10427</v>
      </c>
      <c r="B843" s="7" t="s">
        <v>3845</v>
      </c>
      <c r="C843" s="7" t="s">
        <v>3846</v>
      </c>
      <c r="D843" s="7" t="s">
        <v>74</v>
      </c>
      <c r="F843" s="7" t="s">
        <v>3847</v>
      </c>
      <c r="G843" s="7" t="s">
        <v>3848</v>
      </c>
      <c r="H843" s="7" t="s">
        <v>180</v>
      </c>
      <c r="I843" s="7" t="s">
        <v>13</v>
      </c>
      <c r="J843" s="7" t="s">
        <v>3849</v>
      </c>
      <c r="K843" s="7" t="s">
        <v>3850</v>
      </c>
      <c r="L843" s="7" t="s">
        <v>5216</v>
      </c>
      <c r="M843" s="7">
        <v>0</v>
      </c>
      <c r="N843" s="9" t="s">
        <v>5044</v>
      </c>
      <c r="O843" s="9" t="s">
        <v>5044</v>
      </c>
      <c r="P843" s="7">
        <v>0</v>
      </c>
      <c r="Q843" s="7">
        <v>0</v>
      </c>
      <c r="R843" s="7">
        <v>0</v>
      </c>
      <c r="S843" s="7">
        <v>1</v>
      </c>
      <c r="T843" s="7">
        <v>1</v>
      </c>
      <c r="U843" s="7">
        <v>1066</v>
      </c>
      <c r="V843" s="7">
        <v>0</v>
      </c>
      <c r="W843" s="7">
        <v>1</v>
      </c>
      <c r="X843" s="7">
        <v>0</v>
      </c>
      <c r="Y843" s="7">
        <v>0</v>
      </c>
      <c r="Z843" s="7">
        <v>1</v>
      </c>
      <c r="AA843" s="7">
        <v>0</v>
      </c>
      <c r="AB843" s="7">
        <v>1</v>
      </c>
      <c r="AC843" s="7">
        <v>1</v>
      </c>
      <c r="AD843" s="7" t="s">
        <v>5044</v>
      </c>
      <c r="AE843" s="7" t="s">
        <v>5044</v>
      </c>
      <c r="AF843" s="7" t="s">
        <v>5044</v>
      </c>
      <c r="AG843" s="7">
        <v>2</v>
      </c>
      <c r="AH843" s="7">
        <v>3</v>
      </c>
      <c r="AI843" s="7">
        <v>0</v>
      </c>
      <c r="AJ843" s="7">
        <v>0</v>
      </c>
      <c r="AK843" s="7" t="s">
        <v>6503</v>
      </c>
      <c r="AL843" s="7">
        <v>1</v>
      </c>
      <c r="AM843" s="7">
        <v>0</v>
      </c>
      <c r="AN843" s="7" t="s">
        <v>5217</v>
      </c>
      <c r="AO843" s="11">
        <v>3</v>
      </c>
    </row>
    <row r="844" spans="1:41" ht="63" customHeight="1" x14ac:dyDescent="0.2">
      <c r="A844" s="7">
        <v>10436</v>
      </c>
      <c r="B844" s="7" t="s">
        <v>3851</v>
      </c>
      <c r="C844" s="7" t="s">
        <v>3852</v>
      </c>
      <c r="D844" s="7" t="s">
        <v>22</v>
      </c>
      <c r="F844" s="7" t="s">
        <v>543</v>
      </c>
      <c r="G844" s="7" t="s">
        <v>52</v>
      </c>
      <c r="H844" s="7" t="s">
        <v>71</v>
      </c>
      <c r="I844" s="7" t="s">
        <v>13</v>
      </c>
      <c r="J844" s="7" t="s">
        <v>3853</v>
      </c>
      <c r="K844" s="7" t="s">
        <v>3854</v>
      </c>
      <c r="L844" s="7" t="s">
        <v>5218</v>
      </c>
      <c r="M844" s="7">
        <v>0</v>
      </c>
      <c r="N844" s="9" t="s">
        <v>5044</v>
      </c>
      <c r="O844" s="9" t="s">
        <v>5044</v>
      </c>
      <c r="P844" s="7">
        <v>0</v>
      </c>
      <c r="Q844" s="7">
        <v>0</v>
      </c>
      <c r="R844" s="7">
        <v>0</v>
      </c>
      <c r="S844" s="7">
        <v>1</v>
      </c>
      <c r="T844" s="7">
        <v>3</v>
      </c>
      <c r="U844" s="7">
        <v>201</v>
      </c>
      <c r="V844" s="7">
        <v>1</v>
      </c>
      <c r="W844" s="7">
        <v>1</v>
      </c>
      <c r="X844" s="7">
        <v>0</v>
      </c>
      <c r="Y844" s="7">
        <v>0</v>
      </c>
      <c r="Z844" s="7">
        <v>0</v>
      </c>
      <c r="AA844" s="7">
        <v>0</v>
      </c>
      <c r="AB844" s="7">
        <v>1</v>
      </c>
      <c r="AC844" s="7">
        <v>1</v>
      </c>
      <c r="AD844" s="7">
        <v>0</v>
      </c>
      <c r="AE844" s="7" t="s">
        <v>5044</v>
      </c>
      <c r="AF844" s="7" t="s">
        <v>5044</v>
      </c>
      <c r="AG844" s="7">
        <v>2</v>
      </c>
      <c r="AH844" s="7">
        <v>2</v>
      </c>
      <c r="AI844" s="7">
        <v>2</v>
      </c>
      <c r="AJ844" s="7" t="s">
        <v>5044</v>
      </c>
      <c r="AK844" s="7" t="s">
        <v>5219</v>
      </c>
      <c r="AL844" s="7">
        <v>1</v>
      </c>
      <c r="AM844" s="7">
        <v>0</v>
      </c>
      <c r="AN844" s="7" t="s">
        <v>5217</v>
      </c>
      <c r="AO844" s="11">
        <v>2</v>
      </c>
    </row>
    <row r="845" spans="1:41" ht="63" customHeight="1" x14ac:dyDescent="0.2">
      <c r="A845" s="7">
        <v>10446</v>
      </c>
      <c r="B845" s="7" t="s">
        <v>3859</v>
      </c>
      <c r="C845" s="7" t="s">
        <v>3860</v>
      </c>
      <c r="D845" s="7" t="s">
        <v>16</v>
      </c>
      <c r="F845" s="7" t="s">
        <v>48</v>
      </c>
      <c r="G845" s="7" t="s">
        <v>27</v>
      </c>
      <c r="H845" s="7" t="s">
        <v>3861</v>
      </c>
      <c r="I845" s="7" t="s">
        <v>13</v>
      </c>
      <c r="J845" s="7" t="s">
        <v>3862</v>
      </c>
      <c r="K845" s="7" t="s">
        <v>3863</v>
      </c>
      <c r="L845" s="7" t="s">
        <v>5234</v>
      </c>
      <c r="M845" s="7">
        <v>0</v>
      </c>
      <c r="N845" s="9" t="s">
        <v>5044</v>
      </c>
      <c r="O845" s="9" t="s">
        <v>5044</v>
      </c>
      <c r="P845" s="7">
        <v>0</v>
      </c>
      <c r="Q845" s="7">
        <v>0</v>
      </c>
      <c r="R845" s="7">
        <v>0</v>
      </c>
      <c r="S845" s="7" t="s">
        <v>5170</v>
      </c>
      <c r="T845" s="7">
        <v>1</v>
      </c>
      <c r="U845" s="7">
        <v>142</v>
      </c>
      <c r="V845" s="7">
        <v>0</v>
      </c>
      <c r="W845" s="7">
        <v>1</v>
      </c>
      <c r="X845" s="7">
        <v>0</v>
      </c>
      <c r="Y845" s="7">
        <v>0</v>
      </c>
      <c r="Z845" s="7">
        <v>0</v>
      </c>
      <c r="AA845" s="7">
        <v>0</v>
      </c>
      <c r="AB845" s="7">
        <v>1</v>
      </c>
      <c r="AC845" s="7">
        <v>1</v>
      </c>
      <c r="AD845" s="7" t="s">
        <v>5044</v>
      </c>
      <c r="AE845" s="7" t="s">
        <v>5044</v>
      </c>
      <c r="AF845" s="7" t="s">
        <v>5044</v>
      </c>
      <c r="AG845" s="7">
        <v>1</v>
      </c>
      <c r="AH845" s="7">
        <v>0</v>
      </c>
      <c r="AI845" s="7">
        <v>0</v>
      </c>
      <c r="AJ845" s="7" t="s">
        <v>5044</v>
      </c>
      <c r="AL845" s="7">
        <v>0</v>
      </c>
      <c r="AM845" s="7">
        <v>0</v>
      </c>
      <c r="AO845" s="9">
        <v>0</v>
      </c>
    </row>
    <row r="846" spans="1:41" ht="63" customHeight="1" x14ac:dyDescent="0.2">
      <c r="A846" s="7">
        <v>10451</v>
      </c>
      <c r="B846" s="7" t="s">
        <v>3864</v>
      </c>
      <c r="C846" s="7" t="s">
        <v>3865</v>
      </c>
      <c r="D846" s="7" t="s">
        <v>41</v>
      </c>
      <c r="F846" s="7" t="s">
        <v>107</v>
      </c>
      <c r="G846" s="7" t="s">
        <v>52</v>
      </c>
      <c r="H846" s="7" t="s">
        <v>656</v>
      </c>
      <c r="I846" s="7" t="s">
        <v>13</v>
      </c>
      <c r="J846" s="7" t="s">
        <v>3866</v>
      </c>
      <c r="K846" s="7" t="s">
        <v>3867</v>
      </c>
      <c r="L846" s="7" t="s">
        <v>5235</v>
      </c>
      <c r="M846" s="7">
        <v>0</v>
      </c>
      <c r="N846" s="9" t="s">
        <v>5044</v>
      </c>
      <c r="O846" s="9" t="s">
        <v>5044</v>
      </c>
      <c r="P846" s="7">
        <v>0</v>
      </c>
      <c r="Q846" s="7">
        <v>0</v>
      </c>
      <c r="R846" s="7">
        <v>0</v>
      </c>
      <c r="S846" s="7">
        <v>1</v>
      </c>
      <c r="T846" s="7">
        <v>3</v>
      </c>
      <c r="U846" s="7">
        <v>176</v>
      </c>
      <c r="V846" s="7">
        <v>0</v>
      </c>
      <c r="W846" s="7">
        <v>1</v>
      </c>
      <c r="X846" s="7">
        <v>0</v>
      </c>
      <c r="Y846" s="7">
        <v>0</v>
      </c>
      <c r="Z846" s="7">
        <v>0</v>
      </c>
      <c r="AA846" s="7">
        <v>0</v>
      </c>
      <c r="AB846" s="7">
        <v>1</v>
      </c>
      <c r="AC846" s="7">
        <v>1</v>
      </c>
      <c r="AD846" s="7" t="s">
        <v>5044</v>
      </c>
      <c r="AE846" s="7" t="s">
        <v>5044</v>
      </c>
      <c r="AF846" s="7" t="s">
        <v>5044</v>
      </c>
      <c r="AG846" s="7">
        <v>2</v>
      </c>
      <c r="AH846" s="7">
        <v>3</v>
      </c>
      <c r="AI846" s="7">
        <v>0</v>
      </c>
      <c r="AJ846" s="7" t="s">
        <v>5044</v>
      </c>
      <c r="AL846" s="7" t="s">
        <v>5044</v>
      </c>
      <c r="AM846" s="7">
        <v>0</v>
      </c>
      <c r="AN846" s="7" t="s">
        <v>5105</v>
      </c>
      <c r="AO846" s="11">
        <v>3</v>
      </c>
    </row>
    <row r="847" spans="1:41" ht="63" customHeight="1" x14ac:dyDescent="0.2">
      <c r="A847" s="7">
        <v>10460</v>
      </c>
      <c r="B847" s="7" t="s">
        <v>3868</v>
      </c>
      <c r="C847" s="7" t="s">
        <v>3869</v>
      </c>
      <c r="D847" s="7" t="s">
        <v>101</v>
      </c>
      <c r="F847" s="7" t="s">
        <v>932</v>
      </c>
      <c r="G847" s="7" t="s">
        <v>47</v>
      </c>
      <c r="H847" s="7" t="s">
        <v>38</v>
      </c>
      <c r="I847" s="7" t="s">
        <v>13</v>
      </c>
      <c r="J847" s="7" t="s">
        <v>3870</v>
      </c>
      <c r="K847" s="7" t="s">
        <v>3871</v>
      </c>
      <c r="L847" s="7" t="s">
        <v>5236</v>
      </c>
      <c r="M847" s="7">
        <v>0</v>
      </c>
      <c r="N847" s="9" t="s">
        <v>5044</v>
      </c>
      <c r="O847" s="9" t="s">
        <v>5044</v>
      </c>
      <c r="P847" s="7">
        <v>0</v>
      </c>
      <c r="Q847" s="7">
        <v>0</v>
      </c>
      <c r="R847" s="7">
        <v>0</v>
      </c>
      <c r="S847" s="7">
        <v>1</v>
      </c>
      <c r="T847" s="7">
        <v>1</v>
      </c>
      <c r="U847" s="7">
        <v>212</v>
      </c>
      <c r="V847" s="7">
        <v>0</v>
      </c>
      <c r="W847" s="7">
        <v>1</v>
      </c>
      <c r="X847" s="7">
        <v>0</v>
      </c>
      <c r="Y847" s="7">
        <v>0</v>
      </c>
      <c r="Z847" s="7">
        <v>0</v>
      </c>
      <c r="AA847" s="7">
        <v>0</v>
      </c>
      <c r="AB847" s="7">
        <v>1</v>
      </c>
      <c r="AC847" s="7">
        <v>1</v>
      </c>
      <c r="AD847" s="7" t="s">
        <v>5044</v>
      </c>
      <c r="AE847" s="7" t="s">
        <v>5044</v>
      </c>
      <c r="AF847" s="7" t="s">
        <v>5044</v>
      </c>
      <c r="AG847" s="7">
        <v>2</v>
      </c>
      <c r="AH847" s="7">
        <v>2</v>
      </c>
      <c r="AI847" s="7">
        <v>2</v>
      </c>
      <c r="AJ847" s="7" t="s">
        <v>5044</v>
      </c>
      <c r="AL847" s="7">
        <v>0</v>
      </c>
      <c r="AM847" s="7">
        <v>0</v>
      </c>
      <c r="AO847" s="11">
        <v>2</v>
      </c>
    </row>
    <row r="848" spans="1:41" ht="63" customHeight="1" x14ac:dyDescent="0.2">
      <c r="A848" s="7">
        <v>10465</v>
      </c>
      <c r="B848" s="7" t="s">
        <v>3872</v>
      </c>
      <c r="C848" s="7" t="s">
        <v>3873</v>
      </c>
      <c r="D848" s="7" t="s">
        <v>149</v>
      </c>
      <c r="F848" s="7" t="s">
        <v>98</v>
      </c>
      <c r="G848" s="7" t="s">
        <v>32</v>
      </c>
      <c r="H848" s="7" t="s">
        <v>3874</v>
      </c>
      <c r="I848" s="7" t="s">
        <v>13</v>
      </c>
      <c r="J848" s="7" t="s">
        <v>3875</v>
      </c>
      <c r="K848" s="7" t="s">
        <v>3876</v>
      </c>
      <c r="L848" s="7" t="s">
        <v>5044</v>
      </c>
      <c r="M848" s="7">
        <v>0</v>
      </c>
      <c r="N848" s="9" t="s">
        <v>5044</v>
      </c>
      <c r="O848" s="9" t="s">
        <v>5044</v>
      </c>
      <c r="P848" s="7">
        <v>0</v>
      </c>
      <c r="Q848" s="7">
        <v>0</v>
      </c>
      <c r="R848" s="7">
        <v>0</v>
      </c>
      <c r="S848" s="7">
        <v>3</v>
      </c>
      <c r="T848" s="7">
        <v>1</v>
      </c>
      <c r="U848" s="7">
        <v>215</v>
      </c>
      <c r="V848" s="7">
        <v>1</v>
      </c>
      <c r="W848" s="7">
        <v>0</v>
      </c>
      <c r="X848" s="7">
        <v>0</v>
      </c>
      <c r="Y848" s="7">
        <v>0</v>
      </c>
      <c r="Z848" s="7">
        <v>0</v>
      </c>
      <c r="AA848" s="7">
        <v>0</v>
      </c>
      <c r="AB848" s="7">
        <v>1</v>
      </c>
      <c r="AC848" s="7">
        <v>1</v>
      </c>
      <c r="AD848" s="7">
        <v>1</v>
      </c>
      <c r="AE848" s="7">
        <v>0</v>
      </c>
      <c r="AF848" s="7">
        <v>0</v>
      </c>
      <c r="AG848" s="7" t="s">
        <v>5044</v>
      </c>
      <c r="AH848" s="7" t="s">
        <v>5044</v>
      </c>
      <c r="AI848" s="7" t="s">
        <v>5044</v>
      </c>
      <c r="AJ848" s="7" t="s">
        <v>5044</v>
      </c>
      <c r="AL848" s="7">
        <v>0</v>
      </c>
      <c r="AM848" s="7">
        <v>0</v>
      </c>
      <c r="AO848" s="9">
        <v>0</v>
      </c>
    </row>
    <row r="849" spans="1:41" ht="63" customHeight="1" x14ac:dyDescent="0.2">
      <c r="A849" s="7">
        <v>10468</v>
      </c>
      <c r="B849" s="7" t="s">
        <v>3877</v>
      </c>
      <c r="C849" s="7" t="s">
        <v>3878</v>
      </c>
      <c r="D849" s="7" t="s">
        <v>101</v>
      </c>
      <c r="F849" s="7" t="s">
        <v>197</v>
      </c>
      <c r="G849" s="7" t="s">
        <v>52</v>
      </c>
      <c r="H849" s="7" t="s">
        <v>160</v>
      </c>
      <c r="I849" s="7" t="s">
        <v>13</v>
      </c>
      <c r="J849" s="7" t="s">
        <v>3879</v>
      </c>
      <c r="K849" s="7" t="s">
        <v>3880</v>
      </c>
      <c r="L849" s="8" t="s">
        <v>5237</v>
      </c>
      <c r="M849" s="7">
        <v>0</v>
      </c>
      <c r="N849" s="9" t="s">
        <v>5044</v>
      </c>
      <c r="O849" s="9" t="s">
        <v>5044</v>
      </c>
      <c r="P849" s="7">
        <v>0</v>
      </c>
      <c r="Q849" s="7">
        <v>0</v>
      </c>
      <c r="R849" s="7">
        <v>0</v>
      </c>
      <c r="S849" s="7">
        <v>1</v>
      </c>
      <c r="T849" s="7">
        <v>1</v>
      </c>
      <c r="U849" s="7">
        <v>252</v>
      </c>
      <c r="V849" s="7">
        <v>0</v>
      </c>
      <c r="W849" s="7">
        <v>1</v>
      </c>
      <c r="X849" s="7">
        <v>0</v>
      </c>
      <c r="Y849" s="7">
        <v>0</v>
      </c>
      <c r="Z849" s="7">
        <v>0</v>
      </c>
      <c r="AA849" s="7">
        <v>0</v>
      </c>
      <c r="AB849" s="7">
        <v>1</v>
      </c>
      <c r="AC849" s="7">
        <v>1</v>
      </c>
      <c r="AD849" s="7" t="s">
        <v>5044</v>
      </c>
      <c r="AE849" s="7" t="s">
        <v>5044</v>
      </c>
      <c r="AF849" s="7" t="s">
        <v>5044</v>
      </c>
      <c r="AG849" s="7">
        <v>1</v>
      </c>
      <c r="AH849" s="7">
        <v>0</v>
      </c>
      <c r="AI849" s="7">
        <v>0</v>
      </c>
      <c r="AJ849" s="7" t="s">
        <v>5044</v>
      </c>
      <c r="AL849" s="7">
        <v>0</v>
      </c>
      <c r="AM849" s="7">
        <v>0</v>
      </c>
      <c r="AO849" s="9">
        <v>0</v>
      </c>
    </row>
    <row r="850" spans="1:41" ht="63" customHeight="1" x14ac:dyDescent="0.2">
      <c r="A850" s="7">
        <v>10470</v>
      </c>
      <c r="B850" s="7" t="s">
        <v>3881</v>
      </c>
      <c r="C850" s="7" t="s">
        <v>3882</v>
      </c>
      <c r="D850" s="7" t="s">
        <v>16</v>
      </c>
      <c r="F850" s="7" t="s">
        <v>237</v>
      </c>
      <c r="G850" s="7" t="s">
        <v>168</v>
      </c>
      <c r="H850" s="7" t="s">
        <v>198</v>
      </c>
      <c r="I850" s="7" t="s">
        <v>13</v>
      </c>
      <c r="J850" s="7" t="s">
        <v>3883</v>
      </c>
      <c r="K850" s="7" t="s">
        <v>3884</v>
      </c>
      <c r="L850" s="7" t="s">
        <v>5328</v>
      </c>
      <c r="M850" s="7">
        <v>0</v>
      </c>
      <c r="N850" s="9" t="s">
        <v>5044</v>
      </c>
      <c r="O850" s="9" t="s">
        <v>5044</v>
      </c>
      <c r="P850" s="7">
        <v>0</v>
      </c>
      <c r="Q850" s="7">
        <v>0</v>
      </c>
      <c r="R850" s="7">
        <v>0</v>
      </c>
      <c r="S850" s="7">
        <v>11</v>
      </c>
      <c r="T850" s="7">
        <v>3</v>
      </c>
      <c r="U850" s="7">
        <v>40</v>
      </c>
      <c r="V850" s="7">
        <v>0</v>
      </c>
      <c r="W850" s="7">
        <v>1</v>
      </c>
      <c r="X850" s="7">
        <v>0</v>
      </c>
      <c r="Y850" s="7">
        <v>0</v>
      </c>
      <c r="Z850" s="7">
        <v>0</v>
      </c>
      <c r="AA850" s="7">
        <v>0</v>
      </c>
      <c r="AB850" s="7">
        <v>1</v>
      </c>
      <c r="AC850" s="7">
        <v>0</v>
      </c>
      <c r="AD850" s="7" t="s">
        <v>5044</v>
      </c>
      <c r="AE850" s="7" t="s">
        <v>5044</v>
      </c>
      <c r="AF850" s="7" t="s">
        <v>5044</v>
      </c>
      <c r="AG850" s="7">
        <v>0</v>
      </c>
      <c r="AH850" s="7" t="s">
        <v>5044</v>
      </c>
      <c r="AI850" s="7" t="s">
        <v>5044</v>
      </c>
      <c r="AJ850" s="7" t="s">
        <v>5044</v>
      </c>
      <c r="AL850" s="7">
        <v>1</v>
      </c>
      <c r="AM850" s="7">
        <v>0</v>
      </c>
      <c r="AO850" s="11">
        <v>9</v>
      </c>
    </row>
    <row r="851" spans="1:41" ht="63" customHeight="1" x14ac:dyDescent="0.2">
      <c r="A851" s="7">
        <v>10479</v>
      </c>
      <c r="B851" s="7" t="s">
        <v>3885</v>
      </c>
      <c r="C851" s="7" t="s">
        <v>3886</v>
      </c>
      <c r="D851" s="7" t="s">
        <v>22</v>
      </c>
      <c r="F851" s="7" t="s">
        <v>154</v>
      </c>
      <c r="G851" s="7" t="s">
        <v>175</v>
      </c>
      <c r="H851" s="7" t="s">
        <v>38</v>
      </c>
      <c r="I851" s="7" t="s">
        <v>13</v>
      </c>
      <c r="J851" s="7" t="s">
        <v>3887</v>
      </c>
      <c r="K851" s="7" t="s">
        <v>3888</v>
      </c>
      <c r="L851" s="7" t="s">
        <v>5238</v>
      </c>
      <c r="M851" s="7">
        <v>0</v>
      </c>
      <c r="N851" s="9" t="s">
        <v>5044</v>
      </c>
      <c r="O851" s="9" t="s">
        <v>5044</v>
      </c>
      <c r="P851" s="7">
        <v>0</v>
      </c>
      <c r="Q851" s="7">
        <v>0</v>
      </c>
      <c r="R851" s="7">
        <v>0</v>
      </c>
      <c r="S851" s="7">
        <v>1</v>
      </c>
      <c r="T851" s="7">
        <v>1</v>
      </c>
      <c r="U851" s="7">
        <v>2000</v>
      </c>
      <c r="V851" s="7">
        <v>0</v>
      </c>
      <c r="W851" s="7">
        <v>1</v>
      </c>
      <c r="X851" s="7">
        <v>0</v>
      </c>
      <c r="Y851" s="7">
        <v>0</v>
      </c>
      <c r="Z851" s="7">
        <v>0</v>
      </c>
      <c r="AA851" s="7">
        <v>0</v>
      </c>
      <c r="AB851" s="7">
        <v>1</v>
      </c>
      <c r="AC851" s="7">
        <v>0</v>
      </c>
      <c r="AD851" s="7" t="s">
        <v>5044</v>
      </c>
      <c r="AE851" s="7" t="s">
        <v>5044</v>
      </c>
      <c r="AF851" s="7" t="s">
        <v>5044</v>
      </c>
      <c r="AG851" s="7">
        <v>0</v>
      </c>
      <c r="AH851" s="7" t="s">
        <v>5044</v>
      </c>
      <c r="AI851" s="7" t="s">
        <v>5044</v>
      </c>
      <c r="AJ851" s="7" t="s">
        <v>5044</v>
      </c>
      <c r="AL851" s="7">
        <v>0</v>
      </c>
      <c r="AM851" s="7">
        <v>0</v>
      </c>
      <c r="AO851" s="11">
        <v>9</v>
      </c>
    </row>
    <row r="852" spans="1:41" ht="63" customHeight="1" x14ac:dyDescent="0.2">
      <c r="A852" s="7">
        <v>10483</v>
      </c>
      <c r="B852" s="7" t="s">
        <v>3889</v>
      </c>
      <c r="C852" s="7" t="s">
        <v>3890</v>
      </c>
      <c r="D852" s="7" t="s">
        <v>16</v>
      </c>
      <c r="F852" s="7" t="s">
        <v>587</v>
      </c>
      <c r="G852" s="7" t="s">
        <v>144</v>
      </c>
      <c r="H852" s="7" t="s">
        <v>102</v>
      </c>
      <c r="I852" s="7" t="s">
        <v>13</v>
      </c>
      <c r="J852" s="7" t="s">
        <v>3891</v>
      </c>
      <c r="K852" s="7" t="s">
        <v>3892</v>
      </c>
      <c r="L852" s="7" t="s">
        <v>5239</v>
      </c>
      <c r="M852" s="7">
        <v>0</v>
      </c>
      <c r="N852" s="9" t="s">
        <v>5044</v>
      </c>
      <c r="O852" s="9" t="s">
        <v>5044</v>
      </c>
      <c r="P852" s="7">
        <v>0</v>
      </c>
      <c r="Q852" s="7">
        <v>0</v>
      </c>
      <c r="R852" s="7">
        <v>0</v>
      </c>
      <c r="S852" s="7">
        <v>3</v>
      </c>
      <c r="T852" s="7">
        <v>1</v>
      </c>
      <c r="U852" s="7">
        <v>689</v>
      </c>
      <c r="V852" s="7">
        <v>0</v>
      </c>
      <c r="W852" s="7">
        <v>1</v>
      </c>
      <c r="X852" s="7">
        <v>0</v>
      </c>
      <c r="Y852" s="7">
        <v>0</v>
      </c>
      <c r="Z852" s="7">
        <v>0</v>
      </c>
      <c r="AA852" s="7">
        <v>0</v>
      </c>
      <c r="AB852" s="7">
        <v>1</v>
      </c>
      <c r="AC852" s="7">
        <v>1</v>
      </c>
      <c r="AD852" s="7" t="s">
        <v>5044</v>
      </c>
      <c r="AE852" s="7" t="s">
        <v>5044</v>
      </c>
      <c r="AF852" s="7" t="s">
        <v>5044</v>
      </c>
      <c r="AG852" s="7">
        <v>1</v>
      </c>
      <c r="AH852" s="7">
        <v>0</v>
      </c>
      <c r="AI852" s="7">
        <v>0</v>
      </c>
      <c r="AJ852" s="7" t="s">
        <v>5044</v>
      </c>
      <c r="AL852" s="7">
        <v>0</v>
      </c>
      <c r="AM852" s="7">
        <v>0</v>
      </c>
      <c r="AO852" s="9">
        <v>0</v>
      </c>
    </row>
    <row r="853" spans="1:41" ht="63" customHeight="1" x14ac:dyDescent="0.2">
      <c r="A853" s="7">
        <v>10488</v>
      </c>
      <c r="B853" s="7" t="s">
        <v>3893</v>
      </c>
      <c r="C853" s="7" t="s">
        <v>3894</v>
      </c>
      <c r="D853" s="7" t="s">
        <v>95</v>
      </c>
      <c r="F853" s="7" t="s">
        <v>322</v>
      </c>
      <c r="G853" s="7" t="s">
        <v>18</v>
      </c>
      <c r="H853" s="7" t="s">
        <v>89</v>
      </c>
      <c r="I853" s="7" t="s">
        <v>13</v>
      </c>
      <c r="J853" s="7" t="s">
        <v>3895</v>
      </c>
      <c r="K853" s="7" t="s">
        <v>3896</v>
      </c>
      <c r="L853" s="7" t="s">
        <v>5240</v>
      </c>
      <c r="M853" s="7">
        <v>0</v>
      </c>
      <c r="N853" s="9" t="s">
        <v>5044</v>
      </c>
      <c r="O853" s="9" t="s">
        <v>5044</v>
      </c>
      <c r="P853" s="7">
        <v>0</v>
      </c>
      <c r="Q853" s="7">
        <v>0</v>
      </c>
      <c r="R853" s="7">
        <v>0</v>
      </c>
      <c r="S853" s="7">
        <v>9</v>
      </c>
      <c r="T853" s="7">
        <v>1</v>
      </c>
      <c r="U853" s="7">
        <v>180</v>
      </c>
      <c r="V853" s="7">
        <v>0</v>
      </c>
      <c r="W853" s="7">
        <v>1</v>
      </c>
      <c r="X853" s="7">
        <v>0</v>
      </c>
      <c r="Y853" s="7">
        <v>0</v>
      </c>
      <c r="Z853" s="7">
        <v>0</v>
      </c>
      <c r="AA853" s="7">
        <v>0</v>
      </c>
      <c r="AB853" s="7">
        <v>1</v>
      </c>
      <c r="AC853" s="7">
        <v>1</v>
      </c>
      <c r="AD853" s="7" t="s">
        <v>5044</v>
      </c>
      <c r="AE853" s="7" t="s">
        <v>5044</v>
      </c>
      <c r="AF853" s="7" t="s">
        <v>5044</v>
      </c>
      <c r="AG853" s="7">
        <v>2</v>
      </c>
      <c r="AH853" s="7">
        <v>3</v>
      </c>
      <c r="AI853" s="7">
        <v>0</v>
      </c>
      <c r="AJ853" s="7" t="s">
        <v>5044</v>
      </c>
      <c r="AK853" s="7">
        <v>1</v>
      </c>
      <c r="AM853" s="7">
        <v>0</v>
      </c>
      <c r="AO853" s="11">
        <v>3</v>
      </c>
    </row>
    <row r="854" spans="1:41" ht="63" customHeight="1" x14ac:dyDescent="0.2">
      <c r="A854" s="7">
        <v>10516</v>
      </c>
      <c r="B854" s="7" t="s">
        <v>3906</v>
      </c>
      <c r="C854" s="7" t="s">
        <v>3907</v>
      </c>
      <c r="D854" s="7" t="s">
        <v>41</v>
      </c>
      <c r="F854" s="7" t="s">
        <v>114</v>
      </c>
      <c r="G854" s="7" t="s">
        <v>144</v>
      </c>
      <c r="H854" s="7" t="s">
        <v>3908</v>
      </c>
      <c r="I854" s="7" t="s">
        <v>13</v>
      </c>
      <c r="J854" s="7" t="s">
        <v>3909</v>
      </c>
      <c r="K854" s="7" t="s">
        <v>3910</v>
      </c>
      <c r="L854" s="7" t="s">
        <v>5044</v>
      </c>
      <c r="M854" s="7">
        <v>0</v>
      </c>
      <c r="N854" s="9" t="s">
        <v>5044</v>
      </c>
      <c r="O854" s="9" t="s">
        <v>5044</v>
      </c>
      <c r="P854" s="7">
        <v>0</v>
      </c>
      <c r="Q854" s="7">
        <v>0</v>
      </c>
      <c r="R854" s="7">
        <v>0</v>
      </c>
      <c r="S854" s="20" t="s">
        <v>5207</v>
      </c>
      <c r="T854" s="7">
        <v>3</v>
      </c>
      <c r="U854" s="7">
        <v>64</v>
      </c>
      <c r="V854" s="7">
        <v>1</v>
      </c>
      <c r="W854" s="7">
        <v>0</v>
      </c>
      <c r="X854" s="7">
        <v>0</v>
      </c>
      <c r="Y854" s="7">
        <v>0</v>
      </c>
      <c r="Z854" s="7">
        <v>0</v>
      </c>
      <c r="AA854" s="7">
        <v>0</v>
      </c>
      <c r="AB854" s="7">
        <v>1</v>
      </c>
      <c r="AC854" s="7">
        <v>0</v>
      </c>
      <c r="AD854" s="7">
        <v>0</v>
      </c>
      <c r="AE854" s="7" t="s">
        <v>5044</v>
      </c>
      <c r="AF854" s="7" t="s">
        <v>5044</v>
      </c>
      <c r="AG854" s="7" t="s">
        <v>5044</v>
      </c>
      <c r="AH854" s="7" t="s">
        <v>5044</v>
      </c>
      <c r="AI854" s="7" t="s">
        <v>5044</v>
      </c>
      <c r="AJ854" s="7" t="s">
        <v>5044</v>
      </c>
      <c r="AL854" s="7">
        <v>1</v>
      </c>
      <c r="AM854" s="7">
        <v>0</v>
      </c>
      <c r="AO854" s="7">
        <v>9</v>
      </c>
    </row>
    <row r="855" spans="1:41" ht="63" customHeight="1" x14ac:dyDescent="0.2">
      <c r="A855" s="7">
        <v>10522</v>
      </c>
      <c r="B855" s="7" t="s">
        <v>3911</v>
      </c>
      <c r="C855" s="7" t="s">
        <v>3912</v>
      </c>
      <c r="D855" s="7" t="s">
        <v>35</v>
      </c>
      <c r="F855" s="7" t="s">
        <v>3913</v>
      </c>
      <c r="G855" s="7" t="s">
        <v>32</v>
      </c>
      <c r="H855" s="7" t="s">
        <v>43</v>
      </c>
      <c r="I855" s="7" t="s">
        <v>13</v>
      </c>
      <c r="J855" s="7" t="s">
        <v>3914</v>
      </c>
      <c r="K855" s="7" t="s">
        <v>3915</v>
      </c>
      <c r="L855" s="7" t="s">
        <v>5243</v>
      </c>
      <c r="M855" s="7">
        <v>0</v>
      </c>
      <c r="N855" s="9" t="s">
        <v>5044</v>
      </c>
      <c r="O855" s="9" t="s">
        <v>5044</v>
      </c>
      <c r="P855" s="7">
        <v>0</v>
      </c>
      <c r="Q855" s="7">
        <v>0</v>
      </c>
      <c r="R855" s="7">
        <v>0</v>
      </c>
      <c r="S855" s="7">
        <v>1</v>
      </c>
      <c r="T855" s="7">
        <v>1</v>
      </c>
      <c r="U855" s="7">
        <v>310</v>
      </c>
      <c r="V855" s="7">
        <v>0</v>
      </c>
      <c r="W855" s="7">
        <v>1</v>
      </c>
      <c r="X855" s="7">
        <v>0</v>
      </c>
      <c r="Y855" s="7">
        <v>0</v>
      </c>
      <c r="Z855" s="7">
        <v>0</v>
      </c>
      <c r="AA855" s="7">
        <v>0</v>
      </c>
      <c r="AB855" s="7">
        <v>1</v>
      </c>
      <c r="AC855" s="7">
        <v>1</v>
      </c>
      <c r="AD855" s="7" t="s">
        <v>5044</v>
      </c>
      <c r="AE855" s="7" t="s">
        <v>5044</v>
      </c>
      <c r="AF855" s="7" t="s">
        <v>5044</v>
      </c>
      <c r="AG855" s="7">
        <v>2</v>
      </c>
      <c r="AH855" s="7">
        <v>3</v>
      </c>
      <c r="AI855" s="7">
        <v>0</v>
      </c>
      <c r="AJ855" s="7" t="s">
        <v>5044</v>
      </c>
      <c r="AL855" s="7">
        <v>0</v>
      </c>
      <c r="AM855" s="7">
        <v>0</v>
      </c>
      <c r="AO855" s="11">
        <v>3</v>
      </c>
    </row>
    <row r="856" spans="1:41" ht="63" customHeight="1" x14ac:dyDescent="0.2">
      <c r="A856" s="7">
        <v>10530</v>
      </c>
      <c r="B856" s="7" t="s">
        <v>3916</v>
      </c>
      <c r="C856" s="7" t="s">
        <v>3917</v>
      </c>
      <c r="D856" s="7" t="s">
        <v>46</v>
      </c>
      <c r="F856" s="7" t="s">
        <v>372</v>
      </c>
      <c r="G856" s="7" t="s">
        <v>144</v>
      </c>
      <c r="H856" s="7" t="s">
        <v>3918</v>
      </c>
      <c r="I856" s="7" t="s">
        <v>13</v>
      </c>
      <c r="J856" s="7" t="s">
        <v>3919</v>
      </c>
      <c r="K856" s="7" t="s">
        <v>3920</v>
      </c>
      <c r="L856" s="7" t="s">
        <v>5329</v>
      </c>
      <c r="M856" s="7">
        <v>0</v>
      </c>
      <c r="N856" s="9" t="s">
        <v>5044</v>
      </c>
      <c r="O856" s="9" t="s">
        <v>5044</v>
      </c>
      <c r="P856" s="7">
        <v>1</v>
      </c>
      <c r="Q856" s="7">
        <v>0</v>
      </c>
      <c r="R856" s="7">
        <v>0</v>
      </c>
      <c r="S856" s="7">
        <v>1</v>
      </c>
      <c r="T856" s="7">
        <v>3</v>
      </c>
      <c r="U856" s="7">
        <v>36</v>
      </c>
      <c r="V856" s="7">
        <v>0</v>
      </c>
      <c r="W856" s="7">
        <v>1</v>
      </c>
      <c r="X856" s="7">
        <v>0</v>
      </c>
      <c r="Y856" s="7">
        <v>0</v>
      </c>
      <c r="Z856" s="7">
        <v>0</v>
      </c>
      <c r="AA856" s="7">
        <v>0</v>
      </c>
      <c r="AB856" s="7">
        <v>1</v>
      </c>
      <c r="AC856" s="7">
        <v>1</v>
      </c>
      <c r="AD856" s="7" t="s">
        <v>5044</v>
      </c>
      <c r="AE856" s="7" t="s">
        <v>5044</v>
      </c>
      <c r="AF856" s="7" t="s">
        <v>5044</v>
      </c>
      <c r="AG856" s="7">
        <v>2</v>
      </c>
      <c r="AH856" s="7">
        <v>1</v>
      </c>
      <c r="AI856" s="7">
        <v>4</v>
      </c>
      <c r="AJ856" s="7" t="s">
        <v>5044</v>
      </c>
      <c r="AL856" s="7" t="s">
        <v>5044</v>
      </c>
      <c r="AM856" s="7">
        <v>0</v>
      </c>
      <c r="AO856" s="11">
        <v>1</v>
      </c>
    </row>
    <row r="857" spans="1:41" ht="63" customHeight="1" x14ac:dyDescent="0.2">
      <c r="A857" s="7">
        <v>10541</v>
      </c>
      <c r="B857" s="7" t="s">
        <v>3925</v>
      </c>
      <c r="C857" s="7" t="s">
        <v>3926</v>
      </c>
      <c r="D857" s="7" t="s">
        <v>101</v>
      </c>
      <c r="F857" s="7" t="s">
        <v>37</v>
      </c>
      <c r="G857" s="7" t="s">
        <v>32</v>
      </c>
      <c r="H857" s="7" t="s">
        <v>3927</v>
      </c>
      <c r="I857" s="7" t="s">
        <v>13</v>
      </c>
      <c r="J857" s="7" t="s">
        <v>3928</v>
      </c>
      <c r="K857" s="7" t="s">
        <v>3929</v>
      </c>
      <c r="L857" s="7" t="s">
        <v>5332</v>
      </c>
      <c r="M857" s="7">
        <v>0</v>
      </c>
      <c r="N857" s="9" t="s">
        <v>5044</v>
      </c>
      <c r="O857" s="9" t="s">
        <v>5044</v>
      </c>
      <c r="P857" s="7">
        <v>0</v>
      </c>
      <c r="Q857" s="7">
        <v>0</v>
      </c>
      <c r="R857" s="7">
        <v>0</v>
      </c>
      <c r="S857" s="7">
        <v>1</v>
      </c>
      <c r="T857" s="7">
        <v>4</v>
      </c>
      <c r="U857" s="7">
        <v>208</v>
      </c>
      <c r="V857" s="7">
        <v>0</v>
      </c>
      <c r="W857" s="7">
        <v>1</v>
      </c>
      <c r="X857" s="7">
        <v>0</v>
      </c>
      <c r="Y857" s="7">
        <v>0</v>
      </c>
      <c r="Z857" s="7">
        <v>0</v>
      </c>
      <c r="AA857" s="7">
        <v>0</v>
      </c>
      <c r="AB857" s="7">
        <v>1</v>
      </c>
      <c r="AC857" s="7">
        <v>1</v>
      </c>
      <c r="AD857" s="7" t="s">
        <v>5044</v>
      </c>
      <c r="AE857" s="7" t="s">
        <v>5044</v>
      </c>
      <c r="AF857" s="7" t="s">
        <v>5044</v>
      </c>
      <c r="AG857" s="7">
        <v>2</v>
      </c>
      <c r="AH857" s="7">
        <v>3</v>
      </c>
      <c r="AI857" s="7">
        <v>0</v>
      </c>
      <c r="AJ857" s="7" t="s">
        <v>5044</v>
      </c>
      <c r="AL857" s="7" t="s">
        <v>5041</v>
      </c>
      <c r="AM857" s="7">
        <v>0</v>
      </c>
      <c r="AO857" s="11">
        <v>3</v>
      </c>
    </row>
    <row r="858" spans="1:41" ht="63" customHeight="1" x14ac:dyDescent="0.2">
      <c r="A858" s="7">
        <v>10544</v>
      </c>
      <c r="B858" s="7" t="s">
        <v>3930</v>
      </c>
      <c r="C858" s="7" t="s">
        <v>3931</v>
      </c>
      <c r="D858" s="7" t="s">
        <v>95</v>
      </c>
      <c r="F858" s="7" t="s">
        <v>338</v>
      </c>
      <c r="G858" s="7" t="s">
        <v>18</v>
      </c>
      <c r="H858" s="7" t="s">
        <v>2612</v>
      </c>
      <c r="I858" s="7" t="s">
        <v>13</v>
      </c>
      <c r="J858" s="7" t="s">
        <v>3932</v>
      </c>
      <c r="K858" s="7" t="s">
        <v>3933</v>
      </c>
      <c r="L858" s="7" t="s">
        <v>5333</v>
      </c>
      <c r="M858" s="7">
        <v>0</v>
      </c>
      <c r="N858" s="9" t="s">
        <v>5044</v>
      </c>
      <c r="O858" s="7">
        <v>0</v>
      </c>
      <c r="P858" s="7">
        <v>0</v>
      </c>
      <c r="Q858" s="7">
        <v>0</v>
      </c>
      <c r="R858" s="7">
        <v>0</v>
      </c>
      <c r="S858" s="7">
        <v>13</v>
      </c>
      <c r="T858" s="7">
        <v>2</v>
      </c>
      <c r="U858" s="7">
        <v>288</v>
      </c>
      <c r="V858" s="7">
        <v>0</v>
      </c>
      <c r="W858" s="7">
        <v>1</v>
      </c>
      <c r="X858" s="7">
        <v>0</v>
      </c>
      <c r="Y858" s="7">
        <v>0</v>
      </c>
      <c r="Z858" s="7">
        <v>0</v>
      </c>
      <c r="AA858" s="7">
        <v>0</v>
      </c>
      <c r="AB858" s="7">
        <v>1</v>
      </c>
      <c r="AC858" s="7">
        <v>1</v>
      </c>
      <c r="AD858" s="7" t="s">
        <v>5044</v>
      </c>
      <c r="AE858" s="7" t="s">
        <v>5044</v>
      </c>
      <c r="AF858" s="7" t="s">
        <v>5044</v>
      </c>
      <c r="AG858" s="7">
        <v>2</v>
      </c>
      <c r="AH858" s="7">
        <v>3</v>
      </c>
      <c r="AI858" s="7">
        <v>0</v>
      </c>
      <c r="AJ858" s="7" t="s">
        <v>5044</v>
      </c>
      <c r="AL858" s="7">
        <v>1</v>
      </c>
      <c r="AM858" s="7">
        <v>0</v>
      </c>
      <c r="AO858" s="11">
        <v>3</v>
      </c>
    </row>
    <row r="859" spans="1:41" ht="63" customHeight="1" x14ac:dyDescent="0.2">
      <c r="A859" s="7">
        <v>10556</v>
      </c>
      <c r="B859" s="7" t="s">
        <v>3934</v>
      </c>
      <c r="C859" s="7" t="s">
        <v>3935</v>
      </c>
      <c r="D859" s="7" t="s">
        <v>16</v>
      </c>
      <c r="F859" s="7" t="s">
        <v>280</v>
      </c>
      <c r="G859" s="7" t="s">
        <v>144</v>
      </c>
      <c r="H859" s="7" t="s">
        <v>1043</v>
      </c>
      <c r="I859" s="7" t="s">
        <v>13</v>
      </c>
      <c r="J859" s="7" t="s">
        <v>3936</v>
      </c>
      <c r="K859" s="7" t="s">
        <v>3937</v>
      </c>
      <c r="L859" s="7" t="s">
        <v>5334</v>
      </c>
      <c r="M859" s="7">
        <v>0</v>
      </c>
      <c r="N859" s="9" t="s">
        <v>5044</v>
      </c>
      <c r="O859" s="9" t="s">
        <v>5044</v>
      </c>
      <c r="P859" s="7">
        <v>0</v>
      </c>
      <c r="Q859" s="7">
        <v>0</v>
      </c>
      <c r="R859" s="7">
        <v>0</v>
      </c>
      <c r="S859" s="7">
        <v>3</v>
      </c>
      <c r="T859" s="7">
        <v>4</v>
      </c>
      <c r="U859" s="7">
        <v>150</v>
      </c>
      <c r="V859" s="7">
        <v>0</v>
      </c>
      <c r="W859" s="7">
        <v>1</v>
      </c>
      <c r="X859" s="7">
        <v>0</v>
      </c>
      <c r="Y859" s="7">
        <v>0</v>
      </c>
      <c r="Z859" s="7">
        <v>0</v>
      </c>
      <c r="AA859" s="7">
        <v>0</v>
      </c>
      <c r="AB859" s="7">
        <v>1</v>
      </c>
      <c r="AC859" s="7">
        <v>1</v>
      </c>
      <c r="AD859" s="7" t="s">
        <v>5044</v>
      </c>
      <c r="AE859" s="7" t="s">
        <v>5044</v>
      </c>
      <c r="AF859" s="7" t="s">
        <v>5044</v>
      </c>
      <c r="AG859" s="7">
        <v>1</v>
      </c>
      <c r="AH859" s="7">
        <v>0</v>
      </c>
      <c r="AI859" s="7">
        <v>0</v>
      </c>
      <c r="AJ859" s="7" t="s">
        <v>5044</v>
      </c>
      <c r="AL859" s="7">
        <v>1</v>
      </c>
      <c r="AM859" s="7">
        <v>0</v>
      </c>
      <c r="AO859" s="9">
        <v>0</v>
      </c>
    </row>
    <row r="860" spans="1:41" ht="63" customHeight="1" x14ac:dyDescent="0.2">
      <c r="A860" s="7">
        <v>10566</v>
      </c>
      <c r="B860" s="7" t="s">
        <v>3938</v>
      </c>
      <c r="C860" s="7" t="s">
        <v>3939</v>
      </c>
      <c r="D860" s="7" t="s">
        <v>341</v>
      </c>
      <c r="F860" s="7" t="s">
        <v>869</v>
      </c>
      <c r="G860" s="7" t="s">
        <v>37</v>
      </c>
      <c r="H860" s="7" t="s">
        <v>43</v>
      </c>
      <c r="I860" s="7" t="s">
        <v>13</v>
      </c>
      <c r="J860" s="7" t="s">
        <v>3940</v>
      </c>
      <c r="K860" s="7" t="s">
        <v>3941</v>
      </c>
      <c r="L860" s="7" t="s">
        <v>5335</v>
      </c>
      <c r="M860" s="7">
        <v>0</v>
      </c>
      <c r="N860" s="9" t="s">
        <v>5044</v>
      </c>
      <c r="O860" s="9" t="s">
        <v>5044</v>
      </c>
      <c r="P860" s="7">
        <v>0</v>
      </c>
      <c r="Q860" s="7">
        <v>0</v>
      </c>
      <c r="R860" s="7">
        <v>0</v>
      </c>
      <c r="S860" s="7">
        <v>5</v>
      </c>
      <c r="T860" s="7">
        <v>1</v>
      </c>
      <c r="U860" s="7">
        <v>52</v>
      </c>
      <c r="V860" s="7">
        <v>0</v>
      </c>
      <c r="W860" s="7">
        <v>1</v>
      </c>
      <c r="X860" s="7">
        <v>0</v>
      </c>
      <c r="Y860" s="7">
        <v>0</v>
      </c>
      <c r="Z860" s="7">
        <v>0</v>
      </c>
      <c r="AA860" s="7">
        <v>0</v>
      </c>
      <c r="AB860" s="7">
        <v>1</v>
      </c>
      <c r="AC860" s="7">
        <v>1</v>
      </c>
      <c r="AD860" s="7" t="s">
        <v>5044</v>
      </c>
      <c r="AE860" s="7" t="s">
        <v>5044</v>
      </c>
      <c r="AF860" s="7" t="s">
        <v>5044</v>
      </c>
      <c r="AG860" s="7">
        <v>2</v>
      </c>
      <c r="AH860" s="7">
        <v>3</v>
      </c>
      <c r="AI860" s="7">
        <v>0</v>
      </c>
      <c r="AJ860" s="7" t="s">
        <v>5044</v>
      </c>
      <c r="AL860" s="7">
        <v>0</v>
      </c>
      <c r="AM860" s="7">
        <v>0</v>
      </c>
      <c r="AO860" s="11">
        <v>3</v>
      </c>
    </row>
    <row r="861" spans="1:41" ht="63" customHeight="1" x14ac:dyDescent="0.2">
      <c r="A861" s="7">
        <v>10571</v>
      </c>
      <c r="B861" s="7" t="s">
        <v>3942</v>
      </c>
      <c r="C861" s="7" t="s">
        <v>3943</v>
      </c>
      <c r="D861" s="7" t="s">
        <v>30</v>
      </c>
      <c r="F861" s="7" t="s">
        <v>2974</v>
      </c>
      <c r="G861" s="7" t="s">
        <v>37</v>
      </c>
      <c r="H861" s="7" t="s">
        <v>679</v>
      </c>
      <c r="I861" s="7" t="s">
        <v>13</v>
      </c>
      <c r="J861" s="7" t="s">
        <v>3944</v>
      </c>
      <c r="K861" s="7" t="s">
        <v>3945</v>
      </c>
      <c r="L861" s="7" t="s">
        <v>5044</v>
      </c>
      <c r="M861" s="7">
        <v>0</v>
      </c>
      <c r="N861" s="9" t="s">
        <v>5044</v>
      </c>
      <c r="O861" s="9" t="s">
        <v>5044</v>
      </c>
      <c r="P861" s="7">
        <v>0</v>
      </c>
      <c r="Q861" s="7">
        <v>0</v>
      </c>
      <c r="R861" s="7">
        <v>0</v>
      </c>
      <c r="S861" s="7">
        <v>3</v>
      </c>
      <c r="T861" s="7">
        <v>1</v>
      </c>
      <c r="U861" s="7">
        <v>132</v>
      </c>
      <c r="V861" s="7">
        <v>1</v>
      </c>
      <c r="W861" s="7">
        <v>0</v>
      </c>
      <c r="X861" s="7">
        <v>0</v>
      </c>
      <c r="Y861" s="7">
        <v>0</v>
      </c>
      <c r="Z861" s="7">
        <v>0</v>
      </c>
      <c r="AA861" s="7">
        <v>0</v>
      </c>
      <c r="AB861" s="7">
        <v>1</v>
      </c>
      <c r="AC861" s="7">
        <v>0</v>
      </c>
      <c r="AD861" s="7">
        <v>0</v>
      </c>
      <c r="AE861" s="7" t="s">
        <v>5044</v>
      </c>
      <c r="AF861" s="7" t="s">
        <v>5044</v>
      </c>
      <c r="AG861" s="7" t="s">
        <v>5044</v>
      </c>
      <c r="AH861" s="7" t="s">
        <v>5044</v>
      </c>
      <c r="AI861" s="7" t="s">
        <v>5044</v>
      </c>
      <c r="AJ861" s="7" t="s">
        <v>5044</v>
      </c>
      <c r="AL861" s="7">
        <v>0</v>
      </c>
      <c r="AM861" s="7">
        <v>0</v>
      </c>
      <c r="AO861" s="7">
        <v>9</v>
      </c>
    </row>
    <row r="862" spans="1:41" ht="63" customHeight="1" x14ac:dyDescent="0.2">
      <c r="A862" s="7">
        <v>10575</v>
      </c>
      <c r="B862" s="7" t="s">
        <v>3946</v>
      </c>
      <c r="C862" s="7" t="s">
        <v>3947</v>
      </c>
      <c r="D862" s="7" t="s">
        <v>95</v>
      </c>
      <c r="F862" s="7" t="s">
        <v>1028</v>
      </c>
      <c r="G862" s="7" t="s">
        <v>32</v>
      </c>
      <c r="H862" s="7" t="s">
        <v>43</v>
      </c>
      <c r="I862" s="7" t="s">
        <v>13</v>
      </c>
      <c r="J862" s="7" t="s">
        <v>3948</v>
      </c>
      <c r="K862" s="7" t="s">
        <v>3949</v>
      </c>
      <c r="L862" s="7" t="s">
        <v>5336</v>
      </c>
      <c r="M862" s="7">
        <v>0</v>
      </c>
      <c r="N862" s="9" t="s">
        <v>5044</v>
      </c>
      <c r="O862" s="9" t="s">
        <v>5044</v>
      </c>
      <c r="P862" s="7">
        <v>0</v>
      </c>
      <c r="Q862" s="7">
        <v>0</v>
      </c>
      <c r="R862" s="7">
        <v>0</v>
      </c>
      <c r="S862" s="7">
        <v>11</v>
      </c>
      <c r="T862" s="7">
        <v>1</v>
      </c>
      <c r="U862" s="7">
        <v>127</v>
      </c>
      <c r="V862" s="7">
        <v>1</v>
      </c>
      <c r="W862" s="7">
        <v>0</v>
      </c>
      <c r="X862" s="7">
        <v>0</v>
      </c>
      <c r="Y862" s="7">
        <v>0</v>
      </c>
      <c r="Z862" s="7">
        <v>1</v>
      </c>
      <c r="AA862" s="7">
        <v>0</v>
      </c>
      <c r="AB862" s="7">
        <v>1</v>
      </c>
      <c r="AC862" s="7">
        <v>1</v>
      </c>
      <c r="AD862" s="7">
        <v>1</v>
      </c>
      <c r="AE862" s="7">
        <v>0</v>
      </c>
      <c r="AF862" s="7">
        <v>0</v>
      </c>
      <c r="AG862" s="7" t="s">
        <v>5044</v>
      </c>
      <c r="AH862" s="7" t="s">
        <v>5044</v>
      </c>
      <c r="AI862" s="7" t="s">
        <v>5044</v>
      </c>
      <c r="AJ862" s="7">
        <v>0</v>
      </c>
      <c r="AL862" s="7">
        <v>1</v>
      </c>
      <c r="AM862" s="7">
        <v>0</v>
      </c>
      <c r="AO862" s="9">
        <v>0</v>
      </c>
    </row>
    <row r="863" spans="1:41" ht="63" customHeight="1" x14ac:dyDescent="0.2">
      <c r="A863" s="7">
        <v>10588</v>
      </c>
      <c r="B863" s="7" t="s">
        <v>3950</v>
      </c>
      <c r="C863" s="7" t="s">
        <v>3951</v>
      </c>
      <c r="D863" s="7" t="s">
        <v>149</v>
      </c>
      <c r="F863" s="7" t="s">
        <v>194</v>
      </c>
      <c r="G863" s="7" t="s">
        <v>144</v>
      </c>
      <c r="H863" s="7" t="s">
        <v>3952</v>
      </c>
      <c r="I863" s="7" t="s">
        <v>13</v>
      </c>
      <c r="J863" s="7" t="s">
        <v>3953</v>
      </c>
      <c r="K863" s="7" t="s">
        <v>3954</v>
      </c>
      <c r="L863" s="7" t="s">
        <v>5044</v>
      </c>
      <c r="M863" s="7">
        <v>0</v>
      </c>
      <c r="N863" s="9" t="s">
        <v>5044</v>
      </c>
      <c r="O863" s="9" t="s">
        <v>5044</v>
      </c>
      <c r="P863" s="7">
        <v>0</v>
      </c>
      <c r="Q863" s="7">
        <v>0</v>
      </c>
      <c r="R863" s="7">
        <v>0</v>
      </c>
      <c r="S863" s="7">
        <v>3</v>
      </c>
      <c r="T863" s="7">
        <v>1</v>
      </c>
      <c r="U863" s="7">
        <v>62</v>
      </c>
      <c r="V863" s="7">
        <v>0</v>
      </c>
      <c r="W863" s="7">
        <v>1</v>
      </c>
      <c r="X863" s="7">
        <v>0</v>
      </c>
      <c r="Y863" s="7">
        <v>0</v>
      </c>
      <c r="Z863" s="7">
        <v>0</v>
      </c>
      <c r="AA863" s="7">
        <v>0</v>
      </c>
      <c r="AB863" s="7">
        <v>1</v>
      </c>
      <c r="AC863" s="7">
        <v>1</v>
      </c>
      <c r="AD863" s="7" t="s">
        <v>5044</v>
      </c>
      <c r="AE863" s="7" t="s">
        <v>5044</v>
      </c>
      <c r="AF863" s="7" t="s">
        <v>5044</v>
      </c>
      <c r="AG863" s="7">
        <v>2</v>
      </c>
      <c r="AH863" s="7">
        <v>3</v>
      </c>
      <c r="AI863" s="7">
        <v>0</v>
      </c>
      <c r="AJ863" s="7" t="s">
        <v>5044</v>
      </c>
      <c r="AL863" s="7">
        <v>1</v>
      </c>
      <c r="AM863" s="7">
        <v>0</v>
      </c>
      <c r="AO863" s="11">
        <v>3</v>
      </c>
    </row>
    <row r="864" spans="1:41" ht="63" customHeight="1" x14ac:dyDescent="0.2">
      <c r="A864" s="7">
        <v>10591</v>
      </c>
      <c r="B864" s="7" t="s">
        <v>3955</v>
      </c>
      <c r="C864" s="7" t="s">
        <v>3956</v>
      </c>
      <c r="D864" s="7" t="s">
        <v>16</v>
      </c>
      <c r="F864" s="7" t="s">
        <v>587</v>
      </c>
      <c r="G864" s="7" t="s">
        <v>47</v>
      </c>
      <c r="H864" s="7" t="s">
        <v>329</v>
      </c>
      <c r="I864" s="7" t="s">
        <v>437</v>
      </c>
      <c r="J864" s="7" t="s">
        <v>3957</v>
      </c>
      <c r="K864" s="7" t="s">
        <v>3958</v>
      </c>
      <c r="L864" s="7" t="s">
        <v>5337</v>
      </c>
      <c r="M864" s="7">
        <v>0</v>
      </c>
      <c r="N864" s="9" t="s">
        <v>5044</v>
      </c>
      <c r="O864" s="9" t="s">
        <v>5044</v>
      </c>
      <c r="P864" s="7">
        <v>0</v>
      </c>
      <c r="Q864" s="7">
        <v>0</v>
      </c>
      <c r="R864" s="7">
        <v>0</v>
      </c>
      <c r="S864" s="7">
        <v>13</v>
      </c>
      <c r="T864" s="7">
        <v>4</v>
      </c>
      <c r="U864" s="7">
        <v>166</v>
      </c>
      <c r="V864" s="7">
        <v>0</v>
      </c>
      <c r="W864" s="7">
        <v>1</v>
      </c>
      <c r="X864" s="7">
        <v>0</v>
      </c>
      <c r="Y864" s="7">
        <v>0</v>
      </c>
      <c r="Z864" s="7">
        <v>0</v>
      </c>
      <c r="AA864" s="7">
        <v>0</v>
      </c>
      <c r="AB864" s="7">
        <v>1</v>
      </c>
      <c r="AC864" s="7">
        <v>1</v>
      </c>
      <c r="AD864" s="7" t="s">
        <v>5044</v>
      </c>
      <c r="AE864" s="7" t="s">
        <v>5044</v>
      </c>
      <c r="AF864" s="7" t="s">
        <v>5044</v>
      </c>
      <c r="AG864" s="7">
        <v>2</v>
      </c>
      <c r="AH864" s="7">
        <v>3</v>
      </c>
      <c r="AI864" s="7">
        <v>0</v>
      </c>
      <c r="AJ864" s="7" t="s">
        <v>5044</v>
      </c>
      <c r="AL864" s="7">
        <v>1</v>
      </c>
      <c r="AM864" s="7">
        <v>0</v>
      </c>
      <c r="AO864" s="11">
        <v>3</v>
      </c>
    </row>
    <row r="865" spans="1:41" ht="63" customHeight="1" x14ac:dyDescent="0.2">
      <c r="A865" s="7">
        <v>10595</v>
      </c>
      <c r="B865" s="7" t="s">
        <v>3963</v>
      </c>
      <c r="C865" s="7" t="s">
        <v>3964</v>
      </c>
      <c r="D865" s="7" t="s">
        <v>16</v>
      </c>
      <c r="F865" s="7" t="s">
        <v>186</v>
      </c>
      <c r="G865" s="7" t="s">
        <v>32</v>
      </c>
      <c r="H865" s="7" t="s">
        <v>43</v>
      </c>
      <c r="I865" s="7" t="s">
        <v>13</v>
      </c>
      <c r="J865" s="7" t="s">
        <v>3965</v>
      </c>
      <c r="K865" s="7" t="s">
        <v>3966</v>
      </c>
      <c r="L865" s="7" t="s">
        <v>5339</v>
      </c>
      <c r="M865" s="7">
        <v>0</v>
      </c>
      <c r="N865" s="9" t="s">
        <v>5044</v>
      </c>
      <c r="O865" s="9" t="s">
        <v>5044</v>
      </c>
      <c r="P865" s="7">
        <v>0</v>
      </c>
      <c r="Q865" s="7">
        <v>0</v>
      </c>
      <c r="R865" s="7">
        <v>0</v>
      </c>
      <c r="S865" s="7">
        <v>1</v>
      </c>
      <c r="T865" s="7">
        <v>4</v>
      </c>
      <c r="U865" s="7">
        <v>312</v>
      </c>
      <c r="V865" s="7">
        <v>1</v>
      </c>
      <c r="W865" s="7">
        <v>0</v>
      </c>
      <c r="X865" s="7">
        <v>0</v>
      </c>
      <c r="Y865" s="7">
        <v>0</v>
      </c>
      <c r="Z865" s="7">
        <v>1</v>
      </c>
      <c r="AA865" s="7">
        <v>0</v>
      </c>
      <c r="AB865" s="7">
        <v>1</v>
      </c>
      <c r="AC865" s="7">
        <v>1</v>
      </c>
      <c r="AD865" s="7">
        <v>1</v>
      </c>
      <c r="AE865" s="7">
        <v>0</v>
      </c>
      <c r="AF865" s="7">
        <v>0</v>
      </c>
      <c r="AG865" s="7" t="s">
        <v>5044</v>
      </c>
      <c r="AH865" s="7" t="s">
        <v>5044</v>
      </c>
      <c r="AI865" s="7" t="s">
        <v>5044</v>
      </c>
      <c r="AJ865" s="7">
        <v>0</v>
      </c>
      <c r="AL865" s="7">
        <v>0</v>
      </c>
      <c r="AM865" s="7">
        <v>0</v>
      </c>
      <c r="AO865" s="9">
        <v>0</v>
      </c>
    </row>
    <row r="866" spans="1:41" ht="63" customHeight="1" x14ac:dyDescent="0.2">
      <c r="A866" s="7">
        <v>10596</v>
      </c>
      <c r="B866" s="7" t="s">
        <v>3967</v>
      </c>
      <c r="C866" s="7" t="s">
        <v>3968</v>
      </c>
      <c r="D866" s="7" t="s">
        <v>101</v>
      </c>
      <c r="F866" s="7" t="s">
        <v>144</v>
      </c>
      <c r="G866" s="7" t="s">
        <v>32</v>
      </c>
      <c r="H866" s="7" t="s">
        <v>3969</v>
      </c>
      <c r="I866" s="7" t="s">
        <v>13</v>
      </c>
      <c r="J866" s="7" t="s">
        <v>3970</v>
      </c>
      <c r="K866" s="7" t="s">
        <v>3971</v>
      </c>
      <c r="L866" s="7" t="s">
        <v>5340</v>
      </c>
      <c r="M866" s="7">
        <v>0</v>
      </c>
      <c r="N866" s="9" t="s">
        <v>5044</v>
      </c>
      <c r="O866" s="9" t="s">
        <v>5044</v>
      </c>
      <c r="P866" s="7">
        <v>0</v>
      </c>
      <c r="Q866" s="7">
        <v>0</v>
      </c>
      <c r="R866" s="7">
        <v>0</v>
      </c>
      <c r="S866" s="7">
        <v>1</v>
      </c>
      <c r="T866" s="7">
        <v>4</v>
      </c>
      <c r="U866" s="7">
        <v>144</v>
      </c>
      <c r="V866" s="7">
        <v>1</v>
      </c>
      <c r="W866" s="7">
        <v>1</v>
      </c>
      <c r="X866" s="7">
        <v>0</v>
      </c>
      <c r="Y866" s="7">
        <v>0</v>
      </c>
      <c r="Z866" s="7">
        <v>0</v>
      </c>
      <c r="AA866" s="7">
        <v>0</v>
      </c>
      <c r="AB866" s="7">
        <v>1</v>
      </c>
      <c r="AC866" s="7">
        <v>1</v>
      </c>
      <c r="AD866" s="7">
        <v>2</v>
      </c>
      <c r="AE866" s="7">
        <v>3</v>
      </c>
      <c r="AF866" s="7">
        <v>0</v>
      </c>
      <c r="AG866" s="7">
        <v>2</v>
      </c>
      <c r="AH866" s="7">
        <v>3</v>
      </c>
      <c r="AI866" s="7">
        <v>0</v>
      </c>
      <c r="AJ866" s="7" t="s">
        <v>5044</v>
      </c>
      <c r="AL866" s="7">
        <v>1</v>
      </c>
      <c r="AM866" s="7">
        <v>0</v>
      </c>
      <c r="AO866" s="11">
        <v>3</v>
      </c>
    </row>
    <row r="867" spans="1:41" ht="63" customHeight="1" x14ac:dyDescent="0.2">
      <c r="A867" s="7">
        <v>10605</v>
      </c>
      <c r="B867" s="7" t="s">
        <v>3972</v>
      </c>
      <c r="C867" s="7" t="s">
        <v>3973</v>
      </c>
      <c r="D867" s="7" t="s">
        <v>16</v>
      </c>
      <c r="F867" s="7" t="s">
        <v>3974</v>
      </c>
      <c r="G867" s="7" t="s">
        <v>11</v>
      </c>
      <c r="H867" s="7" t="s">
        <v>436</v>
      </c>
      <c r="I867" s="7" t="s">
        <v>13</v>
      </c>
      <c r="J867" s="7" t="s">
        <v>3975</v>
      </c>
      <c r="K867" s="7" t="s">
        <v>3976</v>
      </c>
      <c r="L867" s="7" t="s">
        <v>5341</v>
      </c>
      <c r="M867" s="7">
        <v>0</v>
      </c>
      <c r="N867" s="9" t="s">
        <v>5044</v>
      </c>
      <c r="O867" s="9" t="s">
        <v>5044</v>
      </c>
      <c r="P867" s="7">
        <v>0</v>
      </c>
      <c r="Q867" s="7">
        <v>0</v>
      </c>
      <c r="R867" s="7">
        <v>0</v>
      </c>
      <c r="S867" s="7" t="s">
        <v>5170</v>
      </c>
      <c r="T867" s="7">
        <v>1</v>
      </c>
      <c r="U867" s="7">
        <v>63</v>
      </c>
      <c r="V867" s="7">
        <v>0</v>
      </c>
      <c r="W867" s="7">
        <v>1</v>
      </c>
      <c r="X867" s="7">
        <v>0</v>
      </c>
      <c r="Y867" s="7">
        <v>0</v>
      </c>
      <c r="Z867" s="7">
        <v>0</v>
      </c>
      <c r="AA867" s="7">
        <v>0</v>
      </c>
      <c r="AB867" s="7">
        <v>1</v>
      </c>
      <c r="AC867" s="7">
        <v>0</v>
      </c>
      <c r="AD867" s="7" t="s">
        <v>5044</v>
      </c>
      <c r="AE867" s="7" t="s">
        <v>5044</v>
      </c>
      <c r="AF867" s="7" t="s">
        <v>5044</v>
      </c>
      <c r="AG867" s="7">
        <v>0</v>
      </c>
      <c r="AH867" s="7" t="s">
        <v>5044</v>
      </c>
      <c r="AI867" s="7" t="s">
        <v>5044</v>
      </c>
      <c r="AJ867" s="7" t="s">
        <v>5044</v>
      </c>
      <c r="AL867" s="7">
        <v>1</v>
      </c>
      <c r="AM867" s="7">
        <v>0</v>
      </c>
      <c r="AO867" s="11">
        <v>9</v>
      </c>
    </row>
    <row r="868" spans="1:41" ht="63" customHeight="1" x14ac:dyDescent="0.2">
      <c r="A868" s="7">
        <v>10612</v>
      </c>
      <c r="B868" s="7" t="s">
        <v>3977</v>
      </c>
      <c r="C868" s="7" t="s">
        <v>3978</v>
      </c>
      <c r="D868" s="7" t="s">
        <v>22</v>
      </c>
      <c r="F868" s="7" t="s">
        <v>767</v>
      </c>
      <c r="G868" s="7" t="s">
        <v>11</v>
      </c>
      <c r="H868" s="7" t="s">
        <v>3979</v>
      </c>
      <c r="I868" s="7" t="s">
        <v>13</v>
      </c>
      <c r="J868" s="7" t="s">
        <v>3980</v>
      </c>
      <c r="K868" s="7" t="s">
        <v>3981</v>
      </c>
      <c r="L868" s="7" t="s">
        <v>5342</v>
      </c>
      <c r="M868" s="7">
        <v>0</v>
      </c>
      <c r="N868" s="9" t="s">
        <v>5044</v>
      </c>
      <c r="O868" s="9" t="s">
        <v>5044</v>
      </c>
      <c r="P868" s="7">
        <v>0</v>
      </c>
      <c r="Q868" s="7">
        <v>0</v>
      </c>
      <c r="R868" s="7">
        <v>0</v>
      </c>
      <c r="S868" s="7">
        <v>7</v>
      </c>
      <c r="T868" s="7">
        <v>1</v>
      </c>
      <c r="U868" s="7">
        <v>474</v>
      </c>
      <c r="V868" s="7">
        <v>0</v>
      </c>
      <c r="W868" s="7">
        <v>1</v>
      </c>
      <c r="X868" s="7">
        <v>0</v>
      </c>
      <c r="Y868" s="7">
        <v>0</v>
      </c>
      <c r="Z868" s="7">
        <v>0</v>
      </c>
      <c r="AA868" s="7">
        <v>0</v>
      </c>
      <c r="AB868" s="7">
        <v>1</v>
      </c>
      <c r="AC868" s="7">
        <v>1</v>
      </c>
      <c r="AD868" s="7" t="s">
        <v>5044</v>
      </c>
      <c r="AE868" s="7" t="s">
        <v>5044</v>
      </c>
      <c r="AF868" s="7" t="s">
        <v>5044</v>
      </c>
      <c r="AG868" s="7">
        <v>1</v>
      </c>
      <c r="AH868" s="7">
        <v>0</v>
      </c>
      <c r="AI868" s="7">
        <v>0</v>
      </c>
      <c r="AJ868" s="7" t="s">
        <v>5044</v>
      </c>
      <c r="AL868" s="7">
        <v>0</v>
      </c>
      <c r="AM868" s="7">
        <v>0</v>
      </c>
      <c r="AO868" s="9">
        <v>0</v>
      </c>
    </row>
    <row r="869" spans="1:41" ht="63" customHeight="1" x14ac:dyDescent="0.2">
      <c r="A869" s="7">
        <v>10624</v>
      </c>
      <c r="B869" s="7" t="s">
        <v>3982</v>
      </c>
      <c r="C869" s="7" t="s">
        <v>3983</v>
      </c>
      <c r="D869" s="7" t="s">
        <v>46</v>
      </c>
      <c r="F869" s="7" t="s">
        <v>521</v>
      </c>
      <c r="G869" s="7" t="s">
        <v>18</v>
      </c>
      <c r="H869" s="7" t="s">
        <v>307</v>
      </c>
      <c r="I869" s="7" t="s">
        <v>13</v>
      </c>
      <c r="J869" s="7" t="s">
        <v>3984</v>
      </c>
      <c r="K869" s="7" t="s">
        <v>3985</v>
      </c>
      <c r="L869" s="7" t="s">
        <v>5044</v>
      </c>
      <c r="M869" s="7">
        <v>0</v>
      </c>
      <c r="N869" s="9" t="s">
        <v>5044</v>
      </c>
      <c r="O869" s="9" t="s">
        <v>5044</v>
      </c>
      <c r="P869" s="7">
        <v>0</v>
      </c>
      <c r="Q869" s="7">
        <v>0</v>
      </c>
      <c r="R869" s="7">
        <v>0</v>
      </c>
      <c r="S869" s="7">
        <v>3</v>
      </c>
      <c r="T869" s="7">
        <v>1</v>
      </c>
      <c r="U869" s="7">
        <v>297</v>
      </c>
      <c r="V869" s="7">
        <v>0</v>
      </c>
      <c r="W869" s="7">
        <v>1</v>
      </c>
      <c r="X869" s="7">
        <v>0</v>
      </c>
      <c r="Y869" s="7">
        <v>0</v>
      </c>
      <c r="Z869" s="7">
        <v>0</v>
      </c>
      <c r="AA869" s="7">
        <v>0</v>
      </c>
      <c r="AB869" s="7">
        <v>1</v>
      </c>
      <c r="AC869" s="7">
        <v>1</v>
      </c>
      <c r="AD869" s="7" t="s">
        <v>5044</v>
      </c>
      <c r="AE869" s="7" t="s">
        <v>5044</v>
      </c>
      <c r="AF869" s="7" t="s">
        <v>5044</v>
      </c>
      <c r="AG869" s="7">
        <v>2</v>
      </c>
      <c r="AH869" s="7">
        <v>3</v>
      </c>
      <c r="AI869" s="7">
        <v>0</v>
      </c>
      <c r="AJ869" s="7" t="s">
        <v>5044</v>
      </c>
      <c r="AL869" s="7" t="s">
        <v>5044</v>
      </c>
      <c r="AM869" s="7">
        <v>0</v>
      </c>
      <c r="AO869" s="11">
        <v>3</v>
      </c>
    </row>
    <row r="870" spans="1:41" ht="63" customHeight="1" x14ac:dyDescent="0.2">
      <c r="A870" s="7">
        <v>10627</v>
      </c>
      <c r="B870" s="7" t="s">
        <v>3986</v>
      </c>
      <c r="C870" s="7" t="s">
        <v>3987</v>
      </c>
      <c r="D870" s="7" t="s">
        <v>41</v>
      </c>
      <c r="F870" s="7" t="s">
        <v>335</v>
      </c>
      <c r="G870" s="7" t="s">
        <v>11</v>
      </c>
      <c r="H870" s="7" t="s">
        <v>43</v>
      </c>
      <c r="I870" s="7" t="s">
        <v>13</v>
      </c>
      <c r="J870" s="7" t="s">
        <v>3988</v>
      </c>
      <c r="K870" s="7" t="s">
        <v>3989</v>
      </c>
      <c r="L870" s="7" t="s">
        <v>5343</v>
      </c>
      <c r="M870" s="7">
        <v>0</v>
      </c>
      <c r="N870" s="9" t="s">
        <v>5044</v>
      </c>
      <c r="O870" s="9" t="s">
        <v>5044</v>
      </c>
      <c r="P870" s="7">
        <v>0</v>
      </c>
      <c r="Q870" s="7">
        <v>0</v>
      </c>
      <c r="R870" s="7">
        <v>0</v>
      </c>
      <c r="S870" s="7">
        <v>2</v>
      </c>
      <c r="T870" s="7">
        <v>1</v>
      </c>
      <c r="U870" s="7">
        <v>46</v>
      </c>
      <c r="V870" s="7">
        <v>0</v>
      </c>
      <c r="W870" s="7">
        <v>1</v>
      </c>
      <c r="X870" s="7">
        <v>0</v>
      </c>
      <c r="Y870" s="7">
        <v>0</v>
      </c>
      <c r="Z870" s="7">
        <v>1</v>
      </c>
      <c r="AA870" s="7">
        <v>0</v>
      </c>
      <c r="AB870" s="7">
        <v>1</v>
      </c>
      <c r="AC870" s="7">
        <v>1</v>
      </c>
      <c r="AD870" s="7" t="s">
        <v>5044</v>
      </c>
      <c r="AE870" s="7" t="s">
        <v>5044</v>
      </c>
      <c r="AF870" s="7" t="s">
        <v>5044</v>
      </c>
      <c r="AG870" s="7">
        <v>2</v>
      </c>
      <c r="AH870" s="7">
        <v>2</v>
      </c>
      <c r="AI870" s="7">
        <v>2</v>
      </c>
      <c r="AJ870" s="7">
        <v>0</v>
      </c>
      <c r="AL870" s="7">
        <v>1</v>
      </c>
      <c r="AM870" s="7">
        <v>0</v>
      </c>
      <c r="AO870" s="11">
        <v>2</v>
      </c>
    </row>
    <row r="871" spans="1:41" ht="63" customHeight="1" x14ac:dyDescent="0.2">
      <c r="A871" s="7">
        <v>10633</v>
      </c>
      <c r="B871" s="7" t="s">
        <v>3990</v>
      </c>
      <c r="C871" s="7" t="s">
        <v>3991</v>
      </c>
      <c r="D871" s="7" t="s">
        <v>22</v>
      </c>
      <c r="F871" s="7" t="s">
        <v>118</v>
      </c>
      <c r="G871" s="7" t="s">
        <v>11</v>
      </c>
      <c r="H871" s="7" t="s">
        <v>3992</v>
      </c>
      <c r="I871" s="7" t="s">
        <v>13</v>
      </c>
      <c r="J871" s="7" t="s">
        <v>3993</v>
      </c>
      <c r="L871" s="11" t="s">
        <v>5044</v>
      </c>
      <c r="M871" s="7">
        <v>0</v>
      </c>
      <c r="N871" s="9" t="s">
        <v>5044</v>
      </c>
      <c r="O871" s="9" t="s">
        <v>5044</v>
      </c>
      <c r="P871" s="7">
        <v>0</v>
      </c>
      <c r="Q871" s="7">
        <v>0</v>
      </c>
      <c r="R871" s="7">
        <v>0</v>
      </c>
      <c r="S871" s="7">
        <v>10</v>
      </c>
      <c r="T871" s="7">
        <v>1</v>
      </c>
      <c r="U871" s="7">
        <v>80</v>
      </c>
      <c r="V871" s="7">
        <v>1</v>
      </c>
      <c r="W871" s="7">
        <v>0</v>
      </c>
      <c r="X871" s="7">
        <v>0</v>
      </c>
      <c r="Y871" s="7">
        <v>0</v>
      </c>
      <c r="Z871" s="7">
        <v>0</v>
      </c>
      <c r="AA871" s="7">
        <v>0</v>
      </c>
      <c r="AB871" s="7">
        <v>1</v>
      </c>
      <c r="AC871" s="7">
        <v>1</v>
      </c>
      <c r="AD871" s="7">
        <v>2</v>
      </c>
      <c r="AE871" s="7">
        <v>3</v>
      </c>
      <c r="AF871" s="7">
        <v>0</v>
      </c>
      <c r="AG871" s="7" t="s">
        <v>5044</v>
      </c>
      <c r="AH871" s="7" t="s">
        <v>5044</v>
      </c>
      <c r="AI871" s="7" t="s">
        <v>5044</v>
      </c>
      <c r="AJ871" s="7" t="s">
        <v>5044</v>
      </c>
      <c r="AL871" s="7">
        <v>1</v>
      </c>
      <c r="AM871" s="7">
        <v>0</v>
      </c>
      <c r="AO871" s="11">
        <v>3</v>
      </c>
    </row>
    <row r="872" spans="1:41" ht="63" customHeight="1" x14ac:dyDescent="0.2">
      <c r="A872" s="7">
        <v>10641</v>
      </c>
      <c r="B872" s="7" t="s">
        <v>3999</v>
      </c>
      <c r="C872" s="7" t="s">
        <v>4000</v>
      </c>
      <c r="D872" s="7" t="s">
        <v>46</v>
      </c>
      <c r="F872" s="7" t="s">
        <v>168</v>
      </c>
      <c r="G872" s="7" t="s">
        <v>48</v>
      </c>
      <c r="H872" s="7" t="s">
        <v>160</v>
      </c>
      <c r="I872" s="7" t="s">
        <v>13</v>
      </c>
      <c r="J872" s="7" t="s">
        <v>4001</v>
      </c>
      <c r="K872" s="7" t="s">
        <v>4002</v>
      </c>
      <c r="L872" s="7" t="s">
        <v>5344</v>
      </c>
      <c r="M872" s="7">
        <v>0</v>
      </c>
      <c r="N872" s="9" t="s">
        <v>5044</v>
      </c>
      <c r="O872" s="9" t="s">
        <v>5044</v>
      </c>
      <c r="P872" s="7">
        <v>0</v>
      </c>
      <c r="Q872" s="7">
        <v>0</v>
      </c>
      <c r="R872" s="7">
        <v>0</v>
      </c>
      <c r="S872" s="7">
        <v>1</v>
      </c>
      <c r="T872" s="7">
        <v>1</v>
      </c>
      <c r="U872" s="7">
        <v>88</v>
      </c>
      <c r="V872" s="7">
        <v>0</v>
      </c>
      <c r="W872" s="7">
        <v>1</v>
      </c>
      <c r="X872" s="7">
        <v>0</v>
      </c>
      <c r="Y872" s="7">
        <v>0</v>
      </c>
      <c r="Z872" s="7">
        <v>0</v>
      </c>
      <c r="AA872" s="7">
        <v>0</v>
      </c>
      <c r="AB872" s="7">
        <v>1</v>
      </c>
      <c r="AC872" s="7">
        <v>1</v>
      </c>
      <c r="AD872" s="7" t="s">
        <v>5044</v>
      </c>
      <c r="AE872" s="7" t="s">
        <v>5044</v>
      </c>
      <c r="AF872" s="7" t="s">
        <v>5044</v>
      </c>
      <c r="AG872" s="7">
        <v>2</v>
      </c>
      <c r="AH872" s="7">
        <v>3</v>
      </c>
      <c r="AI872" s="7">
        <v>0</v>
      </c>
      <c r="AJ872" s="7" t="s">
        <v>5044</v>
      </c>
      <c r="AL872" s="7">
        <v>0</v>
      </c>
      <c r="AM872" s="7">
        <v>0</v>
      </c>
      <c r="AO872" s="11">
        <v>3</v>
      </c>
    </row>
    <row r="873" spans="1:41" ht="63" customHeight="1" x14ac:dyDescent="0.2">
      <c r="A873" s="7">
        <v>10688</v>
      </c>
      <c r="B873" s="7" t="s">
        <v>4016</v>
      </c>
      <c r="C873" s="7" t="s">
        <v>4017</v>
      </c>
      <c r="D873" s="7" t="s">
        <v>95</v>
      </c>
      <c r="E873" s="7" t="s">
        <v>4020</v>
      </c>
      <c r="F873" s="7" t="s">
        <v>260</v>
      </c>
      <c r="G873" s="7" t="s">
        <v>52</v>
      </c>
      <c r="H873" s="7" t="s">
        <v>38</v>
      </c>
      <c r="I873" s="7" t="s">
        <v>13</v>
      </c>
      <c r="J873" s="7" t="s">
        <v>4018</v>
      </c>
      <c r="K873" s="7" t="s">
        <v>4019</v>
      </c>
      <c r="L873" s="7" t="s">
        <v>5349</v>
      </c>
      <c r="M873" s="7">
        <v>0</v>
      </c>
      <c r="N873" s="9" t="s">
        <v>5044</v>
      </c>
      <c r="O873" s="9" t="s">
        <v>5044</v>
      </c>
      <c r="P873" s="7">
        <v>1</v>
      </c>
      <c r="Q873" s="7">
        <v>0</v>
      </c>
      <c r="R873" s="7">
        <v>0</v>
      </c>
      <c r="S873" s="7">
        <v>1</v>
      </c>
      <c r="T873" s="7">
        <v>1</v>
      </c>
      <c r="U873" s="7">
        <v>62</v>
      </c>
      <c r="V873" s="7">
        <v>0</v>
      </c>
      <c r="W873" s="7">
        <v>1</v>
      </c>
      <c r="X873" s="7">
        <v>0</v>
      </c>
      <c r="Y873" s="7">
        <v>0</v>
      </c>
      <c r="Z873" s="7">
        <v>0</v>
      </c>
      <c r="AA873" s="7">
        <v>0</v>
      </c>
      <c r="AB873" s="7">
        <v>1</v>
      </c>
      <c r="AC873" s="7">
        <v>0</v>
      </c>
      <c r="AD873" s="7" t="s">
        <v>5044</v>
      </c>
      <c r="AE873" s="7" t="s">
        <v>5044</v>
      </c>
      <c r="AF873" s="7" t="s">
        <v>5044</v>
      </c>
      <c r="AG873" s="7">
        <v>0</v>
      </c>
      <c r="AH873" s="7" t="s">
        <v>5044</v>
      </c>
      <c r="AI873" s="7" t="s">
        <v>5044</v>
      </c>
      <c r="AJ873" s="7" t="s">
        <v>5044</v>
      </c>
      <c r="AL873" s="7" t="s">
        <v>5044</v>
      </c>
      <c r="AM873" s="7">
        <v>0</v>
      </c>
      <c r="AO873" s="11">
        <v>9</v>
      </c>
    </row>
    <row r="874" spans="1:41" ht="63" customHeight="1" x14ac:dyDescent="0.2">
      <c r="A874" s="7">
        <v>10711</v>
      </c>
      <c r="B874" s="7" t="s">
        <v>4025</v>
      </c>
      <c r="C874" s="7" t="s">
        <v>4026</v>
      </c>
      <c r="D874" s="7" t="s">
        <v>56</v>
      </c>
      <c r="F874" s="7" t="s">
        <v>4027</v>
      </c>
      <c r="G874" s="7" t="s">
        <v>52</v>
      </c>
      <c r="H874" s="7" t="s">
        <v>730</v>
      </c>
      <c r="I874" s="7" t="s">
        <v>13</v>
      </c>
      <c r="J874" s="7" t="s">
        <v>4028</v>
      </c>
      <c r="K874" s="7" t="s">
        <v>4029</v>
      </c>
      <c r="L874" s="7" t="s">
        <v>5351</v>
      </c>
      <c r="M874" s="7">
        <v>0</v>
      </c>
      <c r="N874" s="9" t="s">
        <v>5044</v>
      </c>
      <c r="O874" s="9" t="s">
        <v>5044</v>
      </c>
      <c r="P874" s="7">
        <v>0</v>
      </c>
      <c r="Q874" s="7">
        <v>0</v>
      </c>
      <c r="R874" s="7">
        <v>0</v>
      </c>
      <c r="S874" s="7">
        <v>3</v>
      </c>
      <c r="T874" s="7">
        <v>1</v>
      </c>
      <c r="U874" s="7">
        <v>121</v>
      </c>
      <c r="V874" s="7">
        <v>0</v>
      </c>
      <c r="W874" s="7">
        <v>1</v>
      </c>
      <c r="X874" s="7">
        <v>0</v>
      </c>
      <c r="Y874" s="7">
        <v>0</v>
      </c>
      <c r="Z874" s="7">
        <v>0</v>
      </c>
      <c r="AA874" s="7">
        <v>0</v>
      </c>
      <c r="AB874" s="7">
        <v>1</v>
      </c>
      <c r="AC874" s="7">
        <v>1</v>
      </c>
      <c r="AD874" s="7" t="s">
        <v>5044</v>
      </c>
      <c r="AE874" s="7" t="s">
        <v>5044</v>
      </c>
      <c r="AF874" s="7" t="s">
        <v>5044</v>
      </c>
      <c r="AG874" s="7">
        <v>2</v>
      </c>
      <c r="AH874" s="7">
        <v>3</v>
      </c>
      <c r="AI874" s="7">
        <v>0</v>
      </c>
      <c r="AJ874" s="7" t="s">
        <v>5044</v>
      </c>
      <c r="AL874" s="7">
        <v>1</v>
      </c>
      <c r="AM874" s="7">
        <v>0</v>
      </c>
      <c r="AO874" s="11">
        <v>3</v>
      </c>
    </row>
    <row r="875" spans="1:41" ht="63" customHeight="1" x14ac:dyDescent="0.2">
      <c r="A875" s="7">
        <v>10724</v>
      </c>
      <c r="B875" s="7" t="s">
        <v>4035</v>
      </c>
      <c r="C875" s="7" t="s">
        <v>4036</v>
      </c>
      <c r="D875" s="7" t="s">
        <v>41</v>
      </c>
      <c r="F875" s="7" t="s">
        <v>42</v>
      </c>
      <c r="G875" s="7" t="s">
        <v>18</v>
      </c>
      <c r="H875" s="7" t="s">
        <v>43</v>
      </c>
      <c r="I875" s="7" t="s">
        <v>13</v>
      </c>
      <c r="J875" s="7" t="s">
        <v>4037</v>
      </c>
      <c r="K875" s="7" t="s">
        <v>4038</v>
      </c>
      <c r="L875" s="7" t="s">
        <v>5352</v>
      </c>
      <c r="M875" s="7">
        <v>0</v>
      </c>
      <c r="N875" s="9" t="s">
        <v>5044</v>
      </c>
      <c r="O875" s="9" t="s">
        <v>5044</v>
      </c>
      <c r="P875" s="7">
        <v>0</v>
      </c>
      <c r="Q875" s="7">
        <v>0</v>
      </c>
      <c r="R875" s="7">
        <v>0</v>
      </c>
      <c r="S875" s="7">
        <v>1</v>
      </c>
      <c r="T875" s="7">
        <v>1</v>
      </c>
      <c r="U875" s="7">
        <v>209</v>
      </c>
      <c r="V875" s="7">
        <v>0</v>
      </c>
      <c r="W875" s="7">
        <v>1</v>
      </c>
      <c r="X875" s="7">
        <v>0</v>
      </c>
      <c r="Y875" s="7">
        <v>0</v>
      </c>
      <c r="Z875" s="7">
        <v>1</v>
      </c>
      <c r="AA875" s="7">
        <v>0</v>
      </c>
      <c r="AB875" s="7">
        <v>1</v>
      </c>
      <c r="AC875" s="7">
        <v>1</v>
      </c>
      <c r="AD875" s="7" t="s">
        <v>5044</v>
      </c>
      <c r="AE875" s="7" t="s">
        <v>5044</v>
      </c>
      <c r="AF875" s="7" t="s">
        <v>5044</v>
      </c>
      <c r="AG875" s="7">
        <v>1</v>
      </c>
      <c r="AH875" s="7">
        <v>0</v>
      </c>
      <c r="AI875" s="7">
        <v>0</v>
      </c>
      <c r="AJ875" s="7">
        <v>0</v>
      </c>
      <c r="AL875" s="7">
        <v>0</v>
      </c>
      <c r="AM875" s="7">
        <v>0</v>
      </c>
      <c r="AO875" s="9">
        <v>0</v>
      </c>
    </row>
    <row r="876" spans="1:41" ht="63" customHeight="1" x14ac:dyDescent="0.2">
      <c r="A876" s="7">
        <v>10733</v>
      </c>
      <c r="B876" s="7" t="s">
        <v>4039</v>
      </c>
      <c r="C876" s="7" t="s">
        <v>4040</v>
      </c>
      <c r="D876" s="7" t="s">
        <v>41</v>
      </c>
      <c r="F876" s="7" t="s">
        <v>703</v>
      </c>
      <c r="G876" s="7" t="s">
        <v>47</v>
      </c>
      <c r="H876" s="7" t="s">
        <v>160</v>
      </c>
      <c r="I876" s="7" t="s">
        <v>13</v>
      </c>
      <c r="J876" s="7" t="s">
        <v>4041</v>
      </c>
      <c r="K876" s="7" t="s">
        <v>4042</v>
      </c>
      <c r="L876" s="7" t="s">
        <v>5353</v>
      </c>
      <c r="M876" s="7">
        <v>0</v>
      </c>
      <c r="N876" s="9" t="s">
        <v>5044</v>
      </c>
      <c r="O876" s="9" t="s">
        <v>5044</v>
      </c>
      <c r="P876" s="7">
        <v>1</v>
      </c>
      <c r="Q876" s="7">
        <v>0</v>
      </c>
      <c r="R876" s="7">
        <v>0</v>
      </c>
      <c r="S876" s="7">
        <v>1</v>
      </c>
      <c r="T876" s="7">
        <v>1</v>
      </c>
      <c r="U876" s="7">
        <v>22</v>
      </c>
      <c r="V876" s="7">
        <v>0</v>
      </c>
      <c r="W876" s="7">
        <v>1</v>
      </c>
      <c r="X876" s="7">
        <v>0</v>
      </c>
      <c r="Y876" s="7">
        <v>0</v>
      </c>
      <c r="Z876" s="7">
        <v>0</v>
      </c>
      <c r="AA876" s="7">
        <v>0</v>
      </c>
      <c r="AB876" s="7">
        <v>1</v>
      </c>
      <c r="AC876" s="7">
        <v>1</v>
      </c>
      <c r="AD876" s="7" t="s">
        <v>5044</v>
      </c>
      <c r="AE876" s="7" t="s">
        <v>5044</v>
      </c>
      <c r="AF876" s="7" t="s">
        <v>5044</v>
      </c>
      <c r="AG876" s="7">
        <v>1</v>
      </c>
      <c r="AH876" s="7">
        <v>0</v>
      </c>
      <c r="AI876" s="7">
        <v>0</v>
      </c>
      <c r="AJ876" s="7" t="s">
        <v>5044</v>
      </c>
      <c r="AL876" s="7">
        <v>0</v>
      </c>
      <c r="AM876" s="7">
        <v>0</v>
      </c>
      <c r="AO876" s="9">
        <v>0</v>
      </c>
    </row>
    <row r="877" spans="1:41" ht="63" customHeight="1" x14ac:dyDescent="0.2">
      <c r="A877" s="7">
        <v>10734</v>
      </c>
      <c r="B877" s="7" t="s">
        <v>4043</v>
      </c>
      <c r="C877" s="7" t="s">
        <v>4044</v>
      </c>
      <c r="D877" s="7" t="s">
        <v>41</v>
      </c>
      <c r="F877" s="7" t="s">
        <v>26</v>
      </c>
      <c r="G877" s="7" t="s">
        <v>47</v>
      </c>
      <c r="H877" s="7" t="s">
        <v>1334</v>
      </c>
      <c r="I877" s="7" t="s">
        <v>13</v>
      </c>
      <c r="J877" s="7" t="s">
        <v>4045</v>
      </c>
      <c r="K877" s="7" t="s">
        <v>4046</v>
      </c>
      <c r="L877" s="7" t="s">
        <v>5354</v>
      </c>
      <c r="M877" s="7">
        <v>0</v>
      </c>
      <c r="N877" s="9" t="s">
        <v>5044</v>
      </c>
      <c r="O877" s="9" t="s">
        <v>5044</v>
      </c>
      <c r="P877" s="7">
        <v>0</v>
      </c>
      <c r="Q877" s="7">
        <v>0</v>
      </c>
      <c r="R877" s="7">
        <v>0</v>
      </c>
      <c r="S877" s="7">
        <v>9</v>
      </c>
      <c r="T877" s="7">
        <v>5</v>
      </c>
      <c r="U877" s="7">
        <v>306</v>
      </c>
      <c r="V877" s="7">
        <v>0</v>
      </c>
      <c r="W877" s="7">
        <v>1</v>
      </c>
      <c r="X877" s="7">
        <v>0</v>
      </c>
      <c r="Y877" s="7">
        <v>0</v>
      </c>
      <c r="Z877" s="7">
        <v>0</v>
      </c>
      <c r="AA877" s="7">
        <v>0</v>
      </c>
      <c r="AB877" s="7">
        <v>1</v>
      </c>
      <c r="AC877" s="7">
        <v>1</v>
      </c>
      <c r="AD877" s="7" t="s">
        <v>5044</v>
      </c>
      <c r="AE877" s="7" t="s">
        <v>5044</v>
      </c>
      <c r="AF877" s="7" t="s">
        <v>5044</v>
      </c>
      <c r="AG877" s="7">
        <v>1</v>
      </c>
      <c r="AH877" s="7">
        <v>0</v>
      </c>
      <c r="AI877" s="7">
        <v>0</v>
      </c>
      <c r="AJ877" s="7" t="s">
        <v>5044</v>
      </c>
      <c r="AL877" s="7">
        <v>0</v>
      </c>
      <c r="AM877" s="7">
        <v>0</v>
      </c>
      <c r="AO877" s="9">
        <v>0</v>
      </c>
    </row>
    <row r="878" spans="1:41" ht="63" customHeight="1" x14ac:dyDescent="0.2">
      <c r="A878" s="7">
        <v>10735</v>
      </c>
      <c r="B878" s="7" t="s">
        <v>4047</v>
      </c>
      <c r="C878" s="7" t="s">
        <v>4048</v>
      </c>
      <c r="D878" s="7" t="s">
        <v>22</v>
      </c>
      <c r="F878" s="7" t="s">
        <v>2608</v>
      </c>
      <c r="G878" s="7" t="s">
        <v>27</v>
      </c>
      <c r="H878" s="7" t="s">
        <v>2453</v>
      </c>
      <c r="I878" s="7" t="s">
        <v>13</v>
      </c>
      <c r="J878" s="7" t="s">
        <v>4049</v>
      </c>
      <c r="K878" s="7" t="s">
        <v>4050</v>
      </c>
      <c r="L878" s="7" t="s">
        <v>5355</v>
      </c>
      <c r="M878" s="7">
        <v>0</v>
      </c>
      <c r="N878" s="9" t="s">
        <v>5044</v>
      </c>
      <c r="O878" s="9" t="s">
        <v>5044</v>
      </c>
      <c r="P878" s="7">
        <v>0</v>
      </c>
      <c r="Q878" s="7">
        <v>0</v>
      </c>
      <c r="R878" s="7">
        <v>0</v>
      </c>
      <c r="S878" s="7">
        <v>9</v>
      </c>
      <c r="T878" s="7">
        <v>2</v>
      </c>
      <c r="U878" s="7">
        <v>50</v>
      </c>
      <c r="V878" s="7">
        <v>0</v>
      </c>
      <c r="W878" s="7">
        <v>1</v>
      </c>
      <c r="X878" s="7">
        <v>0</v>
      </c>
      <c r="Y878" s="7">
        <v>0</v>
      </c>
      <c r="Z878" s="7">
        <v>0</v>
      </c>
      <c r="AA878" s="7">
        <v>0</v>
      </c>
      <c r="AB878" s="7">
        <v>1</v>
      </c>
      <c r="AC878" s="7">
        <v>0</v>
      </c>
      <c r="AD878" s="7" t="s">
        <v>5044</v>
      </c>
      <c r="AE878" s="7" t="s">
        <v>5044</v>
      </c>
      <c r="AF878" s="7" t="s">
        <v>5044</v>
      </c>
      <c r="AG878" s="7">
        <v>0</v>
      </c>
      <c r="AH878" s="7" t="s">
        <v>5044</v>
      </c>
      <c r="AI878" s="7" t="s">
        <v>5044</v>
      </c>
      <c r="AJ878" s="7" t="s">
        <v>5044</v>
      </c>
      <c r="AL878" s="7">
        <v>0</v>
      </c>
      <c r="AM878" s="7">
        <v>0</v>
      </c>
      <c r="AO878" s="11">
        <v>9</v>
      </c>
    </row>
    <row r="879" spans="1:41" ht="63" customHeight="1" x14ac:dyDescent="0.2">
      <c r="A879" s="7">
        <v>10756</v>
      </c>
      <c r="B879" s="7" t="s">
        <v>4051</v>
      </c>
      <c r="C879" s="7" t="s">
        <v>4052</v>
      </c>
      <c r="D879" s="7" t="s">
        <v>56</v>
      </c>
      <c r="F879" s="7" t="s">
        <v>587</v>
      </c>
      <c r="G879" s="7" t="s">
        <v>27</v>
      </c>
      <c r="H879" s="7" t="s">
        <v>28</v>
      </c>
      <c r="I879" s="7" t="s">
        <v>13</v>
      </c>
      <c r="J879" s="7" t="s">
        <v>4053</v>
      </c>
      <c r="K879" s="7" t="s">
        <v>4054</v>
      </c>
      <c r="L879" s="7" t="s">
        <v>5356</v>
      </c>
      <c r="M879" s="7">
        <v>0</v>
      </c>
      <c r="N879" s="9" t="s">
        <v>5044</v>
      </c>
      <c r="O879" s="9" t="s">
        <v>5044</v>
      </c>
      <c r="P879" s="7">
        <v>0</v>
      </c>
      <c r="Q879" s="7">
        <v>0</v>
      </c>
      <c r="R879" s="7">
        <v>0</v>
      </c>
      <c r="S879" s="7">
        <v>1</v>
      </c>
      <c r="T879" s="7">
        <v>3</v>
      </c>
      <c r="U879" s="7">
        <v>68</v>
      </c>
      <c r="V879" s="7">
        <v>0</v>
      </c>
      <c r="W879" s="7">
        <v>1</v>
      </c>
      <c r="X879" s="7">
        <v>0</v>
      </c>
      <c r="Y879" s="7">
        <v>0</v>
      </c>
      <c r="Z879" s="7">
        <v>0</v>
      </c>
      <c r="AA879" s="7">
        <v>0</v>
      </c>
      <c r="AB879" s="7">
        <v>1</v>
      </c>
      <c r="AC879" s="7">
        <v>0</v>
      </c>
      <c r="AD879" s="7" t="s">
        <v>5044</v>
      </c>
      <c r="AE879" s="7" t="s">
        <v>5044</v>
      </c>
      <c r="AF879" s="7" t="s">
        <v>5044</v>
      </c>
      <c r="AG879" s="7">
        <v>0</v>
      </c>
      <c r="AH879" s="7" t="s">
        <v>5044</v>
      </c>
      <c r="AI879" s="7" t="s">
        <v>5044</v>
      </c>
      <c r="AJ879" s="7" t="s">
        <v>5044</v>
      </c>
      <c r="AL879" s="7">
        <v>1</v>
      </c>
      <c r="AM879" s="7">
        <v>0</v>
      </c>
      <c r="AO879" s="11">
        <v>9</v>
      </c>
    </row>
    <row r="880" spans="1:41" ht="63" customHeight="1" x14ac:dyDescent="0.2">
      <c r="A880" s="7">
        <v>10788</v>
      </c>
      <c r="B880" s="7" t="s">
        <v>4055</v>
      </c>
      <c r="C880" s="7" t="s">
        <v>4056</v>
      </c>
      <c r="D880" s="7" t="s">
        <v>101</v>
      </c>
      <c r="F880" s="7" t="s">
        <v>568</v>
      </c>
      <c r="G880" s="7" t="s">
        <v>27</v>
      </c>
      <c r="H880" s="7" t="s">
        <v>217</v>
      </c>
      <c r="I880" s="7" t="s">
        <v>13</v>
      </c>
      <c r="J880" s="7" t="s">
        <v>4057</v>
      </c>
      <c r="K880" s="7" t="s">
        <v>4058</v>
      </c>
      <c r="L880" s="7" t="s">
        <v>5358</v>
      </c>
      <c r="M880" s="7">
        <v>0</v>
      </c>
      <c r="N880" s="9" t="s">
        <v>5044</v>
      </c>
      <c r="O880" s="9" t="s">
        <v>5044</v>
      </c>
      <c r="P880" s="7">
        <v>0</v>
      </c>
      <c r="Q880" s="7">
        <v>0</v>
      </c>
      <c r="R880" s="7">
        <v>0</v>
      </c>
      <c r="S880" s="7" t="s">
        <v>5357</v>
      </c>
      <c r="T880" s="7">
        <v>1</v>
      </c>
      <c r="U880" s="7">
        <v>100</v>
      </c>
      <c r="V880" s="7">
        <v>0</v>
      </c>
      <c r="W880" s="7">
        <v>1</v>
      </c>
      <c r="X880" s="7">
        <v>0</v>
      </c>
      <c r="Y880" s="7">
        <v>0</v>
      </c>
      <c r="Z880" s="7">
        <v>0</v>
      </c>
      <c r="AA880" s="7">
        <v>0</v>
      </c>
      <c r="AB880" s="7">
        <v>0</v>
      </c>
      <c r="AC880" s="7">
        <v>1</v>
      </c>
      <c r="AD880" s="7" t="s">
        <v>5044</v>
      </c>
      <c r="AE880" s="7" t="s">
        <v>5044</v>
      </c>
      <c r="AF880" s="7" t="s">
        <v>5044</v>
      </c>
      <c r="AG880" s="7">
        <v>2</v>
      </c>
      <c r="AH880" s="7">
        <v>3</v>
      </c>
      <c r="AI880" s="7">
        <v>0</v>
      </c>
      <c r="AJ880" s="7" t="s">
        <v>5044</v>
      </c>
      <c r="AL880" s="7">
        <v>1</v>
      </c>
      <c r="AM880" s="7">
        <v>0</v>
      </c>
      <c r="AO880" s="11">
        <v>3</v>
      </c>
    </row>
    <row r="881" spans="1:41" ht="63" customHeight="1" x14ac:dyDescent="0.2">
      <c r="A881" s="7">
        <v>10798</v>
      </c>
      <c r="B881" s="7" t="s">
        <v>4059</v>
      </c>
      <c r="C881" s="7" t="s">
        <v>4060</v>
      </c>
      <c r="D881" s="7" t="s">
        <v>101</v>
      </c>
      <c r="F881" s="7" t="s">
        <v>299</v>
      </c>
      <c r="G881" s="7" t="s">
        <v>52</v>
      </c>
      <c r="H881" s="7" t="s">
        <v>4061</v>
      </c>
      <c r="I881" s="7" t="s">
        <v>13</v>
      </c>
      <c r="J881" s="7" t="s">
        <v>4062</v>
      </c>
      <c r="K881" s="7" t="s">
        <v>4063</v>
      </c>
      <c r="L881" s="11" t="s">
        <v>5044</v>
      </c>
      <c r="M881" s="7">
        <v>0</v>
      </c>
      <c r="N881" s="9" t="s">
        <v>5044</v>
      </c>
      <c r="O881" s="9" t="s">
        <v>5044</v>
      </c>
      <c r="P881" s="7">
        <v>0</v>
      </c>
      <c r="Q881" s="7">
        <v>0</v>
      </c>
      <c r="R881" s="7">
        <v>0</v>
      </c>
      <c r="S881" s="7">
        <v>1</v>
      </c>
      <c r="T881" s="7">
        <v>1</v>
      </c>
      <c r="U881" s="7">
        <v>64</v>
      </c>
      <c r="V881" s="7">
        <v>0</v>
      </c>
      <c r="W881" s="7">
        <v>1</v>
      </c>
      <c r="X881" s="7">
        <v>0</v>
      </c>
      <c r="Y881" s="7">
        <v>0</v>
      </c>
      <c r="Z881" s="7">
        <v>0</v>
      </c>
      <c r="AA881" s="7">
        <v>0</v>
      </c>
      <c r="AB881" s="7">
        <v>1</v>
      </c>
      <c r="AC881" s="7">
        <v>0</v>
      </c>
      <c r="AD881" s="7" t="s">
        <v>5044</v>
      </c>
      <c r="AE881" s="7" t="s">
        <v>5044</v>
      </c>
      <c r="AF881" s="7" t="s">
        <v>5044</v>
      </c>
      <c r="AG881" s="7">
        <v>0</v>
      </c>
      <c r="AH881" s="7" t="s">
        <v>5044</v>
      </c>
      <c r="AI881" s="7" t="s">
        <v>5044</v>
      </c>
      <c r="AJ881" s="7" t="s">
        <v>5044</v>
      </c>
      <c r="AL881" s="7" t="s">
        <v>5044</v>
      </c>
      <c r="AM881" s="7">
        <v>0</v>
      </c>
      <c r="AO881" s="11">
        <v>9</v>
      </c>
    </row>
    <row r="882" spans="1:41" ht="63" customHeight="1" x14ac:dyDescent="0.2">
      <c r="A882" s="7">
        <v>10821</v>
      </c>
      <c r="B882" s="7" t="s">
        <v>4068</v>
      </c>
      <c r="C882" s="7" t="s">
        <v>4069</v>
      </c>
      <c r="D882" s="7" t="s">
        <v>41</v>
      </c>
      <c r="F882" s="7" t="s">
        <v>3312</v>
      </c>
      <c r="G882" s="7" t="s">
        <v>18</v>
      </c>
      <c r="H882" s="7" t="s">
        <v>390</v>
      </c>
      <c r="I882" s="7" t="s">
        <v>13</v>
      </c>
      <c r="J882" s="7" t="s">
        <v>4070</v>
      </c>
      <c r="K882" s="7" t="s">
        <v>4071</v>
      </c>
      <c r="L882" s="7" t="s">
        <v>5360</v>
      </c>
      <c r="M882" s="7">
        <v>0</v>
      </c>
      <c r="N882" s="9" t="s">
        <v>5044</v>
      </c>
      <c r="O882" s="9" t="s">
        <v>5044</v>
      </c>
      <c r="P882" s="7">
        <v>0</v>
      </c>
      <c r="Q882" s="7">
        <v>0</v>
      </c>
      <c r="R882" s="7">
        <v>0</v>
      </c>
      <c r="S882" s="7">
        <v>5</v>
      </c>
      <c r="T882" s="7">
        <v>2</v>
      </c>
      <c r="U882" s="7">
        <v>100</v>
      </c>
      <c r="V882" s="7">
        <v>0</v>
      </c>
      <c r="W882" s="7">
        <v>1</v>
      </c>
      <c r="X882" s="7">
        <v>0</v>
      </c>
      <c r="Y882" s="7">
        <v>0</v>
      </c>
      <c r="Z882" s="7">
        <v>0</v>
      </c>
      <c r="AA882" s="7">
        <v>0</v>
      </c>
      <c r="AB882" s="7">
        <v>1</v>
      </c>
      <c r="AC882" s="7">
        <v>1</v>
      </c>
      <c r="AD882" s="7" t="s">
        <v>5044</v>
      </c>
      <c r="AE882" s="7" t="s">
        <v>5044</v>
      </c>
      <c r="AF882" s="7" t="s">
        <v>5044</v>
      </c>
      <c r="AG882" s="7">
        <v>2</v>
      </c>
      <c r="AH882" s="7">
        <v>1</v>
      </c>
      <c r="AI882" s="7">
        <v>2</v>
      </c>
      <c r="AJ882" s="7" t="s">
        <v>5044</v>
      </c>
      <c r="AL882" s="7">
        <v>0</v>
      </c>
      <c r="AM882" s="7">
        <v>0</v>
      </c>
      <c r="AO882" s="11">
        <v>1</v>
      </c>
    </row>
    <row r="883" spans="1:41" ht="63" customHeight="1" x14ac:dyDescent="0.2">
      <c r="A883" s="7">
        <v>10849</v>
      </c>
      <c r="B883" s="7" t="s">
        <v>4072</v>
      </c>
      <c r="C883" s="7" t="s">
        <v>4073</v>
      </c>
      <c r="D883" s="7" t="s">
        <v>35</v>
      </c>
      <c r="F883" s="7" t="s">
        <v>4074</v>
      </c>
      <c r="G883" s="7" t="s">
        <v>52</v>
      </c>
      <c r="H883" s="7" t="s">
        <v>307</v>
      </c>
      <c r="I883" s="7" t="s">
        <v>386</v>
      </c>
      <c r="J883" s="7" t="s">
        <v>4075</v>
      </c>
      <c r="K883" s="7" t="s">
        <v>4076</v>
      </c>
      <c r="L883" s="7" t="s">
        <v>5044</v>
      </c>
      <c r="M883" s="7">
        <v>0</v>
      </c>
      <c r="N883" s="9" t="s">
        <v>5044</v>
      </c>
      <c r="O883" s="9" t="s">
        <v>5044</v>
      </c>
      <c r="P883" s="7">
        <v>0</v>
      </c>
      <c r="Q883" s="7">
        <v>0</v>
      </c>
      <c r="R883" s="7">
        <v>0</v>
      </c>
      <c r="S883" s="7">
        <v>3</v>
      </c>
      <c r="T883" s="7">
        <v>1</v>
      </c>
      <c r="U883" s="7">
        <v>150</v>
      </c>
      <c r="V883" s="7">
        <v>0</v>
      </c>
      <c r="W883" s="7">
        <v>1</v>
      </c>
      <c r="X883" s="7">
        <v>0</v>
      </c>
      <c r="Y883" s="7">
        <v>0</v>
      </c>
      <c r="Z883" s="7">
        <v>0</v>
      </c>
      <c r="AA883" s="7">
        <v>0</v>
      </c>
      <c r="AB883" s="7">
        <v>1</v>
      </c>
      <c r="AC883" s="7">
        <v>1</v>
      </c>
      <c r="AD883" s="7" t="s">
        <v>5044</v>
      </c>
      <c r="AE883" s="7" t="s">
        <v>5044</v>
      </c>
      <c r="AF883" s="7" t="s">
        <v>5044</v>
      </c>
      <c r="AG883" s="7">
        <v>2</v>
      </c>
      <c r="AH883" s="7">
        <v>3</v>
      </c>
      <c r="AI883" s="7">
        <v>0</v>
      </c>
      <c r="AJ883" s="7" t="s">
        <v>5044</v>
      </c>
      <c r="AK883" s="7" t="s">
        <v>5361</v>
      </c>
      <c r="AL883" s="7">
        <v>0</v>
      </c>
      <c r="AM883" s="7">
        <v>0</v>
      </c>
      <c r="AO883" s="11">
        <v>3</v>
      </c>
    </row>
    <row r="884" spans="1:41" ht="63" customHeight="1" x14ac:dyDescent="0.2">
      <c r="A884" s="7">
        <v>10854</v>
      </c>
      <c r="B884" s="7" t="s">
        <v>4077</v>
      </c>
      <c r="C884" s="7" t="s">
        <v>4078</v>
      </c>
      <c r="D884" s="7" t="s">
        <v>16</v>
      </c>
      <c r="F884" s="7" t="s">
        <v>543</v>
      </c>
      <c r="G884" s="7" t="s">
        <v>32</v>
      </c>
      <c r="H884" s="7" t="s">
        <v>1377</v>
      </c>
      <c r="I884" s="7" t="s">
        <v>13</v>
      </c>
      <c r="J884" s="7" t="s">
        <v>4079</v>
      </c>
      <c r="K884" s="7" t="s">
        <v>4080</v>
      </c>
      <c r="L884" s="7" t="s">
        <v>5362</v>
      </c>
      <c r="M884" s="7">
        <v>0</v>
      </c>
      <c r="N884" s="9" t="s">
        <v>5044</v>
      </c>
      <c r="O884" s="9" t="s">
        <v>5044</v>
      </c>
      <c r="P884" s="7">
        <v>0</v>
      </c>
      <c r="Q884" s="7">
        <v>0</v>
      </c>
      <c r="R884" s="7">
        <v>0</v>
      </c>
      <c r="S884" s="7">
        <v>5</v>
      </c>
      <c r="T884" s="7">
        <v>1</v>
      </c>
      <c r="U884" s="7">
        <v>88</v>
      </c>
      <c r="V884" s="7">
        <v>1</v>
      </c>
      <c r="W884" s="7">
        <v>1</v>
      </c>
      <c r="X884" s="7">
        <v>0</v>
      </c>
      <c r="Y884" s="7">
        <v>0</v>
      </c>
      <c r="Z884" s="7">
        <v>0</v>
      </c>
      <c r="AA884" s="7">
        <v>0</v>
      </c>
      <c r="AB884" s="7">
        <v>1</v>
      </c>
      <c r="AC884" s="7">
        <v>1</v>
      </c>
      <c r="AD884" s="7">
        <v>2</v>
      </c>
      <c r="AE884" s="7">
        <v>2</v>
      </c>
      <c r="AF884" s="7">
        <v>2</v>
      </c>
      <c r="AG884" s="7">
        <v>2</v>
      </c>
      <c r="AH884" s="7">
        <v>2</v>
      </c>
      <c r="AI884" s="7">
        <v>2</v>
      </c>
      <c r="AJ884" s="7" t="s">
        <v>5044</v>
      </c>
      <c r="AL884" s="7">
        <v>1</v>
      </c>
      <c r="AM884" s="7">
        <v>0</v>
      </c>
      <c r="AO884" s="11">
        <v>2</v>
      </c>
    </row>
    <row r="885" spans="1:41" ht="63" customHeight="1" x14ac:dyDescent="0.2">
      <c r="A885" s="7">
        <v>10870</v>
      </c>
      <c r="B885" s="7" t="s">
        <v>4085</v>
      </c>
      <c r="C885" s="7" t="s">
        <v>4086</v>
      </c>
      <c r="D885" s="7" t="s">
        <v>101</v>
      </c>
      <c r="F885" s="7" t="s">
        <v>2755</v>
      </c>
      <c r="H885" s="7" t="s">
        <v>490</v>
      </c>
      <c r="I885" s="7" t="s">
        <v>13</v>
      </c>
      <c r="J885" s="7" t="s">
        <v>4087</v>
      </c>
      <c r="K885" s="7" t="s">
        <v>4088</v>
      </c>
      <c r="L885" s="7" t="s">
        <v>5364</v>
      </c>
      <c r="M885" s="7">
        <v>0</v>
      </c>
      <c r="N885" s="9" t="s">
        <v>5044</v>
      </c>
      <c r="O885" s="9" t="s">
        <v>5044</v>
      </c>
      <c r="P885" s="7">
        <v>0</v>
      </c>
      <c r="Q885" s="7">
        <v>0</v>
      </c>
      <c r="R885" s="7">
        <v>0</v>
      </c>
      <c r="S885" s="7">
        <v>3</v>
      </c>
      <c r="T885" s="7">
        <v>2</v>
      </c>
      <c r="U885" s="7">
        <v>50</v>
      </c>
      <c r="V885" s="7">
        <v>0</v>
      </c>
      <c r="W885" s="7">
        <v>1</v>
      </c>
      <c r="X885" s="7">
        <v>0</v>
      </c>
      <c r="Y885" s="7">
        <v>0</v>
      </c>
      <c r="Z885" s="7">
        <v>0</v>
      </c>
      <c r="AA885" s="7">
        <v>0</v>
      </c>
      <c r="AB885" s="7">
        <v>1</v>
      </c>
      <c r="AC885" s="7">
        <v>1</v>
      </c>
      <c r="AD885" s="7" t="s">
        <v>5044</v>
      </c>
      <c r="AE885" s="7" t="s">
        <v>5044</v>
      </c>
      <c r="AF885" s="7" t="s">
        <v>5044</v>
      </c>
      <c r="AG885" s="7">
        <v>1</v>
      </c>
      <c r="AH885" s="7">
        <v>0</v>
      </c>
      <c r="AI885" s="7">
        <v>0</v>
      </c>
      <c r="AJ885" s="7" t="s">
        <v>5044</v>
      </c>
      <c r="AL885" s="7">
        <v>0</v>
      </c>
      <c r="AM885" s="7">
        <v>0</v>
      </c>
      <c r="AO885" s="9">
        <v>0</v>
      </c>
    </row>
    <row r="886" spans="1:41" ht="63" customHeight="1" x14ac:dyDescent="0.2">
      <c r="A886" s="7">
        <v>10887</v>
      </c>
      <c r="B886" s="7" t="s">
        <v>4089</v>
      </c>
      <c r="C886" s="7" t="s">
        <v>4090</v>
      </c>
      <c r="D886" s="7" t="s">
        <v>22</v>
      </c>
      <c r="F886" s="7" t="s">
        <v>114</v>
      </c>
      <c r="G886" s="7" t="s">
        <v>27</v>
      </c>
      <c r="H886" s="7" t="s">
        <v>102</v>
      </c>
      <c r="I886" s="7" t="s">
        <v>13</v>
      </c>
      <c r="J886" s="7" t="s">
        <v>4091</v>
      </c>
      <c r="K886" s="7" t="s">
        <v>4092</v>
      </c>
      <c r="L886" s="7" t="s">
        <v>5044</v>
      </c>
      <c r="M886" s="7">
        <v>0</v>
      </c>
      <c r="N886" s="9" t="s">
        <v>5044</v>
      </c>
      <c r="O886" s="9" t="s">
        <v>5044</v>
      </c>
      <c r="P886" s="7">
        <v>0</v>
      </c>
      <c r="Q886" s="7">
        <v>0</v>
      </c>
      <c r="R886" s="7">
        <v>0</v>
      </c>
      <c r="S886" s="7">
        <v>3</v>
      </c>
      <c r="T886" s="7">
        <v>4</v>
      </c>
      <c r="U886" s="7">
        <v>160</v>
      </c>
      <c r="V886" s="7">
        <v>0</v>
      </c>
      <c r="W886" s="7">
        <v>1</v>
      </c>
      <c r="X886" s="7">
        <v>0</v>
      </c>
      <c r="Y886" s="7">
        <v>0</v>
      </c>
      <c r="Z886" s="7">
        <v>0</v>
      </c>
      <c r="AA886" s="7">
        <v>0</v>
      </c>
      <c r="AB886" s="7">
        <v>1</v>
      </c>
      <c r="AC886" s="7">
        <v>0</v>
      </c>
      <c r="AD886" s="7" t="s">
        <v>5044</v>
      </c>
      <c r="AE886" s="7" t="s">
        <v>5044</v>
      </c>
      <c r="AF886" s="7" t="s">
        <v>5044</v>
      </c>
      <c r="AG886" s="7">
        <v>0</v>
      </c>
      <c r="AH886" s="7" t="s">
        <v>5044</v>
      </c>
      <c r="AI886" s="7" t="s">
        <v>5044</v>
      </c>
      <c r="AJ886" s="7" t="s">
        <v>5044</v>
      </c>
      <c r="AL886" s="7">
        <v>1</v>
      </c>
      <c r="AM886" s="7">
        <v>0</v>
      </c>
      <c r="AO886" s="11">
        <v>9</v>
      </c>
    </row>
    <row r="887" spans="1:41" ht="63" customHeight="1" x14ac:dyDescent="0.2">
      <c r="A887" s="7">
        <v>10915</v>
      </c>
      <c r="B887" s="7" t="s">
        <v>4093</v>
      </c>
      <c r="C887" s="7" t="s">
        <v>4094</v>
      </c>
      <c r="D887" s="7" t="s">
        <v>375</v>
      </c>
      <c r="F887" s="7" t="s">
        <v>1082</v>
      </c>
      <c r="G887" s="7" t="s">
        <v>18</v>
      </c>
      <c r="H887" s="7" t="s">
        <v>490</v>
      </c>
      <c r="I887" s="7" t="s">
        <v>13</v>
      </c>
      <c r="J887" s="7" t="s">
        <v>4095</v>
      </c>
      <c r="K887" s="7" t="s">
        <v>4096</v>
      </c>
      <c r="L887" s="7" t="s">
        <v>5044</v>
      </c>
      <c r="M887" s="7">
        <v>0</v>
      </c>
      <c r="N887" s="9" t="s">
        <v>5044</v>
      </c>
      <c r="O887" s="9" t="s">
        <v>5044</v>
      </c>
      <c r="P887" s="7">
        <v>0</v>
      </c>
      <c r="Q887" s="7">
        <v>0</v>
      </c>
      <c r="R887" s="7">
        <v>0</v>
      </c>
      <c r="S887" s="7">
        <v>3</v>
      </c>
      <c r="T887" s="7">
        <v>4</v>
      </c>
      <c r="U887" s="7">
        <v>61</v>
      </c>
      <c r="V887" s="7">
        <v>0</v>
      </c>
      <c r="W887" s="7">
        <v>1</v>
      </c>
      <c r="X887" s="7">
        <v>0</v>
      </c>
      <c r="Y887" s="7">
        <v>0</v>
      </c>
      <c r="Z887" s="7">
        <v>0</v>
      </c>
      <c r="AA887" s="7">
        <v>0</v>
      </c>
      <c r="AB887" s="7">
        <v>1</v>
      </c>
      <c r="AC887" s="7">
        <v>1</v>
      </c>
      <c r="AD887" s="7" t="s">
        <v>5044</v>
      </c>
      <c r="AE887" s="7" t="s">
        <v>5044</v>
      </c>
      <c r="AF887" s="7" t="s">
        <v>5044</v>
      </c>
      <c r="AG887" s="7">
        <v>2</v>
      </c>
      <c r="AH887" s="7">
        <v>3</v>
      </c>
      <c r="AI887" s="7">
        <v>0</v>
      </c>
      <c r="AJ887" s="7" t="s">
        <v>5044</v>
      </c>
      <c r="AK887" s="7">
        <v>1</v>
      </c>
      <c r="AL887" s="7">
        <v>1</v>
      </c>
      <c r="AM887" s="7">
        <v>0</v>
      </c>
      <c r="AO887" s="11">
        <v>3</v>
      </c>
    </row>
    <row r="888" spans="1:41" ht="63" customHeight="1" x14ac:dyDescent="0.2">
      <c r="A888" s="7">
        <v>10916</v>
      </c>
      <c r="B888" s="7" t="s">
        <v>4097</v>
      </c>
      <c r="C888" s="7" t="s">
        <v>4098</v>
      </c>
      <c r="D888" s="7" t="s">
        <v>22</v>
      </c>
      <c r="F888" s="7" t="s">
        <v>83</v>
      </c>
      <c r="G888" s="7" t="s">
        <v>92</v>
      </c>
      <c r="H888" s="7" t="s">
        <v>160</v>
      </c>
      <c r="I888" s="7" t="s">
        <v>13</v>
      </c>
      <c r="J888" s="7" t="s">
        <v>4099</v>
      </c>
      <c r="K888" s="7" t="s">
        <v>4100</v>
      </c>
      <c r="L888" s="7" t="s">
        <v>5365</v>
      </c>
      <c r="M888" s="7">
        <v>0</v>
      </c>
      <c r="N888" s="9" t="s">
        <v>5044</v>
      </c>
      <c r="O888" s="9" t="s">
        <v>5044</v>
      </c>
      <c r="P888" s="7">
        <v>0</v>
      </c>
      <c r="Q888" s="7">
        <v>0</v>
      </c>
      <c r="R888" s="7">
        <v>0</v>
      </c>
      <c r="S888" s="7">
        <v>5</v>
      </c>
      <c r="T888" s="7">
        <v>4</v>
      </c>
      <c r="U888" s="7">
        <v>40</v>
      </c>
      <c r="V888" s="7">
        <v>0</v>
      </c>
      <c r="W888" s="7">
        <v>1</v>
      </c>
      <c r="X888" s="7">
        <v>0</v>
      </c>
      <c r="Y888" s="7">
        <v>0</v>
      </c>
      <c r="Z888" s="7">
        <v>0</v>
      </c>
      <c r="AA888" s="7">
        <v>0</v>
      </c>
      <c r="AB888" s="7">
        <v>1</v>
      </c>
      <c r="AC888" s="7">
        <v>1</v>
      </c>
      <c r="AD888" s="7" t="s">
        <v>5044</v>
      </c>
      <c r="AE888" s="7" t="s">
        <v>5044</v>
      </c>
      <c r="AF888" s="7" t="s">
        <v>5044</v>
      </c>
      <c r="AG888" s="7">
        <v>2</v>
      </c>
      <c r="AH888" s="7">
        <v>1</v>
      </c>
      <c r="AI888" s="7">
        <v>2</v>
      </c>
      <c r="AJ888" s="7" t="s">
        <v>5044</v>
      </c>
      <c r="AL888" s="7">
        <v>1</v>
      </c>
      <c r="AM888" s="7">
        <v>0</v>
      </c>
      <c r="AO888" s="11">
        <v>1</v>
      </c>
    </row>
    <row r="889" spans="1:41" ht="63" customHeight="1" x14ac:dyDescent="0.2">
      <c r="A889" s="7">
        <v>10922</v>
      </c>
      <c r="B889" s="7" t="s">
        <v>4101</v>
      </c>
      <c r="C889" s="7" t="s">
        <v>4102</v>
      </c>
      <c r="D889" s="7" t="s">
        <v>101</v>
      </c>
      <c r="E889" s="7" t="s">
        <v>4105</v>
      </c>
      <c r="F889" s="7" t="s">
        <v>58</v>
      </c>
      <c r="G889" s="7" t="s">
        <v>48</v>
      </c>
      <c r="H889" s="7" t="s">
        <v>286</v>
      </c>
      <c r="I889" s="7" t="s">
        <v>13</v>
      </c>
      <c r="J889" s="7" t="s">
        <v>4103</v>
      </c>
      <c r="K889" s="7" t="s">
        <v>4104</v>
      </c>
      <c r="L889" s="7" t="s">
        <v>5366</v>
      </c>
      <c r="M889" s="7">
        <v>0</v>
      </c>
      <c r="N889" s="9" t="s">
        <v>5044</v>
      </c>
      <c r="O889" s="9" t="s">
        <v>5044</v>
      </c>
      <c r="P889" s="7">
        <v>0</v>
      </c>
      <c r="Q889" s="7">
        <v>0</v>
      </c>
      <c r="R889" s="7">
        <v>0</v>
      </c>
      <c r="S889" s="7" t="s">
        <v>5357</v>
      </c>
      <c r="T889" s="7">
        <v>4</v>
      </c>
      <c r="U889" s="7">
        <v>60</v>
      </c>
      <c r="V889" s="7">
        <v>0</v>
      </c>
      <c r="W889" s="7">
        <v>1</v>
      </c>
      <c r="X889" s="7">
        <v>0</v>
      </c>
      <c r="Y889" s="7">
        <v>0</v>
      </c>
      <c r="Z889" s="7">
        <v>0</v>
      </c>
      <c r="AA889" s="7">
        <v>0</v>
      </c>
      <c r="AB889" s="7">
        <v>1</v>
      </c>
      <c r="AC889" s="7">
        <v>0</v>
      </c>
      <c r="AD889" s="7" t="s">
        <v>5044</v>
      </c>
      <c r="AE889" s="7" t="s">
        <v>5044</v>
      </c>
      <c r="AF889" s="7" t="s">
        <v>5044</v>
      </c>
      <c r="AG889" s="7">
        <v>0</v>
      </c>
      <c r="AH889" s="7" t="s">
        <v>5044</v>
      </c>
      <c r="AI889" s="7" t="s">
        <v>5044</v>
      </c>
      <c r="AJ889" s="7" t="s">
        <v>5044</v>
      </c>
      <c r="AL889" s="7">
        <v>0</v>
      </c>
      <c r="AM889" s="7">
        <v>0</v>
      </c>
      <c r="AO889" s="11">
        <v>9</v>
      </c>
    </row>
    <row r="890" spans="1:41" ht="63" customHeight="1" x14ac:dyDescent="0.2">
      <c r="A890" s="7">
        <v>10954</v>
      </c>
      <c r="B890" s="7" t="s">
        <v>4106</v>
      </c>
      <c r="C890" s="7" t="s">
        <v>4107</v>
      </c>
      <c r="D890" s="7" t="s">
        <v>41</v>
      </c>
      <c r="F890" s="7" t="s">
        <v>51</v>
      </c>
      <c r="G890" s="7" t="s">
        <v>32</v>
      </c>
      <c r="H890" s="7" t="s">
        <v>613</v>
      </c>
      <c r="I890" s="7" t="s">
        <v>13</v>
      </c>
      <c r="J890" s="7" t="s">
        <v>4108</v>
      </c>
      <c r="K890" s="7" t="s">
        <v>4109</v>
      </c>
      <c r="L890" s="7" t="s">
        <v>5367</v>
      </c>
      <c r="M890" s="7">
        <v>0</v>
      </c>
      <c r="N890" s="9" t="s">
        <v>5044</v>
      </c>
      <c r="O890" s="9" t="s">
        <v>5044</v>
      </c>
      <c r="P890" s="7">
        <v>0</v>
      </c>
      <c r="Q890" s="7">
        <v>0</v>
      </c>
      <c r="R890" s="7">
        <v>0</v>
      </c>
      <c r="S890" s="7" t="s">
        <v>5357</v>
      </c>
      <c r="T890" s="7">
        <v>4</v>
      </c>
      <c r="U890" s="7">
        <v>160</v>
      </c>
      <c r="V890" s="7">
        <v>0</v>
      </c>
      <c r="W890" s="7">
        <v>1</v>
      </c>
      <c r="X890" s="7">
        <v>0</v>
      </c>
      <c r="Y890" s="7">
        <v>0</v>
      </c>
      <c r="Z890" s="7">
        <v>0</v>
      </c>
      <c r="AA890" s="7">
        <v>0</v>
      </c>
      <c r="AB890" s="7">
        <v>0</v>
      </c>
      <c r="AC890" s="7">
        <v>1</v>
      </c>
      <c r="AD890" s="7" t="s">
        <v>5044</v>
      </c>
      <c r="AE890" s="7" t="s">
        <v>5044</v>
      </c>
      <c r="AF890" s="7" t="s">
        <v>5044</v>
      </c>
      <c r="AG890" s="7">
        <v>2</v>
      </c>
      <c r="AH890" s="7">
        <v>3</v>
      </c>
      <c r="AI890" s="7">
        <v>0</v>
      </c>
      <c r="AJ890" s="7" t="s">
        <v>5044</v>
      </c>
      <c r="AL890" s="7" t="s">
        <v>5044</v>
      </c>
      <c r="AM890" s="7">
        <v>0</v>
      </c>
      <c r="AO890" s="11">
        <v>3</v>
      </c>
    </row>
    <row r="891" spans="1:41" ht="63" customHeight="1" x14ac:dyDescent="0.2">
      <c r="A891" s="7">
        <v>10980</v>
      </c>
      <c r="B891" s="7" t="s">
        <v>4110</v>
      </c>
      <c r="C891" s="7" t="s">
        <v>4111</v>
      </c>
      <c r="D891" s="7" t="s">
        <v>22</v>
      </c>
      <c r="F891" s="7" t="s">
        <v>389</v>
      </c>
      <c r="G891" s="7" t="s">
        <v>144</v>
      </c>
      <c r="H891" s="7" t="s">
        <v>679</v>
      </c>
      <c r="I891" s="7" t="s">
        <v>13</v>
      </c>
      <c r="J891" s="7" t="s">
        <v>4112</v>
      </c>
      <c r="K891" s="7" t="s">
        <v>4113</v>
      </c>
      <c r="L891" s="7" t="s">
        <v>5044</v>
      </c>
      <c r="M891" s="7">
        <v>0</v>
      </c>
      <c r="N891" s="9" t="s">
        <v>5044</v>
      </c>
      <c r="O891" s="9" t="s">
        <v>5044</v>
      </c>
      <c r="P891" s="7">
        <v>0</v>
      </c>
      <c r="Q891" s="7">
        <v>0</v>
      </c>
      <c r="R891" s="7">
        <v>0</v>
      </c>
      <c r="S891" s="7">
        <v>3</v>
      </c>
      <c r="T891" s="7">
        <v>2</v>
      </c>
      <c r="U891" s="7">
        <v>189</v>
      </c>
      <c r="V891" s="7">
        <v>1</v>
      </c>
      <c r="W891" s="7">
        <v>0</v>
      </c>
      <c r="X891" s="7">
        <v>0</v>
      </c>
      <c r="Y891" s="7">
        <v>0</v>
      </c>
      <c r="Z891" s="7">
        <v>0</v>
      </c>
      <c r="AA891" s="7">
        <v>0</v>
      </c>
      <c r="AB891" s="7">
        <v>1</v>
      </c>
      <c r="AC891" s="7">
        <v>1</v>
      </c>
      <c r="AD891" s="7">
        <v>2</v>
      </c>
      <c r="AE891" s="7">
        <v>2</v>
      </c>
      <c r="AF891" s="7">
        <v>2</v>
      </c>
      <c r="AG891" s="7" t="s">
        <v>5044</v>
      </c>
      <c r="AH891" s="7" t="s">
        <v>5044</v>
      </c>
      <c r="AI891" s="7" t="s">
        <v>5044</v>
      </c>
      <c r="AJ891" s="7" t="s">
        <v>5044</v>
      </c>
      <c r="AL891" s="7">
        <v>1</v>
      </c>
      <c r="AM891" s="7">
        <v>0</v>
      </c>
      <c r="AO891" s="11">
        <v>2</v>
      </c>
    </row>
    <row r="892" spans="1:41" ht="63" customHeight="1" x14ac:dyDescent="0.2">
      <c r="A892" s="7">
        <v>11000</v>
      </c>
      <c r="B892" s="7" t="s">
        <v>4114</v>
      </c>
      <c r="C892" s="7" t="s">
        <v>4115</v>
      </c>
      <c r="D892" s="7" t="s">
        <v>16</v>
      </c>
      <c r="F892" s="7" t="s">
        <v>746</v>
      </c>
      <c r="G892" s="7" t="s">
        <v>37</v>
      </c>
      <c r="H892" s="7" t="s">
        <v>4116</v>
      </c>
      <c r="I892" s="7" t="s">
        <v>13</v>
      </c>
      <c r="J892" s="7" t="s">
        <v>4117</v>
      </c>
      <c r="K892" s="7" t="s">
        <v>4118</v>
      </c>
      <c r="L892" s="7" t="s">
        <v>5368</v>
      </c>
      <c r="M892" s="7">
        <v>0</v>
      </c>
      <c r="N892" s="9" t="s">
        <v>5044</v>
      </c>
      <c r="O892" s="9" t="s">
        <v>5044</v>
      </c>
      <c r="P892" s="7">
        <v>0</v>
      </c>
      <c r="Q892" s="7">
        <v>0</v>
      </c>
      <c r="R892" s="7">
        <v>0</v>
      </c>
      <c r="S892" s="7">
        <v>1</v>
      </c>
      <c r="T892" s="7">
        <v>4</v>
      </c>
      <c r="U892" s="7">
        <v>106</v>
      </c>
      <c r="V892" s="7">
        <v>0</v>
      </c>
      <c r="W892" s="7">
        <v>1</v>
      </c>
      <c r="X892" s="7">
        <v>0</v>
      </c>
      <c r="Y892" s="7">
        <v>0</v>
      </c>
      <c r="Z892" s="7">
        <v>0</v>
      </c>
      <c r="AA892" s="7">
        <v>0</v>
      </c>
      <c r="AB892" s="7">
        <v>1</v>
      </c>
      <c r="AC892" s="7">
        <v>0</v>
      </c>
      <c r="AD892" s="7" t="s">
        <v>5044</v>
      </c>
      <c r="AE892" s="7" t="s">
        <v>5044</v>
      </c>
      <c r="AF892" s="7" t="s">
        <v>5044</v>
      </c>
      <c r="AG892" s="7">
        <v>0</v>
      </c>
      <c r="AH892" s="7" t="s">
        <v>5044</v>
      </c>
      <c r="AI892" s="7" t="s">
        <v>5044</v>
      </c>
      <c r="AJ892" s="7" t="s">
        <v>5044</v>
      </c>
      <c r="AL892" s="7">
        <v>1</v>
      </c>
      <c r="AM892" s="7">
        <v>0</v>
      </c>
      <c r="AO892" s="11">
        <v>9</v>
      </c>
    </row>
    <row r="893" spans="1:41" ht="63" customHeight="1" x14ac:dyDescent="0.2">
      <c r="A893" s="7">
        <v>11019</v>
      </c>
      <c r="B893" s="7" t="s">
        <v>4119</v>
      </c>
      <c r="C893" s="7" t="s">
        <v>4120</v>
      </c>
      <c r="D893" s="7" t="s">
        <v>16</v>
      </c>
      <c r="F893" s="7" t="s">
        <v>3196</v>
      </c>
      <c r="G893" s="7" t="s">
        <v>144</v>
      </c>
      <c r="H893" s="7" t="s">
        <v>740</v>
      </c>
      <c r="I893" s="7" t="s">
        <v>13</v>
      </c>
      <c r="J893" s="7" t="s">
        <v>4121</v>
      </c>
      <c r="K893" s="7" t="s">
        <v>4122</v>
      </c>
      <c r="L893" s="7" t="s">
        <v>5369</v>
      </c>
      <c r="M893" s="7">
        <v>0</v>
      </c>
      <c r="N893" s="9" t="s">
        <v>5044</v>
      </c>
      <c r="O893" s="9" t="s">
        <v>5044</v>
      </c>
      <c r="P893" s="7">
        <v>0</v>
      </c>
      <c r="Q893" s="7">
        <v>0</v>
      </c>
      <c r="R893" s="7">
        <v>0</v>
      </c>
      <c r="S893" s="7">
        <v>1</v>
      </c>
      <c r="T893" s="7">
        <v>4</v>
      </c>
      <c r="U893" s="7">
        <v>600</v>
      </c>
      <c r="V893" s="7">
        <v>0</v>
      </c>
      <c r="W893" s="7">
        <v>1</v>
      </c>
      <c r="X893" s="7">
        <v>0</v>
      </c>
      <c r="Y893" s="7">
        <v>0</v>
      </c>
      <c r="Z893" s="7">
        <v>0</v>
      </c>
      <c r="AA893" s="7">
        <v>0</v>
      </c>
      <c r="AB893" s="7">
        <v>1</v>
      </c>
      <c r="AC893" s="7">
        <v>1</v>
      </c>
      <c r="AD893" s="7" t="s">
        <v>5044</v>
      </c>
      <c r="AE893" s="7" t="s">
        <v>5044</v>
      </c>
      <c r="AF893" s="7" t="s">
        <v>5044</v>
      </c>
      <c r="AG893" s="7">
        <v>1</v>
      </c>
      <c r="AH893" s="7">
        <v>0</v>
      </c>
      <c r="AI893" s="7">
        <v>0</v>
      </c>
      <c r="AJ893" s="7" t="s">
        <v>5044</v>
      </c>
      <c r="AL893" s="7">
        <v>0</v>
      </c>
      <c r="AM893" s="7">
        <v>0</v>
      </c>
      <c r="AO893" s="9">
        <v>0</v>
      </c>
    </row>
    <row r="894" spans="1:41" ht="63" customHeight="1" x14ac:dyDescent="0.2">
      <c r="A894" s="7">
        <v>11024</v>
      </c>
      <c r="B894" s="7" t="s">
        <v>4123</v>
      </c>
      <c r="C894" s="7" t="s">
        <v>4124</v>
      </c>
      <c r="D894" s="7" t="s">
        <v>25</v>
      </c>
      <c r="F894" s="7" t="s">
        <v>399</v>
      </c>
      <c r="G894" s="7" t="s">
        <v>32</v>
      </c>
      <c r="H894" s="7" t="s">
        <v>12</v>
      </c>
      <c r="I894" s="7" t="s">
        <v>13</v>
      </c>
      <c r="J894" s="7" t="s">
        <v>4125</v>
      </c>
      <c r="K894" s="7" t="s">
        <v>4126</v>
      </c>
      <c r="L894" s="7" t="s">
        <v>5370</v>
      </c>
      <c r="M894" s="7">
        <v>0</v>
      </c>
      <c r="N894" s="9" t="s">
        <v>5044</v>
      </c>
      <c r="O894" s="9" t="s">
        <v>5044</v>
      </c>
      <c r="P894" s="7">
        <v>0</v>
      </c>
      <c r="Q894" s="7">
        <v>0</v>
      </c>
      <c r="R894" s="7">
        <v>0</v>
      </c>
      <c r="S894" s="7">
        <v>3</v>
      </c>
      <c r="T894" s="7">
        <v>4</v>
      </c>
      <c r="U894" s="7">
        <v>160</v>
      </c>
      <c r="V894" s="7">
        <v>0</v>
      </c>
      <c r="W894" s="7">
        <v>1</v>
      </c>
      <c r="X894" s="7">
        <v>0</v>
      </c>
      <c r="Y894" s="7">
        <v>0</v>
      </c>
      <c r="Z894" s="7">
        <v>0</v>
      </c>
      <c r="AA894" s="7">
        <v>0</v>
      </c>
      <c r="AB894" s="7">
        <v>1</v>
      </c>
      <c r="AC894" s="7">
        <v>1</v>
      </c>
      <c r="AD894" s="7" t="s">
        <v>5044</v>
      </c>
      <c r="AE894" s="7" t="s">
        <v>5044</v>
      </c>
      <c r="AF894" s="7" t="s">
        <v>5044</v>
      </c>
      <c r="AG894" s="7">
        <v>2</v>
      </c>
      <c r="AH894" s="7">
        <v>3</v>
      </c>
      <c r="AI894" s="7">
        <v>0</v>
      </c>
      <c r="AJ894" s="7" t="s">
        <v>5044</v>
      </c>
      <c r="AL894" s="7">
        <v>1</v>
      </c>
      <c r="AM894" s="7">
        <v>0</v>
      </c>
      <c r="AO894" s="11">
        <v>3</v>
      </c>
    </row>
    <row r="895" spans="1:41" ht="63" customHeight="1" x14ac:dyDescent="0.2">
      <c r="A895" s="7">
        <v>11025</v>
      </c>
      <c r="B895" s="7" t="s">
        <v>4127</v>
      </c>
      <c r="C895" s="7" t="s">
        <v>4128</v>
      </c>
      <c r="D895" s="7" t="s">
        <v>95</v>
      </c>
      <c r="F895" s="7" t="s">
        <v>356</v>
      </c>
      <c r="G895" s="7" t="s">
        <v>32</v>
      </c>
      <c r="H895" s="7" t="s">
        <v>160</v>
      </c>
      <c r="I895" s="7" t="s">
        <v>13</v>
      </c>
      <c r="J895" s="7" t="s">
        <v>4129</v>
      </c>
      <c r="K895" s="7" t="s">
        <v>4130</v>
      </c>
      <c r="L895" s="7" t="s">
        <v>5371</v>
      </c>
      <c r="M895" s="7">
        <v>0</v>
      </c>
      <c r="N895" s="9" t="s">
        <v>5044</v>
      </c>
      <c r="O895" s="9" t="s">
        <v>5044</v>
      </c>
      <c r="P895" s="7">
        <v>0</v>
      </c>
      <c r="Q895" s="7">
        <v>0</v>
      </c>
      <c r="R895" s="7">
        <v>0</v>
      </c>
      <c r="S895" s="7">
        <v>1</v>
      </c>
      <c r="T895" s="7">
        <v>4</v>
      </c>
      <c r="U895" s="7">
        <v>107</v>
      </c>
      <c r="V895" s="7">
        <v>0</v>
      </c>
      <c r="W895" s="7">
        <v>1</v>
      </c>
      <c r="X895" s="7">
        <v>0</v>
      </c>
      <c r="Y895" s="7">
        <v>0</v>
      </c>
      <c r="Z895" s="7">
        <v>0</v>
      </c>
      <c r="AA895" s="7">
        <v>0</v>
      </c>
      <c r="AB895" s="7">
        <v>1</v>
      </c>
      <c r="AC895" s="7">
        <v>1</v>
      </c>
      <c r="AD895" s="7" t="s">
        <v>5044</v>
      </c>
      <c r="AE895" s="7" t="s">
        <v>5044</v>
      </c>
      <c r="AF895" s="7" t="s">
        <v>5044</v>
      </c>
      <c r="AG895" s="7">
        <v>2</v>
      </c>
      <c r="AH895" s="7">
        <v>2</v>
      </c>
      <c r="AI895" s="7">
        <v>2</v>
      </c>
      <c r="AJ895" s="7" t="s">
        <v>5044</v>
      </c>
      <c r="AL895" s="7">
        <v>1</v>
      </c>
      <c r="AM895" s="7">
        <v>0</v>
      </c>
      <c r="AO895" s="11">
        <v>2</v>
      </c>
    </row>
    <row r="896" spans="1:41" ht="63" customHeight="1" x14ac:dyDescent="0.2">
      <c r="A896" s="7">
        <v>11035</v>
      </c>
      <c r="B896" s="7" t="s">
        <v>4131</v>
      </c>
      <c r="C896" s="7" t="s">
        <v>4132</v>
      </c>
      <c r="D896" s="7" t="s">
        <v>41</v>
      </c>
      <c r="F896" s="7" t="s">
        <v>220</v>
      </c>
      <c r="G896" s="7" t="s">
        <v>52</v>
      </c>
      <c r="H896" s="7" t="s">
        <v>3547</v>
      </c>
      <c r="I896" s="7" t="s">
        <v>13</v>
      </c>
      <c r="J896" s="7" t="s">
        <v>4133</v>
      </c>
      <c r="K896" s="7" t="s">
        <v>4134</v>
      </c>
      <c r="L896" s="7" t="s">
        <v>5372</v>
      </c>
      <c r="M896" s="7">
        <v>0</v>
      </c>
      <c r="N896" s="9" t="s">
        <v>5044</v>
      </c>
      <c r="O896" s="9" t="s">
        <v>5044</v>
      </c>
      <c r="P896" s="7">
        <v>0</v>
      </c>
      <c r="Q896" s="7">
        <v>0</v>
      </c>
      <c r="R896" s="7">
        <v>0</v>
      </c>
      <c r="S896" s="7">
        <v>1</v>
      </c>
      <c r="T896" s="7">
        <v>4</v>
      </c>
      <c r="U896" s="7">
        <v>266</v>
      </c>
      <c r="V896" s="7">
        <v>0</v>
      </c>
      <c r="W896" s="7">
        <v>1</v>
      </c>
      <c r="X896" s="7">
        <v>0</v>
      </c>
      <c r="Y896" s="7">
        <v>0</v>
      </c>
      <c r="Z896" s="7">
        <v>0</v>
      </c>
      <c r="AA896" s="7">
        <v>0</v>
      </c>
      <c r="AB896" s="7">
        <v>1</v>
      </c>
      <c r="AC896" s="7">
        <v>1</v>
      </c>
      <c r="AD896" s="7" t="s">
        <v>5044</v>
      </c>
      <c r="AE896" s="7" t="s">
        <v>5044</v>
      </c>
      <c r="AF896" s="7" t="s">
        <v>5044</v>
      </c>
      <c r="AG896" s="7">
        <v>2</v>
      </c>
      <c r="AH896" s="7">
        <v>3</v>
      </c>
      <c r="AI896" s="7">
        <v>0</v>
      </c>
      <c r="AJ896" s="7" t="s">
        <v>5044</v>
      </c>
      <c r="AL896" s="7">
        <v>0</v>
      </c>
      <c r="AM896" s="7">
        <v>0</v>
      </c>
      <c r="AO896" s="11">
        <v>3</v>
      </c>
    </row>
    <row r="897" spans="1:41" ht="63" customHeight="1" x14ac:dyDescent="0.2">
      <c r="A897" s="7">
        <v>11036</v>
      </c>
      <c r="B897" s="7" t="s">
        <v>4135</v>
      </c>
      <c r="C897" s="7" t="s">
        <v>4136</v>
      </c>
      <c r="D897" s="7" t="s">
        <v>101</v>
      </c>
      <c r="F897" s="7" t="s">
        <v>568</v>
      </c>
      <c r="G897" s="7" t="s">
        <v>18</v>
      </c>
      <c r="H897" s="7" t="s">
        <v>217</v>
      </c>
      <c r="I897" s="7" t="s">
        <v>13</v>
      </c>
      <c r="J897" s="7" t="s">
        <v>4137</v>
      </c>
      <c r="K897" s="7" t="s">
        <v>4138</v>
      </c>
      <c r="L897" s="7" t="s">
        <v>5373</v>
      </c>
      <c r="M897" s="7">
        <v>0</v>
      </c>
      <c r="N897" s="9" t="s">
        <v>5044</v>
      </c>
      <c r="O897" s="9" t="s">
        <v>5044</v>
      </c>
      <c r="P897" s="7">
        <v>0</v>
      </c>
      <c r="Q897" s="7">
        <v>0</v>
      </c>
      <c r="R897" s="7">
        <v>0</v>
      </c>
      <c r="S897" s="7">
        <v>1</v>
      </c>
      <c r="T897" s="7">
        <v>4</v>
      </c>
      <c r="U897" s="7">
        <v>266</v>
      </c>
      <c r="V897" s="7">
        <v>0</v>
      </c>
      <c r="W897" s="7">
        <v>1</v>
      </c>
      <c r="X897" s="7">
        <v>0</v>
      </c>
      <c r="Y897" s="7">
        <v>0</v>
      </c>
      <c r="Z897" s="7">
        <v>0</v>
      </c>
      <c r="AA897" s="7">
        <v>0</v>
      </c>
      <c r="AB897" s="7">
        <v>1</v>
      </c>
      <c r="AC897" s="7">
        <v>1</v>
      </c>
      <c r="AD897" s="7" t="s">
        <v>5044</v>
      </c>
      <c r="AE897" s="7" t="s">
        <v>5044</v>
      </c>
      <c r="AF897" s="7" t="s">
        <v>5044</v>
      </c>
      <c r="AG897" s="7">
        <v>2</v>
      </c>
      <c r="AH897" s="7">
        <v>3</v>
      </c>
      <c r="AI897" s="7">
        <v>0</v>
      </c>
      <c r="AJ897" s="7" t="s">
        <v>5044</v>
      </c>
      <c r="AL897" s="7">
        <v>1</v>
      </c>
      <c r="AM897" s="7">
        <v>0</v>
      </c>
      <c r="AO897" s="11">
        <v>3</v>
      </c>
    </row>
    <row r="898" spans="1:41" ht="63" customHeight="1" x14ac:dyDescent="0.2">
      <c r="A898" s="7">
        <v>11059</v>
      </c>
      <c r="B898" s="7" t="s">
        <v>4147</v>
      </c>
      <c r="C898" s="7" t="s">
        <v>4148</v>
      </c>
      <c r="D898" s="7" t="s">
        <v>16</v>
      </c>
      <c r="F898" s="7" t="s">
        <v>11</v>
      </c>
      <c r="G898" s="7" t="s">
        <v>47</v>
      </c>
      <c r="H898" s="7" t="s">
        <v>140</v>
      </c>
      <c r="I898" s="7" t="s">
        <v>13</v>
      </c>
      <c r="J898" s="7" t="s">
        <v>4149</v>
      </c>
      <c r="K898" s="7" t="s">
        <v>4150</v>
      </c>
      <c r="L898" s="7" t="s">
        <v>5376</v>
      </c>
      <c r="M898" s="7">
        <v>0</v>
      </c>
      <c r="N898" s="9" t="s">
        <v>5044</v>
      </c>
      <c r="O898" s="9" t="s">
        <v>5044</v>
      </c>
      <c r="P898" s="7">
        <v>0</v>
      </c>
      <c r="Q898" s="7">
        <v>0</v>
      </c>
      <c r="R898" s="7">
        <v>0</v>
      </c>
      <c r="S898" s="7">
        <v>5</v>
      </c>
      <c r="T898" s="7">
        <v>2</v>
      </c>
      <c r="U898" s="7">
        <v>336</v>
      </c>
      <c r="V898" s="7">
        <v>0</v>
      </c>
      <c r="W898" s="7">
        <v>1</v>
      </c>
      <c r="X898" s="7">
        <v>0</v>
      </c>
      <c r="Y898" s="7">
        <v>0</v>
      </c>
      <c r="Z898" s="7">
        <v>0</v>
      </c>
      <c r="AA898" s="7">
        <v>0</v>
      </c>
      <c r="AB898" s="7">
        <v>1</v>
      </c>
      <c r="AC898" s="7">
        <v>1</v>
      </c>
      <c r="AD898" s="7" t="s">
        <v>5044</v>
      </c>
      <c r="AE898" s="7" t="s">
        <v>5044</v>
      </c>
      <c r="AF898" s="7" t="s">
        <v>5044</v>
      </c>
      <c r="AG898" s="7">
        <v>2</v>
      </c>
      <c r="AH898" s="7">
        <v>3</v>
      </c>
      <c r="AI898" s="7">
        <v>0</v>
      </c>
      <c r="AJ898" s="7" t="s">
        <v>5044</v>
      </c>
      <c r="AL898" s="7">
        <v>1</v>
      </c>
      <c r="AM898" s="7">
        <v>0</v>
      </c>
      <c r="AO898" s="11">
        <v>3</v>
      </c>
    </row>
    <row r="899" spans="1:41" ht="63" customHeight="1" x14ac:dyDescent="0.2">
      <c r="A899" s="7">
        <v>11063</v>
      </c>
      <c r="B899" s="7" t="s">
        <v>4151</v>
      </c>
      <c r="C899" s="7" t="s">
        <v>4152</v>
      </c>
      <c r="D899" s="7" t="s">
        <v>35</v>
      </c>
      <c r="F899" s="7" t="s">
        <v>746</v>
      </c>
      <c r="G899" s="7" t="s">
        <v>48</v>
      </c>
      <c r="H899" s="7" t="s">
        <v>270</v>
      </c>
      <c r="I899" s="7" t="s">
        <v>13</v>
      </c>
      <c r="J899" s="7" t="s">
        <v>4153</v>
      </c>
      <c r="K899" s="7" t="s">
        <v>4154</v>
      </c>
      <c r="L899" s="7" t="s">
        <v>5044</v>
      </c>
      <c r="M899" s="7">
        <v>0</v>
      </c>
      <c r="N899" s="9" t="s">
        <v>5044</v>
      </c>
      <c r="O899" s="9" t="s">
        <v>5044</v>
      </c>
      <c r="P899" s="7">
        <v>0</v>
      </c>
      <c r="Q899" s="7">
        <v>0</v>
      </c>
      <c r="R899" s="7">
        <v>0</v>
      </c>
      <c r="S899" s="7">
        <v>1</v>
      </c>
      <c r="T899" s="7">
        <v>4</v>
      </c>
      <c r="U899" s="7">
        <v>88</v>
      </c>
      <c r="V899" s="7">
        <v>1</v>
      </c>
      <c r="W899" s="7">
        <v>0</v>
      </c>
      <c r="X899" s="7">
        <v>0</v>
      </c>
      <c r="Y899" s="7">
        <v>0</v>
      </c>
      <c r="Z899" s="7">
        <v>0</v>
      </c>
      <c r="AA899" s="7">
        <v>0</v>
      </c>
      <c r="AB899" s="7">
        <v>0</v>
      </c>
      <c r="AC899" s="7">
        <v>1</v>
      </c>
      <c r="AD899" s="7">
        <v>1</v>
      </c>
      <c r="AE899" s="7">
        <v>0</v>
      </c>
      <c r="AF899" s="7">
        <v>0</v>
      </c>
      <c r="AG899" s="7" t="s">
        <v>5044</v>
      </c>
      <c r="AH899" s="7" t="s">
        <v>5044</v>
      </c>
      <c r="AI899" s="7" t="s">
        <v>5044</v>
      </c>
      <c r="AJ899" s="7" t="s">
        <v>5044</v>
      </c>
      <c r="AL899" s="7">
        <v>1</v>
      </c>
      <c r="AM899" s="7">
        <v>0</v>
      </c>
      <c r="AO899" s="9">
        <v>0</v>
      </c>
    </row>
    <row r="900" spans="1:41" ht="63" customHeight="1" x14ac:dyDescent="0.2">
      <c r="A900" s="7">
        <v>11088</v>
      </c>
      <c r="B900" s="7" t="s">
        <v>4155</v>
      </c>
      <c r="C900" s="7" t="s">
        <v>4156</v>
      </c>
      <c r="D900" s="7" t="s">
        <v>30</v>
      </c>
      <c r="F900" s="7" t="s">
        <v>697</v>
      </c>
      <c r="G900" s="7" t="s">
        <v>175</v>
      </c>
      <c r="H900" s="7" t="s">
        <v>698</v>
      </c>
      <c r="I900" s="7" t="s">
        <v>13</v>
      </c>
      <c r="J900" s="7" t="s">
        <v>4157</v>
      </c>
      <c r="K900" s="7" t="s">
        <v>4158</v>
      </c>
      <c r="L900" s="11" t="s">
        <v>5044</v>
      </c>
      <c r="M900" s="7">
        <v>0</v>
      </c>
      <c r="N900" s="9" t="s">
        <v>5044</v>
      </c>
      <c r="O900" s="9" t="s">
        <v>5044</v>
      </c>
      <c r="P900" s="7">
        <v>0</v>
      </c>
      <c r="Q900" s="7">
        <v>0</v>
      </c>
      <c r="R900" s="7">
        <v>0</v>
      </c>
      <c r="S900" s="7">
        <v>9</v>
      </c>
      <c r="T900" s="7">
        <v>1</v>
      </c>
      <c r="U900" s="7">
        <v>60</v>
      </c>
      <c r="V900" s="7">
        <v>0</v>
      </c>
      <c r="W900" s="7">
        <v>1</v>
      </c>
      <c r="X900" s="7">
        <v>0</v>
      </c>
      <c r="Y900" s="7">
        <v>0</v>
      </c>
      <c r="Z900" s="7">
        <v>0</v>
      </c>
      <c r="AA900" s="7">
        <v>0</v>
      </c>
      <c r="AB900" s="7">
        <v>1</v>
      </c>
      <c r="AC900" s="7">
        <v>1</v>
      </c>
      <c r="AD900" s="7" t="s">
        <v>5044</v>
      </c>
      <c r="AE900" s="7" t="s">
        <v>5044</v>
      </c>
      <c r="AF900" s="7" t="s">
        <v>5044</v>
      </c>
      <c r="AG900" s="7">
        <v>1</v>
      </c>
      <c r="AH900" s="7">
        <v>0</v>
      </c>
      <c r="AI900" s="7">
        <v>0</v>
      </c>
      <c r="AJ900" s="7" t="s">
        <v>5044</v>
      </c>
      <c r="AL900" s="7">
        <v>0</v>
      </c>
      <c r="AM900" s="7">
        <v>0</v>
      </c>
      <c r="AO900" s="9">
        <v>0</v>
      </c>
    </row>
    <row r="901" spans="1:41" ht="63" customHeight="1" x14ac:dyDescent="0.2">
      <c r="A901" s="7">
        <v>11089</v>
      </c>
      <c r="B901" s="7" t="s">
        <v>4159</v>
      </c>
      <c r="C901" s="7" t="s">
        <v>4160</v>
      </c>
      <c r="D901" s="7" t="s">
        <v>16</v>
      </c>
      <c r="F901" s="7" t="s">
        <v>587</v>
      </c>
      <c r="G901" s="7" t="s">
        <v>144</v>
      </c>
      <c r="H901" s="7" t="s">
        <v>329</v>
      </c>
      <c r="I901" s="7" t="s">
        <v>437</v>
      </c>
      <c r="J901" s="7" t="s">
        <v>4161</v>
      </c>
      <c r="K901" s="7" t="s">
        <v>4162</v>
      </c>
      <c r="L901" s="7" t="s">
        <v>5378</v>
      </c>
      <c r="M901" s="7">
        <v>0</v>
      </c>
      <c r="N901" s="9" t="s">
        <v>5044</v>
      </c>
      <c r="O901" s="9" t="s">
        <v>5044</v>
      </c>
      <c r="P901" s="7">
        <v>0</v>
      </c>
      <c r="Q901" s="7">
        <v>0</v>
      </c>
      <c r="R901" s="7">
        <v>0</v>
      </c>
      <c r="S901" s="7" t="s">
        <v>5377</v>
      </c>
      <c r="T901" s="7">
        <v>4</v>
      </c>
      <c r="U901" s="7">
        <v>68</v>
      </c>
      <c r="V901" s="7">
        <v>0</v>
      </c>
      <c r="W901" s="7">
        <v>1</v>
      </c>
      <c r="X901" s="7">
        <v>0</v>
      </c>
      <c r="Y901" s="7">
        <v>0</v>
      </c>
      <c r="Z901" s="7">
        <v>0</v>
      </c>
      <c r="AA901" s="7">
        <v>0</v>
      </c>
      <c r="AB901" s="7">
        <v>1</v>
      </c>
      <c r="AC901" s="7">
        <v>1</v>
      </c>
      <c r="AD901" s="7" t="s">
        <v>5044</v>
      </c>
      <c r="AE901" s="7" t="s">
        <v>5044</v>
      </c>
      <c r="AF901" s="7" t="s">
        <v>5044</v>
      </c>
      <c r="AG901" s="7">
        <v>1</v>
      </c>
      <c r="AH901" s="7">
        <v>0</v>
      </c>
      <c r="AI901" s="7">
        <v>0</v>
      </c>
      <c r="AJ901" s="7" t="s">
        <v>5044</v>
      </c>
      <c r="AL901" s="7">
        <v>1</v>
      </c>
      <c r="AM901" s="7">
        <v>0</v>
      </c>
      <c r="AO901" s="9">
        <v>0</v>
      </c>
    </row>
    <row r="902" spans="1:41" ht="63" customHeight="1" x14ac:dyDescent="0.2">
      <c r="A902" s="7">
        <v>11092</v>
      </c>
      <c r="B902" s="7" t="s">
        <v>4163</v>
      </c>
      <c r="C902" s="7" t="s">
        <v>4164</v>
      </c>
      <c r="D902" s="7" t="s">
        <v>149</v>
      </c>
      <c r="F902" s="7" t="s">
        <v>220</v>
      </c>
      <c r="G902" s="7" t="s">
        <v>11</v>
      </c>
      <c r="H902" s="7" t="s">
        <v>270</v>
      </c>
      <c r="I902" s="7" t="s">
        <v>13</v>
      </c>
      <c r="J902" s="7" t="s">
        <v>4165</v>
      </c>
      <c r="K902" s="7" t="s">
        <v>4166</v>
      </c>
      <c r="L902" s="7" t="s">
        <v>5044</v>
      </c>
      <c r="M902" s="7">
        <v>0</v>
      </c>
      <c r="N902" s="9" t="s">
        <v>5044</v>
      </c>
      <c r="O902" s="9" t="s">
        <v>5044</v>
      </c>
      <c r="P902" s="7">
        <v>0</v>
      </c>
      <c r="Q902" s="7">
        <v>0</v>
      </c>
      <c r="R902" s="7">
        <v>0</v>
      </c>
      <c r="S902" s="7">
        <v>1</v>
      </c>
      <c r="T902" s="7">
        <v>4</v>
      </c>
      <c r="U902" s="7">
        <v>700</v>
      </c>
      <c r="V902" s="7">
        <v>1</v>
      </c>
      <c r="W902" s="7">
        <v>0</v>
      </c>
      <c r="X902" s="7">
        <v>0</v>
      </c>
      <c r="Y902" s="7">
        <v>0</v>
      </c>
      <c r="Z902" s="7">
        <v>0</v>
      </c>
      <c r="AA902" s="7">
        <v>0</v>
      </c>
      <c r="AB902" s="7">
        <v>1</v>
      </c>
      <c r="AC902" s="7">
        <v>1</v>
      </c>
      <c r="AD902" s="7">
        <v>2</v>
      </c>
      <c r="AE902" s="7">
        <v>2</v>
      </c>
      <c r="AF902" s="7">
        <v>2</v>
      </c>
      <c r="AG902" s="7" t="s">
        <v>5044</v>
      </c>
      <c r="AH902" s="7" t="s">
        <v>5044</v>
      </c>
      <c r="AI902" s="7" t="s">
        <v>5044</v>
      </c>
      <c r="AJ902" s="7" t="s">
        <v>5044</v>
      </c>
      <c r="AL902" s="7">
        <v>0</v>
      </c>
      <c r="AM902" s="7">
        <v>0</v>
      </c>
      <c r="AO902" s="11">
        <v>2</v>
      </c>
    </row>
    <row r="903" spans="1:41" ht="63" customHeight="1" x14ac:dyDescent="0.2">
      <c r="A903" s="7">
        <v>11113</v>
      </c>
      <c r="B903" s="7" t="s">
        <v>4176</v>
      </c>
      <c r="C903" s="7" t="s">
        <v>4177</v>
      </c>
      <c r="D903" s="7" t="s">
        <v>41</v>
      </c>
      <c r="F903" s="7" t="s">
        <v>118</v>
      </c>
      <c r="G903" s="7" t="s">
        <v>11</v>
      </c>
      <c r="H903" s="7" t="s">
        <v>296</v>
      </c>
      <c r="I903" s="7" t="s">
        <v>13</v>
      </c>
      <c r="J903" s="7" t="s">
        <v>4178</v>
      </c>
      <c r="K903" s="7" t="s">
        <v>4179</v>
      </c>
      <c r="L903" s="7" t="s">
        <v>5380</v>
      </c>
      <c r="M903" s="7">
        <v>0</v>
      </c>
      <c r="N903" s="9" t="s">
        <v>5044</v>
      </c>
      <c r="O903" s="9" t="s">
        <v>5044</v>
      </c>
      <c r="P903" s="7">
        <v>1</v>
      </c>
      <c r="Q903" s="7">
        <v>0</v>
      </c>
      <c r="R903" s="7">
        <v>0</v>
      </c>
      <c r="S903" s="7">
        <v>1</v>
      </c>
      <c r="T903" s="7">
        <v>1</v>
      </c>
      <c r="U903" s="7">
        <v>40</v>
      </c>
      <c r="V903" s="7">
        <v>1</v>
      </c>
      <c r="W903" s="7">
        <v>0</v>
      </c>
      <c r="X903" s="7">
        <v>0</v>
      </c>
      <c r="Y903" s="7">
        <v>0</v>
      </c>
      <c r="Z903" s="7">
        <v>0</v>
      </c>
      <c r="AA903" s="7">
        <v>0</v>
      </c>
      <c r="AB903" s="7">
        <v>1</v>
      </c>
      <c r="AC903" s="7">
        <v>1</v>
      </c>
      <c r="AD903" s="7">
        <v>2</v>
      </c>
      <c r="AE903" s="7">
        <v>3</v>
      </c>
      <c r="AF903" s="7">
        <v>0</v>
      </c>
      <c r="AG903" s="7" t="s">
        <v>5044</v>
      </c>
      <c r="AH903" s="7" t="s">
        <v>5044</v>
      </c>
      <c r="AI903" s="7" t="s">
        <v>5044</v>
      </c>
      <c r="AJ903" s="7" t="s">
        <v>5044</v>
      </c>
      <c r="AL903" s="7" t="s">
        <v>5044</v>
      </c>
      <c r="AM903" s="7">
        <v>0</v>
      </c>
      <c r="AO903" s="11">
        <v>3</v>
      </c>
    </row>
    <row r="904" spans="1:41" ht="63" customHeight="1" x14ac:dyDescent="0.2">
      <c r="A904" s="7">
        <v>11134</v>
      </c>
      <c r="B904" s="7" t="s">
        <v>4184</v>
      </c>
      <c r="C904" s="7" t="s">
        <v>4185</v>
      </c>
      <c r="D904" s="7" t="s">
        <v>375</v>
      </c>
      <c r="F904" s="7" t="s">
        <v>384</v>
      </c>
      <c r="G904" s="7" t="s">
        <v>37</v>
      </c>
      <c r="H904" s="7" t="s">
        <v>385</v>
      </c>
      <c r="I904" s="7" t="s">
        <v>13</v>
      </c>
      <c r="J904" s="7" t="s">
        <v>4186</v>
      </c>
      <c r="K904" s="7" t="s">
        <v>4187</v>
      </c>
      <c r="L904" s="7" t="s">
        <v>5044</v>
      </c>
      <c r="M904" s="7">
        <v>0</v>
      </c>
      <c r="N904" s="9" t="s">
        <v>5044</v>
      </c>
      <c r="O904" s="9" t="s">
        <v>5044</v>
      </c>
      <c r="P904" s="7">
        <v>0</v>
      </c>
      <c r="Q904" s="7">
        <v>0</v>
      </c>
      <c r="R904" s="7">
        <v>0</v>
      </c>
      <c r="S904" s="7">
        <v>3</v>
      </c>
      <c r="T904" s="7">
        <v>4</v>
      </c>
      <c r="U904" s="7">
        <v>131</v>
      </c>
      <c r="V904" s="7">
        <v>0</v>
      </c>
      <c r="W904" s="7">
        <v>1</v>
      </c>
      <c r="X904" s="7">
        <v>0</v>
      </c>
      <c r="Y904" s="7">
        <v>0</v>
      </c>
      <c r="Z904" s="7">
        <v>0</v>
      </c>
      <c r="AA904" s="7">
        <v>0</v>
      </c>
      <c r="AB904" s="7">
        <v>1</v>
      </c>
      <c r="AC904" s="7">
        <v>1</v>
      </c>
      <c r="AD904" s="7" t="s">
        <v>5044</v>
      </c>
      <c r="AE904" s="7" t="s">
        <v>5044</v>
      </c>
      <c r="AF904" s="7" t="s">
        <v>5044</v>
      </c>
      <c r="AG904" s="7">
        <v>2</v>
      </c>
      <c r="AH904" s="7">
        <v>3</v>
      </c>
      <c r="AI904" s="7">
        <v>0</v>
      </c>
      <c r="AJ904" s="7" t="s">
        <v>5044</v>
      </c>
      <c r="AL904" s="7" t="s">
        <v>5044</v>
      </c>
      <c r="AM904" s="7">
        <v>0</v>
      </c>
      <c r="AO904" s="11">
        <v>3</v>
      </c>
    </row>
    <row r="905" spans="1:41" ht="63" customHeight="1" x14ac:dyDescent="0.2">
      <c r="A905" s="7">
        <v>11156</v>
      </c>
      <c r="B905" s="7" t="s">
        <v>4188</v>
      </c>
      <c r="C905" s="7" t="s">
        <v>4189</v>
      </c>
      <c r="D905" s="7" t="s">
        <v>35</v>
      </c>
      <c r="F905" s="7" t="s">
        <v>312</v>
      </c>
      <c r="G905" s="7" t="s">
        <v>52</v>
      </c>
      <c r="H905" s="7" t="s">
        <v>89</v>
      </c>
      <c r="I905" s="7" t="s">
        <v>13</v>
      </c>
      <c r="J905" s="7" t="s">
        <v>4190</v>
      </c>
      <c r="K905" s="7" t="s">
        <v>4191</v>
      </c>
      <c r="L905" s="7" t="s">
        <v>5382</v>
      </c>
      <c r="M905" s="7">
        <v>0</v>
      </c>
      <c r="N905" s="9" t="s">
        <v>5044</v>
      </c>
      <c r="O905" s="9" t="s">
        <v>5044</v>
      </c>
      <c r="P905" s="7">
        <v>0</v>
      </c>
      <c r="Q905" s="7">
        <v>0</v>
      </c>
      <c r="R905" s="7">
        <v>0</v>
      </c>
      <c r="S905" s="7">
        <v>11</v>
      </c>
      <c r="T905" s="7">
        <v>1</v>
      </c>
      <c r="U905" s="7">
        <v>179</v>
      </c>
      <c r="V905" s="7">
        <v>0</v>
      </c>
      <c r="W905" s="7">
        <v>1</v>
      </c>
      <c r="X905" s="7">
        <v>0</v>
      </c>
      <c r="Y905" s="7">
        <v>0</v>
      </c>
      <c r="Z905" s="7">
        <v>0</v>
      </c>
      <c r="AA905" s="7">
        <v>0</v>
      </c>
      <c r="AB905" s="7">
        <v>1</v>
      </c>
      <c r="AC905" s="7">
        <v>1</v>
      </c>
      <c r="AD905" s="7" t="s">
        <v>5044</v>
      </c>
      <c r="AE905" s="7" t="s">
        <v>5044</v>
      </c>
      <c r="AF905" s="7" t="s">
        <v>5044</v>
      </c>
      <c r="AG905" s="7">
        <v>2</v>
      </c>
      <c r="AH905" s="7">
        <v>2</v>
      </c>
      <c r="AI905" s="7">
        <v>2</v>
      </c>
      <c r="AJ905" s="7" t="s">
        <v>5044</v>
      </c>
      <c r="AL905" s="7">
        <v>0</v>
      </c>
      <c r="AM905" s="7">
        <v>0</v>
      </c>
      <c r="AO905" s="11">
        <v>2</v>
      </c>
    </row>
    <row r="906" spans="1:41" ht="63" customHeight="1" x14ac:dyDescent="0.2">
      <c r="A906" s="7">
        <v>11159</v>
      </c>
      <c r="B906" s="7" t="s">
        <v>4192</v>
      </c>
      <c r="C906" s="7" t="s">
        <v>4193</v>
      </c>
      <c r="D906" s="7" t="s">
        <v>46</v>
      </c>
      <c r="F906" s="7" t="s">
        <v>293</v>
      </c>
      <c r="G906" s="7" t="s">
        <v>52</v>
      </c>
      <c r="H906" s="7" t="s">
        <v>1125</v>
      </c>
      <c r="I906" s="7" t="s">
        <v>13</v>
      </c>
      <c r="J906" s="7" t="s">
        <v>4194</v>
      </c>
      <c r="K906" s="7" t="s">
        <v>4195</v>
      </c>
      <c r="L906" s="7" t="s">
        <v>5383</v>
      </c>
      <c r="M906" s="7">
        <v>0</v>
      </c>
      <c r="N906" s="9" t="s">
        <v>5044</v>
      </c>
      <c r="O906" s="9" t="s">
        <v>5044</v>
      </c>
      <c r="P906" s="7">
        <v>0</v>
      </c>
      <c r="Q906" s="7">
        <v>0</v>
      </c>
      <c r="R906" s="7">
        <v>0</v>
      </c>
      <c r="S906" s="7">
        <v>1</v>
      </c>
      <c r="T906" s="7">
        <v>1</v>
      </c>
      <c r="U906" s="7">
        <v>28</v>
      </c>
      <c r="V906" s="7">
        <v>0</v>
      </c>
      <c r="W906" s="7">
        <v>1</v>
      </c>
      <c r="X906" s="7">
        <v>0</v>
      </c>
      <c r="Y906" s="7">
        <v>0</v>
      </c>
      <c r="Z906" s="7">
        <v>0</v>
      </c>
      <c r="AA906" s="7">
        <v>0</v>
      </c>
      <c r="AB906" s="7">
        <v>1</v>
      </c>
      <c r="AC906" s="7">
        <v>1</v>
      </c>
      <c r="AD906" s="7" t="s">
        <v>5044</v>
      </c>
      <c r="AE906" s="7" t="s">
        <v>5044</v>
      </c>
      <c r="AF906" s="7" t="s">
        <v>5044</v>
      </c>
      <c r="AG906" s="7">
        <v>2</v>
      </c>
      <c r="AH906" s="7">
        <v>3</v>
      </c>
      <c r="AI906" s="7">
        <v>0</v>
      </c>
      <c r="AJ906" s="7" t="s">
        <v>5044</v>
      </c>
      <c r="AL906" s="7">
        <v>0</v>
      </c>
      <c r="AM906" s="7">
        <v>0</v>
      </c>
      <c r="AO906" s="11">
        <v>3</v>
      </c>
    </row>
    <row r="907" spans="1:41" ht="63" customHeight="1" x14ac:dyDescent="0.2">
      <c r="A907" s="7">
        <v>11161</v>
      </c>
      <c r="B907" s="7" t="s">
        <v>4196</v>
      </c>
      <c r="C907" s="7" t="s">
        <v>4197</v>
      </c>
      <c r="D907" s="7" t="s">
        <v>41</v>
      </c>
      <c r="F907" s="7" t="s">
        <v>312</v>
      </c>
      <c r="G907" s="7" t="s">
        <v>11</v>
      </c>
      <c r="H907" s="7" t="s">
        <v>38</v>
      </c>
      <c r="I907" s="7" t="s">
        <v>13</v>
      </c>
      <c r="J907" s="7" t="s">
        <v>4198</v>
      </c>
      <c r="K907" s="7" t="s">
        <v>4199</v>
      </c>
      <c r="L907" s="7" t="s">
        <v>5044</v>
      </c>
      <c r="M907" s="7">
        <v>0</v>
      </c>
      <c r="N907" s="9" t="s">
        <v>5044</v>
      </c>
      <c r="O907" s="9" t="s">
        <v>5044</v>
      </c>
      <c r="P907" s="7">
        <v>0</v>
      </c>
      <c r="Q907" s="7">
        <v>0</v>
      </c>
      <c r="R907" s="7">
        <v>0</v>
      </c>
      <c r="S907" s="7">
        <v>10</v>
      </c>
      <c r="T907" s="7">
        <v>4</v>
      </c>
      <c r="U907" s="7">
        <v>162</v>
      </c>
      <c r="V907" s="7">
        <v>0</v>
      </c>
      <c r="W907" s="7">
        <v>1</v>
      </c>
      <c r="X907" s="7">
        <v>0</v>
      </c>
      <c r="Y907" s="7">
        <v>0</v>
      </c>
      <c r="Z907" s="7">
        <v>0</v>
      </c>
      <c r="AA907" s="7">
        <v>0</v>
      </c>
      <c r="AB907" s="7">
        <v>1</v>
      </c>
      <c r="AC907" s="7">
        <v>1</v>
      </c>
      <c r="AD907" s="7" t="s">
        <v>5044</v>
      </c>
      <c r="AE907" s="7" t="s">
        <v>5044</v>
      </c>
      <c r="AF907" s="7" t="s">
        <v>5044</v>
      </c>
      <c r="AG907" s="7">
        <v>2</v>
      </c>
      <c r="AH907" s="7">
        <v>3</v>
      </c>
      <c r="AI907" s="7">
        <v>0</v>
      </c>
      <c r="AJ907" s="7" t="s">
        <v>5044</v>
      </c>
      <c r="AL907" s="7">
        <v>1</v>
      </c>
      <c r="AM907" s="7">
        <v>0</v>
      </c>
      <c r="AO907" s="11">
        <v>3</v>
      </c>
    </row>
    <row r="908" spans="1:41" ht="63" customHeight="1" x14ac:dyDescent="0.2">
      <c r="A908" s="7">
        <v>11167</v>
      </c>
      <c r="B908" s="7" t="s">
        <v>4200</v>
      </c>
      <c r="C908" s="7" t="s">
        <v>4201</v>
      </c>
      <c r="D908" s="7" t="s">
        <v>41</v>
      </c>
      <c r="F908" s="7" t="s">
        <v>107</v>
      </c>
      <c r="G908" s="7" t="s">
        <v>52</v>
      </c>
      <c r="H908" s="7" t="s">
        <v>4202</v>
      </c>
      <c r="I908" s="7" t="s">
        <v>13</v>
      </c>
      <c r="J908" s="7" t="s">
        <v>4203</v>
      </c>
      <c r="K908" s="7" t="s">
        <v>4204</v>
      </c>
      <c r="L908" s="7" t="s">
        <v>5384</v>
      </c>
      <c r="M908" s="7">
        <v>0</v>
      </c>
      <c r="N908" s="9" t="s">
        <v>5044</v>
      </c>
      <c r="O908" s="9" t="s">
        <v>5044</v>
      </c>
      <c r="P908" s="7">
        <v>0</v>
      </c>
      <c r="Q908" s="7">
        <v>0</v>
      </c>
      <c r="R908" s="7">
        <v>0</v>
      </c>
      <c r="S908" s="7">
        <v>9</v>
      </c>
      <c r="T908" s="7">
        <v>4</v>
      </c>
      <c r="U908" s="7">
        <v>66</v>
      </c>
      <c r="V908" s="7">
        <v>0</v>
      </c>
      <c r="W908" s="7">
        <v>1</v>
      </c>
      <c r="X908" s="7">
        <v>0</v>
      </c>
      <c r="Y908" s="7">
        <v>0</v>
      </c>
      <c r="Z908" s="7">
        <v>0</v>
      </c>
      <c r="AA908" s="7">
        <v>0</v>
      </c>
      <c r="AB908" s="7">
        <v>1</v>
      </c>
      <c r="AC908" s="7">
        <v>1</v>
      </c>
      <c r="AD908" s="7" t="s">
        <v>5044</v>
      </c>
      <c r="AE908" s="7" t="s">
        <v>5044</v>
      </c>
      <c r="AF908" s="7" t="s">
        <v>5044</v>
      </c>
      <c r="AG908" s="7">
        <v>2</v>
      </c>
      <c r="AH908" s="7">
        <v>3</v>
      </c>
      <c r="AI908" s="7">
        <v>0</v>
      </c>
      <c r="AJ908" s="7" t="s">
        <v>5044</v>
      </c>
      <c r="AL908" s="7">
        <v>1</v>
      </c>
      <c r="AM908" s="7">
        <v>0</v>
      </c>
      <c r="AO908" s="11">
        <v>3</v>
      </c>
    </row>
    <row r="909" spans="1:41" ht="63" customHeight="1" x14ac:dyDescent="0.2">
      <c r="A909" s="7">
        <v>11171</v>
      </c>
      <c r="B909" s="7" t="s">
        <v>4205</v>
      </c>
      <c r="C909" s="7" t="s">
        <v>4206</v>
      </c>
      <c r="D909" s="7" t="s">
        <v>95</v>
      </c>
      <c r="F909" s="7" t="s">
        <v>92</v>
      </c>
      <c r="G909" s="7" t="s">
        <v>18</v>
      </c>
      <c r="H909" s="7" t="s">
        <v>2478</v>
      </c>
      <c r="I909" s="7" t="s">
        <v>13</v>
      </c>
      <c r="J909" s="7" t="s">
        <v>4207</v>
      </c>
      <c r="K909" s="7" t="s">
        <v>4208</v>
      </c>
      <c r="L909" s="7" t="s">
        <v>5044</v>
      </c>
      <c r="M909" s="7">
        <v>0</v>
      </c>
      <c r="N909" s="9" t="s">
        <v>5044</v>
      </c>
      <c r="O909" s="9" t="s">
        <v>5044</v>
      </c>
      <c r="P909" s="7">
        <v>0</v>
      </c>
      <c r="Q909" s="7">
        <v>0</v>
      </c>
      <c r="R909" s="7">
        <v>0</v>
      </c>
      <c r="S909" s="7">
        <v>3</v>
      </c>
      <c r="T909" s="7">
        <v>1</v>
      </c>
      <c r="U909" s="7">
        <v>120</v>
      </c>
      <c r="V909" s="7">
        <v>0</v>
      </c>
      <c r="W909" s="7">
        <v>1</v>
      </c>
      <c r="X909" s="7">
        <v>0</v>
      </c>
      <c r="Y909" s="7">
        <v>0</v>
      </c>
      <c r="Z909" s="7">
        <v>0</v>
      </c>
      <c r="AA909" s="7">
        <v>0</v>
      </c>
      <c r="AB909" s="7">
        <v>1</v>
      </c>
      <c r="AC909" s="7">
        <v>1</v>
      </c>
      <c r="AD909" s="7" t="s">
        <v>5044</v>
      </c>
      <c r="AE909" s="7" t="s">
        <v>5044</v>
      </c>
      <c r="AF909" s="7" t="s">
        <v>5044</v>
      </c>
      <c r="AG909" s="7">
        <v>2</v>
      </c>
      <c r="AH909" s="7">
        <v>3</v>
      </c>
      <c r="AI909" s="7">
        <v>0</v>
      </c>
      <c r="AJ909" s="7" t="s">
        <v>5044</v>
      </c>
      <c r="AL909" s="7">
        <v>1</v>
      </c>
      <c r="AM909" s="7">
        <v>0</v>
      </c>
      <c r="AO909" s="11">
        <v>3</v>
      </c>
    </row>
    <row r="910" spans="1:41" ht="63" customHeight="1" x14ac:dyDescent="0.2">
      <c r="A910" s="7">
        <v>11186</v>
      </c>
      <c r="B910" s="7" t="s">
        <v>4209</v>
      </c>
      <c r="C910" s="7" t="s">
        <v>4210</v>
      </c>
      <c r="D910" s="7" t="s">
        <v>41</v>
      </c>
      <c r="F910" s="7" t="s">
        <v>312</v>
      </c>
      <c r="G910" s="7" t="s">
        <v>27</v>
      </c>
      <c r="H910" s="7" t="s">
        <v>38</v>
      </c>
      <c r="I910" s="7" t="s">
        <v>13</v>
      </c>
      <c r="J910" s="7" t="s">
        <v>4211</v>
      </c>
      <c r="K910" s="7" t="s">
        <v>4212</v>
      </c>
      <c r="L910" s="7" t="s">
        <v>5385</v>
      </c>
      <c r="M910" s="7">
        <v>0</v>
      </c>
      <c r="N910" s="9" t="s">
        <v>5044</v>
      </c>
      <c r="O910" s="9" t="s">
        <v>5044</v>
      </c>
      <c r="P910" s="7">
        <v>0</v>
      </c>
      <c r="Q910" s="7">
        <v>0</v>
      </c>
      <c r="R910" s="7">
        <v>0</v>
      </c>
      <c r="S910" s="7">
        <v>1</v>
      </c>
      <c r="T910" s="7">
        <v>1</v>
      </c>
      <c r="U910" s="7">
        <v>138</v>
      </c>
      <c r="V910" s="7">
        <v>0</v>
      </c>
      <c r="W910" s="7">
        <v>1</v>
      </c>
      <c r="X910" s="7">
        <v>0</v>
      </c>
      <c r="Y910" s="7">
        <v>0</v>
      </c>
      <c r="Z910" s="7">
        <v>0</v>
      </c>
      <c r="AA910" s="7">
        <v>0</v>
      </c>
      <c r="AB910" s="7">
        <v>1</v>
      </c>
      <c r="AC910" s="7">
        <v>1</v>
      </c>
      <c r="AD910" s="7" t="s">
        <v>5044</v>
      </c>
      <c r="AE910" s="7" t="s">
        <v>5044</v>
      </c>
      <c r="AF910" s="7" t="s">
        <v>5044</v>
      </c>
      <c r="AG910" s="7">
        <v>2</v>
      </c>
      <c r="AH910" s="7">
        <v>3</v>
      </c>
      <c r="AI910" s="7">
        <v>0</v>
      </c>
      <c r="AJ910" s="7" t="s">
        <v>5044</v>
      </c>
      <c r="AL910" s="7">
        <v>1</v>
      </c>
      <c r="AM910" s="7">
        <v>0</v>
      </c>
      <c r="AO910" s="11">
        <v>3</v>
      </c>
    </row>
    <row r="911" spans="1:41" ht="63" customHeight="1" x14ac:dyDescent="0.2">
      <c r="A911" s="7">
        <v>11189</v>
      </c>
      <c r="B911" s="7" t="s">
        <v>4213</v>
      </c>
      <c r="C911" s="7" t="s">
        <v>4214</v>
      </c>
      <c r="D911" s="7" t="s">
        <v>22</v>
      </c>
      <c r="F911" s="7" t="s">
        <v>543</v>
      </c>
      <c r="G911" s="7" t="s">
        <v>11</v>
      </c>
      <c r="H911" s="7" t="s">
        <v>71</v>
      </c>
      <c r="I911" s="7" t="s">
        <v>13</v>
      </c>
      <c r="J911" s="7" t="s">
        <v>4215</v>
      </c>
      <c r="K911" s="7" t="s">
        <v>4216</v>
      </c>
      <c r="L911" s="7" t="s">
        <v>5386</v>
      </c>
      <c r="M911" s="7">
        <v>0</v>
      </c>
      <c r="N911" s="9" t="s">
        <v>5044</v>
      </c>
      <c r="O911" s="9" t="s">
        <v>5044</v>
      </c>
      <c r="P911" s="7">
        <v>0</v>
      </c>
      <c r="Q911" s="7">
        <v>0</v>
      </c>
      <c r="R911" s="7">
        <v>0</v>
      </c>
      <c r="S911" s="7">
        <v>1</v>
      </c>
      <c r="T911" s="7">
        <v>1</v>
      </c>
      <c r="U911" s="7">
        <v>223</v>
      </c>
      <c r="V911" s="7">
        <v>0</v>
      </c>
      <c r="W911" s="7">
        <v>1</v>
      </c>
      <c r="X911" s="7">
        <v>0</v>
      </c>
      <c r="Y911" s="7">
        <v>0</v>
      </c>
      <c r="Z911" s="7">
        <v>0</v>
      </c>
      <c r="AA911" s="7">
        <v>0</v>
      </c>
      <c r="AB911" s="7">
        <v>1</v>
      </c>
      <c r="AC911" s="7">
        <v>1</v>
      </c>
      <c r="AD911" s="7" t="s">
        <v>5044</v>
      </c>
      <c r="AE911" s="7" t="s">
        <v>5044</v>
      </c>
      <c r="AF911" s="7" t="s">
        <v>5044</v>
      </c>
      <c r="AG911" s="7">
        <v>2</v>
      </c>
      <c r="AH911" s="7">
        <v>2</v>
      </c>
      <c r="AI911" s="7">
        <v>2</v>
      </c>
      <c r="AJ911" s="7" t="s">
        <v>5044</v>
      </c>
      <c r="AL911" s="7">
        <v>0</v>
      </c>
      <c r="AM911" s="7">
        <v>0</v>
      </c>
      <c r="AO911" s="11">
        <v>2</v>
      </c>
    </row>
    <row r="912" spans="1:41" ht="63" customHeight="1" x14ac:dyDescent="0.2">
      <c r="A912" s="7">
        <v>11205</v>
      </c>
      <c r="B912" s="7" t="s">
        <v>4217</v>
      </c>
      <c r="C912" s="7" t="s">
        <v>4218</v>
      </c>
      <c r="D912" s="7" t="s">
        <v>16</v>
      </c>
      <c r="F912" s="7" t="s">
        <v>4219</v>
      </c>
      <c r="G912" s="7" t="s">
        <v>107</v>
      </c>
      <c r="H912" s="7" t="s">
        <v>733</v>
      </c>
      <c r="I912" s="7" t="s">
        <v>437</v>
      </c>
      <c r="J912" s="7" t="s">
        <v>4220</v>
      </c>
      <c r="K912" s="7" t="s">
        <v>4221</v>
      </c>
      <c r="L912" s="7" t="s">
        <v>5387</v>
      </c>
      <c r="M912" s="7">
        <v>0</v>
      </c>
      <c r="N912" s="9" t="s">
        <v>5044</v>
      </c>
      <c r="O912" s="9" t="s">
        <v>5044</v>
      </c>
      <c r="P912" s="7">
        <v>0</v>
      </c>
      <c r="Q912" s="7">
        <v>0</v>
      </c>
      <c r="R912" s="7">
        <v>0</v>
      </c>
      <c r="S912" s="7">
        <v>1</v>
      </c>
      <c r="T912" s="7">
        <v>1</v>
      </c>
      <c r="U912" s="7">
        <v>338</v>
      </c>
      <c r="V912" s="7">
        <v>0</v>
      </c>
      <c r="W912" s="7">
        <v>1</v>
      </c>
      <c r="X912" s="7">
        <v>0</v>
      </c>
      <c r="Y912" s="7">
        <v>0</v>
      </c>
      <c r="Z912" s="7">
        <v>0</v>
      </c>
      <c r="AA912" s="7">
        <v>0</v>
      </c>
      <c r="AB912" s="7">
        <v>1</v>
      </c>
      <c r="AC912" s="7">
        <v>1</v>
      </c>
      <c r="AD912" s="7" t="s">
        <v>5044</v>
      </c>
      <c r="AE912" s="7" t="s">
        <v>5044</v>
      </c>
      <c r="AF912" s="7" t="s">
        <v>5044</v>
      </c>
      <c r="AG912" s="7">
        <v>1</v>
      </c>
      <c r="AH912" s="7">
        <v>0</v>
      </c>
      <c r="AI912" s="7">
        <v>0</v>
      </c>
      <c r="AJ912" s="7" t="s">
        <v>5044</v>
      </c>
      <c r="AL912" s="7">
        <v>1</v>
      </c>
      <c r="AM912" s="7">
        <v>0</v>
      </c>
      <c r="AO912" s="9">
        <v>0</v>
      </c>
    </row>
    <row r="913" spans="1:41" ht="63" customHeight="1" x14ac:dyDescent="0.2">
      <c r="A913" s="7">
        <v>11211</v>
      </c>
      <c r="B913" s="7" t="s">
        <v>4222</v>
      </c>
      <c r="C913" s="7" t="s">
        <v>4223</v>
      </c>
      <c r="D913" s="7" t="s">
        <v>22</v>
      </c>
      <c r="F913" s="7" t="s">
        <v>107</v>
      </c>
      <c r="G913" s="7" t="s">
        <v>144</v>
      </c>
      <c r="H913" s="7" t="s">
        <v>442</v>
      </c>
      <c r="I913" s="7" t="s">
        <v>13</v>
      </c>
      <c r="J913" s="7" t="s">
        <v>4224</v>
      </c>
      <c r="K913" s="7" t="s">
        <v>4225</v>
      </c>
      <c r="L913" s="7" t="s">
        <v>5044</v>
      </c>
      <c r="M913" s="7">
        <v>0</v>
      </c>
      <c r="N913" s="9" t="s">
        <v>5044</v>
      </c>
      <c r="O913" s="9" t="s">
        <v>5044</v>
      </c>
      <c r="P913" s="7">
        <v>0</v>
      </c>
      <c r="Q913" s="7">
        <v>0</v>
      </c>
      <c r="R913" s="7">
        <v>0</v>
      </c>
      <c r="S913" s="7" t="s">
        <v>5377</v>
      </c>
      <c r="T913" s="7">
        <v>1</v>
      </c>
      <c r="U913" s="7">
        <v>43</v>
      </c>
      <c r="V913" s="7">
        <v>0</v>
      </c>
      <c r="W913" s="7">
        <v>1</v>
      </c>
      <c r="X913" s="7">
        <v>0</v>
      </c>
      <c r="Y913" s="7">
        <v>0</v>
      </c>
      <c r="Z913" s="7">
        <v>0</v>
      </c>
      <c r="AA913" s="7">
        <v>0</v>
      </c>
      <c r="AB913" s="7">
        <v>1</v>
      </c>
      <c r="AC913" s="7">
        <v>1</v>
      </c>
      <c r="AD913" s="7" t="s">
        <v>5044</v>
      </c>
      <c r="AE913" s="7" t="s">
        <v>5044</v>
      </c>
      <c r="AF913" s="7" t="s">
        <v>5044</v>
      </c>
      <c r="AG913" s="7">
        <v>1</v>
      </c>
      <c r="AH913" s="7">
        <v>0</v>
      </c>
      <c r="AI913" s="7">
        <v>0</v>
      </c>
      <c r="AJ913" s="7" t="s">
        <v>5044</v>
      </c>
      <c r="AL913" s="7" t="s">
        <v>5041</v>
      </c>
      <c r="AM913" s="7">
        <v>0</v>
      </c>
      <c r="AO913" s="9">
        <v>0</v>
      </c>
    </row>
    <row r="914" spans="1:41" ht="63" customHeight="1" x14ac:dyDescent="0.2">
      <c r="A914" s="7">
        <v>11212</v>
      </c>
      <c r="B914" s="7" t="s">
        <v>4226</v>
      </c>
      <c r="C914" s="7" t="s">
        <v>4227</v>
      </c>
      <c r="D914" s="7" t="s">
        <v>41</v>
      </c>
      <c r="F914" s="7" t="s">
        <v>237</v>
      </c>
      <c r="G914" s="7" t="s">
        <v>47</v>
      </c>
      <c r="H914" s="7" t="s">
        <v>157</v>
      </c>
      <c r="I914" s="7" t="s">
        <v>13</v>
      </c>
      <c r="J914" s="7" t="s">
        <v>4228</v>
      </c>
      <c r="K914" s="7" t="s">
        <v>4229</v>
      </c>
      <c r="L914" s="8" t="s">
        <v>5244</v>
      </c>
      <c r="M914" s="7">
        <v>0</v>
      </c>
      <c r="N914" s="9" t="s">
        <v>5044</v>
      </c>
      <c r="O914" s="9" t="s">
        <v>5044</v>
      </c>
      <c r="P914" s="7">
        <v>0</v>
      </c>
      <c r="Q914" s="7">
        <v>0</v>
      </c>
      <c r="R914" s="7">
        <v>0</v>
      </c>
      <c r="S914" s="7">
        <v>9</v>
      </c>
      <c r="T914" s="7">
        <v>2</v>
      </c>
      <c r="U914" s="7">
        <v>70</v>
      </c>
      <c r="V914" s="7">
        <v>0</v>
      </c>
      <c r="W914" s="7">
        <v>1</v>
      </c>
      <c r="X914" s="7">
        <v>0</v>
      </c>
      <c r="Y914" s="7">
        <v>0</v>
      </c>
      <c r="Z914" s="7">
        <v>0</v>
      </c>
      <c r="AA914" s="7">
        <v>0</v>
      </c>
      <c r="AB914" s="7">
        <v>1</v>
      </c>
      <c r="AC914" s="7">
        <v>1</v>
      </c>
      <c r="AD914" s="7" t="s">
        <v>5044</v>
      </c>
      <c r="AE914" s="7" t="s">
        <v>5044</v>
      </c>
      <c r="AF914" s="7" t="s">
        <v>5044</v>
      </c>
      <c r="AG914" s="7">
        <v>1</v>
      </c>
      <c r="AH914" s="7">
        <v>0</v>
      </c>
      <c r="AI914" s="7">
        <v>0</v>
      </c>
      <c r="AJ914" s="7" t="s">
        <v>5044</v>
      </c>
      <c r="AL914" s="7">
        <v>1</v>
      </c>
      <c r="AM914" s="7">
        <v>0</v>
      </c>
      <c r="AO914" s="9">
        <v>0</v>
      </c>
    </row>
    <row r="915" spans="1:41" ht="63" customHeight="1" x14ac:dyDescent="0.2">
      <c r="A915" s="7">
        <v>11227</v>
      </c>
      <c r="B915" s="7" t="s">
        <v>4230</v>
      </c>
      <c r="C915" s="7" t="s">
        <v>4231</v>
      </c>
      <c r="D915" s="7" t="s">
        <v>41</v>
      </c>
      <c r="F915" s="7" t="s">
        <v>237</v>
      </c>
      <c r="G915" s="7" t="s">
        <v>47</v>
      </c>
      <c r="H915" s="7" t="s">
        <v>650</v>
      </c>
      <c r="I915" s="7" t="s">
        <v>13</v>
      </c>
      <c r="J915" s="7" t="s">
        <v>4232</v>
      </c>
      <c r="K915" s="7" t="s">
        <v>4233</v>
      </c>
      <c r="L915" s="6" t="s">
        <v>5245</v>
      </c>
      <c r="M915" s="7">
        <v>0</v>
      </c>
      <c r="N915" s="9" t="s">
        <v>5044</v>
      </c>
      <c r="O915" s="9" t="s">
        <v>5044</v>
      </c>
      <c r="P915" s="7">
        <v>0</v>
      </c>
      <c r="Q915" s="7">
        <v>0</v>
      </c>
      <c r="R915" s="7">
        <v>0</v>
      </c>
      <c r="S915" s="7">
        <v>5</v>
      </c>
      <c r="T915" s="7">
        <v>1</v>
      </c>
      <c r="U915" s="7">
        <v>111</v>
      </c>
      <c r="V915" s="7">
        <v>0</v>
      </c>
      <c r="W915" s="7">
        <v>1</v>
      </c>
      <c r="X915" s="7">
        <v>0</v>
      </c>
      <c r="Y915" s="7">
        <v>0</v>
      </c>
      <c r="Z915" s="7">
        <v>0</v>
      </c>
      <c r="AA915" s="7">
        <v>0</v>
      </c>
      <c r="AB915" s="7">
        <v>1</v>
      </c>
      <c r="AC915" s="7">
        <v>1</v>
      </c>
      <c r="AD915" s="7" t="s">
        <v>5044</v>
      </c>
      <c r="AE915" s="7" t="s">
        <v>5044</v>
      </c>
      <c r="AF915" s="7" t="s">
        <v>5044</v>
      </c>
      <c r="AG915" s="7">
        <v>2</v>
      </c>
      <c r="AH915" s="7">
        <v>1</v>
      </c>
      <c r="AI915" s="7">
        <v>1</v>
      </c>
      <c r="AJ915" s="7" t="s">
        <v>5044</v>
      </c>
      <c r="AL915" s="7">
        <v>1</v>
      </c>
      <c r="AM915" s="7">
        <v>0</v>
      </c>
      <c r="AO915" s="11">
        <v>1</v>
      </c>
    </row>
    <row r="916" spans="1:41" ht="63" customHeight="1" x14ac:dyDescent="0.2">
      <c r="A916" s="7">
        <v>11232</v>
      </c>
      <c r="B916" s="7" t="s">
        <v>4239</v>
      </c>
      <c r="C916" s="7" t="s">
        <v>4240</v>
      </c>
      <c r="D916" s="7" t="s">
        <v>16</v>
      </c>
      <c r="F916" s="7" t="s">
        <v>92</v>
      </c>
      <c r="G916" s="7" t="s">
        <v>220</v>
      </c>
      <c r="H916" s="7" t="s">
        <v>862</v>
      </c>
      <c r="I916" s="7" t="s">
        <v>13</v>
      </c>
      <c r="J916" s="7" t="s">
        <v>4241</v>
      </c>
      <c r="K916" s="7" t="s">
        <v>4242</v>
      </c>
      <c r="L916" s="8" t="s">
        <v>5246</v>
      </c>
      <c r="M916" s="7">
        <v>0</v>
      </c>
      <c r="N916" s="9" t="s">
        <v>5044</v>
      </c>
      <c r="O916" s="9" t="s">
        <v>5044</v>
      </c>
      <c r="P916" s="7">
        <v>0</v>
      </c>
      <c r="Q916" s="7">
        <v>0</v>
      </c>
      <c r="R916" s="7">
        <v>0</v>
      </c>
      <c r="S916" s="7">
        <v>1</v>
      </c>
      <c r="T916" s="7">
        <v>1</v>
      </c>
      <c r="U916" s="7">
        <v>32</v>
      </c>
      <c r="V916" s="7">
        <v>0</v>
      </c>
      <c r="W916" s="7">
        <v>1</v>
      </c>
      <c r="X916" s="7">
        <v>0</v>
      </c>
      <c r="Y916" s="7">
        <v>0</v>
      </c>
      <c r="Z916" s="7">
        <v>0</v>
      </c>
      <c r="AA916" s="7">
        <v>0</v>
      </c>
      <c r="AB916" s="7">
        <v>1</v>
      </c>
      <c r="AC916" s="7">
        <v>1</v>
      </c>
      <c r="AD916" s="7" t="s">
        <v>5044</v>
      </c>
      <c r="AE916" s="7" t="s">
        <v>5044</v>
      </c>
      <c r="AF916" s="7" t="s">
        <v>5044</v>
      </c>
      <c r="AG916" s="7">
        <v>2</v>
      </c>
      <c r="AH916" s="7">
        <v>3</v>
      </c>
      <c r="AI916" s="7">
        <v>0</v>
      </c>
      <c r="AJ916" s="7" t="s">
        <v>5044</v>
      </c>
      <c r="AK916" s="7">
        <v>2</v>
      </c>
      <c r="AL916" s="7">
        <v>0</v>
      </c>
      <c r="AM916" s="7">
        <v>0</v>
      </c>
      <c r="AO916" s="11">
        <v>3</v>
      </c>
    </row>
    <row r="917" spans="1:41" ht="63" customHeight="1" x14ac:dyDescent="0.2">
      <c r="A917" s="7">
        <v>11238</v>
      </c>
      <c r="B917" s="7" t="s">
        <v>4243</v>
      </c>
      <c r="C917" s="7" t="s">
        <v>4244</v>
      </c>
      <c r="D917" s="7" t="s">
        <v>149</v>
      </c>
      <c r="F917" s="7" t="s">
        <v>220</v>
      </c>
      <c r="G917" s="7" t="s">
        <v>48</v>
      </c>
      <c r="H917" s="7" t="s">
        <v>270</v>
      </c>
      <c r="I917" s="7" t="s">
        <v>13</v>
      </c>
      <c r="J917" s="7" t="s">
        <v>4245</v>
      </c>
      <c r="K917" s="7" t="s">
        <v>4246</v>
      </c>
      <c r="L917" s="11" t="s">
        <v>5044</v>
      </c>
      <c r="M917" s="7">
        <v>0</v>
      </c>
      <c r="N917" s="9" t="s">
        <v>5044</v>
      </c>
      <c r="O917" s="9" t="s">
        <v>5044</v>
      </c>
      <c r="P917" s="7">
        <v>0</v>
      </c>
      <c r="Q917" s="7">
        <v>0</v>
      </c>
      <c r="R917" s="7">
        <v>0</v>
      </c>
      <c r="S917" s="7">
        <v>1</v>
      </c>
      <c r="T917" s="7">
        <v>1</v>
      </c>
      <c r="U917" s="7">
        <v>38</v>
      </c>
      <c r="V917" s="7">
        <v>0</v>
      </c>
      <c r="W917" s="7">
        <v>1</v>
      </c>
      <c r="X917" s="7">
        <v>0</v>
      </c>
      <c r="Y917" s="7">
        <v>0</v>
      </c>
      <c r="Z917" s="7">
        <v>0</v>
      </c>
      <c r="AA917" s="7">
        <v>0</v>
      </c>
      <c r="AB917" s="7">
        <v>1</v>
      </c>
      <c r="AC917" s="7">
        <v>1</v>
      </c>
      <c r="AD917" s="7" t="s">
        <v>5044</v>
      </c>
      <c r="AE917" s="7" t="s">
        <v>5044</v>
      </c>
      <c r="AF917" s="7" t="s">
        <v>5044</v>
      </c>
      <c r="AG917" s="7">
        <v>0</v>
      </c>
      <c r="AH917" s="7" t="s">
        <v>5044</v>
      </c>
      <c r="AI917" s="7" t="s">
        <v>5044</v>
      </c>
      <c r="AJ917" s="7" t="s">
        <v>5044</v>
      </c>
      <c r="AL917" s="7">
        <v>0</v>
      </c>
      <c r="AM917" s="7">
        <v>0</v>
      </c>
      <c r="AO917" s="11">
        <v>9</v>
      </c>
    </row>
    <row r="918" spans="1:41" ht="63" customHeight="1" x14ac:dyDescent="0.2">
      <c r="A918" s="7">
        <v>11250</v>
      </c>
      <c r="B918" s="7" t="s">
        <v>4256</v>
      </c>
      <c r="C918" s="7" t="s">
        <v>4257</v>
      </c>
      <c r="D918" s="7" t="s">
        <v>41</v>
      </c>
      <c r="F918" s="7" t="s">
        <v>11</v>
      </c>
      <c r="G918" s="7" t="s">
        <v>37</v>
      </c>
      <c r="H918" s="7" t="s">
        <v>396</v>
      </c>
      <c r="I918" s="7" t="s">
        <v>13</v>
      </c>
      <c r="J918" s="7" t="s">
        <v>4258</v>
      </c>
      <c r="K918" s="7" t="s">
        <v>4259</v>
      </c>
      <c r="L918" s="6" t="s">
        <v>5249</v>
      </c>
      <c r="M918" s="7">
        <v>0</v>
      </c>
      <c r="N918" s="9" t="s">
        <v>5044</v>
      </c>
      <c r="O918" s="9" t="s">
        <v>5044</v>
      </c>
      <c r="P918" s="7">
        <v>0</v>
      </c>
      <c r="Q918" s="7">
        <v>0</v>
      </c>
      <c r="R918" s="7">
        <v>0</v>
      </c>
      <c r="S918" s="7">
        <v>1</v>
      </c>
      <c r="T918" s="7">
        <v>1</v>
      </c>
      <c r="U918" s="7">
        <v>100</v>
      </c>
      <c r="V918" s="7">
        <v>0</v>
      </c>
      <c r="W918" s="7">
        <v>1</v>
      </c>
      <c r="X918" s="7">
        <v>0</v>
      </c>
      <c r="Y918" s="7">
        <v>0</v>
      </c>
      <c r="Z918" s="7">
        <v>1</v>
      </c>
      <c r="AA918" s="7">
        <v>0</v>
      </c>
      <c r="AB918" s="7">
        <v>0</v>
      </c>
      <c r="AC918" s="7">
        <v>1</v>
      </c>
      <c r="AD918" s="7" t="s">
        <v>5044</v>
      </c>
      <c r="AE918" s="7" t="s">
        <v>5044</v>
      </c>
      <c r="AF918" s="7" t="s">
        <v>5044</v>
      </c>
      <c r="AG918" s="7">
        <v>1</v>
      </c>
      <c r="AH918" s="7">
        <v>0</v>
      </c>
      <c r="AI918" s="7">
        <v>0</v>
      </c>
      <c r="AJ918" s="7">
        <v>0</v>
      </c>
      <c r="AL918" s="7">
        <v>0</v>
      </c>
      <c r="AM918" s="7">
        <v>0</v>
      </c>
      <c r="AO918" s="9">
        <v>0</v>
      </c>
    </row>
    <row r="919" spans="1:41" ht="63" customHeight="1" x14ac:dyDescent="0.2">
      <c r="A919" s="7">
        <v>11256</v>
      </c>
      <c r="B919" s="7" t="s">
        <v>4260</v>
      </c>
      <c r="C919" s="7" t="s">
        <v>4261</v>
      </c>
      <c r="D919" s="7" t="s">
        <v>56</v>
      </c>
      <c r="F919" s="7" t="s">
        <v>1042</v>
      </c>
      <c r="G919" s="7" t="s">
        <v>32</v>
      </c>
      <c r="H919" s="7" t="s">
        <v>3952</v>
      </c>
      <c r="I919" s="7" t="s">
        <v>13</v>
      </c>
      <c r="J919" s="7" t="s">
        <v>4262</v>
      </c>
      <c r="K919" s="7" t="s">
        <v>4263</v>
      </c>
      <c r="L919" s="11" t="s">
        <v>5044</v>
      </c>
      <c r="M919" s="7">
        <v>0</v>
      </c>
      <c r="N919" s="9" t="s">
        <v>5044</v>
      </c>
      <c r="O919" s="9" t="s">
        <v>5044</v>
      </c>
      <c r="P919" s="7">
        <v>0</v>
      </c>
      <c r="Q919" s="7">
        <v>0</v>
      </c>
      <c r="R919" s="7">
        <v>0</v>
      </c>
      <c r="S919" s="7">
        <v>3</v>
      </c>
      <c r="T919" s="7">
        <v>3</v>
      </c>
      <c r="U919" s="7">
        <v>78</v>
      </c>
      <c r="V919" s="7">
        <v>1</v>
      </c>
      <c r="W919" s="7">
        <v>0</v>
      </c>
      <c r="X919" s="7">
        <v>0</v>
      </c>
      <c r="Y919" s="7">
        <v>0</v>
      </c>
      <c r="Z919" s="7">
        <v>0</v>
      </c>
      <c r="AA919" s="7">
        <v>0</v>
      </c>
      <c r="AB919" s="7">
        <v>1</v>
      </c>
      <c r="AC919" s="7">
        <v>1</v>
      </c>
      <c r="AD919" s="7">
        <v>2</v>
      </c>
      <c r="AE919" s="7">
        <v>3</v>
      </c>
      <c r="AF919" s="7">
        <v>0</v>
      </c>
      <c r="AG919" s="7" t="s">
        <v>5044</v>
      </c>
      <c r="AH919" s="7" t="s">
        <v>5044</v>
      </c>
      <c r="AI919" s="7" t="s">
        <v>5044</v>
      </c>
      <c r="AJ919" s="7" t="s">
        <v>5044</v>
      </c>
      <c r="AK919" s="7">
        <v>1</v>
      </c>
      <c r="AL919" s="7">
        <v>1</v>
      </c>
      <c r="AM919" s="7">
        <v>0</v>
      </c>
      <c r="AO919" s="11">
        <v>3</v>
      </c>
    </row>
    <row r="920" spans="1:41" ht="63" customHeight="1" x14ac:dyDescent="0.2">
      <c r="A920" s="7">
        <v>11259</v>
      </c>
      <c r="B920" s="7" t="s">
        <v>4264</v>
      </c>
      <c r="C920" s="7" t="s">
        <v>4265</v>
      </c>
      <c r="D920" s="7" t="s">
        <v>341</v>
      </c>
      <c r="F920" s="7" t="s">
        <v>2096</v>
      </c>
      <c r="G920" s="7" t="s">
        <v>27</v>
      </c>
      <c r="H920" s="7" t="s">
        <v>38</v>
      </c>
      <c r="I920" s="7" t="s">
        <v>13</v>
      </c>
      <c r="J920" s="7" t="s">
        <v>4266</v>
      </c>
      <c r="K920" s="7" t="s">
        <v>4267</v>
      </c>
      <c r="L920" s="6" t="s">
        <v>5250</v>
      </c>
      <c r="M920" s="7">
        <v>0</v>
      </c>
      <c r="N920" s="9" t="s">
        <v>5044</v>
      </c>
      <c r="O920" s="9" t="s">
        <v>5044</v>
      </c>
      <c r="P920" s="7">
        <v>0</v>
      </c>
      <c r="Q920" s="7">
        <v>0</v>
      </c>
      <c r="R920" s="7">
        <v>0</v>
      </c>
      <c r="S920" s="7">
        <v>9</v>
      </c>
      <c r="T920" s="7">
        <v>2</v>
      </c>
      <c r="U920" s="7">
        <v>130</v>
      </c>
      <c r="V920" s="7">
        <v>0</v>
      </c>
      <c r="W920" s="7">
        <v>1</v>
      </c>
      <c r="X920" s="7">
        <v>0</v>
      </c>
      <c r="Y920" s="7">
        <v>0</v>
      </c>
      <c r="Z920" s="7">
        <v>0</v>
      </c>
      <c r="AA920" s="7">
        <v>0</v>
      </c>
      <c r="AB920" s="7">
        <v>1</v>
      </c>
      <c r="AC920" s="7">
        <v>1</v>
      </c>
      <c r="AD920" s="7" t="s">
        <v>5044</v>
      </c>
      <c r="AE920" s="7" t="s">
        <v>5044</v>
      </c>
      <c r="AF920" s="7" t="s">
        <v>5044</v>
      </c>
      <c r="AG920" s="7">
        <v>2</v>
      </c>
      <c r="AH920" s="7">
        <v>3</v>
      </c>
      <c r="AI920" s="7">
        <v>0</v>
      </c>
      <c r="AJ920" s="7" t="s">
        <v>5044</v>
      </c>
      <c r="AK920" s="7" t="s">
        <v>5251</v>
      </c>
      <c r="AL920" s="7">
        <v>0</v>
      </c>
      <c r="AM920" s="7">
        <v>0</v>
      </c>
      <c r="AO920" s="11">
        <v>3</v>
      </c>
    </row>
    <row r="921" spans="1:41" ht="63" customHeight="1" x14ac:dyDescent="0.2">
      <c r="A921" s="7">
        <v>11260</v>
      </c>
      <c r="B921" s="7" t="s">
        <v>4268</v>
      </c>
      <c r="C921" s="7" t="s">
        <v>4269</v>
      </c>
      <c r="D921" s="7" t="s">
        <v>101</v>
      </c>
      <c r="F921" s="7" t="s">
        <v>568</v>
      </c>
      <c r="G921" s="7" t="s">
        <v>144</v>
      </c>
      <c r="H921" s="7" t="s">
        <v>217</v>
      </c>
      <c r="I921" s="7" t="s">
        <v>13</v>
      </c>
      <c r="J921" s="7" t="s">
        <v>4270</v>
      </c>
      <c r="K921" s="7" t="s">
        <v>4271</v>
      </c>
      <c r="L921" s="6" t="s">
        <v>5252</v>
      </c>
      <c r="M921" s="7">
        <v>0</v>
      </c>
      <c r="N921" s="9" t="s">
        <v>5044</v>
      </c>
      <c r="O921" s="9" t="s">
        <v>5044</v>
      </c>
      <c r="P921" s="7">
        <v>0</v>
      </c>
      <c r="Q921" s="7">
        <v>0</v>
      </c>
      <c r="R921" s="7">
        <v>0</v>
      </c>
      <c r="S921" s="7">
        <v>1</v>
      </c>
      <c r="T921" s="7">
        <v>2</v>
      </c>
      <c r="U921" s="7">
        <v>120</v>
      </c>
      <c r="V921" s="7">
        <v>1</v>
      </c>
      <c r="W921" s="7">
        <v>0</v>
      </c>
      <c r="X921" s="7">
        <v>1</v>
      </c>
      <c r="Y921" s="7">
        <v>0</v>
      </c>
      <c r="Z921" s="7">
        <v>0</v>
      </c>
      <c r="AA921" s="7">
        <v>0</v>
      </c>
      <c r="AB921" s="7">
        <v>1</v>
      </c>
      <c r="AC921" s="7">
        <v>1</v>
      </c>
      <c r="AD921" s="23" t="s">
        <v>5044</v>
      </c>
      <c r="AE921" s="23" t="s">
        <v>5044</v>
      </c>
      <c r="AF921" s="23" t="s">
        <v>5044</v>
      </c>
      <c r="AG921" s="7">
        <v>2</v>
      </c>
      <c r="AH921" s="7">
        <v>2</v>
      </c>
      <c r="AI921" s="7">
        <v>2</v>
      </c>
      <c r="AJ921" s="7">
        <v>0</v>
      </c>
      <c r="AL921" s="7">
        <v>0</v>
      </c>
      <c r="AM921" s="7">
        <v>0</v>
      </c>
      <c r="AO921" s="11">
        <v>2</v>
      </c>
    </row>
    <row r="922" spans="1:41" ht="63" customHeight="1" x14ac:dyDescent="0.2">
      <c r="A922" s="7">
        <v>11275</v>
      </c>
      <c r="B922" s="7" t="s">
        <v>4272</v>
      </c>
      <c r="C922" s="7" t="s">
        <v>4273</v>
      </c>
      <c r="D922" s="7" t="s">
        <v>41</v>
      </c>
      <c r="F922" s="7" t="s">
        <v>767</v>
      </c>
      <c r="G922" s="7" t="s">
        <v>92</v>
      </c>
      <c r="H922" s="7" t="s">
        <v>4274</v>
      </c>
      <c r="I922" s="7" t="s">
        <v>13</v>
      </c>
      <c r="J922" s="7" t="s">
        <v>4275</v>
      </c>
      <c r="K922" s="7" t="s">
        <v>4276</v>
      </c>
      <c r="L922" s="8" t="s">
        <v>5253</v>
      </c>
      <c r="M922" s="7">
        <v>0</v>
      </c>
      <c r="N922" s="9" t="s">
        <v>5044</v>
      </c>
      <c r="O922" s="9" t="s">
        <v>5044</v>
      </c>
      <c r="P922" s="7">
        <v>0</v>
      </c>
      <c r="Q922" s="7">
        <v>0</v>
      </c>
      <c r="R922" s="7">
        <v>1</v>
      </c>
      <c r="S922" s="7">
        <v>3</v>
      </c>
      <c r="T922" s="7">
        <v>1</v>
      </c>
      <c r="U922" s="7">
        <v>61</v>
      </c>
      <c r="V922" s="7">
        <v>0</v>
      </c>
      <c r="W922" s="7">
        <v>1</v>
      </c>
      <c r="X922" s="7">
        <v>0</v>
      </c>
      <c r="Y922" s="7">
        <v>0</v>
      </c>
      <c r="Z922" s="7">
        <v>0</v>
      </c>
      <c r="AA922" s="7">
        <v>0</v>
      </c>
      <c r="AB922" s="7">
        <v>1</v>
      </c>
      <c r="AC922" s="7">
        <v>1</v>
      </c>
      <c r="AD922" s="7" t="s">
        <v>5044</v>
      </c>
      <c r="AE922" s="7" t="s">
        <v>5044</v>
      </c>
      <c r="AF922" s="7" t="s">
        <v>5044</v>
      </c>
      <c r="AG922" s="7">
        <v>2</v>
      </c>
      <c r="AH922" s="7">
        <v>3</v>
      </c>
      <c r="AI922" s="7">
        <v>0</v>
      </c>
      <c r="AJ922" s="7" t="s">
        <v>5044</v>
      </c>
      <c r="AK922" s="7">
        <v>1</v>
      </c>
      <c r="AL922" s="7">
        <v>1</v>
      </c>
      <c r="AM922" s="7">
        <v>0</v>
      </c>
      <c r="AN922" s="7" t="s">
        <v>451</v>
      </c>
      <c r="AO922" s="11">
        <v>3</v>
      </c>
    </row>
    <row r="923" spans="1:41" ht="63" customHeight="1" x14ac:dyDescent="0.2">
      <c r="A923" s="7">
        <v>11279</v>
      </c>
      <c r="B923" s="7" t="s">
        <v>4277</v>
      </c>
      <c r="C923" s="7" t="s">
        <v>4278</v>
      </c>
      <c r="D923" s="7" t="s">
        <v>74</v>
      </c>
      <c r="F923" s="7" t="s">
        <v>62</v>
      </c>
      <c r="G923" s="7" t="s">
        <v>32</v>
      </c>
      <c r="H923" s="7" t="s">
        <v>89</v>
      </c>
      <c r="I923" s="7" t="s">
        <v>13</v>
      </c>
      <c r="J923" s="7" t="s">
        <v>4279</v>
      </c>
      <c r="K923" s="7" t="s">
        <v>4280</v>
      </c>
      <c r="L923" s="6" t="s">
        <v>5255</v>
      </c>
      <c r="M923" s="7">
        <v>0</v>
      </c>
      <c r="N923" s="9" t="s">
        <v>5044</v>
      </c>
      <c r="O923" s="9" t="s">
        <v>5044</v>
      </c>
      <c r="P923" s="7">
        <v>0</v>
      </c>
      <c r="Q923" s="7">
        <v>0</v>
      </c>
      <c r="R923" s="7">
        <v>0</v>
      </c>
      <c r="S923" s="7">
        <v>9</v>
      </c>
      <c r="T923" s="7">
        <v>4</v>
      </c>
      <c r="U923" s="7">
        <v>1228</v>
      </c>
      <c r="V923" s="7">
        <v>0</v>
      </c>
      <c r="W923" s="7">
        <v>1</v>
      </c>
      <c r="X923" s="7">
        <v>0</v>
      </c>
      <c r="Y923" s="7">
        <v>0</v>
      </c>
      <c r="Z923" s="7">
        <v>0</v>
      </c>
      <c r="AA923" s="7">
        <v>0</v>
      </c>
      <c r="AB923" s="7">
        <v>1</v>
      </c>
      <c r="AC923" s="7">
        <v>1</v>
      </c>
      <c r="AD923" s="7" t="s">
        <v>5044</v>
      </c>
      <c r="AE923" s="7" t="s">
        <v>5044</v>
      </c>
      <c r="AF923" s="7" t="s">
        <v>5044</v>
      </c>
      <c r="AG923" s="7">
        <v>2</v>
      </c>
      <c r="AH923" s="7">
        <v>1</v>
      </c>
      <c r="AI923" s="7">
        <v>1</v>
      </c>
      <c r="AJ923" s="7" t="s">
        <v>5044</v>
      </c>
      <c r="AL923" s="7">
        <v>1</v>
      </c>
      <c r="AM923" s="7">
        <v>0</v>
      </c>
      <c r="AO923" s="11">
        <v>1</v>
      </c>
    </row>
    <row r="924" spans="1:41" ht="63" customHeight="1" x14ac:dyDescent="0.2">
      <c r="A924" s="7">
        <v>11280</v>
      </c>
      <c r="B924" s="7" t="s">
        <v>4281</v>
      </c>
      <c r="C924" s="7" t="s">
        <v>4282</v>
      </c>
      <c r="D924" s="7" t="s">
        <v>41</v>
      </c>
      <c r="F924" s="7" t="s">
        <v>133</v>
      </c>
      <c r="H924" s="7" t="s">
        <v>1449</v>
      </c>
      <c r="I924" s="7" t="s">
        <v>13</v>
      </c>
      <c r="J924" s="7" t="s">
        <v>4283</v>
      </c>
      <c r="K924" s="7" t="s">
        <v>4284</v>
      </c>
      <c r="L924" s="11" t="s">
        <v>5044</v>
      </c>
      <c r="M924" s="7">
        <v>0</v>
      </c>
      <c r="N924" s="9" t="s">
        <v>5044</v>
      </c>
      <c r="O924" s="9" t="s">
        <v>5044</v>
      </c>
      <c r="P924" s="7">
        <v>0</v>
      </c>
      <c r="Q924" s="7">
        <v>0</v>
      </c>
      <c r="R924" s="7">
        <v>0</v>
      </c>
      <c r="S924" s="7">
        <v>1</v>
      </c>
      <c r="T924" s="7">
        <v>4</v>
      </c>
      <c r="U924" s="7">
        <v>191</v>
      </c>
      <c r="V924" s="7">
        <v>0</v>
      </c>
      <c r="W924" s="7">
        <v>1</v>
      </c>
      <c r="X924" s="7">
        <v>0</v>
      </c>
      <c r="Y924" s="7">
        <v>0</v>
      </c>
      <c r="Z924" s="7">
        <v>0</v>
      </c>
      <c r="AA924" s="7">
        <v>0</v>
      </c>
      <c r="AB924" s="7">
        <v>1</v>
      </c>
      <c r="AC924" s="7">
        <v>1</v>
      </c>
      <c r="AD924" s="7" t="s">
        <v>5044</v>
      </c>
      <c r="AE924" s="7" t="s">
        <v>5044</v>
      </c>
      <c r="AF924" s="7" t="s">
        <v>5044</v>
      </c>
      <c r="AG924" s="7">
        <v>2</v>
      </c>
      <c r="AH924" s="7">
        <v>2</v>
      </c>
      <c r="AI924" s="7">
        <v>2</v>
      </c>
      <c r="AJ924" s="7" t="s">
        <v>5044</v>
      </c>
      <c r="AK924" s="7" t="s">
        <v>5256</v>
      </c>
      <c r="AL924" s="7">
        <v>1</v>
      </c>
      <c r="AM924" s="7">
        <v>0</v>
      </c>
      <c r="AO924" s="11">
        <v>2</v>
      </c>
    </row>
    <row r="925" spans="1:41" ht="63" customHeight="1" x14ac:dyDescent="0.2">
      <c r="A925" s="7">
        <v>11308</v>
      </c>
      <c r="B925" s="7" t="s">
        <v>4285</v>
      </c>
      <c r="C925" s="7" t="s">
        <v>4286</v>
      </c>
      <c r="D925" s="7" t="s">
        <v>95</v>
      </c>
      <c r="F925" s="7" t="s">
        <v>114</v>
      </c>
      <c r="G925" s="7" t="s">
        <v>144</v>
      </c>
      <c r="H925" s="7" t="s">
        <v>1502</v>
      </c>
      <c r="I925" s="7" t="s">
        <v>13</v>
      </c>
      <c r="J925" s="7" t="s">
        <v>4287</v>
      </c>
      <c r="K925" s="7" t="s">
        <v>4288</v>
      </c>
      <c r="L925" s="6" t="s">
        <v>5257</v>
      </c>
      <c r="M925" s="7">
        <v>0</v>
      </c>
      <c r="N925" s="9" t="s">
        <v>5044</v>
      </c>
      <c r="O925" s="9" t="s">
        <v>5044</v>
      </c>
      <c r="P925" s="7">
        <v>0</v>
      </c>
      <c r="Q925" s="7">
        <v>0</v>
      </c>
      <c r="R925" s="7">
        <v>0</v>
      </c>
      <c r="S925" s="7">
        <v>5</v>
      </c>
      <c r="T925" s="7">
        <v>1</v>
      </c>
      <c r="U925" s="7">
        <v>100</v>
      </c>
      <c r="V925" s="7">
        <v>0</v>
      </c>
      <c r="W925" s="7">
        <v>1</v>
      </c>
      <c r="X925" s="7">
        <v>0</v>
      </c>
      <c r="Y925" s="7">
        <v>0</v>
      </c>
      <c r="Z925" s="7">
        <v>0</v>
      </c>
      <c r="AA925" s="7">
        <v>0</v>
      </c>
      <c r="AB925" s="7">
        <v>1</v>
      </c>
      <c r="AC925" s="7">
        <v>1</v>
      </c>
      <c r="AD925" s="7" t="s">
        <v>5044</v>
      </c>
      <c r="AE925" s="7" t="s">
        <v>5044</v>
      </c>
      <c r="AF925" s="7" t="s">
        <v>5044</v>
      </c>
      <c r="AG925" s="7">
        <v>2</v>
      </c>
      <c r="AH925" s="7">
        <v>3</v>
      </c>
      <c r="AI925" s="7">
        <v>0</v>
      </c>
      <c r="AJ925" s="7" t="s">
        <v>5044</v>
      </c>
      <c r="AL925" s="7">
        <v>1</v>
      </c>
      <c r="AM925" s="7">
        <v>0</v>
      </c>
      <c r="AO925" s="11">
        <v>3</v>
      </c>
    </row>
    <row r="926" spans="1:41" ht="63" customHeight="1" x14ac:dyDescent="0.2">
      <c r="A926" s="7">
        <v>11320</v>
      </c>
      <c r="B926" s="7" t="s">
        <v>4289</v>
      </c>
      <c r="C926" s="7" t="s">
        <v>4290</v>
      </c>
      <c r="D926" s="7" t="s">
        <v>101</v>
      </c>
      <c r="F926" s="7" t="s">
        <v>325</v>
      </c>
      <c r="G926" s="7" t="s">
        <v>17</v>
      </c>
      <c r="H926" s="7" t="s">
        <v>1185</v>
      </c>
      <c r="I926" s="7" t="s">
        <v>13</v>
      </c>
      <c r="J926" s="7" t="s">
        <v>4291</v>
      </c>
      <c r="K926" s="7" t="s">
        <v>4292</v>
      </c>
      <c r="L926" s="6" t="s">
        <v>5258</v>
      </c>
      <c r="M926" s="7">
        <v>0</v>
      </c>
      <c r="N926" s="9" t="s">
        <v>5044</v>
      </c>
      <c r="O926" s="9" t="s">
        <v>5044</v>
      </c>
      <c r="P926" s="7">
        <v>0</v>
      </c>
      <c r="Q926" s="7">
        <v>0</v>
      </c>
      <c r="R926" s="7">
        <v>0</v>
      </c>
      <c r="S926" s="7">
        <v>3</v>
      </c>
      <c r="T926" s="7">
        <v>1</v>
      </c>
      <c r="U926" s="7">
        <v>100</v>
      </c>
      <c r="V926" s="7">
        <v>0</v>
      </c>
      <c r="W926" s="7">
        <v>1</v>
      </c>
      <c r="X926" s="7">
        <v>0</v>
      </c>
      <c r="Y926" s="7">
        <v>0</v>
      </c>
      <c r="Z926" s="7">
        <v>0</v>
      </c>
      <c r="AA926" s="7">
        <v>0</v>
      </c>
      <c r="AB926" s="7">
        <v>0</v>
      </c>
      <c r="AC926" s="7">
        <v>1</v>
      </c>
      <c r="AD926" s="7" t="s">
        <v>5044</v>
      </c>
      <c r="AE926" s="7" t="s">
        <v>5044</v>
      </c>
      <c r="AF926" s="7" t="s">
        <v>5044</v>
      </c>
      <c r="AG926" s="7">
        <v>2</v>
      </c>
      <c r="AH926" s="7">
        <v>3</v>
      </c>
      <c r="AI926" s="7">
        <v>0</v>
      </c>
      <c r="AJ926" s="7" t="s">
        <v>5044</v>
      </c>
      <c r="AK926" s="7">
        <v>1</v>
      </c>
      <c r="AL926" s="7">
        <v>1</v>
      </c>
      <c r="AM926" s="7">
        <v>0</v>
      </c>
      <c r="AO926" s="11">
        <v>3</v>
      </c>
    </row>
    <row r="927" spans="1:41" ht="63" customHeight="1" x14ac:dyDescent="0.2">
      <c r="A927" s="7">
        <v>11321</v>
      </c>
      <c r="B927" s="7" t="s">
        <v>4293</v>
      </c>
      <c r="C927" s="7" t="s">
        <v>4294</v>
      </c>
      <c r="D927" s="7" t="s">
        <v>46</v>
      </c>
      <c r="F927" s="7" t="s">
        <v>640</v>
      </c>
      <c r="G927" s="7" t="s">
        <v>37</v>
      </c>
      <c r="H927" s="7" t="s">
        <v>4295</v>
      </c>
      <c r="I927" s="7" t="s">
        <v>13</v>
      </c>
      <c r="J927" s="7" t="s">
        <v>4296</v>
      </c>
      <c r="K927" s="7" t="s">
        <v>4297</v>
      </c>
      <c r="L927" s="11" t="s">
        <v>5044</v>
      </c>
      <c r="M927" s="7">
        <v>0</v>
      </c>
      <c r="N927" s="9" t="s">
        <v>5044</v>
      </c>
      <c r="O927" s="9" t="s">
        <v>5044</v>
      </c>
      <c r="P927" s="7">
        <v>0</v>
      </c>
      <c r="Q927" s="7">
        <v>0</v>
      </c>
      <c r="R927" s="7">
        <v>0</v>
      </c>
      <c r="S927" s="7">
        <v>3</v>
      </c>
      <c r="T927" s="7">
        <v>1</v>
      </c>
      <c r="U927" s="7">
        <v>100</v>
      </c>
      <c r="V927" s="7">
        <v>0</v>
      </c>
      <c r="W927" s="7">
        <v>1</v>
      </c>
      <c r="X927" s="7">
        <v>0</v>
      </c>
      <c r="Y927" s="7">
        <v>0</v>
      </c>
      <c r="Z927" s="7">
        <v>0</v>
      </c>
      <c r="AA927" s="7">
        <v>0</v>
      </c>
      <c r="AB927" s="7">
        <v>0</v>
      </c>
      <c r="AC927" s="7">
        <v>1</v>
      </c>
      <c r="AD927" s="7" t="s">
        <v>5044</v>
      </c>
      <c r="AE927" s="7" t="s">
        <v>5044</v>
      </c>
      <c r="AF927" s="7" t="s">
        <v>5044</v>
      </c>
      <c r="AG927" s="7">
        <v>2</v>
      </c>
      <c r="AH927" s="7">
        <v>3</v>
      </c>
      <c r="AI927" s="7">
        <v>0</v>
      </c>
      <c r="AJ927" s="7" t="s">
        <v>5044</v>
      </c>
      <c r="AK927" s="7">
        <v>1</v>
      </c>
      <c r="AL927" s="7">
        <v>1</v>
      </c>
      <c r="AM927" s="7">
        <v>0</v>
      </c>
      <c r="AO927" s="11">
        <v>3</v>
      </c>
    </row>
    <row r="928" spans="1:41" ht="63" customHeight="1" x14ac:dyDescent="0.2">
      <c r="A928" s="7">
        <v>11327</v>
      </c>
      <c r="B928" s="7" t="s">
        <v>4298</v>
      </c>
      <c r="C928" s="7" t="s">
        <v>4299</v>
      </c>
      <c r="D928" s="7" t="s">
        <v>101</v>
      </c>
      <c r="F928" s="7" t="s">
        <v>645</v>
      </c>
      <c r="G928" s="7" t="s">
        <v>11</v>
      </c>
      <c r="H928" s="7" t="s">
        <v>43</v>
      </c>
      <c r="I928" s="7" t="s">
        <v>13</v>
      </c>
      <c r="J928" s="7" t="s">
        <v>4300</v>
      </c>
      <c r="K928" s="7" t="s">
        <v>4301</v>
      </c>
      <c r="L928" s="6" t="s">
        <v>5259</v>
      </c>
      <c r="M928" s="7">
        <v>0</v>
      </c>
      <c r="N928" s="9" t="s">
        <v>5044</v>
      </c>
      <c r="O928" s="9" t="s">
        <v>5044</v>
      </c>
      <c r="P928" s="7">
        <v>0</v>
      </c>
      <c r="Q928" s="7">
        <v>0</v>
      </c>
      <c r="R928" s="7">
        <v>0</v>
      </c>
      <c r="S928" s="7">
        <v>1</v>
      </c>
      <c r="T928" s="7">
        <v>1</v>
      </c>
      <c r="U928" s="7">
        <v>80</v>
      </c>
      <c r="V928" s="7">
        <v>0</v>
      </c>
      <c r="W928" s="7">
        <v>1</v>
      </c>
      <c r="X928" s="7">
        <v>0</v>
      </c>
      <c r="Y928" s="7">
        <v>0</v>
      </c>
      <c r="Z928" s="7">
        <v>0</v>
      </c>
      <c r="AA928" s="7">
        <v>0</v>
      </c>
      <c r="AB928" s="7">
        <v>1</v>
      </c>
      <c r="AC928" s="7">
        <v>1</v>
      </c>
      <c r="AD928" s="7" t="s">
        <v>5044</v>
      </c>
      <c r="AE928" s="7" t="s">
        <v>5044</v>
      </c>
      <c r="AF928" s="7" t="s">
        <v>5044</v>
      </c>
      <c r="AG928" s="7">
        <v>2</v>
      </c>
      <c r="AH928" s="7">
        <v>3</v>
      </c>
      <c r="AI928" s="7">
        <v>0</v>
      </c>
      <c r="AJ928" s="7" t="s">
        <v>5044</v>
      </c>
      <c r="AK928" s="7">
        <v>1</v>
      </c>
      <c r="AL928" s="7">
        <v>0</v>
      </c>
      <c r="AM928" s="7">
        <v>0</v>
      </c>
      <c r="AO928" s="11">
        <v>3</v>
      </c>
    </row>
    <row r="929" spans="1:41" ht="63" customHeight="1" x14ac:dyDescent="0.2">
      <c r="A929" s="7">
        <v>11337</v>
      </c>
      <c r="B929" s="7" t="s">
        <v>4302</v>
      </c>
      <c r="C929" s="7" t="s">
        <v>4303</v>
      </c>
      <c r="D929" s="7" t="s">
        <v>16</v>
      </c>
      <c r="F929" s="7" t="s">
        <v>114</v>
      </c>
      <c r="G929" s="7" t="s">
        <v>11</v>
      </c>
      <c r="H929" s="7" t="s">
        <v>160</v>
      </c>
      <c r="I929" s="7" t="s">
        <v>13</v>
      </c>
      <c r="J929" s="7" t="s">
        <v>4304</v>
      </c>
      <c r="K929" s="7" t="s">
        <v>4305</v>
      </c>
      <c r="L929" s="8" t="s">
        <v>5260</v>
      </c>
      <c r="M929" s="7">
        <v>0</v>
      </c>
      <c r="N929" s="9" t="s">
        <v>5044</v>
      </c>
      <c r="O929" s="9" t="s">
        <v>5044</v>
      </c>
      <c r="P929" s="7">
        <v>0</v>
      </c>
      <c r="Q929" s="7">
        <v>0</v>
      </c>
      <c r="R929" s="7">
        <v>0</v>
      </c>
      <c r="S929" s="7">
        <v>1</v>
      </c>
      <c r="T929" s="7">
        <v>4</v>
      </c>
      <c r="U929" s="7">
        <v>90</v>
      </c>
      <c r="V929" s="7">
        <v>0</v>
      </c>
      <c r="W929" s="7">
        <v>1</v>
      </c>
      <c r="X929" s="7">
        <v>0</v>
      </c>
      <c r="Y929" s="7">
        <v>0</v>
      </c>
      <c r="Z929" s="7">
        <v>0</v>
      </c>
      <c r="AA929" s="7">
        <v>0</v>
      </c>
      <c r="AB929" s="7">
        <v>1</v>
      </c>
      <c r="AC929" s="7">
        <v>1</v>
      </c>
      <c r="AD929" s="7" t="s">
        <v>5044</v>
      </c>
      <c r="AE929" s="7" t="s">
        <v>5044</v>
      </c>
      <c r="AF929" s="7" t="s">
        <v>5044</v>
      </c>
      <c r="AG929" s="7">
        <v>2</v>
      </c>
      <c r="AH929" s="7">
        <v>1</v>
      </c>
      <c r="AI929" s="7">
        <v>2</v>
      </c>
      <c r="AJ929" s="7" t="s">
        <v>5044</v>
      </c>
      <c r="AL929" s="7" t="s">
        <v>5044</v>
      </c>
      <c r="AM929" s="7">
        <v>0</v>
      </c>
      <c r="AN929" s="7" t="s">
        <v>5105</v>
      </c>
      <c r="AO929" s="11">
        <v>1</v>
      </c>
    </row>
    <row r="930" spans="1:41" ht="63" customHeight="1" x14ac:dyDescent="0.2">
      <c r="A930" s="7">
        <v>11352</v>
      </c>
      <c r="B930" s="7" t="s">
        <v>4306</v>
      </c>
      <c r="C930" s="7" t="s">
        <v>4307</v>
      </c>
      <c r="D930" s="7" t="s">
        <v>25</v>
      </c>
      <c r="E930" s="7" t="s">
        <v>4238</v>
      </c>
      <c r="F930" s="7" t="s">
        <v>746</v>
      </c>
      <c r="G930" s="7" t="s">
        <v>48</v>
      </c>
      <c r="H930" s="7" t="s">
        <v>427</v>
      </c>
      <c r="I930" s="7" t="s">
        <v>13</v>
      </c>
      <c r="J930" s="7" t="s">
        <v>4308</v>
      </c>
      <c r="K930" s="7" t="s">
        <v>4309</v>
      </c>
      <c r="L930" s="11" t="s">
        <v>5044</v>
      </c>
      <c r="M930" s="7">
        <v>0</v>
      </c>
      <c r="N930" s="9" t="s">
        <v>5044</v>
      </c>
      <c r="O930" s="9" t="s">
        <v>5044</v>
      </c>
      <c r="P930" s="7">
        <v>0</v>
      </c>
      <c r="Q930" s="7">
        <v>0</v>
      </c>
      <c r="R930" s="7">
        <v>1</v>
      </c>
      <c r="S930" s="7">
        <v>1</v>
      </c>
      <c r="T930" s="7">
        <v>2</v>
      </c>
      <c r="U930" s="7">
        <v>199</v>
      </c>
      <c r="V930" s="7">
        <v>1</v>
      </c>
      <c r="W930" s="7">
        <v>0</v>
      </c>
      <c r="X930" s="7">
        <v>0</v>
      </c>
      <c r="Y930" s="7">
        <v>0</v>
      </c>
      <c r="Z930" s="7">
        <v>0</v>
      </c>
      <c r="AA930" s="7">
        <v>0</v>
      </c>
      <c r="AB930" s="7">
        <v>1</v>
      </c>
      <c r="AC930" s="7">
        <v>1</v>
      </c>
      <c r="AD930" s="7">
        <v>2</v>
      </c>
      <c r="AE930" s="7">
        <v>3</v>
      </c>
      <c r="AF930" s="7">
        <v>0</v>
      </c>
      <c r="AG930" s="7" t="s">
        <v>5044</v>
      </c>
      <c r="AH930" s="7" t="s">
        <v>5044</v>
      </c>
      <c r="AI930" s="7" t="s">
        <v>5044</v>
      </c>
      <c r="AJ930" s="7" t="s">
        <v>5044</v>
      </c>
      <c r="AK930" s="7">
        <v>1</v>
      </c>
      <c r="AL930" s="7" t="s">
        <v>5044</v>
      </c>
      <c r="AM930" s="7">
        <v>0</v>
      </c>
      <c r="AN930" s="7" t="s">
        <v>5105</v>
      </c>
      <c r="AO930" s="11">
        <v>3</v>
      </c>
    </row>
    <row r="931" spans="1:41" ht="63" customHeight="1" x14ac:dyDescent="0.2">
      <c r="A931" s="7">
        <v>11355</v>
      </c>
      <c r="B931" s="7" t="s">
        <v>4310</v>
      </c>
      <c r="C931" s="7" t="s">
        <v>4311</v>
      </c>
      <c r="D931" s="7" t="s">
        <v>16</v>
      </c>
      <c r="F931" s="7" t="s">
        <v>1700</v>
      </c>
      <c r="G931" s="7" t="s">
        <v>37</v>
      </c>
      <c r="H931" s="7" t="s">
        <v>596</v>
      </c>
      <c r="I931" s="7" t="s">
        <v>13</v>
      </c>
      <c r="J931" s="7" t="s">
        <v>4312</v>
      </c>
      <c r="K931" s="7" t="s">
        <v>4313</v>
      </c>
      <c r="L931" s="6" t="s">
        <v>5261</v>
      </c>
      <c r="M931" s="7">
        <v>0</v>
      </c>
      <c r="N931" s="9" t="s">
        <v>5044</v>
      </c>
      <c r="O931" s="9" t="s">
        <v>5044</v>
      </c>
      <c r="P931" s="7">
        <v>0</v>
      </c>
      <c r="Q931" s="7">
        <v>0</v>
      </c>
      <c r="R931" s="7">
        <v>0</v>
      </c>
      <c r="S931" s="7">
        <v>1</v>
      </c>
      <c r="T931" s="7">
        <v>1</v>
      </c>
      <c r="U931" s="7">
        <v>84</v>
      </c>
      <c r="V931" s="7">
        <v>0</v>
      </c>
      <c r="W931" s="7">
        <v>1</v>
      </c>
      <c r="X931" s="7">
        <v>0</v>
      </c>
      <c r="Y931" s="7">
        <v>0</v>
      </c>
      <c r="Z931" s="7">
        <v>0</v>
      </c>
      <c r="AA931" s="7">
        <v>0</v>
      </c>
      <c r="AB931" s="7">
        <v>1</v>
      </c>
      <c r="AC931" s="7">
        <v>0</v>
      </c>
      <c r="AD931" s="7" t="s">
        <v>5044</v>
      </c>
      <c r="AE931" s="7" t="s">
        <v>5044</v>
      </c>
      <c r="AF931" s="7" t="s">
        <v>5044</v>
      </c>
      <c r="AG931" s="7">
        <v>0</v>
      </c>
      <c r="AH931" s="7" t="s">
        <v>5044</v>
      </c>
      <c r="AI931" s="7" t="s">
        <v>5044</v>
      </c>
      <c r="AJ931" s="7" t="s">
        <v>5044</v>
      </c>
      <c r="AL931" s="7">
        <v>0</v>
      </c>
      <c r="AM931" s="7">
        <v>0</v>
      </c>
      <c r="AO931" s="11">
        <v>9</v>
      </c>
    </row>
    <row r="932" spans="1:41" ht="63" customHeight="1" x14ac:dyDescent="0.2">
      <c r="A932" s="7">
        <v>11356</v>
      </c>
      <c r="B932" s="7" t="s">
        <v>4314</v>
      </c>
      <c r="C932" s="7" t="s">
        <v>4315</v>
      </c>
      <c r="D932" s="7" t="s">
        <v>46</v>
      </c>
      <c r="F932" s="7" t="s">
        <v>1180</v>
      </c>
      <c r="G932" s="7" t="s">
        <v>52</v>
      </c>
      <c r="H932" s="7" t="s">
        <v>38</v>
      </c>
      <c r="I932" s="7" t="s">
        <v>13</v>
      </c>
      <c r="J932" s="7" t="s">
        <v>4316</v>
      </c>
      <c r="K932" s="7" t="s">
        <v>4317</v>
      </c>
      <c r="L932" s="6" t="s">
        <v>5262</v>
      </c>
      <c r="M932" s="7">
        <v>0</v>
      </c>
      <c r="N932" s="9" t="s">
        <v>5044</v>
      </c>
      <c r="O932" s="9" t="s">
        <v>5044</v>
      </c>
      <c r="P932" s="7">
        <v>0</v>
      </c>
      <c r="Q932" s="7">
        <v>0</v>
      </c>
      <c r="R932" s="7">
        <v>0</v>
      </c>
      <c r="S932" s="7">
        <v>1</v>
      </c>
      <c r="T932" s="7">
        <v>1</v>
      </c>
      <c r="U932" s="7">
        <v>80</v>
      </c>
      <c r="V932" s="7">
        <v>0</v>
      </c>
      <c r="W932" s="7">
        <v>1</v>
      </c>
      <c r="X932" s="7">
        <v>0</v>
      </c>
      <c r="Y932" s="7">
        <v>0</v>
      </c>
      <c r="Z932" s="7">
        <v>0</v>
      </c>
      <c r="AA932" s="7">
        <v>0</v>
      </c>
      <c r="AB932" s="7">
        <v>1</v>
      </c>
      <c r="AC932" s="7">
        <v>1</v>
      </c>
      <c r="AD932" s="7" t="s">
        <v>5044</v>
      </c>
      <c r="AE932" s="7" t="s">
        <v>5044</v>
      </c>
      <c r="AF932" s="7" t="s">
        <v>5044</v>
      </c>
      <c r="AG932" s="7">
        <v>2</v>
      </c>
      <c r="AH932" s="7">
        <v>2</v>
      </c>
      <c r="AI932" s="7">
        <v>2</v>
      </c>
      <c r="AJ932" s="7" t="s">
        <v>5044</v>
      </c>
      <c r="AL932" s="7">
        <v>0</v>
      </c>
      <c r="AM932" s="7">
        <v>0</v>
      </c>
      <c r="AO932" s="11">
        <v>2</v>
      </c>
    </row>
    <row r="933" spans="1:41" ht="63" customHeight="1" x14ac:dyDescent="0.2">
      <c r="A933" s="7">
        <v>11372</v>
      </c>
      <c r="B933" s="7" t="s">
        <v>4322</v>
      </c>
      <c r="C933" s="7" t="s">
        <v>4323</v>
      </c>
      <c r="D933" s="7" t="s">
        <v>95</v>
      </c>
      <c r="F933" s="7" t="s">
        <v>27</v>
      </c>
      <c r="G933" s="7" t="s">
        <v>144</v>
      </c>
      <c r="H933" s="7" t="s">
        <v>4324</v>
      </c>
      <c r="I933" s="7" t="s">
        <v>13</v>
      </c>
      <c r="J933" s="7" t="s">
        <v>4325</v>
      </c>
      <c r="K933" s="7" t="s">
        <v>4326</v>
      </c>
      <c r="L933" s="8" t="s">
        <v>5264</v>
      </c>
      <c r="M933" s="7">
        <v>0</v>
      </c>
      <c r="N933" s="9" t="s">
        <v>5044</v>
      </c>
      <c r="O933" s="9" t="s">
        <v>5044</v>
      </c>
      <c r="P933" s="7">
        <v>0</v>
      </c>
      <c r="Q933" s="7">
        <v>0</v>
      </c>
      <c r="R933" s="7">
        <v>0</v>
      </c>
      <c r="S933" s="7">
        <v>13</v>
      </c>
      <c r="T933" s="7">
        <v>1</v>
      </c>
      <c r="U933" s="7">
        <v>101</v>
      </c>
      <c r="V933" s="7">
        <v>0</v>
      </c>
      <c r="W933" s="7">
        <v>1</v>
      </c>
      <c r="X933" s="7">
        <v>0</v>
      </c>
      <c r="Y933" s="7">
        <v>0</v>
      </c>
      <c r="Z933" s="7">
        <v>1</v>
      </c>
      <c r="AA933" s="7">
        <v>0</v>
      </c>
      <c r="AB933" s="7">
        <v>1</v>
      </c>
      <c r="AC933" s="7">
        <v>1</v>
      </c>
      <c r="AD933" s="7" t="s">
        <v>5044</v>
      </c>
      <c r="AE933" s="7" t="s">
        <v>5044</v>
      </c>
      <c r="AF933" s="7" t="s">
        <v>5044</v>
      </c>
      <c r="AG933" s="7">
        <v>2</v>
      </c>
      <c r="AH933" s="7">
        <v>2</v>
      </c>
      <c r="AI933" s="7">
        <v>2</v>
      </c>
      <c r="AJ933" s="7">
        <v>0</v>
      </c>
      <c r="AL933" s="7">
        <v>1</v>
      </c>
      <c r="AM933" s="7">
        <v>0</v>
      </c>
      <c r="AO933" s="11">
        <v>2</v>
      </c>
    </row>
    <row r="934" spans="1:41" ht="63" customHeight="1" x14ac:dyDescent="0.2">
      <c r="A934" s="7">
        <v>11382</v>
      </c>
      <c r="B934" s="7" t="s">
        <v>4327</v>
      </c>
      <c r="C934" s="7" t="s">
        <v>4328</v>
      </c>
      <c r="D934" s="7" t="s">
        <v>149</v>
      </c>
      <c r="F934" s="7" t="s">
        <v>2883</v>
      </c>
      <c r="G934" s="7" t="s">
        <v>144</v>
      </c>
      <c r="H934" s="7" t="s">
        <v>43</v>
      </c>
      <c r="I934" s="7" t="s">
        <v>13</v>
      </c>
      <c r="J934" s="7" t="s">
        <v>4329</v>
      </c>
      <c r="K934" s="7" t="s">
        <v>4330</v>
      </c>
      <c r="L934" s="7" t="s">
        <v>5265</v>
      </c>
      <c r="M934" s="7">
        <v>0</v>
      </c>
      <c r="N934" s="9" t="s">
        <v>5044</v>
      </c>
      <c r="O934" s="9" t="s">
        <v>5044</v>
      </c>
      <c r="P934" s="7">
        <v>0</v>
      </c>
      <c r="Q934" s="7">
        <v>0</v>
      </c>
      <c r="R934" s="7">
        <v>0</v>
      </c>
      <c r="S934" s="7">
        <v>1</v>
      </c>
      <c r="T934" s="7">
        <v>1</v>
      </c>
      <c r="U934" s="7">
        <v>40</v>
      </c>
      <c r="V934" s="7">
        <v>0</v>
      </c>
      <c r="W934" s="7">
        <v>1</v>
      </c>
      <c r="X934" s="7">
        <v>0</v>
      </c>
      <c r="Y934" s="7">
        <v>0</v>
      </c>
      <c r="Z934" s="7">
        <v>0</v>
      </c>
      <c r="AA934" s="7">
        <v>0</v>
      </c>
      <c r="AB934" s="7">
        <v>1</v>
      </c>
      <c r="AC934" s="7">
        <v>1</v>
      </c>
      <c r="AD934" s="7" t="s">
        <v>5044</v>
      </c>
      <c r="AE934" s="7" t="s">
        <v>5044</v>
      </c>
      <c r="AF934" s="7" t="s">
        <v>5044</v>
      </c>
      <c r="AG934" s="7">
        <v>2</v>
      </c>
      <c r="AH934" s="7">
        <v>3</v>
      </c>
      <c r="AI934" s="7">
        <v>0</v>
      </c>
      <c r="AJ934" s="7" t="s">
        <v>5044</v>
      </c>
      <c r="AK934" s="7">
        <v>1</v>
      </c>
      <c r="AL934" s="7">
        <v>1</v>
      </c>
      <c r="AM934" s="7">
        <v>0</v>
      </c>
      <c r="AO934" s="11">
        <v>3</v>
      </c>
    </row>
    <row r="935" spans="1:41" ht="63" customHeight="1" x14ac:dyDescent="0.2">
      <c r="A935" s="7">
        <v>11415</v>
      </c>
      <c r="B935" s="7" t="s">
        <v>4335</v>
      </c>
      <c r="C935" s="7" t="s">
        <v>4336</v>
      </c>
      <c r="D935" s="7" t="s">
        <v>101</v>
      </c>
      <c r="F935" s="7" t="s">
        <v>524</v>
      </c>
      <c r="G935" s="7" t="s">
        <v>299</v>
      </c>
      <c r="H935" s="7" t="s">
        <v>4337</v>
      </c>
      <c r="I935" s="7" t="s">
        <v>13</v>
      </c>
      <c r="J935" s="7" t="s">
        <v>4338</v>
      </c>
      <c r="K935" s="7" t="s">
        <v>4339</v>
      </c>
      <c r="L935" s="8" t="s">
        <v>5267</v>
      </c>
      <c r="M935" s="7">
        <v>0</v>
      </c>
      <c r="N935" s="9" t="s">
        <v>5044</v>
      </c>
      <c r="O935" s="9" t="s">
        <v>5044</v>
      </c>
      <c r="P935" s="7">
        <v>0</v>
      </c>
      <c r="Q935" s="7">
        <v>0</v>
      </c>
      <c r="R935" s="7">
        <v>0</v>
      </c>
      <c r="S935" s="7">
        <v>3</v>
      </c>
      <c r="T935" s="7">
        <v>1</v>
      </c>
      <c r="U935" s="7">
        <v>232</v>
      </c>
      <c r="V935" s="7">
        <v>0</v>
      </c>
      <c r="W935" s="7">
        <v>1</v>
      </c>
      <c r="X935" s="7">
        <v>0</v>
      </c>
      <c r="Y935" s="7">
        <v>0</v>
      </c>
      <c r="Z935" s="7">
        <v>0</v>
      </c>
      <c r="AA935" s="7">
        <v>0</v>
      </c>
      <c r="AB935" s="7">
        <v>1</v>
      </c>
      <c r="AC935" s="7">
        <v>1</v>
      </c>
      <c r="AD935" s="7" t="s">
        <v>5044</v>
      </c>
      <c r="AE935" s="7" t="s">
        <v>5044</v>
      </c>
      <c r="AF935" s="7" t="s">
        <v>5044</v>
      </c>
      <c r="AG935" s="7">
        <v>1</v>
      </c>
      <c r="AH935" s="7">
        <v>0</v>
      </c>
      <c r="AI935" s="7">
        <v>0</v>
      </c>
      <c r="AJ935" s="7" t="s">
        <v>5044</v>
      </c>
      <c r="AL935" s="7">
        <v>0</v>
      </c>
      <c r="AM935" s="7">
        <v>0</v>
      </c>
      <c r="AO935" s="9">
        <v>0</v>
      </c>
    </row>
    <row r="936" spans="1:41" ht="63" customHeight="1" x14ac:dyDescent="0.2">
      <c r="A936" s="7">
        <v>11423</v>
      </c>
      <c r="B936" s="7" t="s">
        <v>4340</v>
      </c>
      <c r="C936" s="7" t="s">
        <v>4341</v>
      </c>
      <c r="D936" s="7" t="s">
        <v>46</v>
      </c>
      <c r="F936" s="7" t="s">
        <v>114</v>
      </c>
      <c r="G936" s="7" t="s">
        <v>175</v>
      </c>
      <c r="H936" s="7" t="s">
        <v>1334</v>
      </c>
      <c r="I936" s="7" t="s">
        <v>13</v>
      </c>
      <c r="J936" s="7" t="s">
        <v>4342</v>
      </c>
      <c r="K936" s="7" t="s">
        <v>4343</v>
      </c>
      <c r="L936" s="6" t="s">
        <v>5268</v>
      </c>
      <c r="M936" s="7">
        <v>0</v>
      </c>
      <c r="N936" s="9" t="s">
        <v>5044</v>
      </c>
      <c r="O936" s="9" t="s">
        <v>5044</v>
      </c>
      <c r="P936" s="7">
        <v>0</v>
      </c>
      <c r="Q936" s="7">
        <v>0</v>
      </c>
      <c r="R936" s="7">
        <v>0</v>
      </c>
      <c r="S936" s="7">
        <v>1</v>
      </c>
      <c r="T936" s="7">
        <v>1</v>
      </c>
      <c r="U936" s="7">
        <v>101</v>
      </c>
      <c r="V936" s="7">
        <v>0</v>
      </c>
      <c r="W936" s="7">
        <v>1</v>
      </c>
      <c r="X936" s="7">
        <v>0</v>
      </c>
      <c r="Y936" s="7">
        <v>0</v>
      </c>
      <c r="Z936" s="7">
        <v>0</v>
      </c>
      <c r="AA936" s="7">
        <v>0</v>
      </c>
      <c r="AB936" s="7">
        <v>1</v>
      </c>
      <c r="AC936" s="7">
        <v>1</v>
      </c>
      <c r="AD936" s="7" t="s">
        <v>5044</v>
      </c>
      <c r="AE936" s="7" t="s">
        <v>5044</v>
      </c>
      <c r="AF936" s="7" t="s">
        <v>5044</v>
      </c>
      <c r="AG936" s="7">
        <v>1</v>
      </c>
      <c r="AH936" s="7">
        <v>0</v>
      </c>
      <c r="AI936" s="7">
        <v>0</v>
      </c>
      <c r="AJ936" s="7" t="s">
        <v>5044</v>
      </c>
      <c r="AL936" s="7">
        <v>0</v>
      </c>
      <c r="AM936" s="7">
        <v>0</v>
      </c>
      <c r="AO936" s="9">
        <v>0</v>
      </c>
    </row>
    <row r="937" spans="1:41" ht="63" customHeight="1" x14ac:dyDescent="0.2">
      <c r="A937" s="7">
        <v>11441</v>
      </c>
      <c r="B937" s="7" t="s">
        <v>4344</v>
      </c>
      <c r="C937" s="7" t="s">
        <v>4345</v>
      </c>
      <c r="D937" s="7" t="s">
        <v>101</v>
      </c>
      <c r="F937" s="7" t="s">
        <v>372</v>
      </c>
      <c r="G937" s="7" t="s">
        <v>17</v>
      </c>
      <c r="H937" s="7" t="s">
        <v>1321</v>
      </c>
      <c r="I937" s="7" t="s">
        <v>13</v>
      </c>
      <c r="J937" s="7" t="s">
        <v>4346</v>
      </c>
      <c r="K937" s="7" t="s">
        <v>4347</v>
      </c>
      <c r="L937" s="6" t="s">
        <v>5269</v>
      </c>
      <c r="M937" s="7">
        <v>0</v>
      </c>
      <c r="N937" s="9" t="s">
        <v>5044</v>
      </c>
      <c r="O937" s="9" t="s">
        <v>5044</v>
      </c>
      <c r="P937" s="7">
        <v>0</v>
      </c>
      <c r="Q937" s="7">
        <v>0</v>
      </c>
      <c r="R937" s="7">
        <v>0</v>
      </c>
      <c r="S937" s="7" t="s">
        <v>5170</v>
      </c>
      <c r="T937" s="7">
        <v>1</v>
      </c>
      <c r="U937" s="7">
        <v>150</v>
      </c>
      <c r="V937" s="7">
        <v>1</v>
      </c>
      <c r="W937" s="7">
        <v>0</v>
      </c>
      <c r="X937" s="7">
        <v>0</v>
      </c>
      <c r="Y937" s="7">
        <v>1</v>
      </c>
      <c r="Z937" s="7">
        <v>0</v>
      </c>
      <c r="AA937" s="7">
        <v>0</v>
      </c>
      <c r="AB937" s="7">
        <v>1</v>
      </c>
      <c r="AC937" s="7">
        <v>1</v>
      </c>
      <c r="AD937" s="7">
        <v>1</v>
      </c>
      <c r="AE937" s="7">
        <v>0</v>
      </c>
      <c r="AF937" s="7">
        <v>0</v>
      </c>
      <c r="AG937" s="7" t="s">
        <v>5044</v>
      </c>
      <c r="AH937" s="7" t="s">
        <v>5044</v>
      </c>
      <c r="AI937" s="7" t="s">
        <v>5044</v>
      </c>
      <c r="AJ937" s="7">
        <v>0</v>
      </c>
      <c r="AL937" s="7">
        <v>0</v>
      </c>
      <c r="AM937" s="7">
        <v>0</v>
      </c>
      <c r="AO937" s="9">
        <v>0</v>
      </c>
    </row>
    <row r="938" spans="1:41" ht="63" customHeight="1" x14ac:dyDescent="0.2">
      <c r="A938" s="7">
        <v>11455</v>
      </c>
      <c r="B938" s="7" t="s">
        <v>4352</v>
      </c>
      <c r="C938" s="7" t="s">
        <v>4353</v>
      </c>
      <c r="D938" s="7" t="s">
        <v>95</v>
      </c>
      <c r="F938" s="7" t="s">
        <v>4354</v>
      </c>
      <c r="G938" s="7" t="s">
        <v>37</v>
      </c>
      <c r="H938" s="7" t="s">
        <v>740</v>
      </c>
      <c r="I938" s="7" t="s">
        <v>13</v>
      </c>
      <c r="J938" s="7" t="s">
        <v>4355</v>
      </c>
      <c r="K938" s="7" t="s">
        <v>4356</v>
      </c>
      <c r="L938" s="6" t="s">
        <v>5272</v>
      </c>
      <c r="M938" s="7">
        <v>0</v>
      </c>
      <c r="N938" s="9" t="s">
        <v>5044</v>
      </c>
      <c r="O938" s="9" t="s">
        <v>5044</v>
      </c>
      <c r="P938" s="7">
        <v>0</v>
      </c>
      <c r="Q938" s="7">
        <v>0</v>
      </c>
      <c r="R938" s="7">
        <v>0</v>
      </c>
      <c r="S938" s="7">
        <v>1</v>
      </c>
      <c r="T938" s="7">
        <v>1</v>
      </c>
      <c r="U938" s="7">
        <v>102</v>
      </c>
      <c r="V938" s="7">
        <v>0</v>
      </c>
      <c r="W938" s="7">
        <v>1</v>
      </c>
      <c r="X938" s="7">
        <v>0</v>
      </c>
      <c r="Y938" s="7">
        <v>0</v>
      </c>
      <c r="Z938" s="7">
        <v>0</v>
      </c>
      <c r="AA938" s="7">
        <v>0</v>
      </c>
      <c r="AB938" s="7">
        <v>1</v>
      </c>
      <c r="AC938" s="7">
        <v>1</v>
      </c>
      <c r="AD938" s="7" t="s">
        <v>5044</v>
      </c>
      <c r="AE938" s="7" t="s">
        <v>5044</v>
      </c>
      <c r="AF938" s="7" t="s">
        <v>5044</v>
      </c>
      <c r="AG938" s="7">
        <v>2</v>
      </c>
      <c r="AH938" s="7">
        <v>2</v>
      </c>
      <c r="AI938" s="7">
        <v>2</v>
      </c>
      <c r="AJ938" s="7" t="s">
        <v>5044</v>
      </c>
      <c r="AL938" s="7">
        <v>0</v>
      </c>
      <c r="AM938" s="7">
        <v>0</v>
      </c>
      <c r="AO938" s="11">
        <v>2</v>
      </c>
    </row>
    <row r="939" spans="1:41" ht="63" customHeight="1" x14ac:dyDescent="0.2">
      <c r="A939" s="7">
        <v>11460</v>
      </c>
      <c r="B939" s="7" t="s">
        <v>4357</v>
      </c>
      <c r="C939" s="7" t="s">
        <v>4358</v>
      </c>
      <c r="D939" s="7" t="s">
        <v>341</v>
      </c>
      <c r="F939" s="7" t="s">
        <v>1095</v>
      </c>
      <c r="G939" s="7" t="s">
        <v>11</v>
      </c>
      <c r="H939" s="7" t="s">
        <v>43</v>
      </c>
      <c r="I939" s="7" t="s">
        <v>437</v>
      </c>
      <c r="J939" s="7" t="s">
        <v>4359</v>
      </c>
      <c r="K939" s="7" t="s">
        <v>4360</v>
      </c>
      <c r="L939" s="6" t="s">
        <v>5273</v>
      </c>
      <c r="M939" s="7">
        <v>0</v>
      </c>
      <c r="N939" s="9" t="s">
        <v>5044</v>
      </c>
      <c r="O939" s="9" t="s">
        <v>5044</v>
      </c>
      <c r="P939" s="7">
        <v>0</v>
      </c>
      <c r="Q939" s="7">
        <v>0</v>
      </c>
      <c r="R939" s="7">
        <v>0</v>
      </c>
      <c r="S939" s="7">
        <v>1</v>
      </c>
      <c r="T939" s="7">
        <v>1</v>
      </c>
      <c r="U939" s="7">
        <v>186</v>
      </c>
      <c r="V939" s="7">
        <v>0</v>
      </c>
      <c r="W939" s="7">
        <v>1</v>
      </c>
      <c r="X939" s="7">
        <v>0</v>
      </c>
      <c r="Y939" s="7">
        <v>0</v>
      </c>
      <c r="Z939" s="7">
        <v>0</v>
      </c>
      <c r="AA939" s="7">
        <v>0</v>
      </c>
      <c r="AB939" s="7">
        <v>1</v>
      </c>
      <c r="AC939" s="7">
        <v>1</v>
      </c>
      <c r="AD939" s="7" t="s">
        <v>5044</v>
      </c>
      <c r="AE939" s="7" t="s">
        <v>5044</v>
      </c>
      <c r="AF939" s="7" t="s">
        <v>5044</v>
      </c>
      <c r="AG939" s="7">
        <v>2</v>
      </c>
      <c r="AH939" s="7">
        <v>1</v>
      </c>
      <c r="AI939" s="7">
        <v>2</v>
      </c>
      <c r="AJ939" s="7" t="s">
        <v>5044</v>
      </c>
      <c r="AL939" s="7">
        <v>1</v>
      </c>
      <c r="AM939" s="7">
        <v>0</v>
      </c>
      <c r="AO939" s="11">
        <v>1</v>
      </c>
    </row>
    <row r="940" spans="1:41" ht="63" customHeight="1" x14ac:dyDescent="0.2">
      <c r="A940" s="7">
        <v>11469</v>
      </c>
      <c r="B940" s="7" t="s">
        <v>4361</v>
      </c>
      <c r="C940" s="7" t="s">
        <v>4362</v>
      </c>
      <c r="D940" s="7" t="s">
        <v>535</v>
      </c>
      <c r="F940" s="7" t="s">
        <v>168</v>
      </c>
      <c r="G940" s="7" t="s">
        <v>47</v>
      </c>
      <c r="H940" s="7" t="s">
        <v>290</v>
      </c>
      <c r="I940" s="7" t="s">
        <v>13</v>
      </c>
      <c r="J940" s="7" t="s">
        <v>4363</v>
      </c>
      <c r="K940" s="7" t="s">
        <v>4364</v>
      </c>
      <c r="L940" s="11" t="s">
        <v>5044</v>
      </c>
      <c r="M940" s="7">
        <v>0</v>
      </c>
      <c r="N940" s="9" t="s">
        <v>5044</v>
      </c>
      <c r="O940" s="9" t="s">
        <v>5044</v>
      </c>
      <c r="P940" s="7">
        <v>0</v>
      </c>
      <c r="Q940" s="7">
        <v>0</v>
      </c>
      <c r="R940" s="7">
        <v>0</v>
      </c>
      <c r="S940" s="7">
        <v>1</v>
      </c>
      <c r="T940" s="7">
        <v>1</v>
      </c>
      <c r="U940" s="7">
        <v>71</v>
      </c>
      <c r="V940" s="7">
        <v>0</v>
      </c>
      <c r="W940" s="7">
        <v>1</v>
      </c>
      <c r="X940" s="7">
        <v>0</v>
      </c>
      <c r="Y940" s="7">
        <v>0</v>
      </c>
      <c r="Z940" s="7">
        <v>0</v>
      </c>
      <c r="AA940" s="7">
        <v>0</v>
      </c>
      <c r="AB940" s="7">
        <v>1</v>
      </c>
      <c r="AC940" s="7">
        <v>1</v>
      </c>
      <c r="AD940" s="7" t="s">
        <v>5044</v>
      </c>
      <c r="AE940" s="7" t="s">
        <v>5044</v>
      </c>
      <c r="AF940" s="7" t="s">
        <v>5044</v>
      </c>
      <c r="AG940" s="7">
        <v>2</v>
      </c>
      <c r="AH940" s="7">
        <v>3</v>
      </c>
      <c r="AI940" s="7">
        <v>0</v>
      </c>
      <c r="AJ940" s="7" t="s">
        <v>5044</v>
      </c>
      <c r="AK940" s="7">
        <v>1</v>
      </c>
      <c r="AL940" s="7">
        <v>0</v>
      </c>
      <c r="AM940" s="7">
        <v>0</v>
      </c>
      <c r="AO940" s="11">
        <v>3</v>
      </c>
    </row>
    <row r="941" spans="1:41" ht="63" customHeight="1" x14ac:dyDescent="0.2">
      <c r="A941" s="7">
        <v>11477</v>
      </c>
      <c r="B941" s="7" t="s">
        <v>4365</v>
      </c>
      <c r="C941" s="7" t="s">
        <v>4366</v>
      </c>
      <c r="D941" s="7" t="s">
        <v>74</v>
      </c>
      <c r="F941" s="7" t="s">
        <v>47</v>
      </c>
      <c r="G941" s="7" t="s">
        <v>52</v>
      </c>
      <c r="H941" s="7" t="s">
        <v>708</v>
      </c>
      <c r="I941" s="7" t="s">
        <v>13</v>
      </c>
      <c r="J941" s="7" t="s">
        <v>4367</v>
      </c>
      <c r="K941" s="7" t="s">
        <v>4368</v>
      </c>
      <c r="L941" s="8" t="s">
        <v>5275</v>
      </c>
      <c r="M941" s="7">
        <v>0</v>
      </c>
      <c r="N941" s="9" t="s">
        <v>5044</v>
      </c>
      <c r="O941" s="9" t="s">
        <v>5044</v>
      </c>
      <c r="P941" s="7">
        <v>0</v>
      </c>
      <c r="Q941" s="7">
        <v>0</v>
      </c>
      <c r="R941" s="7">
        <v>0</v>
      </c>
      <c r="S941" s="7">
        <v>3</v>
      </c>
      <c r="T941" s="7">
        <v>1</v>
      </c>
      <c r="U941" s="7">
        <v>312</v>
      </c>
      <c r="V941" s="7">
        <v>0</v>
      </c>
      <c r="W941" s="7">
        <v>1</v>
      </c>
      <c r="X941" s="7">
        <v>0</v>
      </c>
      <c r="Y941" s="7">
        <v>0</v>
      </c>
      <c r="Z941" s="7">
        <v>0</v>
      </c>
      <c r="AA941" s="7">
        <v>0</v>
      </c>
      <c r="AB941" s="7">
        <v>1</v>
      </c>
      <c r="AC941" s="7">
        <v>1</v>
      </c>
      <c r="AD941" s="7" t="s">
        <v>5044</v>
      </c>
      <c r="AE941" s="7" t="s">
        <v>5044</v>
      </c>
      <c r="AF941" s="7" t="s">
        <v>5044</v>
      </c>
      <c r="AG941" s="7">
        <v>2</v>
      </c>
      <c r="AH941" s="7">
        <v>1</v>
      </c>
      <c r="AI941" s="7">
        <v>2</v>
      </c>
      <c r="AJ941" s="7" t="s">
        <v>5044</v>
      </c>
      <c r="AL941" s="7">
        <v>0</v>
      </c>
      <c r="AM941" s="7">
        <v>0</v>
      </c>
      <c r="AO941" s="11">
        <v>1</v>
      </c>
    </row>
    <row r="942" spans="1:41" ht="63" customHeight="1" x14ac:dyDescent="0.2">
      <c r="A942" s="7">
        <v>11514</v>
      </c>
      <c r="B942" s="7" t="s">
        <v>4369</v>
      </c>
      <c r="C942" s="7" t="s">
        <v>4370</v>
      </c>
      <c r="D942" s="7" t="s">
        <v>41</v>
      </c>
      <c r="F942" s="7" t="s">
        <v>129</v>
      </c>
      <c r="H942" s="7" t="s">
        <v>4371</v>
      </c>
      <c r="I942" s="7" t="s">
        <v>13</v>
      </c>
      <c r="J942" s="7" t="s">
        <v>4372</v>
      </c>
      <c r="K942" s="7" t="s">
        <v>4373</v>
      </c>
      <c r="L942" s="8" t="s">
        <v>5276</v>
      </c>
      <c r="M942" s="7">
        <v>0</v>
      </c>
      <c r="N942" s="9" t="s">
        <v>5044</v>
      </c>
      <c r="O942" s="9" t="s">
        <v>5044</v>
      </c>
      <c r="P942" s="7">
        <v>0</v>
      </c>
      <c r="Q942" s="7">
        <v>0</v>
      </c>
      <c r="R942" s="7">
        <v>0</v>
      </c>
      <c r="S942" s="7">
        <v>3</v>
      </c>
      <c r="T942" s="7">
        <v>1</v>
      </c>
      <c r="U942" s="7">
        <v>237</v>
      </c>
      <c r="V942" s="7">
        <v>0</v>
      </c>
      <c r="W942" s="7">
        <v>1</v>
      </c>
      <c r="X942" s="7">
        <v>0</v>
      </c>
      <c r="Y942" s="7">
        <v>0</v>
      </c>
      <c r="Z942" s="7">
        <v>0</v>
      </c>
      <c r="AA942" s="7">
        <v>0</v>
      </c>
      <c r="AB942" s="7">
        <v>1</v>
      </c>
      <c r="AC942" s="7">
        <v>1</v>
      </c>
      <c r="AD942" s="7" t="s">
        <v>5044</v>
      </c>
      <c r="AE942" s="7" t="s">
        <v>5044</v>
      </c>
      <c r="AF942" s="7" t="s">
        <v>5044</v>
      </c>
      <c r="AG942" s="7">
        <v>2</v>
      </c>
      <c r="AH942" s="7">
        <v>2</v>
      </c>
      <c r="AI942" s="7">
        <v>2</v>
      </c>
      <c r="AJ942" s="7" t="s">
        <v>5044</v>
      </c>
      <c r="AL942" s="7" t="s">
        <v>5044</v>
      </c>
      <c r="AM942" s="7">
        <v>0</v>
      </c>
      <c r="AN942" s="7" t="s">
        <v>5277</v>
      </c>
      <c r="AO942" s="11">
        <v>2</v>
      </c>
    </row>
    <row r="943" spans="1:41" ht="63" customHeight="1" x14ac:dyDescent="0.2">
      <c r="A943" s="7">
        <v>11515</v>
      </c>
      <c r="B943" s="7" t="s">
        <v>4374</v>
      </c>
      <c r="C943" s="7" t="s">
        <v>4375</v>
      </c>
      <c r="D943" s="7" t="s">
        <v>74</v>
      </c>
      <c r="F943" s="7" t="s">
        <v>194</v>
      </c>
      <c r="G943" s="7" t="s">
        <v>52</v>
      </c>
      <c r="H943" s="7" t="s">
        <v>102</v>
      </c>
      <c r="I943" s="7" t="s">
        <v>13</v>
      </c>
      <c r="J943" s="7" t="s">
        <v>4376</v>
      </c>
      <c r="K943" s="7" t="s">
        <v>4377</v>
      </c>
      <c r="L943" s="11" t="s">
        <v>5044</v>
      </c>
      <c r="M943" s="7">
        <v>0</v>
      </c>
      <c r="N943" s="9" t="s">
        <v>5044</v>
      </c>
      <c r="O943" s="9" t="s">
        <v>5044</v>
      </c>
      <c r="P943" s="7">
        <v>0</v>
      </c>
      <c r="Q943" s="7">
        <v>0</v>
      </c>
      <c r="R943" s="7">
        <v>0</v>
      </c>
      <c r="S943" s="7">
        <v>3</v>
      </c>
      <c r="T943" s="7">
        <v>1</v>
      </c>
      <c r="U943" s="7">
        <v>110</v>
      </c>
      <c r="V943" s="7">
        <v>0</v>
      </c>
      <c r="W943" s="7">
        <v>1</v>
      </c>
      <c r="X943" s="7">
        <v>0</v>
      </c>
      <c r="Y943" s="7">
        <v>0</v>
      </c>
      <c r="Z943" s="7">
        <v>0</v>
      </c>
      <c r="AA943" s="7">
        <v>0</v>
      </c>
      <c r="AB943" s="7">
        <v>1</v>
      </c>
      <c r="AC943" s="7">
        <v>1</v>
      </c>
      <c r="AD943" s="7" t="s">
        <v>5044</v>
      </c>
      <c r="AE943" s="7" t="s">
        <v>5044</v>
      </c>
      <c r="AF943" s="7" t="s">
        <v>5044</v>
      </c>
      <c r="AG943" s="7">
        <v>1</v>
      </c>
      <c r="AH943" s="7">
        <v>0</v>
      </c>
      <c r="AI943" s="7">
        <v>0</v>
      </c>
      <c r="AJ943" s="7" t="s">
        <v>5044</v>
      </c>
      <c r="AL943" s="7" t="s">
        <v>5044</v>
      </c>
      <c r="AM943" s="7">
        <v>0</v>
      </c>
      <c r="AN943" s="7" t="s">
        <v>5277</v>
      </c>
      <c r="AO943" s="9">
        <v>0</v>
      </c>
    </row>
    <row r="944" spans="1:41" ht="63" customHeight="1" x14ac:dyDescent="0.2">
      <c r="A944" s="7">
        <v>11516</v>
      </c>
      <c r="B944" s="7" t="s">
        <v>4378</v>
      </c>
      <c r="C944" s="7" t="s">
        <v>4379</v>
      </c>
      <c r="D944" s="7" t="s">
        <v>101</v>
      </c>
      <c r="F944" s="7" t="s">
        <v>51</v>
      </c>
      <c r="G944" s="7" t="s">
        <v>52</v>
      </c>
      <c r="H944" s="7" t="s">
        <v>348</v>
      </c>
      <c r="I944" s="7" t="s">
        <v>13</v>
      </c>
      <c r="J944" s="7" t="s">
        <v>4380</v>
      </c>
      <c r="K944" s="7" t="s">
        <v>4381</v>
      </c>
      <c r="L944" s="11" t="s">
        <v>5044</v>
      </c>
      <c r="M944" s="7">
        <v>0</v>
      </c>
      <c r="N944" s="9" t="s">
        <v>5044</v>
      </c>
      <c r="O944" s="9" t="s">
        <v>5044</v>
      </c>
      <c r="P944" s="7">
        <v>0</v>
      </c>
      <c r="Q944" s="7">
        <v>0</v>
      </c>
      <c r="R944" s="7">
        <v>0</v>
      </c>
      <c r="S944" s="7">
        <v>3</v>
      </c>
      <c r="T944" s="7">
        <v>1</v>
      </c>
      <c r="U944" s="7">
        <v>132</v>
      </c>
      <c r="V944" s="7">
        <v>0</v>
      </c>
      <c r="W944" s="7">
        <v>1</v>
      </c>
      <c r="X944" s="7">
        <v>0</v>
      </c>
      <c r="Y944" s="7">
        <v>0</v>
      </c>
      <c r="Z944" s="7">
        <v>0</v>
      </c>
      <c r="AA944" s="7">
        <v>0</v>
      </c>
      <c r="AB944" s="7">
        <v>1</v>
      </c>
      <c r="AC944" s="7">
        <v>1</v>
      </c>
      <c r="AD944" s="7" t="s">
        <v>5044</v>
      </c>
      <c r="AE944" s="7" t="s">
        <v>5044</v>
      </c>
      <c r="AF944" s="7" t="s">
        <v>5044</v>
      </c>
      <c r="AG944" s="7">
        <v>2</v>
      </c>
      <c r="AH944" s="7">
        <v>2</v>
      </c>
      <c r="AI944" s="7">
        <v>2</v>
      </c>
      <c r="AJ944" s="7" t="s">
        <v>5044</v>
      </c>
      <c r="AL944" s="7" t="s">
        <v>5044</v>
      </c>
      <c r="AM944" s="7">
        <v>0</v>
      </c>
      <c r="AN944" s="7" t="s">
        <v>5277</v>
      </c>
      <c r="AO944" s="11">
        <v>2</v>
      </c>
    </row>
    <row r="945" spans="1:41" ht="63" customHeight="1" x14ac:dyDescent="0.2">
      <c r="A945" s="7">
        <v>11525</v>
      </c>
      <c r="B945" s="7" t="s">
        <v>4382</v>
      </c>
      <c r="C945" s="7" t="s">
        <v>4383</v>
      </c>
      <c r="D945" s="7" t="s">
        <v>41</v>
      </c>
      <c r="F945" s="7" t="s">
        <v>4384</v>
      </c>
      <c r="G945" s="7" t="s">
        <v>293</v>
      </c>
      <c r="H945" s="7" t="s">
        <v>972</v>
      </c>
      <c r="I945" s="7" t="s">
        <v>13</v>
      </c>
      <c r="J945" s="7" t="s">
        <v>4385</v>
      </c>
      <c r="K945" s="7" t="s">
        <v>4386</v>
      </c>
      <c r="L945" s="8" t="s">
        <v>5278</v>
      </c>
      <c r="M945" s="7">
        <v>0</v>
      </c>
      <c r="N945" s="9" t="s">
        <v>5044</v>
      </c>
      <c r="O945" s="9" t="s">
        <v>5044</v>
      </c>
      <c r="P945" s="7">
        <v>0</v>
      </c>
      <c r="Q945" s="7">
        <v>0</v>
      </c>
      <c r="R945" s="7">
        <v>0</v>
      </c>
      <c r="S945" s="7">
        <v>1</v>
      </c>
      <c r="T945" s="7">
        <v>1</v>
      </c>
      <c r="U945" s="7">
        <v>104</v>
      </c>
      <c r="V945" s="7">
        <v>0</v>
      </c>
      <c r="W945" s="7">
        <v>1</v>
      </c>
      <c r="X945" s="7">
        <v>0</v>
      </c>
      <c r="Y945" s="7">
        <v>1</v>
      </c>
      <c r="Z945" s="7">
        <v>0</v>
      </c>
      <c r="AA945" s="7">
        <v>0</v>
      </c>
      <c r="AB945" s="7">
        <v>1</v>
      </c>
      <c r="AC945" s="7">
        <v>1</v>
      </c>
      <c r="AD945" s="7" t="s">
        <v>5044</v>
      </c>
      <c r="AE945" s="7" t="s">
        <v>5044</v>
      </c>
      <c r="AF945" s="7" t="s">
        <v>5044</v>
      </c>
      <c r="AG945" s="7">
        <v>2</v>
      </c>
      <c r="AH945" s="7">
        <v>1</v>
      </c>
      <c r="AI945" s="7">
        <v>2</v>
      </c>
      <c r="AJ945" s="7">
        <v>0</v>
      </c>
      <c r="AL945" s="7">
        <v>0</v>
      </c>
      <c r="AM945" s="7">
        <v>0</v>
      </c>
      <c r="AO945" s="11">
        <v>1</v>
      </c>
    </row>
    <row r="946" spans="1:41" ht="63" customHeight="1" x14ac:dyDescent="0.2">
      <c r="A946" s="7">
        <v>11526</v>
      </c>
      <c r="B946" s="7" t="s">
        <v>4387</v>
      </c>
      <c r="C946" s="7" t="s">
        <v>4388</v>
      </c>
      <c r="D946" s="7" t="s">
        <v>149</v>
      </c>
      <c r="E946" s="7" t="s">
        <v>4391</v>
      </c>
      <c r="F946" s="7" t="s">
        <v>746</v>
      </c>
      <c r="G946" s="7" t="s">
        <v>52</v>
      </c>
      <c r="H946" s="7" t="s">
        <v>53</v>
      </c>
      <c r="I946" s="7" t="s">
        <v>13</v>
      </c>
      <c r="J946" s="7" t="s">
        <v>4389</v>
      </c>
      <c r="K946" s="7" t="s">
        <v>4390</v>
      </c>
      <c r="L946" s="6" t="s">
        <v>5279</v>
      </c>
      <c r="M946" s="7">
        <v>0</v>
      </c>
      <c r="N946" s="9" t="s">
        <v>5044</v>
      </c>
      <c r="O946" s="9" t="s">
        <v>5044</v>
      </c>
      <c r="P946" s="7">
        <v>1</v>
      </c>
      <c r="Q946" s="7">
        <v>0</v>
      </c>
      <c r="R946" s="7">
        <v>0</v>
      </c>
      <c r="S946" s="7">
        <v>1</v>
      </c>
      <c r="T946" s="7">
        <v>1</v>
      </c>
      <c r="U946" s="7">
        <v>54</v>
      </c>
      <c r="V946" s="7">
        <v>0</v>
      </c>
      <c r="W946" s="7">
        <v>1</v>
      </c>
      <c r="X946" s="7">
        <v>0</v>
      </c>
      <c r="Y946" s="7">
        <v>0</v>
      </c>
      <c r="Z946" s="7">
        <v>0</v>
      </c>
      <c r="AA946" s="7">
        <v>0</v>
      </c>
      <c r="AB946" s="7">
        <v>0</v>
      </c>
      <c r="AC946" s="7">
        <v>1</v>
      </c>
      <c r="AD946" s="7" t="s">
        <v>5044</v>
      </c>
      <c r="AE946" s="7" t="s">
        <v>5044</v>
      </c>
      <c r="AF946" s="7" t="s">
        <v>5044</v>
      </c>
      <c r="AG946" s="7">
        <v>2</v>
      </c>
      <c r="AH946" s="7">
        <v>3</v>
      </c>
      <c r="AI946" s="7">
        <v>0</v>
      </c>
      <c r="AJ946" s="7" t="s">
        <v>5044</v>
      </c>
      <c r="AL946" s="7" t="s">
        <v>5044</v>
      </c>
      <c r="AM946" s="7">
        <v>0</v>
      </c>
      <c r="AN946" s="7" t="s">
        <v>5277</v>
      </c>
      <c r="AO946" s="11">
        <v>3</v>
      </c>
    </row>
    <row r="947" spans="1:41" ht="63" customHeight="1" x14ac:dyDescent="0.2">
      <c r="A947" s="7">
        <v>11536</v>
      </c>
      <c r="B947" s="7" t="s">
        <v>4392</v>
      </c>
      <c r="C947" s="7" t="s">
        <v>4393</v>
      </c>
      <c r="D947" s="7" t="s">
        <v>22</v>
      </c>
      <c r="F947" s="7" t="s">
        <v>4394</v>
      </c>
      <c r="G947" s="7" t="s">
        <v>37</v>
      </c>
      <c r="H947" s="7" t="s">
        <v>4395</v>
      </c>
      <c r="I947" s="7" t="s">
        <v>13</v>
      </c>
      <c r="J947" s="7" t="s">
        <v>4396</v>
      </c>
      <c r="K947" s="7" t="s">
        <v>4397</v>
      </c>
      <c r="L947" s="8" t="s">
        <v>5280</v>
      </c>
      <c r="M947" s="7">
        <v>0</v>
      </c>
      <c r="N947" s="9" t="s">
        <v>5044</v>
      </c>
      <c r="O947" s="9" t="s">
        <v>5044</v>
      </c>
      <c r="P947" s="7">
        <v>0</v>
      </c>
      <c r="Q947" s="7">
        <v>0</v>
      </c>
      <c r="R947" s="7">
        <v>0</v>
      </c>
      <c r="S947" s="7">
        <v>9</v>
      </c>
      <c r="T947" s="7">
        <v>2</v>
      </c>
      <c r="U947" s="7">
        <v>80</v>
      </c>
      <c r="V947" s="7">
        <v>0</v>
      </c>
      <c r="W947" s="7">
        <v>1</v>
      </c>
      <c r="X947" s="7">
        <v>0</v>
      </c>
      <c r="Y947" s="7">
        <v>0</v>
      </c>
      <c r="Z947" s="7">
        <v>0</v>
      </c>
      <c r="AA947" s="7">
        <v>0</v>
      </c>
      <c r="AB947" s="7">
        <v>1</v>
      </c>
      <c r="AC947" s="7">
        <v>1</v>
      </c>
      <c r="AD947" s="7" t="s">
        <v>5044</v>
      </c>
      <c r="AE947" s="7" t="s">
        <v>5044</v>
      </c>
      <c r="AF947" s="7" t="s">
        <v>5044</v>
      </c>
      <c r="AG947" s="7">
        <v>2</v>
      </c>
      <c r="AH947" s="7">
        <v>3</v>
      </c>
      <c r="AI947" s="7">
        <v>0</v>
      </c>
      <c r="AJ947" s="7" t="s">
        <v>5044</v>
      </c>
      <c r="AK947" s="7">
        <v>1</v>
      </c>
      <c r="AL947" s="7">
        <v>0</v>
      </c>
      <c r="AM947" s="7">
        <v>0</v>
      </c>
      <c r="AO947" s="11">
        <v>3</v>
      </c>
    </row>
    <row r="948" spans="1:41" ht="63" customHeight="1" x14ac:dyDescent="0.2">
      <c r="A948" s="7">
        <v>11553</v>
      </c>
      <c r="B948" s="7" t="s">
        <v>4402</v>
      </c>
      <c r="C948" s="7" t="s">
        <v>4403</v>
      </c>
      <c r="D948" s="7" t="s">
        <v>30</v>
      </c>
      <c r="E948" s="7" t="s">
        <v>4391</v>
      </c>
      <c r="F948" s="7" t="s">
        <v>110</v>
      </c>
      <c r="G948" s="7" t="s">
        <v>144</v>
      </c>
      <c r="H948" s="7" t="s">
        <v>38</v>
      </c>
      <c r="I948" s="7" t="s">
        <v>437</v>
      </c>
      <c r="J948" s="7" t="s">
        <v>4404</v>
      </c>
      <c r="K948" s="7" t="s">
        <v>4405</v>
      </c>
      <c r="L948" s="11" t="s">
        <v>5044</v>
      </c>
      <c r="M948" s="7">
        <v>0</v>
      </c>
      <c r="N948" s="9" t="s">
        <v>5044</v>
      </c>
      <c r="O948" s="9" t="s">
        <v>5044</v>
      </c>
      <c r="P948" s="7">
        <v>1</v>
      </c>
      <c r="Q948" s="7">
        <v>0</v>
      </c>
      <c r="R948" s="7">
        <v>0</v>
      </c>
      <c r="S948" s="7">
        <v>1</v>
      </c>
      <c r="T948" s="7">
        <v>1</v>
      </c>
      <c r="U948" s="7">
        <v>34</v>
      </c>
      <c r="V948" s="7">
        <v>0</v>
      </c>
      <c r="W948" s="7">
        <v>1</v>
      </c>
      <c r="X948" s="7">
        <v>0</v>
      </c>
      <c r="Y948" s="7">
        <v>0</v>
      </c>
      <c r="Z948" s="7">
        <v>0</v>
      </c>
      <c r="AA948" s="7">
        <v>0</v>
      </c>
      <c r="AB948" s="7">
        <v>1</v>
      </c>
      <c r="AC948" s="7">
        <v>1</v>
      </c>
      <c r="AD948" s="7" t="s">
        <v>5044</v>
      </c>
      <c r="AE948" s="7" t="s">
        <v>5044</v>
      </c>
      <c r="AF948" s="7" t="s">
        <v>5044</v>
      </c>
      <c r="AG948" s="7">
        <v>2</v>
      </c>
      <c r="AH948" s="7">
        <v>3</v>
      </c>
      <c r="AI948" s="7">
        <v>0</v>
      </c>
      <c r="AJ948" s="7" t="s">
        <v>5044</v>
      </c>
      <c r="AL948" s="7" t="s">
        <v>5044</v>
      </c>
      <c r="AM948" s="7">
        <v>0</v>
      </c>
      <c r="AN948" s="7" t="s">
        <v>2539</v>
      </c>
      <c r="AO948" s="11">
        <v>3</v>
      </c>
    </row>
    <row r="949" spans="1:41" ht="63" customHeight="1" x14ac:dyDescent="0.2">
      <c r="A949" s="7">
        <v>11558</v>
      </c>
      <c r="B949" s="7" t="s">
        <v>4406</v>
      </c>
      <c r="C949" s="7" t="s">
        <v>4407</v>
      </c>
      <c r="D949" s="7" t="s">
        <v>41</v>
      </c>
      <c r="F949" s="7" t="s">
        <v>42</v>
      </c>
      <c r="G949" s="7" t="s">
        <v>52</v>
      </c>
      <c r="H949" s="7" t="s">
        <v>43</v>
      </c>
      <c r="I949" s="7" t="s">
        <v>13</v>
      </c>
      <c r="J949" s="7" t="s">
        <v>4408</v>
      </c>
      <c r="K949" s="7" t="s">
        <v>4409</v>
      </c>
      <c r="L949" s="7" t="s">
        <v>5282</v>
      </c>
      <c r="M949" s="7">
        <v>0</v>
      </c>
      <c r="N949" s="9" t="s">
        <v>5044</v>
      </c>
      <c r="O949" s="9" t="s">
        <v>5044</v>
      </c>
      <c r="P949" s="7">
        <v>0</v>
      </c>
      <c r="Q949" s="7">
        <v>0</v>
      </c>
      <c r="R949" s="7">
        <v>0</v>
      </c>
      <c r="S949" s="7">
        <v>1</v>
      </c>
      <c r="T949" s="7">
        <v>1</v>
      </c>
      <c r="U949" s="7">
        <v>105</v>
      </c>
      <c r="V949" s="7">
        <v>0</v>
      </c>
      <c r="W949" s="7">
        <v>1</v>
      </c>
      <c r="X949" s="7">
        <v>0</v>
      </c>
      <c r="Y949" s="7">
        <v>0</v>
      </c>
      <c r="Z949" s="7">
        <v>0</v>
      </c>
      <c r="AA949" s="7">
        <v>0</v>
      </c>
      <c r="AB949" s="7">
        <v>1</v>
      </c>
      <c r="AC949" s="7">
        <v>1</v>
      </c>
      <c r="AD949" s="7" t="s">
        <v>5044</v>
      </c>
      <c r="AE949" s="7" t="s">
        <v>5044</v>
      </c>
      <c r="AF949" s="7" t="s">
        <v>5044</v>
      </c>
      <c r="AG949" s="7">
        <v>1</v>
      </c>
      <c r="AH949" s="7">
        <v>0</v>
      </c>
      <c r="AI949" s="7">
        <v>0</v>
      </c>
      <c r="AJ949" s="7" t="s">
        <v>5044</v>
      </c>
      <c r="AL949" s="7">
        <v>0</v>
      </c>
      <c r="AM949" s="7">
        <v>0</v>
      </c>
      <c r="AO949" s="9">
        <v>0</v>
      </c>
    </row>
    <row r="950" spans="1:41" ht="63" customHeight="1" x14ac:dyDescent="0.2">
      <c r="A950" s="7">
        <v>11578</v>
      </c>
      <c r="B950" s="7" t="s">
        <v>4418</v>
      </c>
      <c r="C950" s="7" t="s">
        <v>4419</v>
      </c>
      <c r="D950" s="7" t="s">
        <v>46</v>
      </c>
      <c r="F950" s="7" t="s">
        <v>107</v>
      </c>
      <c r="G950" s="7" t="s">
        <v>52</v>
      </c>
      <c r="H950" s="7" t="s">
        <v>296</v>
      </c>
      <c r="I950" s="7" t="s">
        <v>13</v>
      </c>
      <c r="J950" s="7" t="s">
        <v>4420</v>
      </c>
      <c r="K950" s="7" t="s">
        <v>4421</v>
      </c>
      <c r="L950" s="8" t="s">
        <v>5285</v>
      </c>
      <c r="M950" s="7">
        <v>0</v>
      </c>
      <c r="N950" s="9" t="s">
        <v>5044</v>
      </c>
      <c r="O950" s="9" t="s">
        <v>5044</v>
      </c>
      <c r="P950" s="7">
        <v>1</v>
      </c>
      <c r="Q950" s="7">
        <v>0</v>
      </c>
      <c r="R950" s="7">
        <v>0</v>
      </c>
      <c r="S950" s="7">
        <v>1</v>
      </c>
      <c r="T950" s="7">
        <v>1</v>
      </c>
      <c r="U950" s="7">
        <v>50</v>
      </c>
      <c r="V950" s="7">
        <v>0</v>
      </c>
      <c r="W950" s="7">
        <v>1</v>
      </c>
      <c r="X950" s="7">
        <v>0</v>
      </c>
      <c r="Y950" s="7">
        <v>0</v>
      </c>
      <c r="Z950" s="7">
        <v>0</v>
      </c>
      <c r="AA950" s="7">
        <v>0</v>
      </c>
      <c r="AB950" s="7">
        <v>1</v>
      </c>
      <c r="AC950" s="7">
        <v>1</v>
      </c>
      <c r="AD950" s="7" t="s">
        <v>5044</v>
      </c>
      <c r="AE950" s="7" t="s">
        <v>5044</v>
      </c>
      <c r="AF950" s="7" t="s">
        <v>5044</v>
      </c>
      <c r="AG950" s="7">
        <v>1</v>
      </c>
      <c r="AH950" s="7">
        <v>0</v>
      </c>
      <c r="AI950" s="7">
        <v>0</v>
      </c>
      <c r="AJ950" s="7" t="s">
        <v>5044</v>
      </c>
      <c r="AL950" s="7">
        <v>0</v>
      </c>
      <c r="AM950" s="7">
        <v>0</v>
      </c>
      <c r="AO950" s="9">
        <v>0</v>
      </c>
    </row>
    <row r="951" spans="1:41" ht="63" customHeight="1" x14ac:dyDescent="0.2">
      <c r="A951" s="7">
        <v>11579</v>
      </c>
      <c r="B951" s="7" t="s">
        <v>4422</v>
      </c>
      <c r="C951" s="7" t="s">
        <v>4423</v>
      </c>
      <c r="D951" s="7" t="s">
        <v>41</v>
      </c>
      <c r="F951" s="7" t="s">
        <v>150</v>
      </c>
      <c r="H951" s="7" t="s">
        <v>572</v>
      </c>
      <c r="I951" s="7" t="s">
        <v>13</v>
      </c>
      <c r="J951" s="7" t="s">
        <v>4424</v>
      </c>
      <c r="K951" s="7" t="s">
        <v>4425</v>
      </c>
      <c r="L951" s="8" t="s">
        <v>5286</v>
      </c>
      <c r="M951" s="7">
        <v>0</v>
      </c>
      <c r="N951" s="9" t="s">
        <v>5044</v>
      </c>
      <c r="O951" s="9" t="s">
        <v>5044</v>
      </c>
      <c r="P951" s="7">
        <v>0</v>
      </c>
      <c r="Q951" s="7">
        <v>0</v>
      </c>
      <c r="R951" s="7">
        <v>0</v>
      </c>
      <c r="S951" s="7">
        <v>1</v>
      </c>
      <c r="T951" s="7">
        <v>1</v>
      </c>
      <c r="U951" s="7">
        <v>84</v>
      </c>
      <c r="V951" s="7">
        <v>1</v>
      </c>
      <c r="W951" s="7">
        <v>0</v>
      </c>
      <c r="X951" s="7">
        <v>0</v>
      </c>
      <c r="Y951" s="7">
        <v>0</v>
      </c>
      <c r="Z951" s="7">
        <v>0</v>
      </c>
      <c r="AA951" s="7">
        <v>0</v>
      </c>
      <c r="AB951" s="7">
        <v>1</v>
      </c>
      <c r="AC951" s="7">
        <v>1</v>
      </c>
      <c r="AD951" s="7">
        <v>2</v>
      </c>
      <c r="AE951" s="7">
        <v>1</v>
      </c>
      <c r="AF951" s="7">
        <v>2</v>
      </c>
      <c r="AG951" s="7" t="s">
        <v>5044</v>
      </c>
      <c r="AH951" s="7" t="s">
        <v>5044</v>
      </c>
      <c r="AI951" s="7" t="s">
        <v>5044</v>
      </c>
      <c r="AJ951" s="7" t="s">
        <v>5044</v>
      </c>
      <c r="AL951" s="7">
        <v>1</v>
      </c>
      <c r="AM951" s="7">
        <v>0</v>
      </c>
      <c r="AO951" s="11">
        <v>1</v>
      </c>
    </row>
    <row r="952" spans="1:41" ht="63" customHeight="1" x14ac:dyDescent="0.2">
      <c r="A952" s="7">
        <v>11583</v>
      </c>
      <c r="B952" s="7" t="s">
        <v>4426</v>
      </c>
      <c r="C952" s="7" t="s">
        <v>4427</v>
      </c>
      <c r="D952" s="7" t="s">
        <v>35</v>
      </c>
      <c r="F952" s="7" t="s">
        <v>4428</v>
      </c>
      <c r="G952" s="7" t="s">
        <v>47</v>
      </c>
      <c r="H952" s="7" t="s">
        <v>698</v>
      </c>
      <c r="I952" s="7" t="s">
        <v>437</v>
      </c>
      <c r="J952" s="7" t="s">
        <v>4429</v>
      </c>
      <c r="K952" s="7" t="s">
        <v>4430</v>
      </c>
      <c r="L952" s="11" t="s">
        <v>5044</v>
      </c>
      <c r="M952" s="7">
        <v>0</v>
      </c>
      <c r="N952" s="9" t="s">
        <v>5044</v>
      </c>
      <c r="O952" s="9" t="s">
        <v>5044</v>
      </c>
      <c r="P952" s="7">
        <v>0</v>
      </c>
      <c r="Q952" s="7">
        <v>0</v>
      </c>
      <c r="R952" s="7">
        <v>0</v>
      </c>
      <c r="S952" s="7">
        <v>4</v>
      </c>
      <c r="T952" s="7">
        <v>1</v>
      </c>
      <c r="U952" s="7">
        <v>80</v>
      </c>
      <c r="V952" s="7">
        <v>0</v>
      </c>
      <c r="W952" s="7">
        <v>1</v>
      </c>
      <c r="X952" s="7">
        <v>0</v>
      </c>
      <c r="Y952" s="7">
        <v>0</v>
      </c>
      <c r="Z952" s="7">
        <v>0</v>
      </c>
      <c r="AA952" s="7">
        <v>0</v>
      </c>
      <c r="AB952" s="7">
        <v>1</v>
      </c>
      <c r="AC952" s="7">
        <v>1</v>
      </c>
      <c r="AD952" s="7" t="s">
        <v>5044</v>
      </c>
      <c r="AE952" s="7" t="s">
        <v>5044</v>
      </c>
      <c r="AF952" s="7" t="s">
        <v>5044</v>
      </c>
      <c r="AG952" s="7">
        <v>2</v>
      </c>
      <c r="AH952" s="7">
        <v>3</v>
      </c>
      <c r="AI952" s="7">
        <v>0</v>
      </c>
      <c r="AJ952" s="7" t="s">
        <v>5044</v>
      </c>
      <c r="AK952" s="7">
        <v>1</v>
      </c>
      <c r="AL952" s="7">
        <v>0</v>
      </c>
      <c r="AM952" s="7">
        <v>0</v>
      </c>
      <c r="AO952" s="11">
        <v>3</v>
      </c>
    </row>
    <row r="953" spans="1:41" ht="63" customHeight="1" x14ac:dyDescent="0.2">
      <c r="A953" s="7">
        <v>11587</v>
      </c>
      <c r="B953" s="7" t="s">
        <v>4431</v>
      </c>
      <c r="C953" s="7" t="s">
        <v>4432</v>
      </c>
      <c r="D953" s="7" t="s">
        <v>149</v>
      </c>
      <c r="E953" s="7" t="s">
        <v>4435</v>
      </c>
      <c r="F953" s="7" t="s">
        <v>865</v>
      </c>
      <c r="G953" s="7" t="s">
        <v>48</v>
      </c>
      <c r="H953" s="7" t="s">
        <v>160</v>
      </c>
      <c r="I953" s="7" t="s">
        <v>13</v>
      </c>
      <c r="J953" s="7" t="s">
        <v>4433</v>
      </c>
      <c r="K953" s="7" t="s">
        <v>4434</v>
      </c>
      <c r="L953" s="11" t="s">
        <v>5044</v>
      </c>
      <c r="M953" s="7">
        <v>0</v>
      </c>
      <c r="N953" s="9" t="s">
        <v>5044</v>
      </c>
      <c r="O953" s="9" t="s">
        <v>5044</v>
      </c>
      <c r="P953" s="7">
        <v>0</v>
      </c>
      <c r="Q953" s="7">
        <v>0</v>
      </c>
      <c r="R953" s="7">
        <v>1</v>
      </c>
      <c r="S953" s="7">
        <v>1</v>
      </c>
      <c r="T953" s="7">
        <v>1</v>
      </c>
      <c r="U953" s="7">
        <v>97</v>
      </c>
      <c r="V953" s="7">
        <v>1</v>
      </c>
      <c r="W953" s="7">
        <v>0</v>
      </c>
      <c r="X953" s="7">
        <v>0</v>
      </c>
      <c r="Y953" s="7">
        <v>1</v>
      </c>
      <c r="Z953" s="7">
        <v>0</v>
      </c>
      <c r="AA953" s="7">
        <v>0</v>
      </c>
      <c r="AB953" s="7">
        <v>1</v>
      </c>
      <c r="AC953" s="7">
        <v>1</v>
      </c>
      <c r="AD953" s="7">
        <v>1</v>
      </c>
      <c r="AE953" s="7">
        <v>0</v>
      </c>
      <c r="AF953" s="7">
        <v>0</v>
      </c>
      <c r="AG953" s="7" t="s">
        <v>5044</v>
      </c>
      <c r="AH953" s="7" t="s">
        <v>5044</v>
      </c>
      <c r="AI953" s="7" t="s">
        <v>5044</v>
      </c>
      <c r="AJ953" s="7">
        <v>0</v>
      </c>
      <c r="AL953" s="7">
        <v>0</v>
      </c>
      <c r="AM953" s="7">
        <v>0</v>
      </c>
      <c r="AN953" s="7" t="s">
        <v>6506</v>
      </c>
      <c r="AO953" s="9">
        <v>0</v>
      </c>
    </row>
    <row r="954" spans="1:41" ht="63" customHeight="1" x14ac:dyDescent="0.2">
      <c r="A954" s="7">
        <v>11604</v>
      </c>
      <c r="B954" s="7" t="s">
        <v>4436</v>
      </c>
      <c r="C954" s="7" t="s">
        <v>4437</v>
      </c>
      <c r="D954" s="7" t="s">
        <v>101</v>
      </c>
      <c r="F954" s="7" t="s">
        <v>107</v>
      </c>
      <c r="G954" s="7" t="s">
        <v>48</v>
      </c>
      <c r="H954" s="7" t="s">
        <v>231</v>
      </c>
      <c r="I954" s="7" t="s">
        <v>13</v>
      </c>
      <c r="J954" s="7" t="s">
        <v>4438</v>
      </c>
      <c r="K954" s="7" t="s">
        <v>4439</v>
      </c>
      <c r="L954" s="6" t="s">
        <v>5287</v>
      </c>
      <c r="M954" s="7">
        <v>0</v>
      </c>
      <c r="N954" s="9" t="s">
        <v>5044</v>
      </c>
      <c r="O954" s="9" t="s">
        <v>5044</v>
      </c>
      <c r="P954" s="7">
        <v>0</v>
      </c>
      <c r="Q954" s="7">
        <v>0</v>
      </c>
      <c r="R954" s="7">
        <v>0</v>
      </c>
      <c r="S954" s="7">
        <v>1</v>
      </c>
      <c r="T954" s="7">
        <v>1</v>
      </c>
      <c r="U954" s="7">
        <v>266</v>
      </c>
      <c r="V954" s="7">
        <v>0</v>
      </c>
      <c r="W954" s="7">
        <v>1</v>
      </c>
      <c r="X954" s="7">
        <v>0</v>
      </c>
      <c r="Y954" s="7">
        <v>0</v>
      </c>
      <c r="Z954" s="7">
        <v>0</v>
      </c>
      <c r="AA954" s="7">
        <v>0</v>
      </c>
      <c r="AB954" s="7">
        <v>1</v>
      </c>
      <c r="AC954" s="7">
        <v>1</v>
      </c>
      <c r="AD954" s="7" t="s">
        <v>5044</v>
      </c>
      <c r="AE954" s="7" t="s">
        <v>5044</v>
      </c>
      <c r="AF954" s="7" t="s">
        <v>5044</v>
      </c>
      <c r="AG954" s="7">
        <v>2</v>
      </c>
      <c r="AH954" s="7">
        <v>3</v>
      </c>
      <c r="AI954" s="7">
        <v>0</v>
      </c>
      <c r="AJ954" s="7" t="s">
        <v>5044</v>
      </c>
      <c r="AK954" s="7">
        <v>1</v>
      </c>
      <c r="AL954" s="7">
        <v>0</v>
      </c>
      <c r="AM954" s="7">
        <v>0</v>
      </c>
      <c r="AO954" s="11">
        <v>3</v>
      </c>
    </row>
    <row r="955" spans="1:41" ht="63" customHeight="1" x14ac:dyDescent="0.2">
      <c r="A955" s="7">
        <v>11619</v>
      </c>
      <c r="B955" s="7" t="s">
        <v>4444</v>
      </c>
      <c r="C955" s="7" t="s">
        <v>4445</v>
      </c>
      <c r="D955" s="7" t="s">
        <v>74</v>
      </c>
      <c r="F955" s="7" t="s">
        <v>254</v>
      </c>
      <c r="G955" s="7" t="s">
        <v>175</v>
      </c>
      <c r="H955" s="7" t="s">
        <v>231</v>
      </c>
      <c r="I955" s="7" t="s">
        <v>13</v>
      </c>
      <c r="J955" s="7" t="s">
        <v>4446</v>
      </c>
      <c r="K955" s="7" t="s">
        <v>4447</v>
      </c>
      <c r="L955" s="6" t="s">
        <v>5289</v>
      </c>
      <c r="M955" s="7">
        <v>0</v>
      </c>
      <c r="N955" s="9" t="s">
        <v>5044</v>
      </c>
      <c r="O955" s="9" t="s">
        <v>5044</v>
      </c>
      <c r="P955" s="7">
        <v>0</v>
      </c>
      <c r="Q955" s="7">
        <v>0</v>
      </c>
      <c r="R955" s="7">
        <v>0</v>
      </c>
      <c r="S955" s="7">
        <v>1</v>
      </c>
      <c r="T955" s="7">
        <v>1</v>
      </c>
      <c r="U955" s="7">
        <v>530</v>
      </c>
      <c r="V955" s="7">
        <v>0</v>
      </c>
      <c r="W955" s="7">
        <v>1</v>
      </c>
      <c r="X955" s="7">
        <v>0</v>
      </c>
      <c r="Y955" s="7">
        <v>0</v>
      </c>
      <c r="Z955" s="7">
        <v>0</v>
      </c>
      <c r="AA955" s="7">
        <v>0</v>
      </c>
      <c r="AB955" s="7">
        <v>1</v>
      </c>
      <c r="AC955" s="7">
        <v>1</v>
      </c>
      <c r="AD955" s="7" t="s">
        <v>5044</v>
      </c>
      <c r="AE955" s="7" t="s">
        <v>5044</v>
      </c>
      <c r="AF955" s="7" t="s">
        <v>5044</v>
      </c>
      <c r="AG955" s="7">
        <v>2</v>
      </c>
      <c r="AH955" s="7">
        <v>1</v>
      </c>
      <c r="AI955" s="7">
        <v>2</v>
      </c>
      <c r="AJ955" s="7" t="s">
        <v>5044</v>
      </c>
      <c r="AL955" s="7">
        <v>1</v>
      </c>
      <c r="AM955" s="7">
        <v>0</v>
      </c>
      <c r="AO955" s="11">
        <v>1</v>
      </c>
    </row>
    <row r="956" spans="1:41" ht="63" customHeight="1" x14ac:dyDescent="0.2">
      <c r="A956" s="7">
        <v>11623</v>
      </c>
      <c r="B956" s="7" t="s">
        <v>4448</v>
      </c>
      <c r="C956" s="7" t="s">
        <v>4449</v>
      </c>
      <c r="D956" s="7" t="s">
        <v>101</v>
      </c>
      <c r="F956" s="7" t="s">
        <v>932</v>
      </c>
      <c r="G956" s="7" t="s">
        <v>18</v>
      </c>
      <c r="H956" s="7" t="s">
        <v>38</v>
      </c>
      <c r="I956" s="7" t="s">
        <v>13</v>
      </c>
      <c r="J956" s="7" t="s">
        <v>4450</v>
      </c>
      <c r="K956" s="7" t="s">
        <v>4451</v>
      </c>
      <c r="L956" s="6" t="s">
        <v>5290</v>
      </c>
      <c r="M956" s="7">
        <v>0</v>
      </c>
      <c r="N956" s="9" t="s">
        <v>5044</v>
      </c>
      <c r="O956" s="9" t="s">
        <v>5044</v>
      </c>
      <c r="P956" s="7">
        <v>0</v>
      </c>
      <c r="Q956" s="7">
        <v>0</v>
      </c>
      <c r="R956" s="7">
        <v>0</v>
      </c>
      <c r="S956" s="7">
        <v>1</v>
      </c>
      <c r="T956" s="7">
        <v>1</v>
      </c>
      <c r="U956" s="7">
        <v>140</v>
      </c>
      <c r="V956" s="7">
        <v>0</v>
      </c>
      <c r="W956" s="7">
        <v>1</v>
      </c>
      <c r="X956" s="7">
        <v>0</v>
      </c>
      <c r="Y956" s="7">
        <v>0</v>
      </c>
      <c r="Z956" s="7">
        <v>1</v>
      </c>
      <c r="AA956" s="7">
        <v>0</v>
      </c>
      <c r="AB956" s="7">
        <v>1</v>
      </c>
      <c r="AC956" s="7">
        <v>1</v>
      </c>
      <c r="AD956" s="7" t="s">
        <v>5044</v>
      </c>
      <c r="AE956" s="7" t="s">
        <v>5044</v>
      </c>
      <c r="AF956" s="7" t="s">
        <v>5044</v>
      </c>
      <c r="AG956" s="7">
        <v>2</v>
      </c>
      <c r="AH956" s="7">
        <v>3</v>
      </c>
      <c r="AI956" s="7">
        <v>0</v>
      </c>
      <c r="AJ956" s="7">
        <v>0</v>
      </c>
      <c r="AK956" s="7">
        <v>1</v>
      </c>
      <c r="AL956" s="7">
        <v>0</v>
      </c>
      <c r="AM956" s="7">
        <v>0</v>
      </c>
      <c r="AO956" s="11">
        <v>3</v>
      </c>
    </row>
    <row r="957" spans="1:41" ht="63" customHeight="1" x14ac:dyDescent="0.2">
      <c r="A957" s="7">
        <v>11647</v>
      </c>
      <c r="B957" s="7" t="s">
        <v>4452</v>
      </c>
      <c r="C957" s="7" t="s">
        <v>4453</v>
      </c>
      <c r="D957" s="7" t="s">
        <v>25</v>
      </c>
      <c r="F957" s="7" t="s">
        <v>1304</v>
      </c>
      <c r="G957" s="7" t="s">
        <v>18</v>
      </c>
      <c r="H957" s="7" t="s">
        <v>43</v>
      </c>
      <c r="I957" s="7" t="s">
        <v>13</v>
      </c>
      <c r="J957" s="7" t="s">
        <v>4454</v>
      </c>
      <c r="K957" s="7" t="s">
        <v>4455</v>
      </c>
      <c r="L957" s="8" t="s">
        <v>5291</v>
      </c>
      <c r="M957" s="7">
        <v>0</v>
      </c>
      <c r="N957" s="9" t="s">
        <v>5044</v>
      </c>
      <c r="O957" s="9" t="s">
        <v>5044</v>
      </c>
      <c r="P957" s="7">
        <v>0</v>
      </c>
      <c r="Q957" s="7">
        <v>0</v>
      </c>
      <c r="R957" s="7">
        <v>0</v>
      </c>
      <c r="S957" s="7">
        <v>1</v>
      </c>
      <c r="T957" s="7">
        <v>1</v>
      </c>
      <c r="U957" s="7">
        <v>123</v>
      </c>
      <c r="V957" s="7">
        <v>0</v>
      </c>
      <c r="W957" s="7">
        <v>1</v>
      </c>
      <c r="X957" s="7">
        <v>0</v>
      </c>
      <c r="Y957" s="7">
        <v>0</v>
      </c>
      <c r="Z957" s="7">
        <v>0</v>
      </c>
      <c r="AA957" s="7">
        <v>0</v>
      </c>
      <c r="AB957" s="7">
        <v>1</v>
      </c>
      <c r="AC957" s="7">
        <v>1</v>
      </c>
      <c r="AD957" s="7" t="s">
        <v>5044</v>
      </c>
      <c r="AE957" s="7" t="s">
        <v>5044</v>
      </c>
      <c r="AF957" s="7" t="s">
        <v>5044</v>
      </c>
      <c r="AG957" s="7">
        <v>0</v>
      </c>
      <c r="AH957" s="7" t="s">
        <v>5044</v>
      </c>
      <c r="AI957" s="7" t="s">
        <v>5044</v>
      </c>
      <c r="AJ957" s="7" t="s">
        <v>5044</v>
      </c>
      <c r="AL957" s="7">
        <v>1</v>
      </c>
      <c r="AM957" s="7">
        <v>0</v>
      </c>
      <c r="AO957" s="11">
        <v>9</v>
      </c>
    </row>
    <row r="958" spans="1:41" ht="63" customHeight="1" x14ac:dyDescent="0.2">
      <c r="A958" s="7">
        <v>11685</v>
      </c>
      <c r="B958" s="7" t="s">
        <v>4460</v>
      </c>
      <c r="C958" s="7" t="s">
        <v>4461</v>
      </c>
      <c r="D958" s="7" t="s">
        <v>101</v>
      </c>
      <c r="F958" s="7" t="s">
        <v>932</v>
      </c>
      <c r="G958" s="7" t="s">
        <v>48</v>
      </c>
      <c r="H958" s="7" t="s">
        <v>38</v>
      </c>
      <c r="I958" s="7" t="s">
        <v>13</v>
      </c>
      <c r="J958" s="7" t="s">
        <v>4462</v>
      </c>
      <c r="K958" s="7" t="s">
        <v>4463</v>
      </c>
      <c r="L958" s="8" t="s">
        <v>5293</v>
      </c>
      <c r="M958" s="7">
        <v>0</v>
      </c>
      <c r="N958" s="9" t="s">
        <v>5044</v>
      </c>
      <c r="O958" s="9" t="s">
        <v>5044</v>
      </c>
      <c r="P958" s="7">
        <v>0</v>
      </c>
      <c r="Q958" s="7">
        <v>0</v>
      </c>
      <c r="R958" s="7">
        <v>0</v>
      </c>
      <c r="S958" s="7">
        <v>1</v>
      </c>
      <c r="T958" s="7">
        <v>1</v>
      </c>
      <c r="U958" s="7">
        <v>60</v>
      </c>
      <c r="V958" s="7">
        <v>0</v>
      </c>
      <c r="W958" s="7">
        <v>1</v>
      </c>
      <c r="X958" s="7">
        <v>0</v>
      </c>
      <c r="Y958" s="7">
        <v>0</v>
      </c>
      <c r="Z958" s="7">
        <v>0</v>
      </c>
      <c r="AA958" s="7">
        <v>0</v>
      </c>
      <c r="AB958" s="7">
        <v>1</v>
      </c>
      <c r="AC958" s="7">
        <v>1</v>
      </c>
      <c r="AD958" s="7" t="s">
        <v>5044</v>
      </c>
      <c r="AE958" s="7" t="s">
        <v>5044</v>
      </c>
      <c r="AF958" s="7" t="s">
        <v>5044</v>
      </c>
      <c r="AG958" s="7">
        <v>2</v>
      </c>
      <c r="AH958" s="7">
        <v>1</v>
      </c>
      <c r="AI958" s="7">
        <v>2</v>
      </c>
      <c r="AJ958" s="7" t="s">
        <v>5044</v>
      </c>
      <c r="AL958" s="7">
        <v>1</v>
      </c>
      <c r="AM958" s="7">
        <v>0</v>
      </c>
      <c r="AO958" s="11">
        <v>1</v>
      </c>
    </row>
    <row r="959" spans="1:41" ht="63" customHeight="1" x14ac:dyDescent="0.2">
      <c r="A959" s="7">
        <v>11700</v>
      </c>
      <c r="B959" s="7" t="s">
        <v>4469</v>
      </c>
      <c r="C959" s="7" t="s">
        <v>4470</v>
      </c>
      <c r="D959" s="7" t="s">
        <v>95</v>
      </c>
      <c r="E959" s="7" t="s">
        <v>4473</v>
      </c>
      <c r="F959" s="7" t="s">
        <v>58</v>
      </c>
      <c r="G959" s="7" t="s">
        <v>48</v>
      </c>
      <c r="H959" s="7" t="s">
        <v>145</v>
      </c>
      <c r="I959" s="7" t="s">
        <v>13</v>
      </c>
      <c r="J959" s="7" t="s">
        <v>4471</v>
      </c>
      <c r="K959" s="7" t="s">
        <v>4472</v>
      </c>
      <c r="L959" s="11" t="s">
        <v>5044</v>
      </c>
      <c r="M959" s="7">
        <v>0</v>
      </c>
      <c r="N959" s="9" t="s">
        <v>5044</v>
      </c>
      <c r="O959" s="9" t="s">
        <v>5044</v>
      </c>
      <c r="P959" s="7">
        <v>0</v>
      </c>
      <c r="Q959" s="7">
        <v>0</v>
      </c>
      <c r="R959" s="7">
        <v>1</v>
      </c>
      <c r="S959" s="7">
        <v>1</v>
      </c>
      <c r="T959" s="7">
        <v>1</v>
      </c>
      <c r="U959" s="7">
        <v>150</v>
      </c>
      <c r="V959" s="7">
        <v>0</v>
      </c>
      <c r="W959" s="7">
        <v>1</v>
      </c>
      <c r="X959" s="7">
        <v>0</v>
      </c>
      <c r="Y959" s="7">
        <v>0</v>
      </c>
      <c r="Z959" s="7">
        <v>0</v>
      </c>
      <c r="AA959" s="7">
        <v>0</v>
      </c>
      <c r="AB959" s="7">
        <v>1</v>
      </c>
      <c r="AC959" s="7">
        <v>0</v>
      </c>
      <c r="AD959" s="7" t="s">
        <v>5044</v>
      </c>
      <c r="AE959" s="7" t="s">
        <v>5044</v>
      </c>
      <c r="AF959" s="7" t="s">
        <v>5044</v>
      </c>
      <c r="AG959" s="7">
        <v>0</v>
      </c>
      <c r="AH959" s="7" t="s">
        <v>5044</v>
      </c>
      <c r="AI959" s="7" t="s">
        <v>5044</v>
      </c>
      <c r="AJ959" s="7" t="s">
        <v>5044</v>
      </c>
      <c r="AL959" s="7">
        <v>1</v>
      </c>
      <c r="AM959" s="7">
        <v>0</v>
      </c>
      <c r="AO959" s="11">
        <v>9</v>
      </c>
    </row>
    <row r="960" spans="1:41" ht="63" customHeight="1" x14ac:dyDescent="0.2">
      <c r="A960" s="7">
        <v>11703</v>
      </c>
      <c r="B960" s="7" t="s">
        <v>4474</v>
      </c>
      <c r="C960" s="7" t="s">
        <v>4475</v>
      </c>
      <c r="D960" s="7" t="s">
        <v>101</v>
      </c>
      <c r="F960" s="7" t="s">
        <v>31</v>
      </c>
      <c r="G960" s="7" t="s">
        <v>37</v>
      </c>
      <c r="H960" s="7" t="s">
        <v>1334</v>
      </c>
      <c r="I960" s="7" t="s">
        <v>437</v>
      </c>
      <c r="J960" s="7" t="s">
        <v>4476</v>
      </c>
      <c r="K960" s="7" t="s">
        <v>4477</v>
      </c>
      <c r="L960" s="8" t="s">
        <v>5295</v>
      </c>
      <c r="M960" s="7">
        <v>0</v>
      </c>
      <c r="N960" s="9" t="s">
        <v>5044</v>
      </c>
      <c r="O960" s="9" t="s">
        <v>5044</v>
      </c>
      <c r="P960" s="7">
        <v>0</v>
      </c>
      <c r="Q960" s="7">
        <v>0</v>
      </c>
      <c r="R960" s="7">
        <v>0</v>
      </c>
      <c r="S960" s="7">
        <v>9</v>
      </c>
      <c r="T960" s="7">
        <v>1</v>
      </c>
      <c r="U960" s="7">
        <v>89</v>
      </c>
      <c r="V960" s="7">
        <v>0</v>
      </c>
      <c r="W960" s="7">
        <v>1</v>
      </c>
      <c r="X960" s="7">
        <v>0</v>
      </c>
      <c r="Y960" s="7">
        <v>0</v>
      </c>
      <c r="Z960" s="7">
        <v>0</v>
      </c>
      <c r="AA960" s="7">
        <v>0</v>
      </c>
      <c r="AB960" s="7">
        <v>0</v>
      </c>
      <c r="AC960" s="7">
        <v>1</v>
      </c>
      <c r="AD960" s="7" t="s">
        <v>5044</v>
      </c>
      <c r="AE960" s="7" t="s">
        <v>5044</v>
      </c>
      <c r="AF960" s="7" t="s">
        <v>5044</v>
      </c>
      <c r="AG960" s="7">
        <v>2</v>
      </c>
      <c r="AH960" s="7">
        <v>1</v>
      </c>
      <c r="AI960" s="7">
        <v>3</v>
      </c>
      <c r="AJ960" s="7" t="s">
        <v>5044</v>
      </c>
      <c r="AL960" s="7">
        <v>0</v>
      </c>
      <c r="AM960" s="7">
        <v>0</v>
      </c>
      <c r="AO960" s="11">
        <v>1</v>
      </c>
    </row>
    <row r="961" spans="1:41" ht="63" customHeight="1" x14ac:dyDescent="0.2">
      <c r="A961" s="7">
        <v>11712</v>
      </c>
      <c r="B961" s="7" t="s">
        <v>4482</v>
      </c>
      <c r="C961" s="7" t="s">
        <v>4483</v>
      </c>
      <c r="D961" s="7" t="s">
        <v>41</v>
      </c>
      <c r="E961" s="7" t="s">
        <v>4486</v>
      </c>
      <c r="F961" s="7" t="s">
        <v>335</v>
      </c>
      <c r="G961" s="7" t="s">
        <v>11</v>
      </c>
      <c r="H961" s="7" t="s">
        <v>43</v>
      </c>
      <c r="I961" s="7" t="s">
        <v>13</v>
      </c>
      <c r="J961" s="7" t="s">
        <v>4484</v>
      </c>
      <c r="K961" s="7" t="s">
        <v>4485</v>
      </c>
      <c r="L961" s="7" t="s">
        <v>5297</v>
      </c>
      <c r="M961" s="7">
        <v>0</v>
      </c>
      <c r="N961" s="9" t="s">
        <v>5044</v>
      </c>
      <c r="O961" s="9" t="s">
        <v>5044</v>
      </c>
      <c r="P961" s="7">
        <v>0</v>
      </c>
      <c r="Q961" s="7">
        <v>1</v>
      </c>
      <c r="R961" s="7">
        <v>0</v>
      </c>
      <c r="S961" s="7">
        <v>1</v>
      </c>
      <c r="T961" s="7">
        <v>1</v>
      </c>
      <c r="U961" s="7">
        <v>130</v>
      </c>
      <c r="V961" s="7">
        <v>0</v>
      </c>
      <c r="W961" s="7">
        <v>1</v>
      </c>
      <c r="X961" s="7">
        <v>0</v>
      </c>
      <c r="Y961" s="7">
        <v>0</v>
      </c>
      <c r="Z961" s="7">
        <v>1</v>
      </c>
      <c r="AA961" s="7">
        <v>0</v>
      </c>
      <c r="AB961" s="7">
        <v>1</v>
      </c>
      <c r="AC961" s="7">
        <v>1</v>
      </c>
      <c r="AD961" s="7" t="s">
        <v>5044</v>
      </c>
      <c r="AE961" s="7" t="s">
        <v>5044</v>
      </c>
      <c r="AF961" s="7" t="s">
        <v>5044</v>
      </c>
      <c r="AG961" s="7">
        <v>0</v>
      </c>
      <c r="AH961" s="7" t="s">
        <v>5044</v>
      </c>
      <c r="AI961" s="7" t="s">
        <v>5044</v>
      </c>
      <c r="AJ961" s="7">
        <v>0</v>
      </c>
      <c r="AL961" s="7">
        <v>1</v>
      </c>
      <c r="AM961" s="7">
        <v>0</v>
      </c>
      <c r="AO961" s="11">
        <v>9</v>
      </c>
    </row>
    <row r="962" spans="1:41" ht="63" customHeight="1" x14ac:dyDescent="0.2">
      <c r="A962" s="7">
        <v>11722</v>
      </c>
      <c r="B962" s="7" t="s">
        <v>4487</v>
      </c>
      <c r="C962" s="7" t="s">
        <v>4488</v>
      </c>
      <c r="D962" s="7" t="s">
        <v>101</v>
      </c>
      <c r="F962" s="7" t="s">
        <v>568</v>
      </c>
      <c r="G962" s="7" t="s">
        <v>27</v>
      </c>
      <c r="H962" s="7" t="s">
        <v>217</v>
      </c>
      <c r="I962" s="7" t="s">
        <v>13</v>
      </c>
      <c r="J962" s="7" t="s">
        <v>4489</v>
      </c>
      <c r="K962" s="7" t="s">
        <v>4490</v>
      </c>
      <c r="L962" s="6" t="s">
        <v>5298</v>
      </c>
      <c r="M962" s="7">
        <v>0</v>
      </c>
      <c r="N962" s="9" t="s">
        <v>5044</v>
      </c>
      <c r="O962" s="9" t="s">
        <v>5044</v>
      </c>
      <c r="P962" s="7">
        <v>0</v>
      </c>
      <c r="Q962" s="7">
        <v>0</v>
      </c>
      <c r="R962" s="7">
        <v>0</v>
      </c>
      <c r="S962" s="7">
        <v>1</v>
      </c>
      <c r="T962" s="7">
        <v>1</v>
      </c>
      <c r="U962" s="7">
        <v>92</v>
      </c>
      <c r="V962" s="7">
        <v>1</v>
      </c>
      <c r="W962" s="7">
        <v>0</v>
      </c>
      <c r="X962" s="7">
        <v>0</v>
      </c>
      <c r="Y962" s="7">
        <v>0</v>
      </c>
      <c r="Z962" s="7">
        <v>0</v>
      </c>
      <c r="AA962" s="7">
        <v>0</v>
      </c>
      <c r="AB962" s="7">
        <v>1</v>
      </c>
      <c r="AC962" s="7">
        <v>1</v>
      </c>
      <c r="AD962" s="7">
        <v>2</v>
      </c>
      <c r="AE962" s="7">
        <v>3</v>
      </c>
      <c r="AF962" s="7">
        <v>0</v>
      </c>
      <c r="AG962" s="7" t="s">
        <v>5044</v>
      </c>
      <c r="AH962" s="7" t="s">
        <v>5044</v>
      </c>
      <c r="AI962" s="7" t="s">
        <v>5044</v>
      </c>
      <c r="AJ962" s="7" t="s">
        <v>5044</v>
      </c>
      <c r="AL962" s="7">
        <v>0</v>
      </c>
      <c r="AM962" s="7">
        <v>0</v>
      </c>
      <c r="AO962" s="11">
        <v>3</v>
      </c>
    </row>
    <row r="963" spans="1:41" ht="63" customHeight="1" x14ac:dyDescent="0.2">
      <c r="A963" s="7">
        <v>11738</v>
      </c>
      <c r="B963" s="7" t="s">
        <v>4491</v>
      </c>
      <c r="C963" s="7" t="s">
        <v>4492</v>
      </c>
      <c r="D963" s="7" t="s">
        <v>341</v>
      </c>
      <c r="F963" s="7" t="s">
        <v>746</v>
      </c>
      <c r="G963" s="7" t="s">
        <v>175</v>
      </c>
      <c r="H963" s="7" t="s">
        <v>198</v>
      </c>
      <c r="I963" s="7" t="s">
        <v>13</v>
      </c>
      <c r="K963" s="7" t="s">
        <v>4493</v>
      </c>
      <c r="L963" s="11" t="s">
        <v>5044</v>
      </c>
      <c r="M963" s="7">
        <v>0</v>
      </c>
      <c r="N963" s="9" t="s">
        <v>5044</v>
      </c>
      <c r="O963" s="9" t="s">
        <v>5044</v>
      </c>
      <c r="P963" s="7">
        <v>0</v>
      </c>
      <c r="Q963" s="7">
        <v>0</v>
      </c>
      <c r="R963" s="7">
        <v>0</v>
      </c>
      <c r="S963" s="7">
        <v>1</v>
      </c>
      <c r="T963" s="7">
        <v>1</v>
      </c>
      <c r="U963" s="7">
        <v>69</v>
      </c>
      <c r="V963" s="7">
        <v>1</v>
      </c>
      <c r="W963" s="7">
        <v>0</v>
      </c>
      <c r="X963" s="7">
        <v>0</v>
      </c>
      <c r="Y963" s="7">
        <v>0</v>
      </c>
      <c r="Z963" s="7">
        <v>0</v>
      </c>
      <c r="AA963" s="7">
        <v>1</v>
      </c>
      <c r="AB963" s="7">
        <v>1</v>
      </c>
      <c r="AC963" s="7">
        <v>1</v>
      </c>
      <c r="AD963" s="7">
        <v>1</v>
      </c>
      <c r="AE963" s="7">
        <v>0</v>
      </c>
      <c r="AF963" s="7">
        <v>0</v>
      </c>
      <c r="AG963" s="7" t="s">
        <v>5044</v>
      </c>
      <c r="AH963" s="7" t="s">
        <v>5044</v>
      </c>
      <c r="AI963" s="7" t="s">
        <v>5044</v>
      </c>
      <c r="AJ963" s="7" t="s">
        <v>5044</v>
      </c>
      <c r="AL963" s="7">
        <v>0</v>
      </c>
      <c r="AM963" s="7">
        <v>0</v>
      </c>
      <c r="AO963" s="9">
        <v>0</v>
      </c>
    </row>
    <row r="964" spans="1:41" ht="63" customHeight="1" x14ac:dyDescent="0.2">
      <c r="A964" s="7">
        <v>11780</v>
      </c>
      <c r="B964" s="7" t="s">
        <v>4499</v>
      </c>
      <c r="C964" s="7" t="s">
        <v>4500</v>
      </c>
      <c r="D964" s="7" t="s">
        <v>74</v>
      </c>
      <c r="F964" s="7" t="s">
        <v>2724</v>
      </c>
      <c r="G964" s="7" t="s">
        <v>52</v>
      </c>
      <c r="H964" s="7" t="s">
        <v>679</v>
      </c>
      <c r="I964" s="7" t="s">
        <v>13</v>
      </c>
      <c r="J964" s="7" t="s">
        <v>4501</v>
      </c>
      <c r="K964" s="7" t="s">
        <v>4502</v>
      </c>
      <c r="L964" s="6" t="s">
        <v>5300</v>
      </c>
      <c r="M964" s="7">
        <v>0</v>
      </c>
      <c r="N964" s="9" t="s">
        <v>5044</v>
      </c>
      <c r="O964" s="9" t="s">
        <v>5044</v>
      </c>
      <c r="P964" s="7">
        <v>0</v>
      </c>
      <c r="Q964" s="7">
        <v>0</v>
      </c>
      <c r="R964" s="7">
        <v>0</v>
      </c>
      <c r="S964" s="7">
        <v>3</v>
      </c>
      <c r="T964" s="7">
        <v>1</v>
      </c>
      <c r="U964" s="7">
        <v>55</v>
      </c>
      <c r="V964" s="7">
        <v>0</v>
      </c>
      <c r="W964" s="7">
        <v>1</v>
      </c>
      <c r="X964" s="7">
        <v>0</v>
      </c>
      <c r="Y964" s="7">
        <v>0</v>
      </c>
      <c r="Z964" s="7">
        <v>0</v>
      </c>
      <c r="AA964" s="7">
        <v>0</v>
      </c>
      <c r="AB964" s="7">
        <v>1</v>
      </c>
      <c r="AC964" s="7">
        <v>0</v>
      </c>
      <c r="AD964" s="7" t="s">
        <v>5044</v>
      </c>
      <c r="AE964" s="7" t="s">
        <v>5044</v>
      </c>
      <c r="AF964" s="7" t="s">
        <v>5044</v>
      </c>
      <c r="AG964" s="7">
        <v>0</v>
      </c>
      <c r="AH964" s="7" t="s">
        <v>5044</v>
      </c>
      <c r="AI964" s="7" t="s">
        <v>5044</v>
      </c>
      <c r="AJ964" s="7" t="s">
        <v>5044</v>
      </c>
      <c r="AL964" s="7">
        <v>1</v>
      </c>
      <c r="AM964" s="7">
        <v>0</v>
      </c>
      <c r="AO964" s="11">
        <v>9</v>
      </c>
    </row>
    <row r="965" spans="1:41" ht="63" customHeight="1" x14ac:dyDescent="0.2">
      <c r="A965" s="7">
        <v>11786</v>
      </c>
      <c r="B965" s="7" t="s">
        <v>4503</v>
      </c>
      <c r="C965" s="7" t="s">
        <v>4504</v>
      </c>
      <c r="D965" s="7" t="s">
        <v>16</v>
      </c>
      <c r="F965" s="7" t="s">
        <v>65</v>
      </c>
      <c r="G965" s="7" t="s">
        <v>52</v>
      </c>
      <c r="H965" s="7" t="s">
        <v>348</v>
      </c>
      <c r="I965" s="7" t="s">
        <v>13</v>
      </c>
      <c r="J965" s="7" t="s">
        <v>4505</v>
      </c>
      <c r="K965" s="7" t="s">
        <v>4506</v>
      </c>
      <c r="L965" s="6" t="s">
        <v>5301</v>
      </c>
      <c r="M965" s="7">
        <v>0</v>
      </c>
      <c r="N965" s="9" t="s">
        <v>5044</v>
      </c>
      <c r="O965" s="9" t="s">
        <v>5044</v>
      </c>
      <c r="P965" s="7">
        <v>0</v>
      </c>
      <c r="Q965" s="7">
        <v>0</v>
      </c>
      <c r="R965" s="7">
        <v>0</v>
      </c>
      <c r="S965" s="7">
        <v>3</v>
      </c>
      <c r="T965" s="7">
        <v>1</v>
      </c>
      <c r="U965" s="7">
        <v>112</v>
      </c>
      <c r="V965" s="7">
        <v>0</v>
      </c>
      <c r="W965" s="7">
        <v>1</v>
      </c>
      <c r="X965" s="7">
        <v>0</v>
      </c>
      <c r="Y965" s="7">
        <v>0</v>
      </c>
      <c r="Z965" s="7">
        <v>0</v>
      </c>
      <c r="AA965" s="7">
        <v>0</v>
      </c>
      <c r="AB965" s="7">
        <v>1</v>
      </c>
      <c r="AC965" s="7">
        <v>0</v>
      </c>
      <c r="AD965" s="7" t="s">
        <v>5044</v>
      </c>
      <c r="AE965" s="7" t="s">
        <v>5044</v>
      </c>
      <c r="AF965" s="7" t="s">
        <v>5044</v>
      </c>
      <c r="AG965" s="7">
        <v>0</v>
      </c>
      <c r="AH965" s="7" t="s">
        <v>5044</v>
      </c>
      <c r="AI965" s="7" t="s">
        <v>5044</v>
      </c>
      <c r="AJ965" s="7" t="s">
        <v>5044</v>
      </c>
      <c r="AL965" s="7">
        <v>0</v>
      </c>
      <c r="AM965" s="7">
        <v>0</v>
      </c>
      <c r="AO965" s="11">
        <v>9</v>
      </c>
    </row>
    <row r="966" spans="1:41" ht="63" customHeight="1" x14ac:dyDescent="0.2">
      <c r="A966" s="7">
        <v>11787</v>
      </c>
      <c r="B966" s="7" t="s">
        <v>4507</v>
      </c>
      <c r="C966" s="7" t="s">
        <v>4508</v>
      </c>
      <c r="D966" s="7" t="s">
        <v>16</v>
      </c>
      <c r="F966" s="7" t="s">
        <v>372</v>
      </c>
      <c r="H966" s="7" t="s">
        <v>2166</v>
      </c>
      <c r="I966" s="7" t="s">
        <v>13</v>
      </c>
      <c r="J966" s="7" t="s">
        <v>4509</v>
      </c>
      <c r="K966" s="7" t="s">
        <v>4510</v>
      </c>
      <c r="L966" s="7" t="s">
        <v>5191</v>
      </c>
      <c r="M966" s="7">
        <v>0</v>
      </c>
      <c r="N966" s="9" t="s">
        <v>5044</v>
      </c>
      <c r="O966" s="9" t="s">
        <v>5044</v>
      </c>
      <c r="P966" s="7">
        <v>0</v>
      </c>
      <c r="Q966" s="7">
        <v>0</v>
      </c>
      <c r="R966" s="7">
        <v>0</v>
      </c>
      <c r="S966" s="7">
        <v>3</v>
      </c>
      <c r="T966" s="7">
        <v>1</v>
      </c>
      <c r="U966" s="7">
        <v>249</v>
      </c>
      <c r="V966" s="7">
        <v>0</v>
      </c>
      <c r="W966" s="7">
        <v>1</v>
      </c>
      <c r="X966" s="7">
        <v>0</v>
      </c>
      <c r="Y966" s="7">
        <v>0</v>
      </c>
      <c r="Z966" s="7">
        <v>0</v>
      </c>
      <c r="AA966" s="7">
        <v>0</v>
      </c>
      <c r="AB966" s="7">
        <v>1</v>
      </c>
      <c r="AC966" s="7">
        <v>1</v>
      </c>
      <c r="AD966" s="7" t="s">
        <v>5044</v>
      </c>
      <c r="AE966" s="7" t="s">
        <v>5044</v>
      </c>
      <c r="AF966" s="7" t="s">
        <v>5044</v>
      </c>
      <c r="AG966" s="7">
        <v>2</v>
      </c>
      <c r="AH966" s="7">
        <v>1</v>
      </c>
      <c r="AI966" s="7">
        <v>1</v>
      </c>
      <c r="AJ966" s="7" t="s">
        <v>5044</v>
      </c>
      <c r="AL966" s="7">
        <v>0</v>
      </c>
      <c r="AM966" s="7">
        <v>0</v>
      </c>
      <c r="AO966" s="11">
        <v>1</v>
      </c>
    </row>
    <row r="967" spans="1:41" ht="63" customHeight="1" x14ac:dyDescent="0.2">
      <c r="A967" s="7">
        <v>11798</v>
      </c>
      <c r="B967" s="7" t="s">
        <v>4511</v>
      </c>
      <c r="C967" s="7" t="s">
        <v>4512</v>
      </c>
      <c r="D967" s="7" t="s">
        <v>375</v>
      </c>
      <c r="F967" s="7" t="s">
        <v>129</v>
      </c>
      <c r="G967" s="7" t="s">
        <v>48</v>
      </c>
      <c r="H967" s="7" t="s">
        <v>296</v>
      </c>
      <c r="I967" s="7" t="s">
        <v>13</v>
      </c>
      <c r="J967" s="7" t="s">
        <v>4513</v>
      </c>
      <c r="K967" s="7" t="s">
        <v>4514</v>
      </c>
      <c r="L967" s="7" t="s">
        <v>5302</v>
      </c>
      <c r="M967" s="7">
        <v>0</v>
      </c>
      <c r="N967" s="9" t="s">
        <v>5044</v>
      </c>
      <c r="O967" s="9" t="s">
        <v>5044</v>
      </c>
      <c r="P967" s="7">
        <v>0</v>
      </c>
      <c r="Q967" s="7">
        <v>0</v>
      </c>
      <c r="R967" s="7">
        <v>0</v>
      </c>
      <c r="S967" s="7">
        <v>1</v>
      </c>
      <c r="T967" s="7">
        <v>1</v>
      </c>
      <c r="U967" s="7">
        <v>233</v>
      </c>
      <c r="V967" s="7">
        <v>0</v>
      </c>
      <c r="W967" s="7">
        <v>1</v>
      </c>
      <c r="X967" s="7">
        <v>0</v>
      </c>
      <c r="Y967" s="7">
        <v>0</v>
      </c>
      <c r="Z967" s="7">
        <v>0</v>
      </c>
      <c r="AA967" s="7">
        <v>0</v>
      </c>
      <c r="AB967" s="7">
        <v>1</v>
      </c>
      <c r="AC967" s="7">
        <v>0</v>
      </c>
      <c r="AD967" s="7" t="s">
        <v>5044</v>
      </c>
      <c r="AE967" s="7" t="s">
        <v>5044</v>
      </c>
      <c r="AF967" s="7" t="s">
        <v>5044</v>
      </c>
      <c r="AG967" s="7">
        <v>0</v>
      </c>
      <c r="AH967" s="7" t="s">
        <v>5044</v>
      </c>
      <c r="AI967" s="7" t="s">
        <v>5044</v>
      </c>
      <c r="AJ967" s="7" t="s">
        <v>5044</v>
      </c>
      <c r="AL967" s="7">
        <v>0</v>
      </c>
      <c r="AM967" s="7">
        <v>0</v>
      </c>
      <c r="AO967" s="11">
        <v>9</v>
      </c>
    </row>
    <row r="968" spans="1:41" ht="63" customHeight="1" x14ac:dyDescent="0.2">
      <c r="A968" s="7">
        <v>11808</v>
      </c>
      <c r="B968" s="7" t="s">
        <v>4515</v>
      </c>
      <c r="C968" s="7" t="s">
        <v>4516</v>
      </c>
      <c r="D968" s="7" t="s">
        <v>101</v>
      </c>
      <c r="F968" s="7" t="s">
        <v>2528</v>
      </c>
      <c r="G968" s="7" t="s">
        <v>52</v>
      </c>
      <c r="H968" s="7" t="s">
        <v>43</v>
      </c>
      <c r="I968" s="7" t="s">
        <v>13</v>
      </c>
      <c r="J968" s="7" t="s">
        <v>4517</v>
      </c>
      <c r="K968" s="7" t="s">
        <v>4518</v>
      </c>
      <c r="L968" s="8" t="s">
        <v>5303</v>
      </c>
      <c r="M968" s="7">
        <v>0</v>
      </c>
      <c r="N968" s="9" t="s">
        <v>5044</v>
      </c>
      <c r="O968" s="9" t="s">
        <v>5044</v>
      </c>
      <c r="P968" s="7">
        <v>0</v>
      </c>
      <c r="Q968" s="7">
        <v>0</v>
      </c>
      <c r="R968" s="7">
        <v>0</v>
      </c>
      <c r="S968" s="7">
        <v>1</v>
      </c>
      <c r="T968" s="7">
        <v>1</v>
      </c>
      <c r="U968" s="7">
        <v>148</v>
      </c>
      <c r="V968" s="7">
        <v>0</v>
      </c>
      <c r="W968" s="7">
        <v>1</v>
      </c>
      <c r="X968" s="7">
        <v>0</v>
      </c>
      <c r="Y968" s="7">
        <v>0</v>
      </c>
      <c r="Z968" s="7">
        <v>0</v>
      </c>
      <c r="AA968" s="7">
        <v>0</v>
      </c>
      <c r="AB968" s="7">
        <v>1</v>
      </c>
      <c r="AC968" s="7">
        <v>1</v>
      </c>
      <c r="AD968" s="7" t="s">
        <v>5044</v>
      </c>
      <c r="AE968" s="7" t="s">
        <v>5044</v>
      </c>
      <c r="AF968" s="7" t="s">
        <v>5044</v>
      </c>
      <c r="AG968" s="7">
        <v>2</v>
      </c>
      <c r="AH968" s="7">
        <v>3</v>
      </c>
      <c r="AI968" s="7">
        <v>0</v>
      </c>
      <c r="AJ968" s="7" t="s">
        <v>5044</v>
      </c>
      <c r="AK968" s="7">
        <v>1</v>
      </c>
      <c r="AL968" s="7">
        <v>0</v>
      </c>
      <c r="AM968" s="7">
        <v>0</v>
      </c>
      <c r="AO968" s="11">
        <v>3</v>
      </c>
    </row>
    <row r="969" spans="1:41" ht="63" customHeight="1" x14ac:dyDescent="0.2">
      <c r="A969" s="7">
        <v>11811</v>
      </c>
      <c r="B969" s="7" t="s">
        <v>4519</v>
      </c>
      <c r="C969" s="7" t="s">
        <v>4520</v>
      </c>
      <c r="D969" s="7" t="s">
        <v>16</v>
      </c>
      <c r="F969" s="7" t="s">
        <v>186</v>
      </c>
      <c r="G969" s="7" t="s">
        <v>32</v>
      </c>
      <c r="H969" s="7" t="s">
        <v>43</v>
      </c>
      <c r="I969" s="7" t="s">
        <v>13</v>
      </c>
      <c r="J969" s="7" t="s">
        <v>4521</v>
      </c>
      <c r="K969" s="7" t="s">
        <v>4522</v>
      </c>
      <c r="L969" s="8" t="s">
        <v>5304</v>
      </c>
      <c r="M969" s="7">
        <v>0</v>
      </c>
      <c r="N969" s="9" t="s">
        <v>5044</v>
      </c>
      <c r="O969" s="9" t="s">
        <v>5044</v>
      </c>
      <c r="P969" s="7">
        <v>0</v>
      </c>
      <c r="Q969" s="7">
        <v>0</v>
      </c>
      <c r="R969" s="7">
        <v>0</v>
      </c>
      <c r="S969" s="7">
        <v>1</v>
      </c>
      <c r="T969" s="7">
        <v>1</v>
      </c>
      <c r="U969" s="7">
        <v>57</v>
      </c>
      <c r="V969" s="7">
        <v>1</v>
      </c>
      <c r="W969" s="7">
        <v>0</v>
      </c>
      <c r="X969" s="7">
        <v>0</v>
      </c>
      <c r="Y969" s="7">
        <v>0</v>
      </c>
      <c r="Z969" s="7">
        <v>1</v>
      </c>
      <c r="AA969" s="7">
        <v>0</v>
      </c>
      <c r="AB969" s="7">
        <v>1</v>
      </c>
      <c r="AC969" s="7">
        <v>1</v>
      </c>
      <c r="AD969" s="7">
        <v>1</v>
      </c>
      <c r="AE969" s="7">
        <v>0</v>
      </c>
      <c r="AF969" s="7">
        <v>0</v>
      </c>
      <c r="AG969" s="7" t="s">
        <v>5044</v>
      </c>
      <c r="AH969" s="7" t="s">
        <v>5044</v>
      </c>
      <c r="AI969" s="7" t="s">
        <v>5044</v>
      </c>
      <c r="AJ969" s="7">
        <v>0</v>
      </c>
      <c r="AL969" s="7">
        <v>1</v>
      </c>
      <c r="AM969" s="7">
        <v>0</v>
      </c>
      <c r="AO969" s="9">
        <v>0</v>
      </c>
    </row>
    <row r="970" spans="1:41" ht="63" customHeight="1" x14ac:dyDescent="0.2">
      <c r="A970" s="7">
        <v>11820</v>
      </c>
      <c r="B970" s="7" t="s">
        <v>4523</v>
      </c>
      <c r="C970" s="7" t="s">
        <v>4524</v>
      </c>
      <c r="D970" s="7" t="s">
        <v>535</v>
      </c>
      <c r="F970" s="7" t="s">
        <v>3179</v>
      </c>
      <c r="G970" s="7" t="s">
        <v>11</v>
      </c>
      <c r="H970" s="7" t="s">
        <v>740</v>
      </c>
      <c r="I970" s="7" t="s">
        <v>13</v>
      </c>
      <c r="J970" s="7" t="s">
        <v>4525</v>
      </c>
      <c r="K970" s="7" t="s">
        <v>4526</v>
      </c>
      <c r="L970" s="6" t="s">
        <v>5305</v>
      </c>
      <c r="M970" s="7">
        <v>0</v>
      </c>
      <c r="N970" s="9" t="s">
        <v>5044</v>
      </c>
      <c r="O970" s="9" t="s">
        <v>5044</v>
      </c>
      <c r="P970" s="7">
        <v>0</v>
      </c>
      <c r="Q970" s="7">
        <v>0</v>
      </c>
      <c r="R970" s="7">
        <v>0</v>
      </c>
      <c r="S970" s="7">
        <v>1</v>
      </c>
      <c r="T970" s="7">
        <v>2</v>
      </c>
      <c r="U970" s="7">
        <v>197</v>
      </c>
      <c r="V970" s="7">
        <v>0</v>
      </c>
      <c r="W970" s="7">
        <v>1</v>
      </c>
      <c r="X970" s="7">
        <v>0</v>
      </c>
      <c r="Y970" s="7">
        <v>0</v>
      </c>
      <c r="Z970" s="7">
        <v>0</v>
      </c>
      <c r="AA970" s="7">
        <v>0</v>
      </c>
      <c r="AB970" s="7">
        <v>1</v>
      </c>
      <c r="AC970" s="7">
        <v>1</v>
      </c>
      <c r="AD970" s="7" t="s">
        <v>5044</v>
      </c>
      <c r="AE970" s="7" t="s">
        <v>5044</v>
      </c>
      <c r="AF970" s="7" t="s">
        <v>5044</v>
      </c>
      <c r="AG970" s="7">
        <v>2</v>
      </c>
      <c r="AH970" s="7">
        <v>1</v>
      </c>
      <c r="AI970" s="7">
        <v>3</v>
      </c>
      <c r="AJ970" s="7" t="s">
        <v>5044</v>
      </c>
      <c r="AL970" s="7">
        <v>1</v>
      </c>
      <c r="AM970" s="7">
        <v>0</v>
      </c>
      <c r="AO970" s="11">
        <v>1</v>
      </c>
    </row>
    <row r="971" spans="1:41" ht="63" customHeight="1" x14ac:dyDescent="0.2">
      <c r="A971" s="7">
        <v>11842</v>
      </c>
      <c r="B971" s="7" t="s">
        <v>4527</v>
      </c>
      <c r="C971" s="7" t="s">
        <v>4528</v>
      </c>
      <c r="D971" s="7" t="s">
        <v>41</v>
      </c>
      <c r="F971" s="7" t="s">
        <v>41</v>
      </c>
      <c r="H971" s="7" t="s">
        <v>4529</v>
      </c>
      <c r="I971" s="7" t="s">
        <v>13</v>
      </c>
      <c r="J971" s="7" t="s">
        <v>4530</v>
      </c>
      <c r="K971" s="7" t="s">
        <v>4531</v>
      </c>
      <c r="L971" s="6" t="s">
        <v>5306</v>
      </c>
      <c r="M971" s="7">
        <v>0</v>
      </c>
      <c r="N971" s="9" t="s">
        <v>5044</v>
      </c>
      <c r="O971" s="9" t="s">
        <v>5044</v>
      </c>
      <c r="P971" s="7">
        <v>0</v>
      </c>
      <c r="Q971" s="7">
        <v>0</v>
      </c>
      <c r="R971" s="7">
        <v>0</v>
      </c>
      <c r="S971" s="7">
        <v>5</v>
      </c>
      <c r="T971" s="7">
        <v>1</v>
      </c>
      <c r="U971" s="7">
        <v>48</v>
      </c>
      <c r="V971" s="7">
        <v>0</v>
      </c>
      <c r="W971" s="7">
        <v>1</v>
      </c>
      <c r="X971" s="7">
        <v>0</v>
      </c>
      <c r="Y971" s="7">
        <v>0</v>
      </c>
      <c r="Z971" s="7">
        <v>0</v>
      </c>
      <c r="AA971" s="7">
        <v>0</v>
      </c>
      <c r="AB971" s="7">
        <v>1</v>
      </c>
      <c r="AC971" s="7">
        <v>1</v>
      </c>
      <c r="AD971" s="7" t="s">
        <v>5044</v>
      </c>
      <c r="AE971" s="7" t="s">
        <v>5044</v>
      </c>
      <c r="AF971" s="7" t="s">
        <v>5044</v>
      </c>
      <c r="AG971" s="7">
        <v>1</v>
      </c>
      <c r="AH971" s="7">
        <v>0</v>
      </c>
      <c r="AI971" s="7">
        <v>0</v>
      </c>
      <c r="AJ971" s="7" t="s">
        <v>5044</v>
      </c>
      <c r="AL971" s="7">
        <v>1</v>
      </c>
      <c r="AM971" s="7">
        <v>0</v>
      </c>
      <c r="AO971" s="9">
        <v>0</v>
      </c>
    </row>
    <row r="972" spans="1:41" ht="63" customHeight="1" x14ac:dyDescent="0.2">
      <c r="A972" s="7">
        <v>11858</v>
      </c>
      <c r="B972" s="7" t="s">
        <v>4532</v>
      </c>
      <c r="C972" s="7" t="s">
        <v>4533</v>
      </c>
      <c r="D972" s="7" t="s">
        <v>16</v>
      </c>
      <c r="F972" s="7" t="s">
        <v>299</v>
      </c>
      <c r="G972" s="7" t="s">
        <v>293</v>
      </c>
      <c r="H972" s="7" t="s">
        <v>172</v>
      </c>
      <c r="I972" s="7" t="s">
        <v>13</v>
      </c>
      <c r="J972" s="7" t="s">
        <v>4534</v>
      </c>
      <c r="K972" s="7" t="s">
        <v>4535</v>
      </c>
      <c r="L972" s="7" t="s">
        <v>5307</v>
      </c>
      <c r="M972" s="7">
        <v>0</v>
      </c>
      <c r="N972" s="9" t="s">
        <v>5044</v>
      </c>
      <c r="O972" s="9" t="s">
        <v>5044</v>
      </c>
      <c r="P972" s="7">
        <v>0</v>
      </c>
      <c r="Q972" s="7">
        <v>0</v>
      </c>
      <c r="R972" s="7">
        <v>0</v>
      </c>
      <c r="S972" s="7">
        <v>1</v>
      </c>
      <c r="T972" s="7">
        <v>1</v>
      </c>
      <c r="U972" s="7">
        <v>151</v>
      </c>
      <c r="V972" s="7">
        <v>1</v>
      </c>
      <c r="W972" s="7">
        <v>0</v>
      </c>
      <c r="X972" s="7">
        <v>0</v>
      </c>
      <c r="Y972" s="7">
        <v>0</v>
      </c>
      <c r="Z972" s="7">
        <v>0</v>
      </c>
      <c r="AA972" s="7">
        <v>0</v>
      </c>
      <c r="AB972" s="7">
        <v>1</v>
      </c>
      <c r="AC972" s="7">
        <v>1</v>
      </c>
      <c r="AD972" s="7">
        <v>1</v>
      </c>
      <c r="AE972" s="7">
        <v>0</v>
      </c>
      <c r="AF972" s="7">
        <v>0</v>
      </c>
      <c r="AG972" s="7" t="s">
        <v>5044</v>
      </c>
      <c r="AH972" s="7" t="s">
        <v>5044</v>
      </c>
      <c r="AI972" s="7" t="s">
        <v>5044</v>
      </c>
      <c r="AJ972" s="7" t="s">
        <v>5044</v>
      </c>
      <c r="AL972" s="7">
        <v>0</v>
      </c>
      <c r="AM972" s="7">
        <v>0</v>
      </c>
      <c r="AO972" s="9">
        <v>0</v>
      </c>
    </row>
    <row r="973" spans="1:41" ht="63" customHeight="1" x14ac:dyDescent="0.2">
      <c r="A973" s="7">
        <v>11869</v>
      </c>
      <c r="B973" s="7" t="s">
        <v>4536</v>
      </c>
      <c r="C973" s="7" t="s">
        <v>4537</v>
      </c>
      <c r="D973" s="7" t="s">
        <v>16</v>
      </c>
      <c r="F973" s="7" t="s">
        <v>36</v>
      </c>
      <c r="H973" s="7" t="s">
        <v>572</v>
      </c>
      <c r="I973" s="7" t="s">
        <v>13</v>
      </c>
      <c r="J973" s="7" t="s">
        <v>4538</v>
      </c>
      <c r="K973" s="7" t="s">
        <v>4539</v>
      </c>
      <c r="L973" s="8" t="s">
        <v>5308</v>
      </c>
      <c r="M973" s="7">
        <v>0</v>
      </c>
      <c r="N973" s="9" t="s">
        <v>5044</v>
      </c>
      <c r="O973" s="9" t="s">
        <v>5044</v>
      </c>
      <c r="P973" s="7">
        <v>0</v>
      </c>
      <c r="Q973" s="7">
        <v>0</v>
      </c>
      <c r="R973" s="7">
        <v>0</v>
      </c>
      <c r="S973" s="7">
        <v>1</v>
      </c>
      <c r="T973" s="7">
        <v>1</v>
      </c>
      <c r="U973" s="7">
        <v>103</v>
      </c>
      <c r="V973" s="7">
        <v>0</v>
      </c>
      <c r="W973" s="7">
        <v>1</v>
      </c>
      <c r="X973" s="7">
        <v>0</v>
      </c>
      <c r="Y973" s="7">
        <v>0</v>
      </c>
      <c r="Z973" s="7">
        <v>0</v>
      </c>
      <c r="AA973" s="7">
        <v>0</v>
      </c>
      <c r="AB973" s="7">
        <v>1</v>
      </c>
      <c r="AC973" s="7">
        <v>1</v>
      </c>
      <c r="AD973" s="7" t="s">
        <v>5044</v>
      </c>
      <c r="AE973" s="7" t="s">
        <v>5044</v>
      </c>
      <c r="AF973" s="7" t="s">
        <v>5044</v>
      </c>
      <c r="AG973" s="7">
        <v>2</v>
      </c>
      <c r="AH973" s="7">
        <v>3</v>
      </c>
      <c r="AI973" s="7">
        <v>0</v>
      </c>
      <c r="AJ973" s="7" t="s">
        <v>5044</v>
      </c>
      <c r="AK973" s="7" t="s">
        <v>5247</v>
      </c>
      <c r="AL973" s="7">
        <v>1</v>
      </c>
      <c r="AM973" s="7">
        <v>0</v>
      </c>
      <c r="AO973" s="11">
        <v>3</v>
      </c>
    </row>
    <row r="974" spans="1:41" ht="63" customHeight="1" x14ac:dyDescent="0.2">
      <c r="A974" s="7">
        <v>11875</v>
      </c>
      <c r="B974" s="7" t="s">
        <v>4540</v>
      </c>
      <c r="C974" s="7" t="s">
        <v>4541</v>
      </c>
      <c r="D974" s="7" t="s">
        <v>46</v>
      </c>
      <c r="F974" s="7" t="s">
        <v>4542</v>
      </c>
      <c r="G974" s="7" t="s">
        <v>144</v>
      </c>
      <c r="H974" s="7" t="s">
        <v>43</v>
      </c>
      <c r="I974" s="7" t="s">
        <v>13</v>
      </c>
      <c r="J974" s="7" t="s">
        <v>4543</v>
      </c>
      <c r="K974" s="7" t="s">
        <v>4544</v>
      </c>
      <c r="L974" s="8">
        <v>16447784</v>
      </c>
      <c r="M974" s="7">
        <v>0</v>
      </c>
      <c r="N974" s="9" t="s">
        <v>5044</v>
      </c>
      <c r="O974" s="9" t="s">
        <v>5044</v>
      </c>
      <c r="P974" s="7">
        <v>0</v>
      </c>
      <c r="Q974" s="7">
        <v>0</v>
      </c>
      <c r="R974" s="7">
        <v>0</v>
      </c>
      <c r="S974" s="7">
        <v>1</v>
      </c>
      <c r="T974" s="7">
        <v>1</v>
      </c>
      <c r="U974" s="7">
        <v>83</v>
      </c>
      <c r="V974" s="7">
        <v>0</v>
      </c>
      <c r="W974" s="7">
        <v>1</v>
      </c>
      <c r="X974" s="7">
        <v>0</v>
      </c>
      <c r="Y974" s="7">
        <v>0</v>
      </c>
      <c r="Z974" s="7">
        <v>0</v>
      </c>
      <c r="AA974" s="7">
        <v>0</v>
      </c>
      <c r="AB974" s="7">
        <v>1</v>
      </c>
      <c r="AC974" s="7">
        <v>1</v>
      </c>
      <c r="AD974" s="7" t="s">
        <v>5044</v>
      </c>
      <c r="AE974" s="7" t="s">
        <v>5044</v>
      </c>
      <c r="AF974" s="7" t="s">
        <v>5044</v>
      </c>
      <c r="AG974" s="7">
        <v>1</v>
      </c>
      <c r="AH974" s="7">
        <v>0</v>
      </c>
      <c r="AI974" s="7">
        <v>0</v>
      </c>
      <c r="AJ974" s="7" t="s">
        <v>5044</v>
      </c>
      <c r="AL974" s="7">
        <v>0</v>
      </c>
      <c r="AM974" s="7">
        <v>0</v>
      </c>
      <c r="AO974" s="9">
        <v>0</v>
      </c>
    </row>
    <row r="975" spans="1:41" ht="63" customHeight="1" x14ac:dyDescent="0.2">
      <c r="A975" s="7">
        <v>11878</v>
      </c>
      <c r="B975" s="7" t="s">
        <v>4545</v>
      </c>
      <c r="C975" s="7" t="s">
        <v>4546</v>
      </c>
      <c r="D975" s="7" t="s">
        <v>56</v>
      </c>
      <c r="F975" s="7" t="s">
        <v>143</v>
      </c>
      <c r="G975" s="7" t="s">
        <v>37</v>
      </c>
      <c r="H975" s="7" t="s">
        <v>145</v>
      </c>
      <c r="I975" s="7" t="s">
        <v>13</v>
      </c>
      <c r="J975" s="7" t="s">
        <v>4547</v>
      </c>
      <c r="K975" s="7" t="s">
        <v>4548</v>
      </c>
      <c r="L975" s="11" t="s">
        <v>5044</v>
      </c>
      <c r="M975" s="7">
        <v>0</v>
      </c>
      <c r="N975" s="9" t="s">
        <v>5044</v>
      </c>
      <c r="O975" s="9" t="s">
        <v>5044</v>
      </c>
      <c r="P975" s="7">
        <v>0</v>
      </c>
      <c r="Q975" s="7">
        <v>0</v>
      </c>
      <c r="R975" s="7">
        <v>0</v>
      </c>
      <c r="S975" s="7">
        <v>1</v>
      </c>
      <c r="T975" s="7">
        <v>1</v>
      </c>
      <c r="U975" s="7">
        <v>20</v>
      </c>
      <c r="V975" s="7">
        <v>0</v>
      </c>
      <c r="W975" s="7">
        <v>1</v>
      </c>
      <c r="X975" s="7">
        <v>0</v>
      </c>
      <c r="Y975" s="7">
        <v>0</v>
      </c>
      <c r="Z975" s="7">
        <v>0</v>
      </c>
      <c r="AA975" s="7">
        <v>0</v>
      </c>
      <c r="AB975" s="7">
        <v>1</v>
      </c>
      <c r="AC975" s="7">
        <v>1</v>
      </c>
      <c r="AD975" s="7" t="s">
        <v>5044</v>
      </c>
      <c r="AE975" s="7" t="s">
        <v>5044</v>
      </c>
      <c r="AF975" s="7" t="s">
        <v>5044</v>
      </c>
      <c r="AG975" s="7">
        <v>1</v>
      </c>
      <c r="AH975" s="7">
        <v>0</v>
      </c>
      <c r="AI975" s="7">
        <v>0</v>
      </c>
      <c r="AJ975" s="7" t="s">
        <v>5044</v>
      </c>
      <c r="AL975" s="7">
        <v>0</v>
      </c>
      <c r="AM975" s="7">
        <v>0</v>
      </c>
      <c r="AO975" s="9">
        <v>0</v>
      </c>
    </row>
    <row r="976" spans="1:41" ht="63" customHeight="1" x14ac:dyDescent="0.2">
      <c r="A976" s="7">
        <v>11888</v>
      </c>
      <c r="B976" s="7" t="s">
        <v>4549</v>
      </c>
      <c r="C976" s="7" t="s">
        <v>4550</v>
      </c>
      <c r="D976" s="7" t="s">
        <v>46</v>
      </c>
      <c r="E976" s="7" t="s">
        <v>4554</v>
      </c>
      <c r="F976" s="7" t="s">
        <v>662</v>
      </c>
      <c r="G976" s="7" t="s">
        <v>92</v>
      </c>
      <c r="H976" s="7" t="s">
        <v>4551</v>
      </c>
      <c r="I976" s="7" t="s">
        <v>13</v>
      </c>
      <c r="J976" s="7" t="s">
        <v>4552</v>
      </c>
      <c r="K976" s="7" t="s">
        <v>4553</v>
      </c>
      <c r="L976" s="8" t="s">
        <v>5309</v>
      </c>
      <c r="M976" s="7">
        <v>0</v>
      </c>
      <c r="N976" s="9" t="s">
        <v>5044</v>
      </c>
      <c r="O976" s="9" t="s">
        <v>5044</v>
      </c>
      <c r="P976" s="7">
        <v>0</v>
      </c>
      <c r="Q976" s="7">
        <v>0</v>
      </c>
      <c r="R976" s="7">
        <v>0</v>
      </c>
      <c r="S976" s="7" t="s">
        <v>5772</v>
      </c>
      <c r="T976" s="7">
        <v>1</v>
      </c>
      <c r="U976" s="7">
        <v>57</v>
      </c>
      <c r="V976" s="7">
        <v>0</v>
      </c>
      <c r="W976" s="7">
        <v>1</v>
      </c>
      <c r="X976" s="7">
        <v>0</v>
      </c>
      <c r="Y976" s="7">
        <v>0</v>
      </c>
      <c r="Z976" s="7">
        <v>0</v>
      </c>
      <c r="AA976" s="7">
        <v>0</v>
      </c>
      <c r="AB976" s="7">
        <v>1</v>
      </c>
      <c r="AC976" s="7">
        <v>0</v>
      </c>
      <c r="AD976" s="7" t="s">
        <v>5044</v>
      </c>
      <c r="AE976" s="7" t="s">
        <v>5044</v>
      </c>
      <c r="AF976" s="7" t="s">
        <v>5044</v>
      </c>
      <c r="AG976" s="7">
        <v>0</v>
      </c>
      <c r="AH976" s="7" t="s">
        <v>5044</v>
      </c>
      <c r="AI976" s="7" t="s">
        <v>5044</v>
      </c>
      <c r="AJ976" s="7" t="s">
        <v>5044</v>
      </c>
      <c r="AL976" s="7">
        <v>1</v>
      </c>
      <c r="AM976" s="7">
        <v>0</v>
      </c>
      <c r="AO976" s="11">
        <v>9</v>
      </c>
    </row>
    <row r="977" spans="1:41" ht="63" customHeight="1" x14ac:dyDescent="0.2">
      <c r="A977" s="7">
        <v>11904</v>
      </c>
      <c r="B977" s="7" t="s">
        <v>4559</v>
      </c>
      <c r="C977" s="7" t="s">
        <v>4560</v>
      </c>
      <c r="D977" s="7" t="s">
        <v>46</v>
      </c>
      <c r="F977" s="7" t="s">
        <v>220</v>
      </c>
      <c r="G977" s="7" t="s">
        <v>52</v>
      </c>
      <c r="H977" s="7" t="s">
        <v>119</v>
      </c>
      <c r="I977" s="7" t="s">
        <v>13</v>
      </c>
      <c r="J977" s="7" t="s">
        <v>4561</v>
      </c>
      <c r="K977" s="7" t="s">
        <v>4562</v>
      </c>
      <c r="L977" s="11" t="s">
        <v>5044</v>
      </c>
      <c r="M977" s="7">
        <v>0</v>
      </c>
      <c r="N977" s="9" t="s">
        <v>5044</v>
      </c>
      <c r="O977" s="9" t="s">
        <v>5044</v>
      </c>
      <c r="P977" s="7">
        <v>0</v>
      </c>
      <c r="Q977" s="7">
        <v>0</v>
      </c>
      <c r="R977" s="7">
        <v>0</v>
      </c>
      <c r="S977" s="7">
        <v>1</v>
      </c>
      <c r="T977" s="7">
        <v>4</v>
      </c>
      <c r="U977" s="7">
        <v>80</v>
      </c>
      <c r="V977" s="7">
        <v>0</v>
      </c>
      <c r="W977" s="7">
        <v>1</v>
      </c>
      <c r="X977" s="7">
        <v>0</v>
      </c>
      <c r="Y977" s="7">
        <v>0</v>
      </c>
      <c r="Z977" s="7">
        <v>0</v>
      </c>
      <c r="AA977" s="7">
        <v>0</v>
      </c>
      <c r="AB977" s="7">
        <v>1</v>
      </c>
      <c r="AC977" s="7">
        <v>0</v>
      </c>
      <c r="AD977" s="7" t="s">
        <v>5044</v>
      </c>
      <c r="AE977" s="7" t="s">
        <v>5044</v>
      </c>
      <c r="AF977" s="7" t="s">
        <v>5044</v>
      </c>
      <c r="AG977" s="7">
        <v>0</v>
      </c>
      <c r="AH977" s="7" t="s">
        <v>5044</v>
      </c>
      <c r="AI977" s="7" t="s">
        <v>5044</v>
      </c>
      <c r="AJ977" s="7" t="s">
        <v>5044</v>
      </c>
      <c r="AL977" s="7">
        <v>1</v>
      </c>
      <c r="AM977" s="7">
        <v>0</v>
      </c>
      <c r="AO977" s="11">
        <v>9</v>
      </c>
    </row>
    <row r="978" spans="1:41" ht="63" customHeight="1" x14ac:dyDescent="0.2">
      <c r="A978" s="7">
        <v>11906</v>
      </c>
      <c r="B978" s="7" t="s">
        <v>4563</v>
      </c>
      <c r="C978" s="7" t="s">
        <v>4564</v>
      </c>
      <c r="D978" s="7" t="s">
        <v>46</v>
      </c>
      <c r="E978" s="7" t="s">
        <v>4567</v>
      </c>
      <c r="F978" s="7" t="s">
        <v>1180</v>
      </c>
      <c r="G978" s="7" t="s">
        <v>48</v>
      </c>
      <c r="H978" s="7" t="s">
        <v>38</v>
      </c>
      <c r="I978" s="7" t="s">
        <v>13</v>
      </c>
      <c r="J978" s="7" t="s">
        <v>4565</v>
      </c>
      <c r="K978" s="7" t="s">
        <v>4566</v>
      </c>
      <c r="L978" s="6" t="s">
        <v>5311</v>
      </c>
      <c r="M978" s="7">
        <v>0</v>
      </c>
      <c r="N978" s="9" t="s">
        <v>5044</v>
      </c>
      <c r="O978" s="9" t="s">
        <v>5044</v>
      </c>
      <c r="P978" s="7">
        <v>0</v>
      </c>
      <c r="Q978" s="7">
        <v>0</v>
      </c>
      <c r="R978" s="7">
        <v>0</v>
      </c>
      <c r="S978" s="7">
        <v>1</v>
      </c>
      <c r="T978" s="7">
        <v>2</v>
      </c>
      <c r="U978" s="7">
        <v>31</v>
      </c>
      <c r="V978" s="7">
        <v>0</v>
      </c>
      <c r="W978" s="7">
        <v>1</v>
      </c>
      <c r="X978" s="7">
        <v>0</v>
      </c>
      <c r="Y978" s="7">
        <v>0</v>
      </c>
      <c r="Z978" s="7">
        <v>0</v>
      </c>
      <c r="AA978" s="7">
        <v>0</v>
      </c>
      <c r="AB978" s="7">
        <v>1</v>
      </c>
      <c r="AC978" s="7">
        <v>1</v>
      </c>
      <c r="AD978" s="7" t="s">
        <v>5044</v>
      </c>
      <c r="AE978" s="7" t="s">
        <v>5044</v>
      </c>
      <c r="AF978" s="7" t="s">
        <v>5044</v>
      </c>
      <c r="AG978" s="7">
        <v>2</v>
      </c>
      <c r="AH978" s="7">
        <v>2</v>
      </c>
      <c r="AI978" s="7">
        <v>2</v>
      </c>
      <c r="AJ978" s="7" t="s">
        <v>5044</v>
      </c>
      <c r="AL978" s="7">
        <v>1</v>
      </c>
      <c r="AM978" s="7">
        <v>0</v>
      </c>
      <c r="AO978" s="11">
        <v>2</v>
      </c>
    </row>
    <row r="979" spans="1:41" ht="63" customHeight="1" x14ac:dyDescent="0.2">
      <c r="A979" s="7">
        <v>11908</v>
      </c>
      <c r="B979" s="7" t="s">
        <v>4568</v>
      </c>
      <c r="C979" s="7" t="s">
        <v>4569</v>
      </c>
      <c r="D979" s="7" t="s">
        <v>41</v>
      </c>
      <c r="F979" s="7" t="s">
        <v>92</v>
      </c>
      <c r="G979" s="7" t="s">
        <v>52</v>
      </c>
      <c r="H979" s="7" t="s">
        <v>183</v>
      </c>
      <c r="I979" s="7" t="s">
        <v>13</v>
      </c>
      <c r="J979" s="7" t="s">
        <v>4570</v>
      </c>
      <c r="K979" s="7" t="s">
        <v>4571</v>
      </c>
      <c r="L979" s="6" t="s">
        <v>5312</v>
      </c>
      <c r="M979" s="7">
        <v>0</v>
      </c>
      <c r="N979" s="9" t="s">
        <v>5044</v>
      </c>
      <c r="O979" s="9" t="s">
        <v>5044</v>
      </c>
      <c r="P979" s="7">
        <v>0</v>
      </c>
      <c r="Q979" s="7">
        <v>0</v>
      </c>
      <c r="R979" s="7">
        <v>0</v>
      </c>
      <c r="S979" s="7">
        <v>1</v>
      </c>
      <c r="T979" s="7">
        <v>1</v>
      </c>
      <c r="U979" s="7">
        <v>45</v>
      </c>
      <c r="V979" s="7">
        <v>0</v>
      </c>
      <c r="W979" s="7">
        <v>1</v>
      </c>
      <c r="X979" s="7">
        <v>0</v>
      </c>
      <c r="Y979" s="7">
        <v>0</v>
      </c>
      <c r="Z979" s="7">
        <v>0</v>
      </c>
      <c r="AA979" s="7">
        <v>0</v>
      </c>
      <c r="AB979" s="7">
        <v>1</v>
      </c>
      <c r="AC979" s="7">
        <v>1</v>
      </c>
      <c r="AD979" s="7" t="s">
        <v>5044</v>
      </c>
      <c r="AE979" s="7" t="s">
        <v>5044</v>
      </c>
      <c r="AF979" s="7" t="s">
        <v>5044</v>
      </c>
      <c r="AG979" s="7">
        <v>1</v>
      </c>
      <c r="AH979" s="7">
        <v>0</v>
      </c>
      <c r="AI979" s="7">
        <v>0</v>
      </c>
      <c r="AJ979" s="7" t="s">
        <v>5044</v>
      </c>
      <c r="AL979" s="7">
        <v>0</v>
      </c>
      <c r="AM979" s="7">
        <v>0</v>
      </c>
      <c r="AO979" s="9">
        <v>0</v>
      </c>
    </row>
    <row r="980" spans="1:41" ht="63" customHeight="1" x14ac:dyDescent="0.2">
      <c r="A980" s="7">
        <v>11915</v>
      </c>
      <c r="B980" s="7" t="s">
        <v>4572</v>
      </c>
      <c r="C980" s="7" t="s">
        <v>4573</v>
      </c>
      <c r="D980" s="7" t="s">
        <v>1828</v>
      </c>
      <c r="F980" s="7" t="s">
        <v>4574</v>
      </c>
      <c r="G980" s="7" t="s">
        <v>37</v>
      </c>
      <c r="H980" s="7" t="s">
        <v>43</v>
      </c>
      <c r="I980" s="7" t="s">
        <v>13</v>
      </c>
      <c r="J980" s="7" t="s">
        <v>4575</v>
      </c>
      <c r="K980" s="7" t="s">
        <v>4576</v>
      </c>
      <c r="L980" s="6" t="s">
        <v>5313</v>
      </c>
      <c r="M980" s="7">
        <v>0</v>
      </c>
      <c r="N980" s="9" t="s">
        <v>5044</v>
      </c>
      <c r="O980" s="9" t="s">
        <v>5044</v>
      </c>
      <c r="P980" s="7">
        <v>0</v>
      </c>
      <c r="Q980" s="7">
        <v>0</v>
      </c>
      <c r="R980" s="7">
        <v>0</v>
      </c>
      <c r="S980" s="7">
        <v>1</v>
      </c>
      <c r="T980" s="7">
        <v>1</v>
      </c>
      <c r="U980" s="7">
        <v>70</v>
      </c>
      <c r="V980" s="7">
        <v>0</v>
      </c>
      <c r="W980" s="7">
        <v>1</v>
      </c>
      <c r="X980" s="7">
        <v>0</v>
      </c>
      <c r="Y980" s="7">
        <v>0</v>
      </c>
      <c r="Z980" s="7">
        <v>0</v>
      </c>
      <c r="AA980" s="7">
        <v>0</v>
      </c>
      <c r="AB980" s="7">
        <v>1</v>
      </c>
      <c r="AC980" s="7">
        <v>1</v>
      </c>
      <c r="AD980" s="7" t="s">
        <v>5044</v>
      </c>
      <c r="AE980" s="7" t="s">
        <v>5044</v>
      </c>
      <c r="AF980" s="7" t="s">
        <v>5044</v>
      </c>
      <c r="AG980" s="7">
        <v>2</v>
      </c>
      <c r="AH980" s="7">
        <v>2</v>
      </c>
      <c r="AI980" s="7">
        <v>2</v>
      </c>
      <c r="AJ980" s="7" t="s">
        <v>5044</v>
      </c>
      <c r="AL980" s="7">
        <v>1</v>
      </c>
      <c r="AM980" s="7">
        <v>0</v>
      </c>
      <c r="AO980" s="11">
        <v>2</v>
      </c>
    </row>
    <row r="981" spans="1:41" ht="63" customHeight="1" x14ac:dyDescent="0.2">
      <c r="A981" s="7">
        <v>11916</v>
      </c>
      <c r="B981" s="7" t="s">
        <v>4577</v>
      </c>
      <c r="C981" s="7" t="s">
        <v>4578</v>
      </c>
      <c r="D981" s="7" t="s">
        <v>149</v>
      </c>
      <c r="F981" s="7" t="s">
        <v>36</v>
      </c>
      <c r="G981" s="7" t="s">
        <v>27</v>
      </c>
      <c r="H981" s="7" t="s">
        <v>1165</v>
      </c>
      <c r="I981" s="7" t="s">
        <v>13</v>
      </c>
      <c r="J981" s="7" t="s">
        <v>4579</v>
      </c>
      <c r="K981" s="7" t="s">
        <v>4580</v>
      </c>
      <c r="L981" s="6" t="s">
        <v>5314</v>
      </c>
      <c r="M981" s="7">
        <v>0</v>
      </c>
      <c r="N981" s="9" t="s">
        <v>5044</v>
      </c>
      <c r="O981" s="9" t="s">
        <v>5044</v>
      </c>
      <c r="P981" s="7">
        <v>0</v>
      </c>
      <c r="Q981" s="7">
        <v>0</v>
      </c>
      <c r="R981" s="7">
        <v>0</v>
      </c>
      <c r="S981" s="7">
        <v>2</v>
      </c>
      <c r="T981" s="7">
        <v>1</v>
      </c>
      <c r="U981" s="7">
        <v>112</v>
      </c>
      <c r="V981" s="7">
        <v>0</v>
      </c>
      <c r="W981" s="7">
        <v>1</v>
      </c>
      <c r="X981" s="7">
        <v>0</v>
      </c>
      <c r="Y981" s="7">
        <v>0</v>
      </c>
      <c r="Z981" s="7">
        <v>0</v>
      </c>
      <c r="AA981" s="7">
        <v>0</v>
      </c>
      <c r="AB981" s="7">
        <v>1</v>
      </c>
      <c r="AC981" s="7">
        <v>1</v>
      </c>
      <c r="AD981" s="7" t="s">
        <v>5044</v>
      </c>
      <c r="AE981" s="7" t="s">
        <v>5044</v>
      </c>
      <c r="AF981" s="7" t="s">
        <v>5044</v>
      </c>
      <c r="AG981" s="7">
        <v>2</v>
      </c>
      <c r="AH981" s="7">
        <v>2</v>
      </c>
      <c r="AI981" s="7">
        <v>3</v>
      </c>
      <c r="AJ981" s="7" t="s">
        <v>5044</v>
      </c>
      <c r="AL981" s="7">
        <v>0</v>
      </c>
      <c r="AM981" s="7">
        <v>0</v>
      </c>
      <c r="AO981" s="11">
        <v>2</v>
      </c>
    </row>
    <row r="982" spans="1:41" ht="63" customHeight="1" x14ac:dyDescent="0.2">
      <c r="A982" s="7">
        <v>11917</v>
      </c>
      <c r="B982" s="7" t="s">
        <v>4581</v>
      </c>
      <c r="C982" s="7" t="s">
        <v>4582</v>
      </c>
      <c r="D982" s="7" t="s">
        <v>56</v>
      </c>
      <c r="F982" s="7" t="s">
        <v>3534</v>
      </c>
      <c r="G982" s="7" t="s">
        <v>32</v>
      </c>
      <c r="H982" s="7" t="s">
        <v>224</v>
      </c>
      <c r="I982" s="7" t="s">
        <v>13</v>
      </c>
      <c r="J982" s="7" t="s">
        <v>4583</v>
      </c>
      <c r="K982" s="7" t="s">
        <v>4584</v>
      </c>
      <c r="L982" s="8" t="s">
        <v>5315</v>
      </c>
      <c r="M982" s="7">
        <v>0</v>
      </c>
      <c r="N982" s="9" t="s">
        <v>5044</v>
      </c>
      <c r="O982" s="9" t="s">
        <v>5044</v>
      </c>
      <c r="P982" s="7">
        <v>0</v>
      </c>
      <c r="Q982" s="7">
        <v>0</v>
      </c>
      <c r="R982" s="7">
        <v>0</v>
      </c>
      <c r="S982" s="7">
        <v>13</v>
      </c>
      <c r="T982" s="7">
        <v>1</v>
      </c>
      <c r="U982" s="7">
        <v>460</v>
      </c>
      <c r="V982" s="7">
        <v>1</v>
      </c>
      <c r="W982" s="7">
        <v>1</v>
      </c>
      <c r="X982" s="7">
        <v>0</v>
      </c>
      <c r="Y982" s="7">
        <v>0</v>
      </c>
      <c r="Z982" s="7">
        <v>1</v>
      </c>
      <c r="AA982" s="7">
        <v>0</v>
      </c>
      <c r="AB982" s="7">
        <v>1</v>
      </c>
      <c r="AC982" s="7">
        <v>1</v>
      </c>
      <c r="AD982" s="7">
        <v>2</v>
      </c>
      <c r="AE982" s="7">
        <v>1</v>
      </c>
      <c r="AF982" s="7">
        <v>2</v>
      </c>
      <c r="AG982" s="7">
        <v>2</v>
      </c>
      <c r="AH982" s="7">
        <v>1</v>
      </c>
      <c r="AI982" s="7">
        <v>2</v>
      </c>
      <c r="AJ982" s="7">
        <v>0</v>
      </c>
      <c r="AL982" s="7">
        <v>0</v>
      </c>
      <c r="AM982" s="7">
        <v>0</v>
      </c>
      <c r="AO982" s="11">
        <v>1</v>
      </c>
    </row>
    <row r="983" spans="1:41" ht="63" customHeight="1" x14ac:dyDescent="0.2">
      <c r="A983" s="7">
        <v>11943</v>
      </c>
      <c r="B983" s="7" t="s">
        <v>4585</v>
      </c>
      <c r="C983" s="7" t="s">
        <v>4586</v>
      </c>
      <c r="D983" s="7" t="s">
        <v>16</v>
      </c>
      <c r="F983" s="7" t="s">
        <v>27</v>
      </c>
      <c r="G983" s="7" t="s">
        <v>47</v>
      </c>
      <c r="H983" s="7" t="s">
        <v>3927</v>
      </c>
      <c r="I983" s="7" t="s">
        <v>13</v>
      </c>
      <c r="J983" s="7" t="s">
        <v>4587</v>
      </c>
      <c r="K983" s="7" t="s">
        <v>4588</v>
      </c>
      <c r="L983" s="8" t="s">
        <v>5316</v>
      </c>
      <c r="M983" s="7">
        <v>0</v>
      </c>
      <c r="N983" s="9" t="s">
        <v>5044</v>
      </c>
      <c r="O983" s="9" t="s">
        <v>5044</v>
      </c>
      <c r="P983" s="7">
        <v>0</v>
      </c>
      <c r="Q983" s="7">
        <v>0</v>
      </c>
      <c r="R983" s="7">
        <v>0</v>
      </c>
      <c r="S983" s="7">
        <v>9</v>
      </c>
      <c r="T983" s="7">
        <v>1</v>
      </c>
      <c r="U983" s="7">
        <v>15</v>
      </c>
      <c r="V983" s="7">
        <v>0</v>
      </c>
      <c r="W983" s="7">
        <v>1</v>
      </c>
      <c r="X983" s="7">
        <v>0</v>
      </c>
      <c r="Y983" s="7">
        <v>0</v>
      </c>
      <c r="Z983" s="7">
        <v>0</v>
      </c>
      <c r="AA983" s="7">
        <v>0</v>
      </c>
      <c r="AB983" s="7">
        <v>1</v>
      </c>
      <c r="AC983" s="7">
        <v>1</v>
      </c>
      <c r="AD983" s="7" t="s">
        <v>5044</v>
      </c>
      <c r="AE983" s="7" t="s">
        <v>5044</v>
      </c>
      <c r="AF983" s="7" t="s">
        <v>5044</v>
      </c>
      <c r="AG983" s="7">
        <v>1</v>
      </c>
      <c r="AH983" s="7">
        <v>0</v>
      </c>
      <c r="AI983" s="7">
        <v>0</v>
      </c>
      <c r="AJ983" s="7" t="s">
        <v>5044</v>
      </c>
      <c r="AL983" s="7">
        <v>1</v>
      </c>
      <c r="AM983" s="7">
        <v>0</v>
      </c>
      <c r="AO983" s="9">
        <v>0</v>
      </c>
    </row>
    <row r="984" spans="1:41" ht="63" customHeight="1" x14ac:dyDescent="0.2">
      <c r="A984" s="7">
        <v>11957</v>
      </c>
      <c r="B984" s="7" t="s">
        <v>4589</v>
      </c>
      <c r="C984" s="7" t="s">
        <v>4590</v>
      </c>
      <c r="D984" s="7" t="s">
        <v>25</v>
      </c>
      <c r="F984" s="7" t="s">
        <v>92</v>
      </c>
      <c r="G984" s="7" t="s">
        <v>37</v>
      </c>
      <c r="H984" s="7" t="s">
        <v>1188</v>
      </c>
      <c r="I984" s="7" t="s">
        <v>13</v>
      </c>
      <c r="J984" s="7" t="s">
        <v>4591</v>
      </c>
      <c r="L984" s="7" t="s">
        <v>5044</v>
      </c>
      <c r="M984" s="7">
        <v>0</v>
      </c>
      <c r="N984" s="9" t="s">
        <v>5044</v>
      </c>
      <c r="O984" s="9" t="s">
        <v>5044</v>
      </c>
      <c r="P984" s="7">
        <v>0</v>
      </c>
      <c r="Q984" s="7">
        <v>0</v>
      </c>
      <c r="R984" s="7">
        <v>0</v>
      </c>
      <c r="S984" s="7">
        <v>3</v>
      </c>
      <c r="T984" s="7">
        <v>4</v>
      </c>
      <c r="U984" s="7">
        <v>60</v>
      </c>
      <c r="V984" s="7">
        <v>0</v>
      </c>
      <c r="W984" s="7">
        <v>1</v>
      </c>
      <c r="X984" s="7">
        <v>0</v>
      </c>
      <c r="Y984" s="7">
        <v>0</v>
      </c>
      <c r="Z984" s="7">
        <v>0</v>
      </c>
      <c r="AA984" s="7">
        <v>0</v>
      </c>
      <c r="AB984" s="7">
        <v>1</v>
      </c>
      <c r="AC984" s="7">
        <v>1</v>
      </c>
      <c r="AD984" s="7" t="s">
        <v>5044</v>
      </c>
      <c r="AE984" s="7" t="s">
        <v>5044</v>
      </c>
      <c r="AF984" s="7" t="s">
        <v>5044</v>
      </c>
      <c r="AG984" s="7">
        <v>1</v>
      </c>
      <c r="AH984" s="7">
        <v>0</v>
      </c>
      <c r="AI984" s="7">
        <v>0</v>
      </c>
      <c r="AJ984" s="7" t="s">
        <v>5044</v>
      </c>
      <c r="AL984" s="7">
        <v>1</v>
      </c>
      <c r="AM984" s="7">
        <v>0</v>
      </c>
      <c r="AO984" s="9">
        <v>0</v>
      </c>
    </row>
    <row r="985" spans="1:41" ht="63" customHeight="1" x14ac:dyDescent="0.2">
      <c r="A985" s="7">
        <v>11973</v>
      </c>
      <c r="B985" s="7" t="s">
        <v>4592</v>
      </c>
      <c r="C985" s="7" t="s">
        <v>4593</v>
      </c>
      <c r="D985" s="7" t="s">
        <v>46</v>
      </c>
      <c r="F985" s="7" t="s">
        <v>4542</v>
      </c>
      <c r="G985" s="7" t="s">
        <v>52</v>
      </c>
      <c r="H985" s="7" t="s">
        <v>43</v>
      </c>
      <c r="I985" s="7" t="s">
        <v>13</v>
      </c>
      <c r="J985" s="7" t="s">
        <v>4594</v>
      </c>
      <c r="K985" s="7" t="s">
        <v>4595</v>
      </c>
      <c r="L985" s="6" t="s">
        <v>5317</v>
      </c>
      <c r="M985" s="7">
        <v>0</v>
      </c>
      <c r="N985" s="9" t="s">
        <v>5044</v>
      </c>
      <c r="O985" s="9" t="s">
        <v>5044</v>
      </c>
      <c r="P985" s="7">
        <v>0</v>
      </c>
      <c r="Q985" s="7">
        <v>0</v>
      </c>
      <c r="R985" s="7">
        <v>0</v>
      </c>
      <c r="S985" s="7" t="s">
        <v>5357</v>
      </c>
      <c r="T985" s="7">
        <v>2</v>
      </c>
      <c r="U985" s="7">
        <v>63</v>
      </c>
      <c r="V985" s="7">
        <v>0</v>
      </c>
      <c r="W985" s="7">
        <v>1</v>
      </c>
      <c r="X985" s="7">
        <v>0</v>
      </c>
      <c r="Y985" s="7">
        <v>0</v>
      </c>
      <c r="Z985" s="7">
        <v>0</v>
      </c>
      <c r="AA985" s="7">
        <v>0</v>
      </c>
      <c r="AB985" s="7">
        <v>1</v>
      </c>
      <c r="AC985" s="7">
        <v>0</v>
      </c>
      <c r="AD985" s="7" t="s">
        <v>5044</v>
      </c>
      <c r="AE985" s="7" t="s">
        <v>5044</v>
      </c>
      <c r="AF985" s="7" t="s">
        <v>5044</v>
      </c>
      <c r="AG985" s="7">
        <v>0</v>
      </c>
      <c r="AH985" s="7" t="s">
        <v>5044</v>
      </c>
      <c r="AI985" s="7" t="s">
        <v>5044</v>
      </c>
      <c r="AJ985" s="7" t="s">
        <v>5044</v>
      </c>
      <c r="AK985" s="7" t="s">
        <v>5318</v>
      </c>
      <c r="AL985" s="7">
        <v>1</v>
      </c>
      <c r="AM985" s="7">
        <v>0</v>
      </c>
      <c r="AN985" s="7" t="s">
        <v>5318</v>
      </c>
      <c r="AO985" s="11">
        <v>9</v>
      </c>
    </row>
    <row r="986" spans="1:41" ht="63" customHeight="1" x14ac:dyDescent="0.2">
      <c r="A986" s="7">
        <v>11975</v>
      </c>
      <c r="B986" s="7" t="s">
        <v>4596</v>
      </c>
      <c r="C986" s="7" t="s">
        <v>4597</v>
      </c>
      <c r="D986" s="7" t="s">
        <v>149</v>
      </c>
      <c r="F986" s="7" t="s">
        <v>80</v>
      </c>
      <c r="G986" s="7" t="s">
        <v>144</v>
      </c>
      <c r="H986" s="7" t="s">
        <v>38</v>
      </c>
      <c r="I986" s="7" t="s">
        <v>13</v>
      </c>
      <c r="J986" s="7" t="s">
        <v>4598</v>
      </c>
      <c r="K986" s="7" t="s">
        <v>4599</v>
      </c>
      <c r="L986" s="7">
        <v>35140084</v>
      </c>
      <c r="M986" s="7">
        <v>0</v>
      </c>
      <c r="N986" s="9" t="s">
        <v>5044</v>
      </c>
      <c r="O986" s="9" t="s">
        <v>5044</v>
      </c>
      <c r="P986" s="7">
        <v>0</v>
      </c>
      <c r="Q986" s="7">
        <v>0</v>
      </c>
      <c r="R986" s="7">
        <v>0</v>
      </c>
      <c r="S986" s="7">
        <v>1</v>
      </c>
      <c r="T986" s="7">
        <v>1</v>
      </c>
      <c r="U986" s="7">
        <v>60</v>
      </c>
      <c r="V986" s="7">
        <v>1</v>
      </c>
      <c r="W986" s="7">
        <v>0</v>
      </c>
      <c r="X986" s="7">
        <v>0</v>
      </c>
      <c r="Y986" s="7">
        <v>0</v>
      </c>
      <c r="Z986" s="7">
        <v>0</v>
      </c>
      <c r="AA986" s="7">
        <v>0</v>
      </c>
      <c r="AB986" s="7">
        <v>1</v>
      </c>
      <c r="AC986" s="7">
        <v>1</v>
      </c>
      <c r="AD986" s="7">
        <v>1</v>
      </c>
      <c r="AE986" s="7">
        <v>0</v>
      </c>
      <c r="AF986" s="7">
        <v>0</v>
      </c>
      <c r="AG986" s="7" t="s">
        <v>5044</v>
      </c>
      <c r="AH986" s="7" t="s">
        <v>5044</v>
      </c>
      <c r="AI986" s="7" t="s">
        <v>5044</v>
      </c>
      <c r="AJ986" s="7" t="s">
        <v>5044</v>
      </c>
      <c r="AK986" s="7" t="s">
        <v>5318</v>
      </c>
      <c r="AL986" s="7">
        <v>1</v>
      </c>
      <c r="AM986" s="7">
        <v>0</v>
      </c>
      <c r="AO986" s="9">
        <v>0</v>
      </c>
    </row>
    <row r="987" spans="1:41" ht="63" customHeight="1" x14ac:dyDescent="0.2">
      <c r="A987" s="7">
        <v>11996</v>
      </c>
      <c r="B987" s="7" t="s">
        <v>4604</v>
      </c>
      <c r="C987" s="7" t="s">
        <v>4605</v>
      </c>
      <c r="D987" s="7" t="s">
        <v>1092</v>
      </c>
      <c r="F987" s="7" t="s">
        <v>51</v>
      </c>
      <c r="G987" s="7" t="s">
        <v>48</v>
      </c>
      <c r="H987" s="7" t="s">
        <v>238</v>
      </c>
      <c r="I987" s="7" t="s">
        <v>13</v>
      </c>
      <c r="J987" s="7" t="s">
        <v>4606</v>
      </c>
      <c r="K987" s="7" t="s">
        <v>4607</v>
      </c>
      <c r="L987" s="11" t="s">
        <v>5044</v>
      </c>
      <c r="M987" s="7">
        <v>0</v>
      </c>
      <c r="N987" s="9" t="s">
        <v>5044</v>
      </c>
      <c r="O987" s="9" t="s">
        <v>5044</v>
      </c>
      <c r="P987" s="7">
        <v>0</v>
      </c>
      <c r="Q987" s="7">
        <v>0</v>
      </c>
      <c r="R987" s="7">
        <v>0</v>
      </c>
      <c r="S987" s="7">
        <v>3</v>
      </c>
      <c r="T987" s="7">
        <v>2</v>
      </c>
      <c r="U987" s="7">
        <v>40</v>
      </c>
      <c r="V987" s="7">
        <v>0</v>
      </c>
      <c r="W987" s="7">
        <v>1</v>
      </c>
      <c r="X987" s="7">
        <v>0</v>
      </c>
      <c r="Y987" s="7">
        <v>0</v>
      </c>
      <c r="Z987" s="7">
        <v>0</v>
      </c>
      <c r="AA987" s="7">
        <v>0</v>
      </c>
      <c r="AB987" s="7">
        <v>1</v>
      </c>
      <c r="AC987" s="7">
        <v>1</v>
      </c>
      <c r="AD987" s="7" t="s">
        <v>5044</v>
      </c>
      <c r="AE987" s="7" t="s">
        <v>5044</v>
      </c>
      <c r="AF987" s="7" t="s">
        <v>5044</v>
      </c>
      <c r="AG987" s="7">
        <v>2</v>
      </c>
      <c r="AH987" s="7">
        <v>3</v>
      </c>
      <c r="AI987" s="7">
        <v>0</v>
      </c>
      <c r="AJ987" s="7" t="s">
        <v>5044</v>
      </c>
      <c r="AK987" s="7" t="s">
        <v>5318</v>
      </c>
      <c r="AL987" s="7">
        <v>1</v>
      </c>
      <c r="AM987" s="7">
        <v>0</v>
      </c>
      <c r="AO987" s="11">
        <v>3</v>
      </c>
    </row>
    <row r="988" spans="1:41" ht="63" customHeight="1" x14ac:dyDescent="0.2">
      <c r="A988" s="7">
        <v>11998</v>
      </c>
      <c r="B988" s="7" t="s">
        <v>4608</v>
      </c>
      <c r="C988" s="7" t="s">
        <v>4609</v>
      </c>
      <c r="D988" s="7" t="s">
        <v>22</v>
      </c>
      <c r="F988" s="7" t="s">
        <v>303</v>
      </c>
      <c r="G988" s="7" t="s">
        <v>11</v>
      </c>
      <c r="H988" s="7" t="s">
        <v>557</v>
      </c>
      <c r="I988" s="7" t="s">
        <v>13</v>
      </c>
      <c r="J988" s="7" t="s">
        <v>4610</v>
      </c>
      <c r="K988" s="7" t="s">
        <v>4611</v>
      </c>
      <c r="L988" s="7" t="s">
        <v>5320</v>
      </c>
      <c r="M988" s="7">
        <v>0</v>
      </c>
      <c r="N988" s="9" t="s">
        <v>5044</v>
      </c>
      <c r="O988" s="9" t="s">
        <v>5044</v>
      </c>
      <c r="P988" s="7">
        <v>0</v>
      </c>
      <c r="Q988" s="7">
        <v>0</v>
      </c>
      <c r="R988" s="7">
        <v>0</v>
      </c>
      <c r="S988" s="7">
        <v>11</v>
      </c>
      <c r="T988" s="7">
        <v>1</v>
      </c>
      <c r="U988" s="7">
        <v>209</v>
      </c>
      <c r="V988" s="7">
        <v>0</v>
      </c>
      <c r="W988" s="7">
        <v>1</v>
      </c>
      <c r="X988" s="7">
        <v>0</v>
      </c>
      <c r="Y988" s="7">
        <v>0</v>
      </c>
      <c r="Z988" s="7">
        <v>0</v>
      </c>
      <c r="AA988" s="7">
        <v>0</v>
      </c>
      <c r="AB988" s="7">
        <v>1</v>
      </c>
      <c r="AC988" s="7">
        <v>1</v>
      </c>
      <c r="AD988" s="7" t="s">
        <v>5044</v>
      </c>
      <c r="AE988" s="7" t="s">
        <v>5044</v>
      </c>
      <c r="AF988" s="7" t="s">
        <v>5044</v>
      </c>
      <c r="AG988" s="7">
        <v>2</v>
      </c>
      <c r="AH988" s="7">
        <v>3</v>
      </c>
      <c r="AI988" s="7">
        <v>0</v>
      </c>
      <c r="AJ988" s="7" t="s">
        <v>5044</v>
      </c>
      <c r="AK988" s="7">
        <v>1</v>
      </c>
      <c r="AL988" s="7">
        <v>0</v>
      </c>
      <c r="AM988" s="7">
        <v>0</v>
      </c>
      <c r="AO988" s="11">
        <v>3</v>
      </c>
    </row>
    <row r="989" spans="1:41" ht="63" customHeight="1" x14ac:dyDescent="0.2">
      <c r="A989" s="7">
        <v>12004</v>
      </c>
      <c r="B989" s="7" t="s">
        <v>4612</v>
      </c>
      <c r="C989" s="7" t="s">
        <v>4613</v>
      </c>
      <c r="D989" s="7" t="s">
        <v>25</v>
      </c>
      <c r="F989" s="7" t="s">
        <v>3812</v>
      </c>
      <c r="G989" s="7" t="s">
        <v>11</v>
      </c>
      <c r="H989" s="7" t="s">
        <v>43</v>
      </c>
      <c r="I989" s="7" t="s">
        <v>437</v>
      </c>
      <c r="J989" s="7" t="s">
        <v>4614</v>
      </c>
      <c r="K989" s="7" t="s">
        <v>4615</v>
      </c>
      <c r="L989" s="6" t="s">
        <v>5321</v>
      </c>
      <c r="M989" s="7">
        <v>0</v>
      </c>
      <c r="N989" s="9" t="s">
        <v>5044</v>
      </c>
      <c r="O989" s="9" t="s">
        <v>5044</v>
      </c>
      <c r="P989" s="7">
        <v>0</v>
      </c>
      <c r="Q989" s="7">
        <v>0</v>
      </c>
      <c r="R989" s="7">
        <v>0</v>
      </c>
      <c r="S989" s="7">
        <v>1</v>
      </c>
      <c r="T989" s="7">
        <v>1</v>
      </c>
      <c r="U989" s="7">
        <v>65</v>
      </c>
      <c r="V989" s="7">
        <v>0</v>
      </c>
      <c r="W989" s="7">
        <v>1</v>
      </c>
      <c r="X989" s="7">
        <v>0</v>
      </c>
      <c r="Y989" s="7">
        <v>0</v>
      </c>
      <c r="Z989" s="7">
        <v>0</v>
      </c>
      <c r="AA989" s="7">
        <v>0</v>
      </c>
      <c r="AB989" s="7">
        <v>1</v>
      </c>
      <c r="AC989" s="7">
        <v>1</v>
      </c>
      <c r="AD989" s="7" t="s">
        <v>5044</v>
      </c>
      <c r="AE989" s="7" t="s">
        <v>5044</v>
      </c>
      <c r="AF989" s="7" t="s">
        <v>5044</v>
      </c>
      <c r="AG989" s="7">
        <v>2</v>
      </c>
      <c r="AH989" s="7">
        <v>3</v>
      </c>
      <c r="AI989" s="7">
        <v>0</v>
      </c>
      <c r="AJ989" s="7" t="s">
        <v>5044</v>
      </c>
      <c r="AK989" s="7">
        <v>1</v>
      </c>
      <c r="AL989" s="7">
        <v>1</v>
      </c>
      <c r="AM989" s="7">
        <v>0</v>
      </c>
      <c r="AN989" s="7" t="s">
        <v>5318</v>
      </c>
      <c r="AO989" s="11">
        <v>3</v>
      </c>
    </row>
    <row r="990" spans="1:41" ht="63" customHeight="1" x14ac:dyDescent="0.2">
      <c r="A990" s="7">
        <v>12009</v>
      </c>
      <c r="B990" s="23" t="s">
        <v>4616</v>
      </c>
      <c r="C990" s="7" t="s">
        <v>4617</v>
      </c>
      <c r="D990" s="7" t="s">
        <v>22</v>
      </c>
      <c r="F990" s="7" t="s">
        <v>626</v>
      </c>
      <c r="G990" s="7" t="s">
        <v>52</v>
      </c>
      <c r="H990" s="7" t="s">
        <v>43</v>
      </c>
      <c r="I990" s="7" t="s">
        <v>13</v>
      </c>
      <c r="J990" s="7" t="s">
        <v>4618</v>
      </c>
      <c r="K990" s="7" t="s">
        <v>4619</v>
      </c>
      <c r="L990" s="6" t="s">
        <v>5322</v>
      </c>
      <c r="M990" s="7">
        <v>0</v>
      </c>
      <c r="N990" s="9" t="s">
        <v>5044</v>
      </c>
      <c r="O990" s="9" t="s">
        <v>5044</v>
      </c>
      <c r="P990" s="7">
        <v>0</v>
      </c>
      <c r="Q990" s="7">
        <v>0</v>
      </c>
      <c r="R990" s="7">
        <v>0</v>
      </c>
      <c r="S990" s="7">
        <v>9</v>
      </c>
      <c r="T990" s="7">
        <v>1</v>
      </c>
      <c r="U990" s="7">
        <v>144</v>
      </c>
      <c r="V990" s="7">
        <v>0</v>
      </c>
      <c r="W990" s="7">
        <v>1</v>
      </c>
      <c r="X990" s="7">
        <v>0</v>
      </c>
      <c r="Y990" s="7">
        <v>0</v>
      </c>
      <c r="Z990" s="7">
        <v>0</v>
      </c>
      <c r="AA990" s="7">
        <v>0</v>
      </c>
      <c r="AB990" s="7">
        <v>1</v>
      </c>
      <c r="AC990" s="7">
        <v>0</v>
      </c>
      <c r="AD990" s="7">
        <v>0</v>
      </c>
      <c r="AE990" s="7" t="s">
        <v>5044</v>
      </c>
      <c r="AF990" s="7" t="s">
        <v>5044</v>
      </c>
      <c r="AG990" s="7">
        <v>0</v>
      </c>
      <c r="AH990" s="7" t="s">
        <v>5044</v>
      </c>
      <c r="AI990" s="7" t="s">
        <v>5044</v>
      </c>
      <c r="AJ990" s="7" t="s">
        <v>5044</v>
      </c>
      <c r="AK990" s="7" t="s">
        <v>5318</v>
      </c>
      <c r="AL990" s="7">
        <v>1</v>
      </c>
      <c r="AM990" s="7">
        <v>0</v>
      </c>
      <c r="AN990" s="7" t="s">
        <v>5318</v>
      </c>
      <c r="AO990" s="11">
        <v>9</v>
      </c>
    </row>
    <row r="991" spans="1:41" ht="63" customHeight="1" x14ac:dyDescent="0.2">
      <c r="A991" s="7">
        <v>12012</v>
      </c>
      <c r="B991" s="7" t="s">
        <v>4624</v>
      </c>
      <c r="C991" s="7" t="s">
        <v>4625</v>
      </c>
      <c r="D991" s="7" t="s">
        <v>25</v>
      </c>
      <c r="F991" s="7" t="s">
        <v>4626</v>
      </c>
      <c r="G991" s="7" t="s">
        <v>48</v>
      </c>
      <c r="H991" s="7" t="s">
        <v>993</v>
      </c>
      <c r="I991" s="7" t="s">
        <v>13</v>
      </c>
      <c r="J991" s="7" t="s">
        <v>4627</v>
      </c>
      <c r="K991" s="7" t="s">
        <v>4628</v>
      </c>
      <c r="L991" s="6" t="s">
        <v>5324</v>
      </c>
      <c r="M991" s="7">
        <v>0</v>
      </c>
      <c r="N991" s="9" t="s">
        <v>5044</v>
      </c>
      <c r="O991" s="9" t="s">
        <v>5044</v>
      </c>
      <c r="P991" s="7">
        <v>0</v>
      </c>
      <c r="Q991" s="7">
        <v>0</v>
      </c>
      <c r="R991" s="7">
        <v>0</v>
      </c>
      <c r="S991" s="7">
        <v>5</v>
      </c>
      <c r="T991" s="7">
        <v>2</v>
      </c>
      <c r="U991" s="7">
        <v>408</v>
      </c>
      <c r="V991" s="7">
        <v>0</v>
      </c>
      <c r="W991" s="7">
        <v>1</v>
      </c>
      <c r="X991" s="7">
        <v>0</v>
      </c>
      <c r="Y991" s="7">
        <v>0</v>
      </c>
      <c r="Z991" s="7">
        <v>0</v>
      </c>
      <c r="AA991" s="7">
        <v>0</v>
      </c>
      <c r="AB991" s="7">
        <v>1</v>
      </c>
      <c r="AC991" s="7">
        <v>1</v>
      </c>
      <c r="AD991" s="7" t="s">
        <v>5044</v>
      </c>
      <c r="AE991" s="7" t="s">
        <v>5044</v>
      </c>
      <c r="AF991" s="7" t="s">
        <v>5044</v>
      </c>
      <c r="AG991" s="7">
        <v>2</v>
      </c>
      <c r="AH991" s="7">
        <v>3</v>
      </c>
      <c r="AI991" s="7">
        <v>0</v>
      </c>
      <c r="AJ991" s="7" t="s">
        <v>5044</v>
      </c>
      <c r="AK991" s="7" t="s">
        <v>5318</v>
      </c>
      <c r="AL991" s="7">
        <v>0</v>
      </c>
      <c r="AM991" s="7">
        <v>0</v>
      </c>
      <c r="AN991" s="7" t="s">
        <v>5318</v>
      </c>
      <c r="AO991" s="11">
        <v>3</v>
      </c>
    </row>
    <row r="992" spans="1:41" ht="63" customHeight="1" x14ac:dyDescent="0.2">
      <c r="A992" s="7">
        <v>12023</v>
      </c>
      <c r="B992" s="7" t="s">
        <v>4629</v>
      </c>
      <c r="C992" s="7" t="s">
        <v>4630</v>
      </c>
      <c r="D992" s="7" t="s">
        <v>16</v>
      </c>
      <c r="F992" s="7" t="s">
        <v>31</v>
      </c>
      <c r="G992" s="7" t="s">
        <v>175</v>
      </c>
      <c r="H992" s="7" t="s">
        <v>413</v>
      </c>
      <c r="I992" s="7" t="s">
        <v>13</v>
      </c>
      <c r="J992" s="7" t="s">
        <v>4631</v>
      </c>
      <c r="K992" s="7" t="s">
        <v>4632</v>
      </c>
      <c r="L992" s="6" t="s">
        <v>5325</v>
      </c>
      <c r="M992" s="7">
        <v>0</v>
      </c>
      <c r="N992" s="9" t="s">
        <v>5044</v>
      </c>
      <c r="O992" s="9" t="s">
        <v>5044</v>
      </c>
      <c r="P992" s="7">
        <v>0</v>
      </c>
      <c r="Q992" s="7">
        <v>0</v>
      </c>
      <c r="R992" s="7">
        <v>1</v>
      </c>
      <c r="S992" s="7">
        <v>1</v>
      </c>
      <c r="T992" s="7">
        <v>1</v>
      </c>
      <c r="U992" s="7">
        <v>311</v>
      </c>
      <c r="V992" s="7">
        <v>0</v>
      </c>
      <c r="W992" s="7">
        <v>1</v>
      </c>
      <c r="X992" s="7">
        <v>0</v>
      </c>
      <c r="Y992" s="7">
        <v>0</v>
      </c>
      <c r="Z992" s="7">
        <v>0</v>
      </c>
      <c r="AA992" s="7">
        <v>0</v>
      </c>
      <c r="AB992" s="7">
        <v>1</v>
      </c>
      <c r="AC992" s="7">
        <v>1</v>
      </c>
      <c r="AD992" s="7" t="s">
        <v>5044</v>
      </c>
      <c r="AE992" s="7" t="s">
        <v>5044</v>
      </c>
      <c r="AF992" s="7" t="s">
        <v>5044</v>
      </c>
      <c r="AG992" s="7">
        <v>2</v>
      </c>
      <c r="AH992" s="7">
        <v>2</v>
      </c>
      <c r="AI992" s="7">
        <v>3</v>
      </c>
      <c r="AJ992" s="7" t="s">
        <v>5044</v>
      </c>
      <c r="AK992" s="7" t="s">
        <v>5318</v>
      </c>
      <c r="AL992" s="7">
        <v>0</v>
      </c>
      <c r="AM992" s="7">
        <v>0</v>
      </c>
      <c r="AN992" s="7" t="s">
        <v>5326</v>
      </c>
      <c r="AO992" s="11">
        <v>2</v>
      </c>
    </row>
    <row r="993" spans="1:41" ht="63" customHeight="1" x14ac:dyDescent="0.2">
      <c r="A993" s="7">
        <v>12029</v>
      </c>
      <c r="B993" s="7" t="s">
        <v>4633</v>
      </c>
      <c r="C993" s="7" t="s">
        <v>4634</v>
      </c>
      <c r="D993" s="7" t="s">
        <v>25</v>
      </c>
      <c r="F993" s="7" t="s">
        <v>237</v>
      </c>
      <c r="G993" s="7" t="s">
        <v>144</v>
      </c>
      <c r="H993" s="7" t="s">
        <v>160</v>
      </c>
      <c r="I993" s="7" t="s">
        <v>13</v>
      </c>
      <c r="J993" s="7" t="s">
        <v>4635</v>
      </c>
      <c r="K993" s="7" t="s">
        <v>4636</v>
      </c>
      <c r="L993" s="7" t="s">
        <v>5327</v>
      </c>
      <c r="M993" s="7">
        <v>0</v>
      </c>
      <c r="N993" s="9" t="s">
        <v>5044</v>
      </c>
      <c r="O993" s="9" t="s">
        <v>5044</v>
      </c>
      <c r="P993" s="7">
        <v>0</v>
      </c>
      <c r="Q993" s="7">
        <v>0</v>
      </c>
      <c r="R993" s="7">
        <v>0</v>
      </c>
      <c r="S993" s="7">
        <v>11</v>
      </c>
      <c r="T993" s="7">
        <v>4</v>
      </c>
      <c r="U993" s="7">
        <v>168</v>
      </c>
      <c r="V993" s="7">
        <v>0</v>
      </c>
      <c r="W993" s="7">
        <v>1</v>
      </c>
      <c r="X993" s="7">
        <v>0</v>
      </c>
      <c r="Y993" s="7">
        <v>0</v>
      </c>
      <c r="Z993" s="7">
        <v>0</v>
      </c>
      <c r="AA993" s="7">
        <v>0</v>
      </c>
      <c r="AB993" s="7">
        <v>1</v>
      </c>
      <c r="AC993" s="7">
        <v>1</v>
      </c>
      <c r="AD993" s="7" t="s">
        <v>5044</v>
      </c>
      <c r="AE993" s="7" t="s">
        <v>5044</v>
      </c>
      <c r="AF993" s="7" t="s">
        <v>5044</v>
      </c>
      <c r="AG993" s="7">
        <v>1</v>
      </c>
      <c r="AH993" s="7">
        <v>0</v>
      </c>
      <c r="AI993" s="7">
        <v>0</v>
      </c>
      <c r="AJ993" s="7" t="s">
        <v>5044</v>
      </c>
      <c r="AK993" s="7" t="s">
        <v>5318</v>
      </c>
      <c r="AL993" s="7">
        <v>0</v>
      </c>
      <c r="AM993" s="7">
        <v>0</v>
      </c>
      <c r="AO993" s="9">
        <v>0</v>
      </c>
    </row>
    <row r="994" spans="1:41" ht="63" customHeight="1" x14ac:dyDescent="0.2">
      <c r="A994" s="7">
        <v>12037</v>
      </c>
      <c r="B994" s="7" t="s">
        <v>4637</v>
      </c>
      <c r="C994" s="7" t="s">
        <v>4638</v>
      </c>
      <c r="D994" s="7" t="s">
        <v>16</v>
      </c>
      <c r="F994" s="7" t="s">
        <v>17</v>
      </c>
      <c r="G994" s="7" t="s">
        <v>52</v>
      </c>
      <c r="H994" s="7" t="s">
        <v>183</v>
      </c>
      <c r="I994" s="7" t="s">
        <v>13</v>
      </c>
      <c r="J994" s="7" t="s">
        <v>4639</v>
      </c>
      <c r="K994" s="7" t="s">
        <v>4640</v>
      </c>
      <c r="L994" s="7" t="s">
        <v>5148</v>
      </c>
      <c r="M994" s="7">
        <v>0</v>
      </c>
      <c r="N994" s="9" t="s">
        <v>5044</v>
      </c>
      <c r="O994" s="9" t="s">
        <v>5044</v>
      </c>
      <c r="P994" s="7">
        <v>0</v>
      </c>
      <c r="Q994" s="7">
        <v>0</v>
      </c>
      <c r="R994" s="7">
        <v>0</v>
      </c>
      <c r="S994" s="7">
        <v>9</v>
      </c>
      <c r="T994" s="7">
        <v>4</v>
      </c>
      <c r="U994" s="7">
        <v>94</v>
      </c>
      <c r="V994" s="7">
        <v>0</v>
      </c>
      <c r="W994" s="7">
        <v>1</v>
      </c>
      <c r="X994" s="7">
        <v>0</v>
      </c>
      <c r="Y994" s="7">
        <v>0</v>
      </c>
      <c r="Z994" s="7">
        <v>0</v>
      </c>
      <c r="AA994" s="7">
        <v>0</v>
      </c>
      <c r="AB994" s="7">
        <v>1</v>
      </c>
      <c r="AC994" s="7">
        <v>1</v>
      </c>
      <c r="AD994" s="7" t="s">
        <v>5044</v>
      </c>
      <c r="AE994" s="7" t="s">
        <v>5044</v>
      </c>
      <c r="AF994" s="7" t="s">
        <v>5044</v>
      </c>
      <c r="AG994" s="7">
        <v>1</v>
      </c>
      <c r="AH994" s="7">
        <v>0</v>
      </c>
      <c r="AI994" s="7">
        <v>0</v>
      </c>
      <c r="AJ994" s="7" t="s">
        <v>5044</v>
      </c>
      <c r="AL994" s="7">
        <v>1</v>
      </c>
      <c r="AM994" s="7">
        <v>0</v>
      </c>
      <c r="AO994" s="9">
        <v>0</v>
      </c>
    </row>
    <row r="995" spans="1:41" ht="63" customHeight="1" x14ac:dyDescent="0.2">
      <c r="A995" s="7">
        <v>12039</v>
      </c>
      <c r="B995" s="7" t="s">
        <v>4641</v>
      </c>
      <c r="C995" s="7" t="s">
        <v>4642</v>
      </c>
      <c r="D995" s="7" t="s">
        <v>22</v>
      </c>
      <c r="F995" s="7" t="s">
        <v>143</v>
      </c>
      <c r="G995" s="7" t="s">
        <v>11</v>
      </c>
      <c r="H995" s="7" t="s">
        <v>1890</v>
      </c>
      <c r="I995" s="7" t="s">
        <v>13</v>
      </c>
      <c r="J995" s="7" t="s">
        <v>4643</v>
      </c>
      <c r="K995" s="7" t="s">
        <v>4644</v>
      </c>
      <c r="L995" s="7" t="s">
        <v>5044</v>
      </c>
      <c r="M995" s="7">
        <v>0</v>
      </c>
      <c r="N995" s="9" t="s">
        <v>5044</v>
      </c>
      <c r="O995" s="9" t="s">
        <v>5044</v>
      </c>
      <c r="P995" s="7">
        <v>1</v>
      </c>
      <c r="Q995" s="7">
        <v>0</v>
      </c>
      <c r="R995" s="7">
        <v>0</v>
      </c>
      <c r="S995" s="7">
        <v>3</v>
      </c>
      <c r="T995" s="7">
        <v>1</v>
      </c>
      <c r="U995" s="7">
        <v>60</v>
      </c>
      <c r="V995" s="7">
        <v>0</v>
      </c>
      <c r="W995" s="7">
        <v>1</v>
      </c>
      <c r="X995" s="7">
        <v>0</v>
      </c>
      <c r="Y995" s="7">
        <v>0</v>
      </c>
      <c r="Z995" s="7">
        <v>0</v>
      </c>
      <c r="AA995" s="7">
        <v>0</v>
      </c>
      <c r="AB995" s="7">
        <v>1</v>
      </c>
      <c r="AC995" s="7">
        <v>1</v>
      </c>
      <c r="AD995" s="7" t="s">
        <v>5044</v>
      </c>
      <c r="AE995" s="7" t="s">
        <v>5044</v>
      </c>
      <c r="AF995" s="7" t="s">
        <v>5044</v>
      </c>
      <c r="AG995" s="7">
        <v>2</v>
      </c>
      <c r="AH995" s="7">
        <v>3</v>
      </c>
      <c r="AI995" s="7">
        <v>0</v>
      </c>
      <c r="AJ995" s="7" t="s">
        <v>5044</v>
      </c>
      <c r="AL995" s="7" t="s">
        <v>5041</v>
      </c>
      <c r="AM995" s="7">
        <v>0</v>
      </c>
      <c r="AN995" s="7" t="s">
        <v>5105</v>
      </c>
      <c r="AO995" s="11">
        <v>3</v>
      </c>
    </row>
    <row r="996" spans="1:41" ht="63" customHeight="1" x14ac:dyDescent="0.2">
      <c r="A996" s="7">
        <v>12058</v>
      </c>
      <c r="B996" s="7" t="s">
        <v>4645</v>
      </c>
      <c r="C996" s="7" t="s">
        <v>4646</v>
      </c>
      <c r="D996" s="7" t="s">
        <v>101</v>
      </c>
      <c r="E996" s="7" t="s">
        <v>2539</v>
      </c>
      <c r="F996" s="7" t="s">
        <v>944</v>
      </c>
      <c r="G996" s="7" t="s">
        <v>18</v>
      </c>
      <c r="H996" s="7" t="s">
        <v>4647</v>
      </c>
      <c r="I996" s="7" t="s">
        <v>13</v>
      </c>
      <c r="J996" s="7" t="s">
        <v>4648</v>
      </c>
      <c r="K996" s="7" t="s">
        <v>4649</v>
      </c>
      <c r="L996" s="7" t="s">
        <v>5150</v>
      </c>
      <c r="M996" s="7">
        <v>0</v>
      </c>
      <c r="N996" s="9" t="s">
        <v>5044</v>
      </c>
      <c r="O996" s="9" t="s">
        <v>5044</v>
      </c>
      <c r="P996" s="7">
        <v>1</v>
      </c>
      <c r="Q996" s="7">
        <v>0</v>
      </c>
      <c r="R996" s="7">
        <v>0</v>
      </c>
      <c r="S996" s="7">
        <v>3</v>
      </c>
      <c r="T996" s="7">
        <v>1</v>
      </c>
      <c r="U996" s="7">
        <v>100</v>
      </c>
      <c r="V996" s="7">
        <v>0</v>
      </c>
      <c r="W996" s="7">
        <v>1</v>
      </c>
      <c r="X996" s="7">
        <v>0</v>
      </c>
      <c r="Y996" s="7">
        <v>0</v>
      </c>
      <c r="Z996" s="7">
        <v>0</v>
      </c>
      <c r="AA996" s="7">
        <v>0</v>
      </c>
      <c r="AB996" s="7">
        <v>0</v>
      </c>
      <c r="AC996" s="7">
        <v>1</v>
      </c>
      <c r="AD996" s="7" t="s">
        <v>5044</v>
      </c>
      <c r="AE996" s="7" t="s">
        <v>5044</v>
      </c>
      <c r="AF996" s="7" t="s">
        <v>5044</v>
      </c>
      <c r="AG996" s="7">
        <v>1</v>
      </c>
      <c r="AH996" s="7">
        <v>0</v>
      </c>
      <c r="AI996" s="7">
        <v>0</v>
      </c>
      <c r="AJ996" s="7" t="s">
        <v>5044</v>
      </c>
      <c r="AL996" s="7">
        <v>1</v>
      </c>
      <c r="AM996" s="7">
        <v>0</v>
      </c>
      <c r="AO996" s="9">
        <v>0</v>
      </c>
    </row>
    <row r="997" spans="1:41" ht="63" customHeight="1" x14ac:dyDescent="0.2">
      <c r="A997" s="7">
        <v>12071</v>
      </c>
      <c r="B997" s="7" t="s">
        <v>4650</v>
      </c>
      <c r="C997" s="7" t="s">
        <v>4651</v>
      </c>
      <c r="D997" s="7" t="s">
        <v>101</v>
      </c>
      <c r="F997" s="7" t="s">
        <v>197</v>
      </c>
      <c r="G997" s="7" t="s">
        <v>144</v>
      </c>
      <c r="H997" s="7" t="s">
        <v>238</v>
      </c>
      <c r="I997" s="7" t="s">
        <v>13</v>
      </c>
      <c r="J997" s="7" t="s">
        <v>4652</v>
      </c>
      <c r="K997" s="7" t="s">
        <v>4653</v>
      </c>
      <c r="L997" s="7" t="s">
        <v>5044</v>
      </c>
      <c r="M997" s="7">
        <v>0</v>
      </c>
      <c r="N997" s="9" t="s">
        <v>5044</v>
      </c>
      <c r="O997" s="9" t="s">
        <v>5044</v>
      </c>
      <c r="P997" s="7">
        <v>0</v>
      </c>
      <c r="Q997" s="7">
        <v>0</v>
      </c>
      <c r="R997" s="7">
        <v>0</v>
      </c>
      <c r="S997" s="7">
        <v>3</v>
      </c>
      <c r="T997" s="7">
        <v>6</v>
      </c>
      <c r="U997" s="7">
        <v>124</v>
      </c>
      <c r="V997" s="7">
        <v>0</v>
      </c>
      <c r="W997" s="7">
        <v>1</v>
      </c>
      <c r="X997" s="7">
        <v>0</v>
      </c>
      <c r="Y997" s="7">
        <v>0</v>
      </c>
      <c r="Z997" s="7">
        <v>0</v>
      </c>
      <c r="AA997" s="7">
        <v>0</v>
      </c>
      <c r="AB997" s="7">
        <v>1</v>
      </c>
      <c r="AC997" s="7">
        <v>1</v>
      </c>
      <c r="AD997" s="7" t="s">
        <v>5044</v>
      </c>
      <c r="AE997" s="7" t="s">
        <v>5044</v>
      </c>
      <c r="AF997" s="7" t="s">
        <v>5044</v>
      </c>
      <c r="AG997" s="7">
        <v>1</v>
      </c>
      <c r="AH997" s="7">
        <v>0</v>
      </c>
      <c r="AI997" s="7">
        <v>0</v>
      </c>
      <c r="AJ997" s="7" t="s">
        <v>5044</v>
      </c>
      <c r="AK997" s="7" t="s">
        <v>5151</v>
      </c>
      <c r="AL997" s="7">
        <v>0</v>
      </c>
      <c r="AM997" s="7">
        <v>0</v>
      </c>
      <c r="AO997" s="9">
        <v>0</v>
      </c>
    </row>
    <row r="998" spans="1:41" ht="63" customHeight="1" x14ac:dyDescent="0.2">
      <c r="A998" s="7">
        <v>12072</v>
      </c>
      <c r="B998" s="7" t="s">
        <v>4654</v>
      </c>
      <c r="C998" s="7" t="s">
        <v>4655</v>
      </c>
      <c r="D998" s="7" t="s">
        <v>101</v>
      </c>
      <c r="F998" s="7" t="s">
        <v>2974</v>
      </c>
      <c r="G998" s="7" t="s">
        <v>32</v>
      </c>
      <c r="H998" s="7" t="s">
        <v>4656</v>
      </c>
      <c r="I998" s="7" t="s">
        <v>13</v>
      </c>
      <c r="J998" s="7" t="s">
        <v>4657</v>
      </c>
      <c r="K998" s="7" t="s">
        <v>4658</v>
      </c>
      <c r="L998" s="7" t="s">
        <v>5152</v>
      </c>
      <c r="M998" s="7">
        <v>0</v>
      </c>
      <c r="N998" s="9" t="s">
        <v>5044</v>
      </c>
      <c r="O998" s="9" t="s">
        <v>5044</v>
      </c>
      <c r="P998" s="7">
        <v>0</v>
      </c>
      <c r="Q998" s="7">
        <v>0</v>
      </c>
      <c r="R998" s="7">
        <v>0</v>
      </c>
      <c r="S998" s="7">
        <v>1</v>
      </c>
      <c r="T998" s="7">
        <v>1</v>
      </c>
      <c r="U998" s="7">
        <v>44</v>
      </c>
      <c r="V998" s="7">
        <v>0</v>
      </c>
      <c r="W998" s="7">
        <v>1</v>
      </c>
      <c r="X998" s="7">
        <v>0</v>
      </c>
      <c r="Y998" s="7">
        <v>0</v>
      </c>
      <c r="Z998" s="7">
        <v>0</v>
      </c>
      <c r="AA998" s="7">
        <v>0</v>
      </c>
      <c r="AB998" s="7">
        <v>1</v>
      </c>
      <c r="AC998" s="7">
        <v>1</v>
      </c>
      <c r="AD998" s="7" t="s">
        <v>5044</v>
      </c>
      <c r="AE998" s="7" t="s">
        <v>5044</v>
      </c>
      <c r="AF998" s="7" t="s">
        <v>5044</v>
      </c>
      <c r="AG998" s="7">
        <v>2</v>
      </c>
      <c r="AH998" s="7">
        <v>3</v>
      </c>
      <c r="AI998" s="7">
        <v>0</v>
      </c>
      <c r="AJ998" s="7" t="s">
        <v>5044</v>
      </c>
      <c r="AL998" s="7">
        <v>0</v>
      </c>
      <c r="AM998" s="7">
        <v>0</v>
      </c>
      <c r="AO998" s="11">
        <v>3</v>
      </c>
    </row>
    <row r="999" spans="1:41" ht="63" customHeight="1" x14ac:dyDescent="0.2">
      <c r="A999" s="7">
        <v>12075</v>
      </c>
      <c r="B999" s="7" t="s">
        <v>4659</v>
      </c>
      <c r="C999" s="7" t="s">
        <v>4660</v>
      </c>
      <c r="D999" s="7" t="s">
        <v>95</v>
      </c>
      <c r="F999" s="7" t="s">
        <v>640</v>
      </c>
      <c r="G999" s="7" t="s">
        <v>47</v>
      </c>
      <c r="H999" s="7" t="s">
        <v>1949</v>
      </c>
      <c r="I999" s="7" t="s">
        <v>13</v>
      </c>
      <c r="J999" s="7" t="s">
        <v>4661</v>
      </c>
      <c r="K999" s="7" t="s">
        <v>4662</v>
      </c>
      <c r="L999" s="8" t="s">
        <v>5153</v>
      </c>
      <c r="M999" s="7">
        <v>0</v>
      </c>
      <c r="N999" s="9" t="s">
        <v>5044</v>
      </c>
      <c r="O999" s="9" t="s">
        <v>5044</v>
      </c>
      <c r="P999" s="7">
        <v>0</v>
      </c>
      <c r="Q999" s="7">
        <v>0</v>
      </c>
      <c r="R999" s="7">
        <v>0</v>
      </c>
      <c r="S999" s="7">
        <v>1</v>
      </c>
      <c r="T999" s="7">
        <v>1</v>
      </c>
      <c r="U999" s="7">
        <v>41</v>
      </c>
      <c r="V999" s="7">
        <v>0</v>
      </c>
      <c r="W999" s="7">
        <v>1</v>
      </c>
      <c r="X999" s="7">
        <v>0</v>
      </c>
      <c r="Y999" s="7">
        <v>0</v>
      </c>
      <c r="Z999" s="7">
        <v>0</v>
      </c>
      <c r="AA999" s="7">
        <v>0</v>
      </c>
      <c r="AB999" s="7">
        <v>0</v>
      </c>
      <c r="AC999" s="7">
        <v>1</v>
      </c>
      <c r="AD999" s="7" t="s">
        <v>5044</v>
      </c>
      <c r="AE999" s="7" t="s">
        <v>5044</v>
      </c>
      <c r="AF999" s="7" t="s">
        <v>5044</v>
      </c>
      <c r="AG999" s="7">
        <v>2</v>
      </c>
      <c r="AH999" s="7">
        <v>2</v>
      </c>
      <c r="AI999" s="7">
        <v>3</v>
      </c>
      <c r="AJ999" s="7" t="s">
        <v>5044</v>
      </c>
      <c r="AL999" s="7" t="s">
        <v>5041</v>
      </c>
      <c r="AM999" s="7">
        <v>0</v>
      </c>
      <c r="AN999" s="7" t="s">
        <v>5105</v>
      </c>
      <c r="AO999" s="11">
        <v>2</v>
      </c>
    </row>
    <row r="1000" spans="1:41" ht="63" customHeight="1" x14ac:dyDescent="0.2">
      <c r="A1000" s="7">
        <v>12096</v>
      </c>
      <c r="B1000" s="7" t="s">
        <v>4670</v>
      </c>
      <c r="C1000" s="7" t="s">
        <v>4671</v>
      </c>
      <c r="D1000" s="7" t="s">
        <v>74</v>
      </c>
      <c r="E1000" s="7" t="s">
        <v>4675</v>
      </c>
      <c r="F1000" s="7" t="s">
        <v>122</v>
      </c>
      <c r="G1000" s="7" t="s">
        <v>52</v>
      </c>
      <c r="H1000" s="7" t="s">
        <v>4672</v>
      </c>
      <c r="I1000" s="7" t="s">
        <v>13</v>
      </c>
      <c r="J1000" s="7" t="s">
        <v>4673</v>
      </c>
      <c r="K1000" s="7" t="s">
        <v>4674</v>
      </c>
      <c r="L1000" s="7" t="s">
        <v>5044</v>
      </c>
      <c r="M1000" s="7">
        <v>0</v>
      </c>
      <c r="N1000" s="9" t="s">
        <v>5044</v>
      </c>
      <c r="O1000" s="9" t="s">
        <v>5044</v>
      </c>
      <c r="P1000" s="7">
        <v>0</v>
      </c>
      <c r="Q1000" s="7">
        <v>0</v>
      </c>
      <c r="R1000" s="7">
        <v>0</v>
      </c>
      <c r="S1000" s="7">
        <v>3</v>
      </c>
      <c r="T1000" s="7">
        <v>1</v>
      </c>
      <c r="U1000" s="7">
        <v>50</v>
      </c>
      <c r="V1000" s="7">
        <v>1</v>
      </c>
      <c r="W1000" s="7">
        <v>0</v>
      </c>
      <c r="X1000" s="7">
        <v>0</v>
      </c>
      <c r="Y1000" s="7">
        <v>0</v>
      </c>
      <c r="Z1000" s="7">
        <v>0</v>
      </c>
      <c r="AA1000" s="7">
        <v>0</v>
      </c>
      <c r="AB1000" s="7">
        <v>1</v>
      </c>
      <c r="AC1000" s="7">
        <v>1</v>
      </c>
      <c r="AD1000" s="7">
        <v>1</v>
      </c>
      <c r="AE1000" s="7">
        <v>0</v>
      </c>
      <c r="AF1000" s="7">
        <v>0</v>
      </c>
      <c r="AG1000" s="7" t="s">
        <v>5044</v>
      </c>
      <c r="AH1000" s="7" t="s">
        <v>5044</v>
      </c>
      <c r="AI1000" s="7" t="s">
        <v>5044</v>
      </c>
      <c r="AJ1000" s="7" t="s">
        <v>5044</v>
      </c>
      <c r="AL1000" s="7">
        <v>0</v>
      </c>
      <c r="AM1000" s="7">
        <v>0</v>
      </c>
      <c r="AO1000" s="9">
        <v>0</v>
      </c>
    </row>
    <row r="1001" spans="1:41" ht="63" customHeight="1" x14ac:dyDescent="0.2">
      <c r="A1001" s="7">
        <v>12099</v>
      </c>
      <c r="B1001" s="7" t="s">
        <v>4676</v>
      </c>
      <c r="C1001" s="7" t="s">
        <v>4677</v>
      </c>
      <c r="D1001" s="7" t="s">
        <v>56</v>
      </c>
      <c r="F1001" s="7" t="s">
        <v>4678</v>
      </c>
      <c r="G1001" s="7" t="s">
        <v>52</v>
      </c>
      <c r="H1001" s="7" t="s">
        <v>740</v>
      </c>
      <c r="I1001" s="7" t="s">
        <v>13</v>
      </c>
      <c r="J1001" s="7" t="s">
        <v>4679</v>
      </c>
      <c r="K1001" s="7" t="s">
        <v>4680</v>
      </c>
      <c r="L1001" s="7" t="s">
        <v>5157</v>
      </c>
      <c r="M1001" s="7">
        <v>0</v>
      </c>
      <c r="N1001" s="9" t="s">
        <v>5044</v>
      </c>
      <c r="O1001" s="9" t="s">
        <v>5044</v>
      </c>
      <c r="P1001" s="7">
        <v>0</v>
      </c>
      <c r="Q1001" s="7">
        <v>0</v>
      </c>
      <c r="R1001" s="7">
        <v>0</v>
      </c>
      <c r="S1001" s="7">
        <v>1</v>
      </c>
      <c r="T1001" s="7">
        <v>4</v>
      </c>
      <c r="U1001" s="7">
        <v>132</v>
      </c>
      <c r="V1001" s="7">
        <v>0</v>
      </c>
      <c r="W1001" s="7">
        <v>1</v>
      </c>
      <c r="X1001" s="7">
        <v>0</v>
      </c>
      <c r="Y1001" s="7">
        <v>0</v>
      </c>
      <c r="Z1001" s="7">
        <v>0</v>
      </c>
      <c r="AA1001" s="7">
        <v>0</v>
      </c>
      <c r="AB1001" s="7">
        <v>1</v>
      </c>
      <c r="AC1001" s="7">
        <v>1</v>
      </c>
      <c r="AD1001" s="7" t="s">
        <v>5044</v>
      </c>
      <c r="AE1001" s="7" t="s">
        <v>5044</v>
      </c>
      <c r="AF1001" s="7" t="s">
        <v>5044</v>
      </c>
      <c r="AG1001" s="7">
        <v>2</v>
      </c>
      <c r="AH1001" s="7">
        <v>3</v>
      </c>
      <c r="AI1001" s="7">
        <v>0</v>
      </c>
      <c r="AJ1001" s="7" t="s">
        <v>5044</v>
      </c>
      <c r="AK1001" s="7">
        <v>1</v>
      </c>
      <c r="AL1001" s="7">
        <v>1</v>
      </c>
      <c r="AM1001" s="7">
        <v>0</v>
      </c>
      <c r="AO1001" s="11">
        <v>3</v>
      </c>
    </row>
    <row r="1002" spans="1:41" ht="63" customHeight="1" x14ac:dyDescent="0.2">
      <c r="A1002" s="7">
        <v>12105</v>
      </c>
      <c r="B1002" s="7" t="s">
        <v>4681</v>
      </c>
      <c r="C1002" s="7" t="s">
        <v>4682</v>
      </c>
      <c r="D1002" s="7" t="s">
        <v>46</v>
      </c>
      <c r="E1002" s="7" t="s">
        <v>4685</v>
      </c>
      <c r="F1002" s="7" t="s">
        <v>114</v>
      </c>
      <c r="G1002" s="7" t="s">
        <v>32</v>
      </c>
      <c r="H1002" s="7" t="s">
        <v>1334</v>
      </c>
      <c r="I1002" s="7" t="s">
        <v>13</v>
      </c>
      <c r="J1002" s="7" t="s">
        <v>4683</v>
      </c>
      <c r="K1002" s="7" t="s">
        <v>4684</v>
      </c>
      <c r="L1002" s="8" t="s">
        <v>5158</v>
      </c>
      <c r="M1002" s="7">
        <v>0</v>
      </c>
      <c r="N1002" s="9" t="s">
        <v>5044</v>
      </c>
      <c r="O1002" s="9" t="s">
        <v>5044</v>
      </c>
      <c r="P1002" s="7">
        <v>0</v>
      </c>
      <c r="Q1002" s="7">
        <v>0</v>
      </c>
      <c r="R1002" s="7">
        <v>0</v>
      </c>
      <c r="S1002" s="7">
        <v>1</v>
      </c>
      <c r="T1002" s="7">
        <v>1</v>
      </c>
      <c r="U1002" s="7">
        <v>64</v>
      </c>
      <c r="V1002" s="7">
        <v>1</v>
      </c>
      <c r="W1002" s="7">
        <v>0</v>
      </c>
      <c r="X1002" s="7">
        <v>0</v>
      </c>
      <c r="Y1002" s="7">
        <v>0</v>
      </c>
      <c r="Z1002" s="7">
        <v>0</v>
      </c>
      <c r="AA1002" s="7">
        <v>0</v>
      </c>
      <c r="AB1002" s="7">
        <v>0</v>
      </c>
      <c r="AC1002" s="7">
        <v>1</v>
      </c>
      <c r="AD1002" s="7">
        <v>1</v>
      </c>
      <c r="AE1002" s="7">
        <v>0</v>
      </c>
      <c r="AF1002" s="7">
        <v>0</v>
      </c>
      <c r="AG1002" s="7" t="s">
        <v>5044</v>
      </c>
      <c r="AH1002" s="7" t="s">
        <v>5044</v>
      </c>
      <c r="AI1002" s="7" t="s">
        <v>5044</v>
      </c>
      <c r="AJ1002" s="7" t="s">
        <v>5044</v>
      </c>
      <c r="AL1002" s="7">
        <v>0</v>
      </c>
      <c r="AM1002" s="7">
        <v>0</v>
      </c>
      <c r="AO1002" s="9">
        <v>0</v>
      </c>
    </row>
    <row r="1003" spans="1:41" ht="63" customHeight="1" x14ac:dyDescent="0.2">
      <c r="A1003" s="7">
        <v>12107</v>
      </c>
      <c r="B1003" s="7" t="s">
        <v>4686</v>
      </c>
      <c r="C1003" s="7" t="s">
        <v>4687</v>
      </c>
      <c r="D1003" s="7" t="s">
        <v>1828</v>
      </c>
      <c r="F1003" s="7" t="s">
        <v>168</v>
      </c>
      <c r="G1003" s="7" t="s">
        <v>52</v>
      </c>
      <c r="H1003" s="7" t="s">
        <v>578</v>
      </c>
      <c r="I1003" s="7" t="s">
        <v>13</v>
      </c>
      <c r="J1003" s="7" t="s">
        <v>4688</v>
      </c>
      <c r="K1003" s="7" t="s">
        <v>4689</v>
      </c>
      <c r="L1003" s="7" t="s">
        <v>5044</v>
      </c>
      <c r="M1003" s="7">
        <v>0</v>
      </c>
      <c r="N1003" s="9" t="s">
        <v>5044</v>
      </c>
      <c r="O1003" s="9" t="s">
        <v>5044</v>
      </c>
      <c r="P1003" s="7">
        <v>0</v>
      </c>
      <c r="Q1003" s="7">
        <v>0</v>
      </c>
      <c r="R1003" s="7">
        <v>0</v>
      </c>
      <c r="S1003" s="7">
        <v>9</v>
      </c>
      <c r="T1003" s="7">
        <v>2</v>
      </c>
      <c r="U1003" s="7">
        <v>12</v>
      </c>
      <c r="V1003" s="7">
        <v>0</v>
      </c>
      <c r="W1003" s="7">
        <v>1</v>
      </c>
      <c r="X1003" s="7">
        <v>0</v>
      </c>
      <c r="Y1003" s="7">
        <v>0</v>
      </c>
      <c r="Z1003" s="7">
        <v>0</v>
      </c>
      <c r="AA1003" s="7">
        <v>0</v>
      </c>
      <c r="AB1003" s="7">
        <v>1</v>
      </c>
      <c r="AC1003" s="7">
        <v>0</v>
      </c>
      <c r="AD1003" s="7" t="s">
        <v>5044</v>
      </c>
      <c r="AE1003" s="7" t="s">
        <v>5044</v>
      </c>
      <c r="AF1003" s="7" t="s">
        <v>5044</v>
      </c>
      <c r="AG1003" s="7">
        <v>0</v>
      </c>
      <c r="AH1003" s="7" t="s">
        <v>5044</v>
      </c>
      <c r="AI1003" s="7" t="s">
        <v>5044</v>
      </c>
      <c r="AJ1003" s="7" t="s">
        <v>5044</v>
      </c>
      <c r="AL1003" s="7">
        <v>1</v>
      </c>
      <c r="AM1003" s="7">
        <v>0</v>
      </c>
      <c r="AO1003" s="11">
        <v>9</v>
      </c>
    </row>
    <row r="1004" spans="1:41" ht="63" customHeight="1" x14ac:dyDescent="0.2">
      <c r="A1004" s="7">
        <v>12116</v>
      </c>
      <c r="B1004" s="7" t="s">
        <v>4690</v>
      </c>
      <c r="C1004" s="7" t="s">
        <v>4691</v>
      </c>
      <c r="D1004" s="7" t="s">
        <v>46</v>
      </c>
      <c r="F1004" s="7" t="s">
        <v>1015</v>
      </c>
      <c r="G1004" s="7" t="s">
        <v>52</v>
      </c>
      <c r="H1004" s="7" t="s">
        <v>689</v>
      </c>
      <c r="I1004" s="7" t="s">
        <v>13</v>
      </c>
      <c r="J1004" s="7" t="s">
        <v>4692</v>
      </c>
      <c r="K1004" s="7" t="s">
        <v>4693</v>
      </c>
      <c r="L1004" s="7" t="s">
        <v>5159</v>
      </c>
      <c r="M1004" s="7">
        <v>0</v>
      </c>
      <c r="N1004" s="9" t="s">
        <v>5044</v>
      </c>
      <c r="O1004" s="9" t="s">
        <v>5044</v>
      </c>
      <c r="P1004" s="7">
        <v>0</v>
      </c>
      <c r="Q1004" s="7">
        <v>0</v>
      </c>
      <c r="R1004" s="7">
        <v>0</v>
      </c>
      <c r="S1004" s="7">
        <v>5</v>
      </c>
      <c r="T1004" s="7">
        <v>1</v>
      </c>
      <c r="U1004" s="7">
        <v>70</v>
      </c>
      <c r="V1004" s="7">
        <v>0</v>
      </c>
      <c r="W1004" s="7">
        <v>1</v>
      </c>
      <c r="X1004" s="7">
        <v>0</v>
      </c>
      <c r="Y1004" s="7">
        <v>0</v>
      </c>
      <c r="Z1004" s="7">
        <v>0</v>
      </c>
      <c r="AA1004" s="7">
        <v>0</v>
      </c>
      <c r="AB1004" s="7">
        <v>1</v>
      </c>
      <c r="AC1004" s="7">
        <v>1</v>
      </c>
      <c r="AD1004" s="7" t="s">
        <v>5044</v>
      </c>
      <c r="AE1004" s="7" t="s">
        <v>5044</v>
      </c>
      <c r="AF1004" s="7" t="s">
        <v>5044</v>
      </c>
      <c r="AG1004" s="7">
        <v>2</v>
      </c>
      <c r="AH1004" s="7">
        <v>3</v>
      </c>
      <c r="AI1004" s="7">
        <v>0</v>
      </c>
      <c r="AJ1004" s="7" t="s">
        <v>5044</v>
      </c>
      <c r="AL1004" s="7">
        <v>1</v>
      </c>
      <c r="AM1004" s="7">
        <v>0</v>
      </c>
      <c r="AO1004" s="11">
        <v>3</v>
      </c>
    </row>
    <row r="1005" spans="1:41" ht="63" customHeight="1" x14ac:dyDescent="0.2">
      <c r="A1005" s="7">
        <v>12120</v>
      </c>
      <c r="B1005" s="7" t="s">
        <v>4694</v>
      </c>
      <c r="C1005" s="7" t="s">
        <v>4695</v>
      </c>
      <c r="D1005" s="7" t="s">
        <v>41</v>
      </c>
      <c r="F1005" s="7" t="s">
        <v>505</v>
      </c>
      <c r="G1005" s="7" t="s">
        <v>92</v>
      </c>
      <c r="H1005" s="7" t="s">
        <v>689</v>
      </c>
      <c r="I1005" s="7" t="s">
        <v>13</v>
      </c>
      <c r="J1005" s="7" t="s">
        <v>4696</v>
      </c>
      <c r="K1005" s="7" t="s">
        <v>4697</v>
      </c>
      <c r="L1005" s="7" t="s">
        <v>5189</v>
      </c>
      <c r="M1005" s="7">
        <v>0</v>
      </c>
      <c r="N1005" s="9" t="s">
        <v>5044</v>
      </c>
      <c r="O1005" s="9" t="s">
        <v>5044</v>
      </c>
      <c r="P1005" s="7">
        <v>0</v>
      </c>
      <c r="Q1005" s="7">
        <v>0</v>
      </c>
      <c r="R1005" s="7">
        <v>0</v>
      </c>
      <c r="S1005" s="7">
        <v>5</v>
      </c>
      <c r="T1005" s="7">
        <v>1</v>
      </c>
      <c r="U1005" s="7">
        <v>67</v>
      </c>
      <c r="V1005" s="7">
        <v>0</v>
      </c>
      <c r="W1005" s="7">
        <v>1</v>
      </c>
      <c r="X1005" s="7">
        <v>0</v>
      </c>
      <c r="Y1005" s="7">
        <v>0</v>
      </c>
      <c r="Z1005" s="7">
        <v>0</v>
      </c>
      <c r="AA1005" s="7">
        <v>0</v>
      </c>
      <c r="AB1005" s="7">
        <v>1</v>
      </c>
      <c r="AC1005" s="7">
        <v>1</v>
      </c>
      <c r="AD1005" s="7" t="s">
        <v>5044</v>
      </c>
      <c r="AE1005" s="7" t="s">
        <v>5044</v>
      </c>
      <c r="AF1005" s="7" t="s">
        <v>5044</v>
      </c>
      <c r="AG1005" s="7">
        <v>1</v>
      </c>
      <c r="AH1005" s="7">
        <v>0</v>
      </c>
      <c r="AI1005" s="7">
        <v>0</v>
      </c>
      <c r="AJ1005" s="7" t="s">
        <v>5044</v>
      </c>
      <c r="AL1005" s="7">
        <v>1</v>
      </c>
      <c r="AM1005" s="7">
        <v>0</v>
      </c>
      <c r="AO1005" s="9">
        <v>0</v>
      </c>
    </row>
    <row r="1006" spans="1:41" ht="63" customHeight="1" x14ac:dyDescent="0.2">
      <c r="A1006" s="7">
        <v>12135</v>
      </c>
      <c r="B1006" s="7" t="s">
        <v>4698</v>
      </c>
      <c r="C1006" s="7" t="s">
        <v>4699</v>
      </c>
      <c r="D1006" s="7" t="s">
        <v>149</v>
      </c>
      <c r="F1006" s="7" t="s">
        <v>92</v>
      </c>
      <c r="G1006" s="7" t="s">
        <v>144</v>
      </c>
      <c r="H1006" s="7" t="s">
        <v>4700</v>
      </c>
      <c r="I1006" s="7" t="s">
        <v>13</v>
      </c>
      <c r="J1006" s="7" t="s">
        <v>4701</v>
      </c>
      <c r="K1006" s="7" t="s">
        <v>4702</v>
      </c>
      <c r="L1006" s="7" t="s">
        <v>5044</v>
      </c>
      <c r="M1006" s="7">
        <v>0</v>
      </c>
      <c r="N1006" s="9" t="s">
        <v>5044</v>
      </c>
      <c r="O1006" s="9" t="s">
        <v>5044</v>
      </c>
      <c r="P1006" s="7">
        <v>0</v>
      </c>
      <c r="Q1006" s="7">
        <v>0</v>
      </c>
      <c r="R1006" s="7">
        <v>0</v>
      </c>
      <c r="S1006" s="7">
        <v>3</v>
      </c>
      <c r="T1006" s="7">
        <v>6</v>
      </c>
      <c r="U1006" s="7">
        <v>38</v>
      </c>
      <c r="V1006" s="7">
        <v>0</v>
      </c>
      <c r="W1006" s="7">
        <v>1</v>
      </c>
      <c r="X1006" s="7">
        <v>0</v>
      </c>
      <c r="Y1006" s="7">
        <v>0</v>
      </c>
      <c r="Z1006" s="7">
        <v>0</v>
      </c>
      <c r="AA1006" s="7">
        <v>0</v>
      </c>
      <c r="AB1006" s="7">
        <v>1</v>
      </c>
      <c r="AC1006" s="7">
        <v>1</v>
      </c>
      <c r="AD1006" s="7" t="s">
        <v>5044</v>
      </c>
      <c r="AE1006" s="7" t="s">
        <v>5044</v>
      </c>
      <c r="AF1006" s="7" t="s">
        <v>5044</v>
      </c>
      <c r="AG1006" s="7">
        <v>2</v>
      </c>
      <c r="AH1006" s="7">
        <v>3</v>
      </c>
      <c r="AI1006" s="7" t="s">
        <v>5044</v>
      </c>
      <c r="AJ1006" s="7" t="s">
        <v>5044</v>
      </c>
      <c r="AL1006" s="7">
        <v>1</v>
      </c>
      <c r="AM1006" s="7">
        <v>0</v>
      </c>
      <c r="AO1006" s="11">
        <v>3</v>
      </c>
    </row>
    <row r="1007" spans="1:41" ht="63" customHeight="1" x14ac:dyDescent="0.2">
      <c r="A1007" s="7">
        <v>12140</v>
      </c>
      <c r="B1007" s="7" t="s">
        <v>4703</v>
      </c>
      <c r="C1007" s="7" t="s">
        <v>4704</v>
      </c>
      <c r="D1007" s="7" t="s">
        <v>25</v>
      </c>
      <c r="F1007" s="7" t="s">
        <v>2608</v>
      </c>
      <c r="G1007" s="7" t="s">
        <v>11</v>
      </c>
      <c r="H1007" s="7" t="s">
        <v>12</v>
      </c>
      <c r="I1007" s="7" t="s">
        <v>13</v>
      </c>
      <c r="J1007" s="7" t="s">
        <v>4705</v>
      </c>
      <c r="K1007" s="7" t="s">
        <v>4706</v>
      </c>
      <c r="L1007" s="7" t="s">
        <v>5160</v>
      </c>
      <c r="M1007" s="7">
        <v>0</v>
      </c>
      <c r="N1007" s="9" t="s">
        <v>5044</v>
      </c>
      <c r="O1007" s="9" t="s">
        <v>5044</v>
      </c>
      <c r="P1007" s="7">
        <v>0</v>
      </c>
      <c r="Q1007" s="7">
        <v>0</v>
      </c>
      <c r="R1007" s="7">
        <v>0</v>
      </c>
      <c r="S1007" s="7">
        <v>3</v>
      </c>
      <c r="T1007" s="7">
        <v>1</v>
      </c>
      <c r="U1007" s="7">
        <v>281</v>
      </c>
      <c r="V1007" s="7">
        <v>0</v>
      </c>
      <c r="W1007" s="7">
        <v>1</v>
      </c>
      <c r="X1007" s="7">
        <v>0</v>
      </c>
      <c r="Y1007" s="7">
        <v>0</v>
      </c>
      <c r="Z1007" s="7">
        <v>0</v>
      </c>
      <c r="AA1007" s="7">
        <v>0</v>
      </c>
      <c r="AB1007" s="7">
        <v>1</v>
      </c>
      <c r="AC1007" s="7">
        <v>1</v>
      </c>
      <c r="AD1007" s="7" t="s">
        <v>5044</v>
      </c>
      <c r="AE1007" s="7" t="s">
        <v>5044</v>
      </c>
      <c r="AF1007" s="7" t="s">
        <v>5044</v>
      </c>
      <c r="AG1007" s="7">
        <v>1</v>
      </c>
      <c r="AH1007" s="7">
        <v>0</v>
      </c>
      <c r="AI1007" s="7">
        <v>0</v>
      </c>
      <c r="AJ1007" s="7" t="s">
        <v>5044</v>
      </c>
      <c r="AL1007" s="7">
        <v>1</v>
      </c>
      <c r="AM1007" s="7">
        <v>0</v>
      </c>
      <c r="AO1007" s="9">
        <v>0</v>
      </c>
    </row>
    <row r="1008" spans="1:41" ht="63" customHeight="1" x14ac:dyDescent="0.2">
      <c r="A1008" s="7">
        <v>12146</v>
      </c>
      <c r="B1008" s="7" t="s">
        <v>4711</v>
      </c>
      <c r="C1008" s="7" t="s">
        <v>4712</v>
      </c>
      <c r="D1008" s="7" t="s">
        <v>101</v>
      </c>
      <c r="F1008" s="7" t="s">
        <v>136</v>
      </c>
      <c r="G1008" s="7" t="s">
        <v>18</v>
      </c>
      <c r="H1008" s="7" t="s">
        <v>4713</v>
      </c>
      <c r="I1008" s="7" t="s">
        <v>13</v>
      </c>
      <c r="J1008" s="7" t="s">
        <v>4714</v>
      </c>
      <c r="K1008" s="7" t="s">
        <v>4715</v>
      </c>
      <c r="L1008" s="7" t="s">
        <v>5162</v>
      </c>
      <c r="M1008" s="7">
        <v>0</v>
      </c>
      <c r="N1008" s="9" t="s">
        <v>5044</v>
      </c>
      <c r="O1008" s="9" t="s">
        <v>5044</v>
      </c>
      <c r="P1008" s="7">
        <v>0</v>
      </c>
      <c r="Q1008" s="7">
        <v>0</v>
      </c>
      <c r="R1008" s="7">
        <v>0</v>
      </c>
      <c r="S1008" s="7">
        <v>3</v>
      </c>
      <c r="T1008" s="7">
        <v>3</v>
      </c>
      <c r="U1008" s="7">
        <v>92</v>
      </c>
      <c r="V1008" s="7">
        <v>0</v>
      </c>
      <c r="W1008" s="7">
        <v>1</v>
      </c>
      <c r="X1008" s="7">
        <v>0</v>
      </c>
      <c r="Y1008" s="7">
        <v>0</v>
      </c>
      <c r="Z1008" s="7">
        <v>0</v>
      </c>
      <c r="AA1008" s="7">
        <v>0</v>
      </c>
      <c r="AB1008" s="7">
        <v>1</v>
      </c>
      <c r="AC1008" s="7">
        <v>1</v>
      </c>
      <c r="AD1008" s="7" t="s">
        <v>5044</v>
      </c>
      <c r="AE1008" s="7" t="s">
        <v>5044</v>
      </c>
      <c r="AF1008" s="7" t="s">
        <v>5044</v>
      </c>
      <c r="AG1008" s="7">
        <v>2</v>
      </c>
      <c r="AH1008" s="7">
        <v>2</v>
      </c>
      <c r="AI1008" s="7">
        <v>2</v>
      </c>
      <c r="AJ1008" s="7" t="s">
        <v>5044</v>
      </c>
      <c r="AL1008" s="7">
        <v>0</v>
      </c>
      <c r="AM1008" s="7">
        <v>0</v>
      </c>
      <c r="AO1008" s="11">
        <v>2</v>
      </c>
    </row>
    <row r="1009" spans="1:41" ht="63" customHeight="1" x14ac:dyDescent="0.2">
      <c r="A1009" s="7">
        <v>12176</v>
      </c>
      <c r="B1009" s="7" t="s">
        <v>4725</v>
      </c>
      <c r="C1009" s="7" t="s">
        <v>4726</v>
      </c>
      <c r="D1009" s="7" t="s">
        <v>16</v>
      </c>
      <c r="F1009" s="7" t="s">
        <v>114</v>
      </c>
      <c r="G1009" s="7" t="s">
        <v>27</v>
      </c>
      <c r="H1009" s="7" t="s">
        <v>238</v>
      </c>
      <c r="I1009" s="7" t="s">
        <v>13</v>
      </c>
      <c r="J1009" s="7" t="s">
        <v>4727</v>
      </c>
      <c r="K1009" s="7" t="s">
        <v>4728</v>
      </c>
      <c r="L1009" s="7" t="s">
        <v>5164</v>
      </c>
      <c r="M1009" s="7">
        <v>0</v>
      </c>
      <c r="N1009" s="9" t="s">
        <v>5044</v>
      </c>
      <c r="O1009" s="9" t="s">
        <v>5044</v>
      </c>
      <c r="P1009" s="7">
        <v>0</v>
      </c>
      <c r="Q1009" s="7">
        <v>0</v>
      </c>
      <c r="R1009" s="7">
        <v>0</v>
      </c>
      <c r="S1009" s="7">
        <v>3</v>
      </c>
      <c r="T1009" s="7">
        <v>1</v>
      </c>
      <c r="U1009" s="7">
        <v>320</v>
      </c>
      <c r="V1009" s="7">
        <v>0</v>
      </c>
      <c r="W1009" s="7">
        <v>1</v>
      </c>
      <c r="X1009" s="7">
        <v>0</v>
      </c>
      <c r="Y1009" s="7">
        <v>0</v>
      </c>
      <c r="Z1009" s="7">
        <v>0</v>
      </c>
      <c r="AA1009" s="7">
        <v>0</v>
      </c>
      <c r="AB1009" s="7">
        <v>1</v>
      </c>
      <c r="AC1009" s="7">
        <v>1</v>
      </c>
      <c r="AD1009" s="7" t="s">
        <v>5044</v>
      </c>
      <c r="AE1009" s="7" t="s">
        <v>5044</v>
      </c>
      <c r="AF1009" s="7" t="s">
        <v>5044</v>
      </c>
      <c r="AG1009" s="7">
        <v>2</v>
      </c>
      <c r="AH1009" s="7">
        <v>3</v>
      </c>
      <c r="AI1009" s="7">
        <v>0</v>
      </c>
      <c r="AJ1009" s="7" t="s">
        <v>5044</v>
      </c>
      <c r="AL1009" s="7">
        <v>0</v>
      </c>
      <c r="AM1009" s="7">
        <v>0</v>
      </c>
      <c r="AO1009" s="11">
        <v>3</v>
      </c>
    </row>
    <row r="1010" spans="1:41" ht="63" customHeight="1" x14ac:dyDescent="0.2">
      <c r="A1010" s="7">
        <v>12203</v>
      </c>
      <c r="B1010" s="7" t="s">
        <v>4737</v>
      </c>
      <c r="C1010" s="7" t="s">
        <v>4738</v>
      </c>
      <c r="D1010" s="7" t="s">
        <v>46</v>
      </c>
      <c r="F1010" s="7" t="s">
        <v>2974</v>
      </c>
      <c r="G1010" s="7" t="s">
        <v>27</v>
      </c>
      <c r="H1010" s="7" t="s">
        <v>2975</v>
      </c>
      <c r="I1010" s="7" t="s">
        <v>13</v>
      </c>
      <c r="J1010" s="7" t="s">
        <v>4739</v>
      </c>
      <c r="K1010" s="7" t="s">
        <v>4740</v>
      </c>
      <c r="L1010" s="7" t="s">
        <v>5044</v>
      </c>
      <c r="M1010" s="7">
        <v>0</v>
      </c>
      <c r="N1010" s="9" t="s">
        <v>5044</v>
      </c>
      <c r="O1010" s="9" t="s">
        <v>5044</v>
      </c>
      <c r="P1010" s="7">
        <v>0</v>
      </c>
      <c r="Q1010" s="7">
        <v>0</v>
      </c>
      <c r="R1010" s="7">
        <v>0</v>
      </c>
      <c r="S1010" s="7">
        <v>1</v>
      </c>
      <c r="T1010" s="7">
        <v>1</v>
      </c>
      <c r="U1010" s="7">
        <v>40</v>
      </c>
      <c r="V1010" s="7">
        <v>1</v>
      </c>
      <c r="W1010" s="7">
        <v>0</v>
      </c>
      <c r="X1010" s="7">
        <v>0</v>
      </c>
      <c r="Y1010" s="7">
        <v>0</v>
      </c>
      <c r="Z1010" s="7">
        <v>0</v>
      </c>
      <c r="AA1010" s="7">
        <v>0</v>
      </c>
      <c r="AB1010" s="7">
        <v>1</v>
      </c>
      <c r="AC1010" s="7">
        <v>1</v>
      </c>
      <c r="AD1010" s="7">
        <v>2</v>
      </c>
      <c r="AE1010" s="7">
        <v>2</v>
      </c>
      <c r="AF1010" s="7">
        <v>2</v>
      </c>
      <c r="AG1010" s="7" t="s">
        <v>5044</v>
      </c>
      <c r="AH1010" s="7" t="s">
        <v>5044</v>
      </c>
      <c r="AI1010" s="7" t="s">
        <v>5044</v>
      </c>
      <c r="AJ1010" s="7" t="s">
        <v>5044</v>
      </c>
      <c r="AL1010" s="7">
        <v>0</v>
      </c>
      <c r="AM1010" s="7">
        <v>0</v>
      </c>
      <c r="AO1010" s="11">
        <v>2</v>
      </c>
    </row>
    <row r="1011" spans="1:41" ht="63" customHeight="1" x14ac:dyDescent="0.2">
      <c r="A1011" s="7">
        <v>12224</v>
      </c>
      <c r="B1011" s="7" t="s">
        <v>4741</v>
      </c>
      <c r="C1011" s="7" t="s">
        <v>4742</v>
      </c>
      <c r="D1011" s="7" t="s">
        <v>74</v>
      </c>
      <c r="E1011" s="7" t="s">
        <v>4746</v>
      </c>
      <c r="H1011" s="7" t="s">
        <v>4743</v>
      </c>
      <c r="I1011" s="7" t="s">
        <v>13</v>
      </c>
      <c r="J1011" s="7" t="s">
        <v>4744</v>
      </c>
      <c r="K1011" s="7" t="s">
        <v>4745</v>
      </c>
      <c r="L1011" s="8" t="s">
        <v>5167</v>
      </c>
      <c r="M1011" s="7">
        <v>0</v>
      </c>
      <c r="N1011" s="9" t="s">
        <v>5044</v>
      </c>
      <c r="O1011" s="9" t="s">
        <v>5044</v>
      </c>
      <c r="P1011" s="7">
        <v>1</v>
      </c>
      <c r="Q1011" s="7">
        <v>0</v>
      </c>
      <c r="R1011" s="7">
        <v>0</v>
      </c>
      <c r="S1011" s="7">
        <v>1</v>
      </c>
      <c r="T1011" s="7">
        <v>2</v>
      </c>
      <c r="U1011" s="7">
        <v>102</v>
      </c>
      <c r="V1011" s="7">
        <v>0</v>
      </c>
      <c r="W1011" s="7">
        <v>1</v>
      </c>
      <c r="X1011" s="7">
        <v>0</v>
      </c>
      <c r="Y1011" s="7">
        <v>0</v>
      </c>
      <c r="Z1011" s="7">
        <v>0</v>
      </c>
      <c r="AA1011" s="7">
        <v>0</v>
      </c>
      <c r="AB1011" s="7">
        <v>1</v>
      </c>
      <c r="AC1011" s="7">
        <v>1</v>
      </c>
      <c r="AD1011" s="7" t="s">
        <v>5044</v>
      </c>
      <c r="AE1011" s="7" t="s">
        <v>5044</v>
      </c>
      <c r="AF1011" s="7" t="s">
        <v>5044</v>
      </c>
      <c r="AG1011" s="7">
        <v>2</v>
      </c>
      <c r="AH1011" s="7">
        <v>3</v>
      </c>
      <c r="AI1011" s="7">
        <v>0</v>
      </c>
      <c r="AJ1011" s="7" t="s">
        <v>5044</v>
      </c>
      <c r="AL1011" s="7">
        <v>0</v>
      </c>
      <c r="AM1011" s="7">
        <v>0</v>
      </c>
      <c r="AO1011" s="11">
        <v>3</v>
      </c>
    </row>
    <row r="1012" spans="1:41" ht="63" customHeight="1" x14ac:dyDescent="0.2">
      <c r="A1012" s="7">
        <v>12225</v>
      </c>
      <c r="B1012" s="7" t="s">
        <v>4747</v>
      </c>
      <c r="C1012" s="7" t="s">
        <v>4748</v>
      </c>
      <c r="D1012" s="7" t="s">
        <v>56</v>
      </c>
      <c r="F1012" s="7" t="s">
        <v>521</v>
      </c>
      <c r="G1012" s="7" t="s">
        <v>27</v>
      </c>
      <c r="H1012" s="7" t="s">
        <v>38</v>
      </c>
      <c r="I1012" s="7" t="s">
        <v>13</v>
      </c>
      <c r="J1012" s="7" t="s">
        <v>4749</v>
      </c>
      <c r="K1012" s="7" t="s">
        <v>4750</v>
      </c>
      <c r="L1012" s="7" t="s">
        <v>5168</v>
      </c>
      <c r="M1012" s="7">
        <v>0</v>
      </c>
      <c r="N1012" s="9" t="s">
        <v>5044</v>
      </c>
      <c r="O1012" s="9" t="s">
        <v>5044</v>
      </c>
      <c r="P1012" s="7">
        <v>0</v>
      </c>
      <c r="Q1012" s="7">
        <v>0</v>
      </c>
      <c r="R1012" s="7">
        <v>0</v>
      </c>
      <c r="S1012" s="7">
        <v>11</v>
      </c>
      <c r="T1012" s="7">
        <v>1</v>
      </c>
      <c r="U1012" s="7">
        <v>412</v>
      </c>
      <c r="V1012" s="7">
        <v>0</v>
      </c>
      <c r="W1012" s="7">
        <v>1</v>
      </c>
      <c r="X1012" s="7">
        <v>0</v>
      </c>
      <c r="Y1012" s="7">
        <v>0</v>
      </c>
      <c r="Z1012" s="7">
        <v>0</v>
      </c>
      <c r="AA1012" s="7">
        <v>0</v>
      </c>
      <c r="AB1012" s="7">
        <v>1</v>
      </c>
      <c r="AC1012" s="7">
        <v>1</v>
      </c>
      <c r="AD1012" s="7" t="s">
        <v>5044</v>
      </c>
      <c r="AE1012" s="7" t="s">
        <v>5044</v>
      </c>
      <c r="AF1012" s="7" t="s">
        <v>5044</v>
      </c>
      <c r="AG1012" s="7">
        <v>2</v>
      </c>
      <c r="AH1012" s="7">
        <v>3</v>
      </c>
      <c r="AI1012" s="7">
        <v>0</v>
      </c>
      <c r="AJ1012" s="7" t="s">
        <v>5044</v>
      </c>
      <c r="AL1012" s="7">
        <v>0</v>
      </c>
      <c r="AM1012" s="7">
        <v>0</v>
      </c>
      <c r="AO1012" s="11">
        <v>3</v>
      </c>
    </row>
    <row r="1013" spans="1:41" ht="63" customHeight="1" x14ac:dyDescent="0.2">
      <c r="A1013" s="7">
        <v>12232</v>
      </c>
      <c r="B1013" s="7" t="s">
        <v>4751</v>
      </c>
      <c r="C1013" s="7" t="s">
        <v>4752</v>
      </c>
      <c r="D1013" s="7" t="s">
        <v>41</v>
      </c>
      <c r="F1013" s="7" t="s">
        <v>2221</v>
      </c>
      <c r="G1013" s="7" t="s">
        <v>144</v>
      </c>
      <c r="H1013" s="7" t="s">
        <v>71</v>
      </c>
      <c r="I1013" s="7" t="s">
        <v>13</v>
      </c>
      <c r="J1013" s="7" t="s">
        <v>4753</v>
      </c>
      <c r="K1013" s="7" t="s">
        <v>4754</v>
      </c>
      <c r="L1013" s="7" t="s">
        <v>5169</v>
      </c>
      <c r="M1013" s="7">
        <v>0</v>
      </c>
      <c r="N1013" s="9" t="s">
        <v>5044</v>
      </c>
      <c r="O1013" s="9" t="s">
        <v>5044</v>
      </c>
      <c r="P1013" s="7">
        <v>0</v>
      </c>
      <c r="Q1013" s="7">
        <v>0</v>
      </c>
      <c r="R1013" s="7">
        <v>0</v>
      </c>
      <c r="S1013" s="7">
        <v>9</v>
      </c>
      <c r="T1013" s="7">
        <v>1</v>
      </c>
      <c r="U1013" s="7">
        <v>50</v>
      </c>
      <c r="V1013" s="7">
        <v>0</v>
      </c>
      <c r="W1013" s="7">
        <v>0</v>
      </c>
      <c r="X1013" s="7">
        <v>1</v>
      </c>
      <c r="Y1013" s="7">
        <v>0</v>
      </c>
      <c r="Z1013" s="7">
        <v>0</v>
      </c>
      <c r="AA1013" s="7">
        <v>0</v>
      </c>
      <c r="AB1013" s="7">
        <v>1</v>
      </c>
      <c r="AC1013" s="7">
        <v>1</v>
      </c>
      <c r="AD1013" s="7" t="s">
        <v>5044</v>
      </c>
      <c r="AE1013" s="7" t="s">
        <v>5044</v>
      </c>
      <c r="AF1013" s="7" t="s">
        <v>5044</v>
      </c>
      <c r="AG1013" s="7">
        <v>1</v>
      </c>
      <c r="AH1013" s="7">
        <v>0</v>
      </c>
      <c r="AI1013" s="7">
        <v>0</v>
      </c>
      <c r="AJ1013" s="7" t="s">
        <v>5044</v>
      </c>
      <c r="AL1013" s="7">
        <v>0</v>
      </c>
      <c r="AM1013" s="7">
        <v>0</v>
      </c>
      <c r="AN1013" s="7" t="s">
        <v>6289</v>
      </c>
      <c r="AO1013" s="9">
        <v>0</v>
      </c>
    </row>
    <row r="1014" spans="1:41" ht="63" customHeight="1" x14ac:dyDescent="0.2">
      <c r="A1014" s="7">
        <v>12238</v>
      </c>
      <c r="B1014" s="7" t="s">
        <v>4755</v>
      </c>
      <c r="C1014" s="7" t="s">
        <v>4756</v>
      </c>
      <c r="D1014" s="7" t="s">
        <v>375</v>
      </c>
      <c r="F1014" s="7" t="s">
        <v>27</v>
      </c>
      <c r="G1014" s="7" t="s">
        <v>11</v>
      </c>
      <c r="H1014" s="7" t="s">
        <v>4713</v>
      </c>
      <c r="I1014" s="7" t="s">
        <v>13</v>
      </c>
      <c r="J1014" s="7" t="s">
        <v>4757</v>
      </c>
      <c r="K1014" s="7" t="s">
        <v>4758</v>
      </c>
      <c r="L1014" s="7" t="s">
        <v>5044</v>
      </c>
      <c r="M1014" s="7">
        <v>0</v>
      </c>
      <c r="N1014" s="9" t="s">
        <v>5044</v>
      </c>
      <c r="O1014" s="9" t="s">
        <v>5044</v>
      </c>
      <c r="P1014" s="7">
        <v>0</v>
      </c>
      <c r="Q1014" s="7">
        <v>0</v>
      </c>
      <c r="R1014" s="7">
        <v>0</v>
      </c>
      <c r="S1014" s="7">
        <v>3</v>
      </c>
      <c r="T1014" s="7">
        <v>1</v>
      </c>
      <c r="U1014" s="7">
        <v>128</v>
      </c>
      <c r="V1014" s="7">
        <v>0</v>
      </c>
      <c r="W1014" s="7">
        <v>1</v>
      </c>
      <c r="X1014" s="7">
        <v>0</v>
      </c>
      <c r="Y1014" s="7">
        <v>0</v>
      </c>
      <c r="Z1014" s="7">
        <v>0</v>
      </c>
      <c r="AA1014" s="7">
        <v>0</v>
      </c>
      <c r="AB1014" s="7">
        <v>1</v>
      </c>
      <c r="AC1014" s="7">
        <v>1</v>
      </c>
      <c r="AD1014" s="7" t="s">
        <v>5044</v>
      </c>
      <c r="AE1014" s="7" t="s">
        <v>5044</v>
      </c>
      <c r="AF1014" s="7" t="s">
        <v>5044</v>
      </c>
      <c r="AG1014" s="7">
        <v>1</v>
      </c>
      <c r="AH1014" s="7">
        <v>0</v>
      </c>
      <c r="AI1014" s="7">
        <v>0</v>
      </c>
      <c r="AJ1014" s="7" t="s">
        <v>5044</v>
      </c>
      <c r="AL1014" s="7">
        <v>1</v>
      </c>
      <c r="AM1014" s="7">
        <v>0</v>
      </c>
      <c r="AO1014" s="9">
        <v>0</v>
      </c>
    </row>
    <row r="1015" spans="1:41" ht="63" customHeight="1" x14ac:dyDescent="0.2">
      <c r="A1015" s="7">
        <v>12257</v>
      </c>
      <c r="B1015" s="7" t="s">
        <v>4759</v>
      </c>
      <c r="C1015" s="7" t="s">
        <v>4760</v>
      </c>
      <c r="D1015" s="7" t="s">
        <v>101</v>
      </c>
      <c r="F1015" s="7" t="s">
        <v>356</v>
      </c>
      <c r="G1015" s="7" t="s">
        <v>175</v>
      </c>
      <c r="H1015" s="7" t="s">
        <v>86</v>
      </c>
      <c r="I1015" s="7" t="s">
        <v>13</v>
      </c>
      <c r="J1015" s="7" t="s">
        <v>4761</v>
      </c>
      <c r="K1015" s="7" t="s">
        <v>4762</v>
      </c>
      <c r="L1015" s="7" t="s">
        <v>5044</v>
      </c>
      <c r="M1015" s="7">
        <v>0</v>
      </c>
      <c r="N1015" s="9" t="s">
        <v>5044</v>
      </c>
      <c r="O1015" s="9" t="s">
        <v>5044</v>
      </c>
      <c r="P1015" s="7">
        <v>0</v>
      </c>
      <c r="Q1015" s="7">
        <v>0</v>
      </c>
      <c r="R1015" s="7">
        <v>0</v>
      </c>
      <c r="S1015" s="7" t="s">
        <v>5170</v>
      </c>
      <c r="T1015" s="7">
        <v>2</v>
      </c>
      <c r="U1015" s="7">
        <v>157</v>
      </c>
      <c r="V1015" s="7">
        <v>0</v>
      </c>
      <c r="W1015" s="7">
        <v>1</v>
      </c>
      <c r="X1015" s="7">
        <v>0</v>
      </c>
      <c r="Y1015" s="7">
        <v>0</v>
      </c>
      <c r="Z1015" s="7">
        <v>0</v>
      </c>
      <c r="AA1015" s="7">
        <v>0</v>
      </c>
      <c r="AB1015" s="7">
        <v>1</v>
      </c>
      <c r="AC1015" s="7">
        <v>1</v>
      </c>
      <c r="AD1015" s="7" t="s">
        <v>5044</v>
      </c>
      <c r="AE1015" s="7" t="s">
        <v>5044</v>
      </c>
      <c r="AF1015" s="7" t="s">
        <v>5044</v>
      </c>
      <c r="AG1015" s="7">
        <v>2</v>
      </c>
      <c r="AH1015" s="7">
        <v>3</v>
      </c>
      <c r="AI1015" s="7">
        <v>0</v>
      </c>
      <c r="AJ1015" s="7" t="s">
        <v>5044</v>
      </c>
      <c r="AL1015" s="7">
        <v>0</v>
      </c>
      <c r="AM1015" s="7">
        <v>0</v>
      </c>
      <c r="AO1015" s="11">
        <v>3</v>
      </c>
    </row>
    <row r="1016" spans="1:41" ht="63" customHeight="1" x14ac:dyDescent="0.2">
      <c r="A1016" s="7">
        <v>12261</v>
      </c>
      <c r="B1016" s="7" t="s">
        <v>4763</v>
      </c>
      <c r="C1016" s="7" t="s">
        <v>4764</v>
      </c>
      <c r="D1016" s="7" t="s">
        <v>41</v>
      </c>
      <c r="F1016" s="7" t="s">
        <v>703</v>
      </c>
      <c r="G1016" s="7" t="s">
        <v>17</v>
      </c>
      <c r="H1016" s="7" t="s">
        <v>160</v>
      </c>
      <c r="I1016" s="7" t="s">
        <v>13</v>
      </c>
      <c r="J1016" s="7" t="s">
        <v>4765</v>
      </c>
      <c r="K1016" s="7" t="s">
        <v>4766</v>
      </c>
      <c r="L1016" s="7" t="s">
        <v>5044</v>
      </c>
      <c r="M1016" s="7">
        <v>0</v>
      </c>
      <c r="N1016" s="9" t="s">
        <v>5044</v>
      </c>
      <c r="O1016" s="9" t="s">
        <v>5044</v>
      </c>
      <c r="P1016" s="7">
        <v>0</v>
      </c>
      <c r="Q1016" s="7">
        <v>0</v>
      </c>
      <c r="R1016" s="7">
        <v>0</v>
      </c>
      <c r="S1016" s="7">
        <v>1</v>
      </c>
      <c r="T1016" s="7">
        <v>1</v>
      </c>
      <c r="U1016" s="7">
        <v>39</v>
      </c>
      <c r="V1016" s="7">
        <v>1</v>
      </c>
      <c r="W1016" s="7">
        <v>0</v>
      </c>
      <c r="X1016" s="7">
        <v>0</v>
      </c>
      <c r="Y1016" s="7">
        <v>0</v>
      </c>
      <c r="Z1016" s="7">
        <v>0</v>
      </c>
      <c r="AA1016" s="7">
        <v>0</v>
      </c>
      <c r="AB1016" s="7">
        <v>1</v>
      </c>
      <c r="AC1016" s="7">
        <v>1</v>
      </c>
      <c r="AD1016" s="7">
        <v>1</v>
      </c>
      <c r="AE1016" s="7">
        <v>0</v>
      </c>
      <c r="AF1016" s="7">
        <v>0</v>
      </c>
      <c r="AG1016" s="7" t="s">
        <v>5044</v>
      </c>
      <c r="AH1016" s="7" t="s">
        <v>5044</v>
      </c>
      <c r="AI1016" s="7" t="s">
        <v>5044</v>
      </c>
      <c r="AJ1016" s="7" t="s">
        <v>5044</v>
      </c>
      <c r="AL1016" s="7">
        <v>0</v>
      </c>
      <c r="AM1016" s="7">
        <v>0</v>
      </c>
      <c r="AO1016" s="9">
        <v>0</v>
      </c>
    </row>
    <row r="1017" spans="1:41" ht="63" customHeight="1" x14ac:dyDescent="0.2">
      <c r="A1017" s="7">
        <v>12282</v>
      </c>
      <c r="B1017" s="7" t="s">
        <v>4767</v>
      </c>
      <c r="C1017" s="7" t="s">
        <v>4768</v>
      </c>
      <c r="D1017" s="7" t="s">
        <v>41</v>
      </c>
      <c r="F1017" s="7" t="s">
        <v>42</v>
      </c>
      <c r="G1017" s="7" t="s">
        <v>32</v>
      </c>
      <c r="H1017" s="7" t="s">
        <v>43</v>
      </c>
      <c r="I1017" s="7" t="s">
        <v>13</v>
      </c>
      <c r="J1017" s="7" t="s">
        <v>4769</v>
      </c>
      <c r="K1017" s="7" t="s">
        <v>4770</v>
      </c>
      <c r="L1017" s="7" t="s">
        <v>5190</v>
      </c>
      <c r="M1017" s="7">
        <v>0</v>
      </c>
      <c r="N1017" s="9" t="s">
        <v>5044</v>
      </c>
      <c r="O1017" s="9" t="s">
        <v>5044</v>
      </c>
      <c r="P1017" s="7">
        <v>0</v>
      </c>
      <c r="Q1017" s="7">
        <v>0</v>
      </c>
      <c r="R1017" s="7">
        <v>0</v>
      </c>
      <c r="S1017" s="7">
        <v>1</v>
      </c>
      <c r="T1017" s="7">
        <v>4</v>
      </c>
      <c r="U1017" s="7">
        <v>405</v>
      </c>
      <c r="V1017" s="7">
        <v>1</v>
      </c>
      <c r="W1017" s="7">
        <v>1</v>
      </c>
      <c r="X1017" s="7">
        <v>0</v>
      </c>
      <c r="Y1017" s="7">
        <v>0</v>
      </c>
      <c r="Z1017" s="7">
        <v>1</v>
      </c>
      <c r="AA1017" s="7">
        <v>0</v>
      </c>
      <c r="AB1017" s="7">
        <v>1</v>
      </c>
      <c r="AC1017" s="7">
        <v>1</v>
      </c>
      <c r="AD1017" s="7">
        <v>2</v>
      </c>
      <c r="AE1017" s="7">
        <v>1</v>
      </c>
      <c r="AF1017" s="7">
        <v>2</v>
      </c>
      <c r="AG1017" s="7">
        <v>1</v>
      </c>
      <c r="AH1017" s="7">
        <v>0</v>
      </c>
      <c r="AI1017" s="7">
        <v>0</v>
      </c>
      <c r="AJ1017" s="7">
        <v>1</v>
      </c>
      <c r="AK1017" s="7" t="s">
        <v>6507</v>
      </c>
      <c r="AL1017" s="7">
        <v>1</v>
      </c>
      <c r="AM1017" s="7">
        <v>0</v>
      </c>
      <c r="AO1017" s="9">
        <v>0</v>
      </c>
    </row>
    <row r="1018" spans="1:41" ht="63" customHeight="1" x14ac:dyDescent="0.2">
      <c r="A1018" s="7">
        <v>12297</v>
      </c>
      <c r="B1018" s="7" t="s">
        <v>4771</v>
      </c>
      <c r="C1018" s="7" t="s">
        <v>4772</v>
      </c>
      <c r="D1018" s="7" t="s">
        <v>95</v>
      </c>
      <c r="F1018" s="7" t="s">
        <v>356</v>
      </c>
      <c r="G1018" s="7" t="s">
        <v>175</v>
      </c>
      <c r="H1018" s="7" t="s">
        <v>160</v>
      </c>
      <c r="I1018" s="7" t="s">
        <v>13</v>
      </c>
      <c r="J1018" s="7" t="s">
        <v>4773</v>
      </c>
      <c r="K1018" s="7" t="s">
        <v>4774</v>
      </c>
      <c r="L1018" s="7" t="s">
        <v>5171</v>
      </c>
      <c r="M1018" s="7">
        <v>0</v>
      </c>
      <c r="N1018" s="9" t="s">
        <v>5044</v>
      </c>
      <c r="O1018" s="9" t="s">
        <v>5044</v>
      </c>
      <c r="P1018" s="7">
        <v>0</v>
      </c>
      <c r="Q1018" s="7">
        <v>0</v>
      </c>
      <c r="R1018" s="7">
        <v>0</v>
      </c>
      <c r="S1018" s="7">
        <v>1</v>
      </c>
      <c r="T1018" s="7">
        <v>1</v>
      </c>
      <c r="U1018" s="7">
        <v>600</v>
      </c>
      <c r="V1018" s="7">
        <v>1</v>
      </c>
      <c r="W1018" s="7">
        <v>0</v>
      </c>
      <c r="X1018" s="7">
        <v>0</v>
      </c>
      <c r="Y1018" s="7">
        <v>0</v>
      </c>
      <c r="Z1018" s="7">
        <v>0</v>
      </c>
      <c r="AA1018" s="7">
        <v>0</v>
      </c>
      <c r="AB1018" s="7">
        <v>1</v>
      </c>
      <c r="AC1018" s="7">
        <v>1</v>
      </c>
      <c r="AD1018" s="7">
        <v>1</v>
      </c>
      <c r="AE1018" s="7">
        <v>0</v>
      </c>
      <c r="AF1018" s="7">
        <v>0</v>
      </c>
      <c r="AG1018" s="7" t="s">
        <v>5044</v>
      </c>
      <c r="AH1018" s="7" t="s">
        <v>5044</v>
      </c>
      <c r="AI1018" s="7" t="s">
        <v>5044</v>
      </c>
      <c r="AJ1018" s="7" t="s">
        <v>5044</v>
      </c>
      <c r="AL1018" s="7">
        <v>1</v>
      </c>
      <c r="AM1018" s="7">
        <v>0</v>
      </c>
      <c r="AO1018" s="9">
        <v>0</v>
      </c>
    </row>
    <row r="1019" spans="1:41" ht="63" customHeight="1" x14ac:dyDescent="0.2">
      <c r="A1019" s="7">
        <v>12298</v>
      </c>
      <c r="B1019" s="7" t="s">
        <v>4775</v>
      </c>
      <c r="C1019" s="7" t="s">
        <v>4776</v>
      </c>
      <c r="D1019" s="7" t="s">
        <v>41</v>
      </c>
      <c r="F1019" s="7" t="s">
        <v>1353</v>
      </c>
      <c r="G1019" s="7" t="s">
        <v>11</v>
      </c>
      <c r="H1019" s="7" t="s">
        <v>916</v>
      </c>
      <c r="I1019" s="7" t="s">
        <v>13</v>
      </c>
      <c r="J1019" s="7" t="s">
        <v>4777</v>
      </c>
      <c r="K1019" s="7" t="s">
        <v>4778</v>
      </c>
      <c r="L1019" s="7" t="s">
        <v>5172</v>
      </c>
      <c r="M1019" s="7">
        <v>0</v>
      </c>
      <c r="N1019" s="9" t="s">
        <v>5044</v>
      </c>
      <c r="O1019" s="9" t="s">
        <v>5044</v>
      </c>
      <c r="P1019" s="7">
        <v>0</v>
      </c>
      <c r="Q1019" s="7">
        <v>0</v>
      </c>
      <c r="R1019" s="7">
        <v>0</v>
      </c>
      <c r="S1019" s="7">
        <v>1</v>
      </c>
      <c r="T1019" s="7">
        <v>1</v>
      </c>
      <c r="U1019" s="7">
        <v>204</v>
      </c>
      <c r="V1019" s="7">
        <v>0</v>
      </c>
      <c r="W1019" s="7">
        <v>1</v>
      </c>
      <c r="X1019" s="7">
        <v>0</v>
      </c>
      <c r="Y1019" s="7">
        <v>0</v>
      </c>
      <c r="Z1019" s="7">
        <v>0</v>
      </c>
      <c r="AA1019" s="7">
        <v>0</v>
      </c>
      <c r="AB1019" s="7">
        <v>1</v>
      </c>
      <c r="AC1019" s="7">
        <v>0</v>
      </c>
      <c r="AD1019" s="7" t="s">
        <v>5044</v>
      </c>
      <c r="AE1019" s="7" t="s">
        <v>5044</v>
      </c>
      <c r="AF1019" s="7" t="s">
        <v>5044</v>
      </c>
      <c r="AG1019" s="7">
        <v>0</v>
      </c>
      <c r="AH1019" s="7" t="s">
        <v>5044</v>
      </c>
      <c r="AI1019" s="7" t="s">
        <v>5044</v>
      </c>
      <c r="AJ1019" s="7" t="s">
        <v>5044</v>
      </c>
      <c r="AL1019" s="7" t="s">
        <v>5044</v>
      </c>
      <c r="AM1019" s="7">
        <v>0</v>
      </c>
      <c r="AN1019" s="7" t="s">
        <v>6508</v>
      </c>
      <c r="AO1019" s="11">
        <v>9</v>
      </c>
    </row>
    <row r="1020" spans="1:41" ht="63" customHeight="1" x14ac:dyDescent="0.2">
      <c r="A1020" s="7">
        <v>12299</v>
      </c>
      <c r="B1020" s="7" t="s">
        <v>4779</v>
      </c>
      <c r="C1020" s="7" t="s">
        <v>4780</v>
      </c>
      <c r="D1020" s="7" t="s">
        <v>95</v>
      </c>
      <c r="F1020" s="7" t="s">
        <v>356</v>
      </c>
      <c r="G1020" s="7" t="s">
        <v>27</v>
      </c>
      <c r="H1020" s="7" t="s">
        <v>160</v>
      </c>
      <c r="I1020" s="7" t="s">
        <v>13</v>
      </c>
      <c r="J1020" s="7" t="s">
        <v>4781</v>
      </c>
      <c r="K1020" s="7" t="s">
        <v>4782</v>
      </c>
      <c r="L1020" s="7" t="s">
        <v>5173</v>
      </c>
      <c r="M1020" s="7">
        <v>0</v>
      </c>
      <c r="N1020" s="9" t="s">
        <v>5044</v>
      </c>
      <c r="O1020" s="9" t="s">
        <v>5044</v>
      </c>
      <c r="P1020" s="7">
        <v>0</v>
      </c>
      <c r="Q1020" s="7">
        <v>0</v>
      </c>
      <c r="R1020" s="7">
        <v>0</v>
      </c>
      <c r="S1020" s="7">
        <v>1</v>
      </c>
      <c r="T1020" s="7">
        <v>1</v>
      </c>
      <c r="U1020" s="7">
        <v>144</v>
      </c>
      <c r="V1020" s="7">
        <v>1</v>
      </c>
      <c r="W1020" s="7">
        <v>0</v>
      </c>
      <c r="X1020" s="7">
        <v>0</v>
      </c>
      <c r="Y1020" s="7">
        <v>0</v>
      </c>
      <c r="Z1020" s="7">
        <v>0</v>
      </c>
      <c r="AA1020" s="7">
        <v>0</v>
      </c>
      <c r="AB1020" s="7">
        <v>1</v>
      </c>
      <c r="AC1020" s="7">
        <v>1</v>
      </c>
      <c r="AD1020" s="7">
        <v>1</v>
      </c>
      <c r="AE1020" s="7">
        <v>0</v>
      </c>
      <c r="AF1020" s="7">
        <v>0</v>
      </c>
      <c r="AG1020" s="7" t="s">
        <v>5044</v>
      </c>
      <c r="AH1020" s="7" t="s">
        <v>5044</v>
      </c>
      <c r="AI1020" s="7" t="s">
        <v>5044</v>
      </c>
      <c r="AJ1020" s="7" t="s">
        <v>5044</v>
      </c>
      <c r="AL1020" s="7">
        <v>0</v>
      </c>
      <c r="AM1020" s="7">
        <v>0</v>
      </c>
      <c r="AO1020" s="9">
        <v>0</v>
      </c>
    </row>
    <row r="1021" spans="1:41" ht="63" customHeight="1" x14ac:dyDescent="0.2">
      <c r="A1021" s="7">
        <v>12323</v>
      </c>
      <c r="B1021" s="7" t="s">
        <v>4783</v>
      </c>
      <c r="C1021" s="7" t="s">
        <v>4784</v>
      </c>
      <c r="D1021" s="7" t="s">
        <v>25</v>
      </c>
      <c r="F1021" s="7" t="s">
        <v>107</v>
      </c>
      <c r="G1021" s="7" t="s">
        <v>37</v>
      </c>
      <c r="H1021" s="7" t="s">
        <v>157</v>
      </c>
      <c r="I1021" s="7" t="s">
        <v>13</v>
      </c>
      <c r="J1021" s="7" t="s">
        <v>4785</v>
      </c>
      <c r="K1021" s="7" t="s">
        <v>4786</v>
      </c>
      <c r="L1021" s="8" t="s">
        <v>5174</v>
      </c>
      <c r="M1021" s="7">
        <v>0</v>
      </c>
      <c r="N1021" s="9" t="s">
        <v>5044</v>
      </c>
      <c r="O1021" s="9" t="s">
        <v>5044</v>
      </c>
      <c r="P1021" s="7">
        <v>0</v>
      </c>
      <c r="Q1021" s="7">
        <v>0</v>
      </c>
      <c r="R1021" s="7">
        <v>0</v>
      </c>
      <c r="S1021" s="7">
        <v>1</v>
      </c>
      <c r="T1021" s="7">
        <v>4</v>
      </c>
      <c r="U1021" s="7">
        <v>26</v>
      </c>
      <c r="V1021" s="7">
        <v>0</v>
      </c>
      <c r="W1021" s="7">
        <v>0</v>
      </c>
      <c r="X1021" s="7">
        <v>1</v>
      </c>
      <c r="Y1021" s="7">
        <v>0</v>
      </c>
      <c r="Z1021" s="7">
        <v>0</v>
      </c>
      <c r="AA1021" s="7">
        <v>0</v>
      </c>
      <c r="AB1021" s="7">
        <v>1</v>
      </c>
      <c r="AC1021" s="7">
        <v>1</v>
      </c>
      <c r="AD1021" s="7" t="s">
        <v>5044</v>
      </c>
      <c r="AE1021" s="7" t="s">
        <v>5044</v>
      </c>
      <c r="AF1021" s="7" t="s">
        <v>5044</v>
      </c>
      <c r="AG1021" s="7">
        <v>1</v>
      </c>
      <c r="AH1021" s="7">
        <v>0</v>
      </c>
      <c r="AI1021" s="7">
        <v>0</v>
      </c>
      <c r="AJ1021" s="7" t="s">
        <v>5044</v>
      </c>
      <c r="AL1021" s="7">
        <v>0</v>
      </c>
      <c r="AM1021" s="7">
        <v>0</v>
      </c>
      <c r="AN1021" s="7" t="s">
        <v>6273</v>
      </c>
      <c r="AO1021" s="9">
        <v>0</v>
      </c>
    </row>
    <row r="1022" spans="1:41" ht="63" customHeight="1" x14ac:dyDescent="0.2">
      <c r="A1022" s="7">
        <v>12335</v>
      </c>
      <c r="B1022" s="7" t="s">
        <v>4787</v>
      </c>
      <c r="C1022" s="7" t="s">
        <v>4788</v>
      </c>
      <c r="D1022" s="7" t="s">
        <v>101</v>
      </c>
      <c r="F1022" s="7" t="s">
        <v>37</v>
      </c>
      <c r="G1022" s="7" t="s">
        <v>52</v>
      </c>
      <c r="H1022" s="7" t="s">
        <v>4789</v>
      </c>
      <c r="I1022" s="7" t="s">
        <v>13</v>
      </c>
      <c r="J1022" s="7" t="s">
        <v>4790</v>
      </c>
      <c r="K1022" s="7" t="s">
        <v>4791</v>
      </c>
      <c r="L1022" s="7" t="s">
        <v>5175</v>
      </c>
      <c r="M1022" s="7">
        <v>0</v>
      </c>
      <c r="N1022" s="9" t="s">
        <v>5044</v>
      </c>
      <c r="O1022" s="9" t="s">
        <v>5044</v>
      </c>
      <c r="P1022" s="7">
        <v>0</v>
      </c>
      <c r="Q1022" s="7">
        <v>0</v>
      </c>
      <c r="R1022" s="7">
        <v>0</v>
      </c>
      <c r="S1022" s="7">
        <v>1</v>
      </c>
      <c r="T1022" s="7">
        <v>4</v>
      </c>
      <c r="U1022" s="7">
        <v>56</v>
      </c>
      <c r="V1022" s="7">
        <v>0</v>
      </c>
      <c r="W1022" s="7">
        <v>1</v>
      </c>
      <c r="X1022" s="7">
        <v>0</v>
      </c>
      <c r="Y1022" s="7">
        <v>0</v>
      </c>
      <c r="Z1022" s="7">
        <v>0</v>
      </c>
      <c r="AA1022" s="7">
        <v>0</v>
      </c>
      <c r="AB1022" s="7">
        <v>1</v>
      </c>
      <c r="AC1022" s="7">
        <v>1</v>
      </c>
      <c r="AD1022" s="7" t="s">
        <v>5044</v>
      </c>
      <c r="AE1022" s="7" t="s">
        <v>5044</v>
      </c>
      <c r="AF1022" s="7" t="s">
        <v>5044</v>
      </c>
      <c r="AG1022" s="7">
        <v>2</v>
      </c>
      <c r="AH1022" s="7">
        <v>3</v>
      </c>
      <c r="AI1022" s="7" t="s">
        <v>5044</v>
      </c>
      <c r="AJ1022" s="7" t="s">
        <v>5044</v>
      </c>
      <c r="AL1022" s="7">
        <v>0</v>
      </c>
      <c r="AM1022" s="7">
        <v>0</v>
      </c>
      <c r="AO1022" s="11">
        <v>3</v>
      </c>
    </row>
    <row r="1023" spans="1:41" ht="63" customHeight="1" x14ac:dyDescent="0.2">
      <c r="A1023" s="7">
        <v>12349</v>
      </c>
      <c r="B1023" s="7" t="s">
        <v>4792</v>
      </c>
      <c r="C1023" s="7" t="s">
        <v>4793</v>
      </c>
      <c r="D1023" s="7" t="s">
        <v>46</v>
      </c>
      <c r="F1023" s="7" t="s">
        <v>129</v>
      </c>
      <c r="G1023" s="7" t="s">
        <v>32</v>
      </c>
      <c r="H1023" s="7" t="s">
        <v>2478</v>
      </c>
      <c r="I1023" s="7" t="s">
        <v>13</v>
      </c>
      <c r="J1023" s="7" t="s">
        <v>4794</v>
      </c>
      <c r="K1023" s="7" t="s">
        <v>4795</v>
      </c>
      <c r="L1023" s="8" t="s">
        <v>5176</v>
      </c>
      <c r="M1023" s="7">
        <v>0</v>
      </c>
      <c r="N1023" s="9" t="s">
        <v>5044</v>
      </c>
      <c r="O1023" s="9" t="s">
        <v>5044</v>
      </c>
      <c r="P1023" s="7">
        <v>0</v>
      </c>
      <c r="Q1023" s="7">
        <v>0</v>
      </c>
      <c r="R1023" s="7">
        <v>0</v>
      </c>
      <c r="S1023" s="7">
        <v>3</v>
      </c>
      <c r="T1023" s="7">
        <v>1</v>
      </c>
      <c r="U1023" s="7">
        <v>162</v>
      </c>
      <c r="V1023" s="7">
        <v>0</v>
      </c>
      <c r="W1023" s="7">
        <v>1</v>
      </c>
      <c r="X1023" s="7">
        <v>0</v>
      </c>
      <c r="Y1023" s="7">
        <v>0</v>
      </c>
      <c r="Z1023" s="7">
        <v>0</v>
      </c>
      <c r="AA1023" s="7">
        <v>0</v>
      </c>
      <c r="AB1023" s="7">
        <v>1</v>
      </c>
      <c r="AC1023" s="7">
        <v>1</v>
      </c>
      <c r="AD1023" s="7" t="s">
        <v>5044</v>
      </c>
      <c r="AE1023" s="7" t="s">
        <v>5044</v>
      </c>
      <c r="AF1023" s="7" t="s">
        <v>5044</v>
      </c>
      <c r="AG1023" s="7">
        <v>1</v>
      </c>
      <c r="AH1023" s="7">
        <v>0</v>
      </c>
      <c r="AI1023" s="7">
        <v>0</v>
      </c>
      <c r="AJ1023" s="7" t="s">
        <v>5044</v>
      </c>
      <c r="AL1023" s="7">
        <v>1</v>
      </c>
      <c r="AM1023" s="7">
        <v>0</v>
      </c>
      <c r="AO1023" s="9">
        <v>0</v>
      </c>
    </row>
    <row r="1024" spans="1:41" ht="63" customHeight="1" x14ac:dyDescent="0.2">
      <c r="A1024" s="7">
        <v>12354</v>
      </c>
      <c r="B1024" s="7" t="s">
        <v>4796</v>
      </c>
      <c r="C1024" s="7" t="s">
        <v>4797</v>
      </c>
      <c r="D1024" s="7" t="s">
        <v>46</v>
      </c>
      <c r="F1024" s="7" t="s">
        <v>220</v>
      </c>
      <c r="G1024" s="7" t="s">
        <v>11</v>
      </c>
      <c r="H1024" s="7" t="s">
        <v>3484</v>
      </c>
      <c r="I1024" s="7" t="s">
        <v>13</v>
      </c>
      <c r="J1024" s="7" t="s">
        <v>4798</v>
      </c>
      <c r="K1024" s="7" t="s">
        <v>4799</v>
      </c>
      <c r="L1024" s="7" t="s">
        <v>5177</v>
      </c>
      <c r="M1024" s="7">
        <v>0</v>
      </c>
      <c r="N1024" s="9" t="s">
        <v>5044</v>
      </c>
      <c r="O1024" s="9" t="s">
        <v>5044</v>
      </c>
      <c r="P1024" s="7">
        <v>0</v>
      </c>
      <c r="Q1024" s="7">
        <v>0</v>
      </c>
      <c r="R1024" s="7">
        <v>0</v>
      </c>
      <c r="S1024" s="7">
        <v>1</v>
      </c>
      <c r="T1024" s="7">
        <v>1</v>
      </c>
      <c r="U1024" s="7">
        <v>40</v>
      </c>
      <c r="V1024" s="7">
        <v>1</v>
      </c>
      <c r="W1024" s="7">
        <v>0</v>
      </c>
      <c r="X1024" s="7">
        <v>0</v>
      </c>
      <c r="Y1024" s="7">
        <v>0</v>
      </c>
      <c r="Z1024" s="7">
        <v>0</v>
      </c>
      <c r="AA1024" s="7">
        <v>0</v>
      </c>
      <c r="AB1024" s="7">
        <v>1</v>
      </c>
      <c r="AC1024" s="7">
        <v>1</v>
      </c>
      <c r="AD1024" s="7">
        <v>2</v>
      </c>
      <c r="AE1024" s="7">
        <v>3</v>
      </c>
      <c r="AF1024" s="7">
        <v>0</v>
      </c>
      <c r="AG1024" s="7" t="s">
        <v>5044</v>
      </c>
      <c r="AH1024" s="7" t="s">
        <v>5044</v>
      </c>
      <c r="AI1024" s="7" t="s">
        <v>5044</v>
      </c>
      <c r="AJ1024" s="7" t="s">
        <v>5044</v>
      </c>
      <c r="AK1024" s="7">
        <v>1</v>
      </c>
      <c r="AL1024" s="7">
        <v>0</v>
      </c>
      <c r="AM1024" s="7">
        <v>0</v>
      </c>
      <c r="AO1024" s="11">
        <v>3</v>
      </c>
    </row>
    <row r="1025" spans="1:41" ht="63" customHeight="1" x14ac:dyDescent="0.2">
      <c r="A1025" s="7">
        <v>12372</v>
      </c>
      <c r="B1025" s="7" t="s">
        <v>4804</v>
      </c>
      <c r="C1025" s="7" t="s">
        <v>4805</v>
      </c>
      <c r="D1025" s="7" t="s">
        <v>56</v>
      </c>
      <c r="F1025" s="7" t="s">
        <v>1402</v>
      </c>
      <c r="G1025" s="7" t="s">
        <v>52</v>
      </c>
      <c r="H1025" s="7" t="s">
        <v>43</v>
      </c>
      <c r="I1025" s="7" t="s">
        <v>13</v>
      </c>
      <c r="J1025" s="7" t="s">
        <v>4806</v>
      </c>
      <c r="K1025" s="7" t="s">
        <v>4807</v>
      </c>
      <c r="L1025" s="8" t="s">
        <v>5179</v>
      </c>
      <c r="M1025" s="7">
        <v>0</v>
      </c>
      <c r="N1025" s="9" t="s">
        <v>5044</v>
      </c>
      <c r="O1025" s="9" t="s">
        <v>5044</v>
      </c>
      <c r="P1025" s="7">
        <v>0</v>
      </c>
      <c r="Q1025" s="7">
        <v>0</v>
      </c>
      <c r="R1025" s="7">
        <v>0</v>
      </c>
      <c r="S1025" s="7">
        <v>1</v>
      </c>
      <c r="T1025" s="7">
        <v>1</v>
      </c>
      <c r="U1025" s="7">
        <v>83</v>
      </c>
      <c r="V1025" s="7">
        <v>0</v>
      </c>
      <c r="W1025" s="7">
        <v>1</v>
      </c>
      <c r="X1025" s="7">
        <v>0</v>
      </c>
      <c r="Y1025" s="7">
        <v>0</v>
      </c>
      <c r="Z1025" s="7">
        <v>0</v>
      </c>
      <c r="AA1025" s="7">
        <v>0</v>
      </c>
      <c r="AB1025" s="7">
        <v>1</v>
      </c>
      <c r="AC1025" s="7">
        <v>1</v>
      </c>
      <c r="AD1025" s="7" t="s">
        <v>5044</v>
      </c>
      <c r="AE1025" s="7" t="s">
        <v>5044</v>
      </c>
      <c r="AF1025" s="7" t="s">
        <v>5044</v>
      </c>
      <c r="AG1025" s="7">
        <v>2</v>
      </c>
      <c r="AH1025" s="7">
        <v>3</v>
      </c>
      <c r="AI1025" s="7">
        <v>0</v>
      </c>
      <c r="AJ1025" s="7" t="s">
        <v>5044</v>
      </c>
      <c r="AL1025" s="7">
        <v>0</v>
      </c>
      <c r="AM1025" s="7">
        <v>0</v>
      </c>
      <c r="AO1025" s="11">
        <v>3</v>
      </c>
    </row>
    <row r="1026" spans="1:41" ht="63" customHeight="1" x14ac:dyDescent="0.2">
      <c r="A1026" s="7">
        <v>12383</v>
      </c>
      <c r="B1026" s="7" t="s">
        <v>4808</v>
      </c>
      <c r="C1026" s="7" t="s">
        <v>4809</v>
      </c>
      <c r="D1026" s="7" t="s">
        <v>101</v>
      </c>
      <c r="F1026" s="7" t="s">
        <v>568</v>
      </c>
      <c r="G1026" s="7" t="s">
        <v>18</v>
      </c>
      <c r="H1026" s="7" t="s">
        <v>217</v>
      </c>
      <c r="I1026" s="7" t="s">
        <v>13</v>
      </c>
      <c r="J1026" s="7" t="s">
        <v>4810</v>
      </c>
      <c r="K1026" s="7" t="s">
        <v>4811</v>
      </c>
      <c r="L1026" s="7" t="s">
        <v>5180</v>
      </c>
      <c r="M1026" s="7">
        <v>0</v>
      </c>
      <c r="N1026" s="9" t="s">
        <v>5044</v>
      </c>
      <c r="O1026" s="9" t="s">
        <v>5044</v>
      </c>
      <c r="P1026" s="7">
        <v>0</v>
      </c>
      <c r="Q1026" s="7">
        <v>0</v>
      </c>
      <c r="R1026" s="7">
        <v>0</v>
      </c>
      <c r="S1026" s="7">
        <v>1</v>
      </c>
      <c r="T1026" s="7">
        <v>1</v>
      </c>
      <c r="U1026" s="7">
        <v>72</v>
      </c>
      <c r="V1026" s="7">
        <v>0</v>
      </c>
      <c r="W1026" s="7">
        <v>1</v>
      </c>
      <c r="X1026" s="7">
        <v>0</v>
      </c>
      <c r="Y1026" s="7">
        <v>0</v>
      </c>
      <c r="Z1026" s="7">
        <v>0</v>
      </c>
      <c r="AA1026" s="7">
        <v>0</v>
      </c>
      <c r="AB1026" s="7">
        <v>1</v>
      </c>
      <c r="AC1026" s="7">
        <v>1</v>
      </c>
      <c r="AD1026" s="7" t="s">
        <v>5044</v>
      </c>
      <c r="AE1026" s="7" t="s">
        <v>5044</v>
      </c>
      <c r="AF1026" s="7" t="s">
        <v>5044</v>
      </c>
      <c r="AG1026" s="7">
        <v>1</v>
      </c>
      <c r="AH1026" s="7">
        <v>0</v>
      </c>
      <c r="AI1026" s="7">
        <v>0</v>
      </c>
      <c r="AJ1026" s="7" t="s">
        <v>5044</v>
      </c>
      <c r="AL1026" s="7">
        <v>0</v>
      </c>
      <c r="AM1026" s="7">
        <v>0</v>
      </c>
      <c r="AO1026" s="9">
        <v>0</v>
      </c>
    </row>
    <row r="1027" spans="1:41" ht="63" customHeight="1" x14ac:dyDescent="0.2">
      <c r="A1027" s="7">
        <v>12386</v>
      </c>
      <c r="B1027" s="7" t="s">
        <v>4812</v>
      </c>
      <c r="C1027" s="7" t="s">
        <v>4813</v>
      </c>
      <c r="D1027" s="7" t="s">
        <v>41</v>
      </c>
      <c r="F1027" s="7" t="s">
        <v>3795</v>
      </c>
      <c r="G1027" s="7" t="s">
        <v>11</v>
      </c>
      <c r="H1027" s="7" t="s">
        <v>71</v>
      </c>
      <c r="I1027" s="7" t="s">
        <v>13</v>
      </c>
      <c r="J1027" s="7" t="s">
        <v>4814</v>
      </c>
      <c r="K1027" s="7" t="s">
        <v>4815</v>
      </c>
      <c r="L1027" s="7" t="s">
        <v>5181</v>
      </c>
      <c r="M1027" s="7">
        <v>0</v>
      </c>
      <c r="N1027" s="9" t="s">
        <v>5044</v>
      </c>
      <c r="O1027" s="9" t="s">
        <v>5044</v>
      </c>
      <c r="P1027" s="7">
        <v>0</v>
      </c>
      <c r="Q1027" s="7">
        <v>0</v>
      </c>
      <c r="R1027" s="7">
        <v>0</v>
      </c>
      <c r="S1027" s="7">
        <v>1</v>
      </c>
      <c r="T1027" s="7">
        <v>1</v>
      </c>
      <c r="U1027" s="7">
        <v>100</v>
      </c>
      <c r="V1027" s="7">
        <v>0</v>
      </c>
      <c r="W1027" s="7">
        <v>1</v>
      </c>
      <c r="X1027" s="7">
        <v>0</v>
      </c>
      <c r="Y1027" s="7">
        <v>0</v>
      </c>
      <c r="Z1027" s="7">
        <v>0</v>
      </c>
      <c r="AA1027" s="7">
        <v>0</v>
      </c>
      <c r="AB1027" s="7">
        <v>1</v>
      </c>
      <c r="AC1027" s="7">
        <v>1</v>
      </c>
      <c r="AD1027" s="7" t="s">
        <v>5044</v>
      </c>
      <c r="AE1027" s="7" t="s">
        <v>5044</v>
      </c>
      <c r="AF1027" s="7" t="s">
        <v>5044</v>
      </c>
      <c r="AG1027" s="7">
        <v>1</v>
      </c>
      <c r="AH1027" s="7">
        <v>0</v>
      </c>
      <c r="AI1027" s="7">
        <v>0</v>
      </c>
      <c r="AJ1027" s="7" t="s">
        <v>5044</v>
      </c>
      <c r="AL1027" s="7">
        <v>0</v>
      </c>
      <c r="AM1027" s="7">
        <v>0</v>
      </c>
      <c r="AO1027" s="9">
        <v>0</v>
      </c>
    </row>
    <row r="1028" spans="1:41" ht="63" customHeight="1" x14ac:dyDescent="0.2">
      <c r="A1028" s="7">
        <v>12388</v>
      </c>
      <c r="B1028" s="7" t="s">
        <v>4816</v>
      </c>
      <c r="C1028" s="7" t="s">
        <v>4817</v>
      </c>
      <c r="D1028" s="7" t="s">
        <v>149</v>
      </c>
      <c r="F1028" s="7" t="s">
        <v>220</v>
      </c>
      <c r="G1028" s="7" t="s">
        <v>37</v>
      </c>
      <c r="H1028" s="7" t="s">
        <v>1077</v>
      </c>
      <c r="I1028" s="7" t="s">
        <v>13</v>
      </c>
      <c r="J1028" s="7" t="s">
        <v>4818</v>
      </c>
      <c r="K1028" s="7" t="s">
        <v>4819</v>
      </c>
      <c r="L1028" s="7" t="s">
        <v>5182</v>
      </c>
      <c r="M1028" s="7">
        <v>0</v>
      </c>
      <c r="N1028" s="9" t="s">
        <v>5044</v>
      </c>
      <c r="O1028" s="9" t="s">
        <v>5044</v>
      </c>
      <c r="P1028" s="7">
        <v>0</v>
      </c>
      <c r="Q1028" s="7">
        <v>0</v>
      </c>
      <c r="R1028" s="7">
        <v>0</v>
      </c>
      <c r="S1028" s="7">
        <v>1</v>
      </c>
      <c r="T1028" s="7">
        <v>1</v>
      </c>
      <c r="U1028" s="7">
        <v>290</v>
      </c>
      <c r="V1028" s="7">
        <v>0</v>
      </c>
      <c r="W1028" s="7">
        <v>1</v>
      </c>
      <c r="X1028" s="7">
        <v>0</v>
      </c>
      <c r="Y1028" s="7">
        <v>0</v>
      </c>
      <c r="Z1028" s="7">
        <v>0</v>
      </c>
      <c r="AA1028" s="7">
        <v>0</v>
      </c>
      <c r="AB1028" s="7">
        <v>0</v>
      </c>
      <c r="AC1028" s="7">
        <v>1</v>
      </c>
      <c r="AD1028" s="7" t="s">
        <v>5044</v>
      </c>
      <c r="AE1028" s="7" t="s">
        <v>5044</v>
      </c>
      <c r="AF1028" s="7" t="s">
        <v>5044</v>
      </c>
      <c r="AG1028" s="7">
        <v>2</v>
      </c>
      <c r="AH1028" s="7">
        <v>3</v>
      </c>
      <c r="AI1028" s="7">
        <v>0</v>
      </c>
      <c r="AJ1028" s="7" t="s">
        <v>5044</v>
      </c>
      <c r="AL1028" s="7">
        <v>0</v>
      </c>
      <c r="AM1028" s="7">
        <v>0</v>
      </c>
      <c r="AO1028" s="11">
        <v>3</v>
      </c>
    </row>
    <row r="1029" spans="1:41" ht="63" customHeight="1" x14ac:dyDescent="0.2">
      <c r="A1029" s="7">
        <v>12420</v>
      </c>
      <c r="B1029" s="7" t="s">
        <v>4825</v>
      </c>
      <c r="C1029" s="7" t="s">
        <v>4826</v>
      </c>
      <c r="D1029" s="7" t="s">
        <v>16</v>
      </c>
      <c r="F1029" s="7" t="s">
        <v>37</v>
      </c>
      <c r="G1029" s="7" t="s">
        <v>144</v>
      </c>
      <c r="H1029" s="7" t="s">
        <v>396</v>
      </c>
      <c r="I1029" s="7" t="s">
        <v>13</v>
      </c>
      <c r="J1029" s="7" t="s">
        <v>4827</v>
      </c>
      <c r="K1029" s="7" t="s">
        <v>4828</v>
      </c>
      <c r="L1029" s="7" t="s">
        <v>5185</v>
      </c>
      <c r="M1029" s="7">
        <v>0</v>
      </c>
      <c r="N1029" s="9" t="s">
        <v>5044</v>
      </c>
      <c r="O1029" s="9" t="s">
        <v>5044</v>
      </c>
      <c r="P1029" s="7">
        <v>0</v>
      </c>
      <c r="Q1029" s="7">
        <v>0</v>
      </c>
      <c r="R1029" s="7">
        <v>0</v>
      </c>
      <c r="S1029" s="7">
        <v>1</v>
      </c>
      <c r="T1029" s="7">
        <v>1</v>
      </c>
      <c r="U1029" s="7">
        <v>70</v>
      </c>
      <c r="V1029" s="7">
        <v>0</v>
      </c>
      <c r="W1029" s="7">
        <v>1</v>
      </c>
      <c r="X1029" s="7">
        <v>0</v>
      </c>
      <c r="Y1029" s="7">
        <v>0</v>
      </c>
      <c r="Z1029" s="7">
        <v>0</v>
      </c>
      <c r="AA1029" s="7">
        <v>0</v>
      </c>
      <c r="AB1029" s="7">
        <v>1</v>
      </c>
      <c r="AC1029" s="7">
        <v>1</v>
      </c>
      <c r="AD1029" s="7" t="s">
        <v>5044</v>
      </c>
      <c r="AE1029" s="7" t="s">
        <v>5044</v>
      </c>
      <c r="AF1029" s="7" t="s">
        <v>5044</v>
      </c>
      <c r="AG1029" s="7">
        <v>1</v>
      </c>
      <c r="AH1029" s="7">
        <v>0</v>
      </c>
      <c r="AI1029" s="7">
        <v>0</v>
      </c>
      <c r="AJ1029" s="7" t="s">
        <v>5044</v>
      </c>
      <c r="AK1029" s="7" t="s">
        <v>5186</v>
      </c>
      <c r="AL1029" s="7">
        <v>1</v>
      </c>
      <c r="AM1029" s="7">
        <v>0</v>
      </c>
      <c r="AO1029" s="9">
        <v>0</v>
      </c>
    </row>
    <row r="1030" spans="1:41" ht="63" customHeight="1" x14ac:dyDescent="0.2">
      <c r="A1030" s="7">
        <v>12423</v>
      </c>
      <c r="B1030" s="7" t="s">
        <v>4829</v>
      </c>
      <c r="C1030" s="7" t="s">
        <v>4830</v>
      </c>
      <c r="D1030" s="7" t="s">
        <v>101</v>
      </c>
      <c r="F1030" s="7" t="s">
        <v>932</v>
      </c>
      <c r="G1030" s="7" t="s">
        <v>92</v>
      </c>
      <c r="H1030" s="7" t="s">
        <v>38</v>
      </c>
      <c r="I1030" s="7" t="s">
        <v>13</v>
      </c>
      <c r="J1030" s="7" t="s">
        <v>4831</v>
      </c>
      <c r="K1030" s="7" t="s">
        <v>4832</v>
      </c>
      <c r="L1030" s="7" t="s">
        <v>5187</v>
      </c>
      <c r="M1030" s="7">
        <v>0</v>
      </c>
      <c r="N1030" s="9" t="s">
        <v>5044</v>
      </c>
      <c r="O1030" s="9" t="s">
        <v>5044</v>
      </c>
      <c r="P1030" s="7">
        <v>0</v>
      </c>
      <c r="Q1030" s="7">
        <v>0</v>
      </c>
      <c r="R1030" s="7">
        <v>0</v>
      </c>
      <c r="S1030" s="7">
        <v>1</v>
      </c>
      <c r="T1030" s="7">
        <v>4</v>
      </c>
      <c r="U1030" s="7">
        <v>580</v>
      </c>
      <c r="V1030" s="7">
        <v>0</v>
      </c>
      <c r="W1030" s="7">
        <v>1</v>
      </c>
      <c r="X1030" s="7">
        <v>0</v>
      </c>
      <c r="Y1030" s="7">
        <v>0</v>
      </c>
      <c r="Z1030" s="7">
        <v>0</v>
      </c>
      <c r="AA1030" s="7">
        <v>0</v>
      </c>
      <c r="AB1030" s="7">
        <v>1</v>
      </c>
      <c r="AC1030" s="7">
        <v>1</v>
      </c>
      <c r="AD1030" s="7" t="s">
        <v>5044</v>
      </c>
      <c r="AE1030" s="7" t="s">
        <v>5044</v>
      </c>
      <c r="AF1030" s="7" t="s">
        <v>5044</v>
      </c>
      <c r="AG1030" s="7">
        <v>1</v>
      </c>
      <c r="AH1030" s="7">
        <v>0</v>
      </c>
      <c r="AI1030" s="7">
        <v>0</v>
      </c>
      <c r="AJ1030" s="7" t="s">
        <v>5044</v>
      </c>
      <c r="AL1030" s="7" t="s">
        <v>5041</v>
      </c>
      <c r="AM1030" s="7">
        <v>0</v>
      </c>
      <c r="AN1030" s="7" t="s">
        <v>5105</v>
      </c>
      <c r="AO1030" s="9">
        <v>0</v>
      </c>
    </row>
    <row r="1031" spans="1:41" ht="63" customHeight="1" x14ac:dyDescent="0.2">
      <c r="A1031" s="7">
        <v>12464</v>
      </c>
      <c r="B1031" s="7" t="s">
        <v>4838</v>
      </c>
      <c r="C1031" s="7" t="s">
        <v>4839</v>
      </c>
      <c r="D1031" s="7" t="s">
        <v>41</v>
      </c>
      <c r="F1031" s="7" t="s">
        <v>118</v>
      </c>
      <c r="G1031" s="7" t="s">
        <v>175</v>
      </c>
      <c r="H1031" s="7" t="s">
        <v>296</v>
      </c>
      <c r="I1031" s="7" t="s">
        <v>13</v>
      </c>
      <c r="J1031" s="7" t="s">
        <v>4840</v>
      </c>
      <c r="K1031" s="7" t="s">
        <v>4841</v>
      </c>
      <c r="L1031" s="6" t="s">
        <v>5194</v>
      </c>
      <c r="M1031" s="7">
        <v>0</v>
      </c>
      <c r="N1031" s="9" t="s">
        <v>5044</v>
      </c>
      <c r="O1031" s="9" t="s">
        <v>5044</v>
      </c>
      <c r="P1031" s="7">
        <v>0</v>
      </c>
      <c r="Q1031" s="7">
        <v>0</v>
      </c>
      <c r="R1031" s="7">
        <v>0</v>
      </c>
      <c r="S1031" s="7">
        <v>1</v>
      </c>
      <c r="T1031" s="7">
        <v>1</v>
      </c>
      <c r="U1031" s="7">
        <v>54</v>
      </c>
      <c r="V1031" s="7">
        <v>0</v>
      </c>
      <c r="W1031" s="7">
        <v>1</v>
      </c>
      <c r="X1031" s="7">
        <v>0</v>
      </c>
      <c r="Y1031" s="7">
        <v>0</v>
      </c>
      <c r="Z1031" s="7">
        <v>0</v>
      </c>
      <c r="AA1031" s="7">
        <v>0</v>
      </c>
      <c r="AB1031" s="7">
        <v>0</v>
      </c>
      <c r="AC1031" s="7">
        <v>1</v>
      </c>
      <c r="AD1031" s="7" t="s">
        <v>5044</v>
      </c>
      <c r="AE1031" s="7" t="s">
        <v>5044</v>
      </c>
      <c r="AF1031" s="7" t="s">
        <v>5044</v>
      </c>
      <c r="AG1031" s="7">
        <v>1</v>
      </c>
      <c r="AH1031" s="7">
        <v>0</v>
      </c>
      <c r="AI1031" s="7">
        <v>0</v>
      </c>
      <c r="AJ1031" s="7" t="s">
        <v>5044</v>
      </c>
      <c r="AL1031" s="7">
        <v>1</v>
      </c>
      <c r="AM1031" s="7">
        <v>0</v>
      </c>
      <c r="AO1031" s="9">
        <v>0</v>
      </c>
    </row>
    <row r="1032" spans="1:41" ht="63" customHeight="1" x14ac:dyDescent="0.2">
      <c r="A1032" s="7">
        <v>12486</v>
      </c>
      <c r="B1032" s="7" t="s">
        <v>4842</v>
      </c>
      <c r="C1032" s="7" t="s">
        <v>4843</v>
      </c>
      <c r="D1032" s="7" t="s">
        <v>16</v>
      </c>
      <c r="E1032" s="7" t="s">
        <v>4846</v>
      </c>
      <c r="F1032" s="7" t="s">
        <v>865</v>
      </c>
      <c r="G1032" s="7" t="s">
        <v>144</v>
      </c>
      <c r="H1032" s="7" t="s">
        <v>157</v>
      </c>
      <c r="I1032" s="7" t="s">
        <v>13</v>
      </c>
      <c r="J1032" s="7" t="s">
        <v>4844</v>
      </c>
      <c r="K1032" s="7" t="s">
        <v>4845</v>
      </c>
      <c r="L1032" s="6" t="s">
        <v>5195</v>
      </c>
      <c r="M1032" s="7">
        <v>0</v>
      </c>
      <c r="N1032" s="9" t="s">
        <v>5044</v>
      </c>
      <c r="O1032" s="9" t="s">
        <v>5044</v>
      </c>
      <c r="P1032" s="7">
        <v>1</v>
      </c>
      <c r="Q1032" s="7">
        <v>0</v>
      </c>
      <c r="R1032" s="7">
        <v>0</v>
      </c>
      <c r="S1032" s="7">
        <v>1</v>
      </c>
      <c r="T1032" s="7">
        <v>1</v>
      </c>
      <c r="U1032" s="7">
        <v>54</v>
      </c>
      <c r="V1032" s="7">
        <v>0</v>
      </c>
      <c r="W1032" s="7">
        <v>1</v>
      </c>
      <c r="X1032" s="7">
        <v>0</v>
      </c>
      <c r="Y1032" s="7">
        <v>0</v>
      </c>
      <c r="Z1032" s="7">
        <v>0</v>
      </c>
      <c r="AA1032" s="7">
        <v>0</v>
      </c>
      <c r="AB1032" s="7">
        <v>1</v>
      </c>
      <c r="AC1032" s="7">
        <v>1</v>
      </c>
      <c r="AD1032" s="7" t="s">
        <v>5044</v>
      </c>
      <c r="AE1032" s="7" t="s">
        <v>5044</v>
      </c>
      <c r="AF1032" s="7" t="s">
        <v>5044</v>
      </c>
      <c r="AG1032" s="7">
        <v>2</v>
      </c>
      <c r="AH1032" s="7">
        <v>1</v>
      </c>
      <c r="AI1032" s="7">
        <v>2</v>
      </c>
      <c r="AJ1032" s="7" t="s">
        <v>5044</v>
      </c>
      <c r="AL1032" s="7">
        <v>1</v>
      </c>
      <c r="AM1032" s="7">
        <v>0</v>
      </c>
      <c r="AN1032" s="7" t="s">
        <v>2539</v>
      </c>
      <c r="AO1032" s="11">
        <v>1</v>
      </c>
    </row>
    <row r="1033" spans="1:41" ht="63" customHeight="1" x14ac:dyDescent="0.2">
      <c r="A1033" s="7">
        <v>12498</v>
      </c>
      <c r="B1033" s="7" t="s">
        <v>4847</v>
      </c>
      <c r="C1033" s="7" t="s">
        <v>4848</v>
      </c>
      <c r="D1033" s="7" t="s">
        <v>46</v>
      </c>
      <c r="F1033" s="7" t="s">
        <v>900</v>
      </c>
      <c r="G1033" s="7" t="s">
        <v>11</v>
      </c>
      <c r="H1033" s="7" t="s">
        <v>43</v>
      </c>
      <c r="I1033" s="7" t="s">
        <v>13</v>
      </c>
      <c r="J1033" s="7" t="s">
        <v>4849</v>
      </c>
      <c r="K1033" s="7" t="s">
        <v>4850</v>
      </c>
      <c r="L1033" s="6" t="s">
        <v>5196</v>
      </c>
      <c r="M1033" s="7">
        <v>0</v>
      </c>
      <c r="N1033" s="9" t="s">
        <v>5044</v>
      </c>
      <c r="O1033" s="9" t="s">
        <v>5044</v>
      </c>
      <c r="P1033" s="7">
        <v>0</v>
      </c>
      <c r="Q1033" s="7">
        <v>0</v>
      </c>
      <c r="R1033" s="7">
        <v>0</v>
      </c>
      <c r="S1033" s="7">
        <v>1</v>
      </c>
      <c r="T1033" s="7">
        <v>1</v>
      </c>
      <c r="U1033" s="7">
        <v>140</v>
      </c>
      <c r="V1033" s="7">
        <v>0</v>
      </c>
      <c r="W1033" s="7">
        <v>1</v>
      </c>
      <c r="X1033" s="7">
        <v>0</v>
      </c>
      <c r="Y1033" s="7">
        <v>0</v>
      </c>
      <c r="Z1033" s="7">
        <v>0</v>
      </c>
      <c r="AA1033" s="7">
        <v>0</v>
      </c>
      <c r="AB1033" s="7">
        <v>1</v>
      </c>
      <c r="AC1033" s="7">
        <v>1</v>
      </c>
      <c r="AD1033" s="7" t="s">
        <v>5044</v>
      </c>
      <c r="AE1033" s="7" t="s">
        <v>5044</v>
      </c>
      <c r="AF1033" s="7" t="s">
        <v>5044</v>
      </c>
      <c r="AG1033" s="7">
        <v>1</v>
      </c>
      <c r="AH1033" s="7">
        <v>0</v>
      </c>
      <c r="AI1033" s="7">
        <v>0</v>
      </c>
      <c r="AJ1033" s="7" t="s">
        <v>5044</v>
      </c>
      <c r="AL1033" s="7">
        <v>0</v>
      </c>
      <c r="AM1033" s="7">
        <v>0</v>
      </c>
      <c r="AO1033" s="9">
        <v>0</v>
      </c>
    </row>
    <row r="1034" spans="1:41" ht="63" customHeight="1" x14ac:dyDescent="0.2">
      <c r="A1034" s="7">
        <v>12507</v>
      </c>
      <c r="B1034" s="7" t="s">
        <v>4851</v>
      </c>
      <c r="C1034" s="7" t="s">
        <v>4852</v>
      </c>
      <c r="D1034" s="7" t="s">
        <v>56</v>
      </c>
      <c r="F1034" s="7" t="s">
        <v>17</v>
      </c>
      <c r="G1034" s="7" t="s">
        <v>144</v>
      </c>
      <c r="H1034" s="7" t="s">
        <v>4700</v>
      </c>
      <c r="I1034" s="7" t="s">
        <v>13</v>
      </c>
      <c r="J1034" s="7" t="s">
        <v>4853</v>
      </c>
      <c r="K1034" s="7" t="s">
        <v>4854</v>
      </c>
      <c r="L1034" s="11" t="s">
        <v>5044</v>
      </c>
      <c r="M1034" s="7">
        <v>0</v>
      </c>
      <c r="N1034" s="9" t="s">
        <v>5044</v>
      </c>
      <c r="O1034" s="9" t="s">
        <v>5044</v>
      </c>
      <c r="P1034" s="7">
        <v>0</v>
      </c>
      <c r="Q1034" s="7">
        <v>0</v>
      </c>
      <c r="R1034" s="7">
        <v>0</v>
      </c>
      <c r="S1034" s="7">
        <v>3</v>
      </c>
      <c r="T1034" s="7">
        <v>4</v>
      </c>
      <c r="U1034" s="7">
        <v>70</v>
      </c>
      <c r="V1034" s="7">
        <v>0</v>
      </c>
      <c r="W1034" s="7">
        <v>1</v>
      </c>
      <c r="X1034" s="7">
        <v>0</v>
      </c>
      <c r="Y1034" s="7">
        <v>0</v>
      </c>
      <c r="Z1034" s="7">
        <v>0</v>
      </c>
      <c r="AA1034" s="7">
        <v>0</v>
      </c>
      <c r="AB1034" s="7">
        <v>1</v>
      </c>
      <c r="AC1034" s="7">
        <v>1</v>
      </c>
      <c r="AD1034" s="7" t="s">
        <v>5044</v>
      </c>
      <c r="AE1034" s="7" t="s">
        <v>5044</v>
      </c>
      <c r="AF1034" s="7" t="s">
        <v>5044</v>
      </c>
      <c r="AG1034" s="7">
        <v>2</v>
      </c>
      <c r="AH1034" s="7">
        <v>3</v>
      </c>
      <c r="AI1034" s="7">
        <v>0</v>
      </c>
      <c r="AJ1034" s="7" t="s">
        <v>5044</v>
      </c>
      <c r="AL1034" s="7" t="s">
        <v>5041</v>
      </c>
      <c r="AM1034" s="7">
        <v>0</v>
      </c>
      <c r="AN1034" s="7" t="s">
        <v>5105</v>
      </c>
      <c r="AO1034" s="11">
        <v>3</v>
      </c>
    </row>
    <row r="1035" spans="1:41" ht="63" customHeight="1" x14ac:dyDescent="0.2">
      <c r="A1035" s="7">
        <v>12508</v>
      </c>
      <c r="B1035" s="7" t="s">
        <v>4855</v>
      </c>
      <c r="C1035" s="7" t="s">
        <v>4856</v>
      </c>
      <c r="D1035" s="7" t="s">
        <v>16</v>
      </c>
      <c r="F1035" s="7" t="s">
        <v>147</v>
      </c>
      <c r="G1035" s="7" t="s">
        <v>52</v>
      </c>
      <c r="H1035" s="7" t="s">
        <v>4700</v>
      </c>
      <c r="I1035" s="7" t="s">
        <v>13</v>
      </c>
      <c r="J1035" s="7" t="s">
        <v>4857</v>
      </c>
      <c r="K1035" s="7" t="s">
        <v>4858</v>
      </c>
      <c r="L1035" s="11" t="s">
        <v>5044</v>
      </c>
      <c r="M1035" s="7">
        <v>0</v>
      </c>
      <c r="N1035" s="9" t="s">
        <v>5044</v>
      </c>
      <c r="O1035" s="9" t="s">
        <v>5044</v>
      </c>
      <c r="P1035" s="7">
        <v>0</v>
      </c>
      <c r="Q1035" s="7">
        <v>0</v>
      </c>
      <c r="R1035" s="7">
        <v>0</v>
      </c>
      <c r="S1035" s="7">
        <v>9</v>
      </c>
      <c r="T1035" s="7">
        <v>4</v>
      </c>
      <c r="U1035" s="7">
        <v>62</v>
      </c>
      <c r="V1035" s="7">
        <v>0</v>
      </c>
      <c r="W1035" s="7">
        <v>1</v>
      </c>
      <c r="X1035" s="7">
        <v>0</v>
      </c>
      <c r="Y1035" s="7">
        <v>0</v>
      </c>
      <c r="Z1035" s="7">
        <v>0</v>
      </c>
      <c r="AA1035" s="7">
        <v>0</v>
      </c>
      <c r="AB1035" s="7">
        <v>0</v>
      </c>
      <c r="AC1035" s="7">
        <v>1</v>
      </c>
      <c r="AD1035" s="7" t="s">
        <v>5044</v>
      </c>
      <c r="AE1035" s="7" t="s">
        <v>5044</v>
      </c>
      <c r="AF1035" s="7" t="s">
        <v>5044</v>
      </c>
      <c r="AG1035" s="7">
        <v>2</v>
      </c>
      <c r="AH1035" s="7">
        <v>3</v>
      </c>
      <c r="AI1035" s="7">
        <v>0</v>
      </c>
      <c r="AJ1035" s="7" t="s">
        <v>5044</v>
      </c>
      <c r="AL1035" s="7" t="s">
        <v>5041</v>
      </c>
      <c r="AM1035" s="7">
        <v>0</v>
      </c>
      <c r="AN1035" s="7" t="s">
        <v>5105</v>
      </c>
      <c r="AO1035" s="11">
        <v>3</v>
      </c>
    </row>
    <row r="1036" spans="1:41" ht="63" customHeight="1" x14ac:dyDescent="0.2">
      <c r="A1036" s="7">
        <v>12529</v>
      </c>
      <c r="B1036" s="7" t="s">
        <v>4859</v>
      </c>
      <c r="C1036" s="7" t="s">
        <v>4860</v>
      </c>
      <c r="D1036" s="7" t="s">
        <v>101</v>
      </c>
      <c r="F1036" s="7" t="s">
        <v>65</v>
      </c>
      <c r="G1036" s="7" t="s">
        <v>47</v>
      </c>
      <c r="H1036" s="7" t="s">
        <v>296</v>
      </c>
      <c r="I1036" s="7" t="s">
        <v>13</v>
      </c>
      <c r="J1036" s="7" t="s">
        <v>4861</v>
      </c>
      <c r="K1036" s="7" t="s">
        <v>4862</v>
      </c>
      <c r="L1036" s="11" t="s">
        <v>5044</v>
      </c>
      <c r="M1036" s="7">
        <v>0</v>
      </c>
      <c r="N1036" s="9" t="s">
        <v>5044</v>
      </c>
      <c r="O1036" s="9" t="s">
        <v>5044</v>
      </c>
      <c r="P1036" s="7">
        <v>0</v>
      </c>
      <c r="Q1036" s="7">
        <v>0</v>
      </c>
      <c r="R1036" s="7">
        <v>0</v>
      </c>
      <c r="S1036" s="7">
        <v>1</v>
      </c>
      <c r="T1036" s="7">
        <v>4</v>
      </c>
      <c r="U1036" s="7">
        <v>380</v>
      </c>
      <c r="V1036" s="7">
        <v>0</v>
      </c>
      <c r="W1036" s="7">
        <v>1</v>
      </c>
      <c r="X1036" s="7">
        <v>0</v>
      </c>
      <c r="Y1036" s="7">
        <v>0</v>
      </c>
      <c r="Z1036" s="7">
        <v>0</v>
      </c>
      <c r="AA1036" s="7">
        <v>0</v>
      </c>
      <c r="AB1036" s="7">
        <v>1</v>
      </c>
      <c r="AC1036" s="7">
        <v>1</v>
      </c>
      <c r="AD1036" s="7" t="s">
        <v>5044</v>
      </c>
      <c r="AE1036" s="7" t="s">
        <v>5044</v>
      </c>
      <c r="AF1036" s="7" t="s">
        <v>5044</v>
      </c>
      <c r="AG1036" s="7">
        <v>2</v>
      </c>
      <c r="AH1036" s="7">
        <v>3</v>
      </c>
      <c r="AI1036" s="7">
        <v>0</v>
      </c>
      <c r="AJ1036" s="7" t="s">
        <v>5044</v>
      </c>
      <c r="AL1036" s="7">
        <v>1</v>
      </c>
      <c r="AM1036" s="7">
        <v>0</v>
      </c>
      <c r="AO1036" s="11">
        <v>3</v>
      </c>
    </row>
    <row r="1037" spans="1:41" ht="63" customHeight="1" x14ac:dyDescent="0.2">
      <c r="A1037" s="7">
        <v>12538</v>
      </c>
      <c r="B1037" s="7" t="s">
        <v>4868</v>
      </c>
      <c r="C1037" s="7" t="s">
        <v>4869</v>
      </c>
      <c r="D1037" s="7" t="s">
        <v>9</v>
      </c>
      <c r="F1037" s="7" t="s">
        <v>4870</v>
      </c>
      <c r="G1037" s="7" t="s">
        <v>107</v>
      </c>
      <c r="H1037" s="7" t="s">
        <v>972</v>
      </c>
      <c r="I1037" s="7" t="s">
        <v>13</v>
      </c>
      <c r="J1037" s="7" t="s">
        <v>4871</v>
      </c>
      <c r="K1037" s="7" t="s">
        <v>4872</v>
      </c>
      <c r="L1037" s="6" t="s">
        <v>5198</v>
      </c>
      <c r="M1037" s="7">
        <v>0</v>
      </c>
      <c r="N1037" s="9" t="s">
        <v>5044</v>
      </c>
      <c r="O1037" s="9" t="s">
        <v>5044</v>
      </c>
      <c r="P1037" s="7">
        <v>0</v>
      </c>
      <c r="Q1037" s="7">
        <v>0</v>
      </c>
      <c r="R1037" s="7">
        <v>0</v>
      </c>
      <c r="S1037" s="7">
        <v>3</v>
      </c>
      <c r="T1037" s="7">
        <v>2</v>
      </c>
      <c r="U1037" s="7">
        <v>655</v>
      </c>
      <c r="V1037" s="7">
        <v>0</v>
      </c>
      <c r="W1037" s="7">
        <v>1</v>
      </c>
      <c r="X1037" s="7">
        <v>0</v>
      </c>
      <c r="Y1037" s="7">
        <v>0</v>
      </c>
      <c r="Z1037" s="7">
        <v>0</v>
      </c>
      <c r="AA1037" s="7">
        <v>0</v>
      </c>
      <c r="AB1037" s="7">
        <v>1</v>
      </c>
      <c r="AC1037" s="7">
        <v>1</v>
      </c>
      <c r="AD1037" s="7" t="s">
        <v>5044</v>
      </c>
      <c r="AE1037" s="7" t="s">
        <v>5044</v>
      </c>
      <c r="AF1037" s="7" t="s">
        <v>5044</v>
      </c>
      <c r="AG1037" s="7">
        <v>2</v>
      </c>
      <c r="AH1037" s="7">
        <v>3</v>
      </c>
      <c r="AI1037" s="7">
        <v>0</v>
      </c>
      <c r="AJ1037" s="7" t="s">
        <v>5044</v>
      </c>
      <c r="AL1037" s="7">
        <v>1</v>
      </c>
      <c r="AM1037" s="7">
        <v>0</v>
      </c>
      <c r="AO1037" s="11">
        <v>3</v>
      </c>
    </row>
    <row r="1038" spans="1:41" ht="63" customHeight="1" x14ac:dyDescent="0.2">
      <c r="A1038" s="7">
        <v>12539</v>
      </c>
      <c r="B1038" s="7" t="s">
        <v>4873</v>
      </c>
      <c r="C1038" s="7" t="s">
        <v>4874</v>
      </c>
      <c r="D1038" s="7" t="s">
        <v>35</v>
      </c>
      <c r="F1038" s="7" t="s">
        <v>4875</v>
      </c>
      <c r="G1038" s="7" t="s">
        <v>37</v>
      </c>
      <c r="H1038" s="7" t="s">
        <v>730</v>
      </c>
      <c r="I1038" s="7" t="s">
        <v>13</v>
      </c>
      <c r="J1038" s="7" t="s">
        <v>4876</v>
      </c>
      <c r="K1038" s="7" t="s">
        <v>4877</v>
      </c>
      <c r="L1038" s="11" t="s">
        <v>5044</v>
      </c>
      <c r="M1038" s="7">
        <v>0</v>
      </c>
      <c r="N1038" s="9" t="s">
        <v>5044</v>
      </c>
      <c r="O1038" s="9" t="s">
        <v>5044</v>
      </c>
      <c r="P1038" s="7">
        <v>0</v>
      </c>
      <c r="Q1038" s="7">
        <v>0</v>
      </c>
      <c r="R1038" s="7">
        <v>0</v>
      </c>
      <c r="S1038" s="7">
        <v>3</v>
      </c>
      <c r="T1038" s="7">
        <v>2</v>
      </c>
      <c r="U1038" s="7">
        <v>597</v>
      </c>
      <c r="V1038" s="7">
        <v>0</v>
      </c>
      <c r="W1038" s="7">
        <v>1</v>
      </c>
      <c r="X1038" s="7">
        <v>0</v>
      </c>
      <c r="Y1038" s="7">
        <v>0</v>
      </c>
      <c r="Z1038" s="7">
        <v>0</v>
      </c>
      <c r="AA1038" s="7">
        <v>0</v>
      </c>
      <c r="AB1038" s="7">
        <v>1</v>
      </c>
      <c r="AC1038" s="7">
        <v>1</v>
      </c>
      <c r="AD1038" s="7" t="s">
        <v>5044</v>
      </c>
      <c r="AE1038" s="7" t="s">
        <v>5044</v>
      </c>
      <c r="AF1038" s="7" t="s">
        <v>5044</v>
      </c>
      <c r="AG1038" s="7">
        <v>2</v>
      </c>
      <c r="AH1038" s="7">
        <v>3</v>
      </c>
      <c r="AI1038" s="7">
        <v>0</v>
      </c>
      <c r="AJ1038" s="7" t="s">
        <v>5044</v>
      </c>
      <c r="AL1038" s="7">
        <v>0</v>
      </c>
      <c r="AM1038" s="7">
        <v>0</v>
      </c>
      <c r="AO1038" s="11">
        <v>3</v>
      </c>
    </row>
    <row r="1039" spans="1:41" ht="63" customHeight="1" x14ac:dyDescent="0.2">
      <c r="A1039" s="7">
        <v>12557</v>
      </c>
      <c r="B1039" s="7" t="s">
        <v>4878</v>
      </c>
      <c r="C1039" s="7" t="s">
        <v>4879</v>
      </c>
      <c r="D1039" s="7" t="s">
        <v>25</v>
      </c>
      <c r="F1039" s="7" t="s">
        <v>237</v>
      </c>
      <c r="G1039" s="7" t="s">
        <v>47</v>
      </c>
      <c r="H1039" s="7" t="s">
        <v>238</v>
      </c>
      <c r="I1039" s="7" t="s">
        <v>13</v>
      </c>
      <c r="J1039" s="7" t="s">
        <v>4880</v>
      </c>
      <c r="K1039" s="7" t="s">
        <v>4881</v>
      </c>
      <c r="L1039" s="11" t="s">
        <v>5044</v>
      </c>
      <c r="M1039" s="7">
        <v>0</v>
      </c>
      <c r="N1039" s="9" t="s">
        <v>5044</v>
      </c>
      <c r="O1039" s="9" t="s">
        <v>5044</v>
      </c>
      <c r="P1039" s="7">
        <v>0</v>
      </c>
      <c r="Q1039" s="7">
        <v>0</v>
      </c>
      <c r="R1039" s="7">
        <v>0</v>
      </c>
      <c r="S1039" s="7">
        <v>3</v>
      </c>
      <c r="T1039" s="7">
        <v>6</v>
      </c>
      <c r="U1039" s="7">
        <v>203</v>
      </c>
      <c r="V1039" s="7">
        <v>0</v>
      </c>
      <c r="W1039" s="7">
        <v>1</v>
      </c>
      <c r="X1039" s="7">
        <v>0</v>
      </c>
      <c r="Y1039" s="7">
        <v>0</v>
      </c>
      <c r="Z1039" s="7">
        <v>0</v>
      </c>
      <c r="AA1039" s="7">
        <v>0</v>
      </c>
      <c r="AB1039" s="7">
        <v>0</v>
      </c>
      <c r="AC1039" s="7">
        <v>1</v>
      </c>
      <c r="AD1039" s="7" t="s">
        <v>5044</v>
      </c>
      <c r="AE1039" s="7" t="s">
        <v>5044</v>
      </c>
      <c r="AF1039" s="7" t="s">
        <v>5044</v>
      </c>
      <c r="AG1039" s="7">
        <v>1</v>
      </c>
      <c r="AH1039" s="7">
        <v>0</v>
      </c>
      <c r="AI1039" s="7">
        <v>0</v>
      </c>
      <c r="AJ1039" s="7" t="s">
        <v>5044</v>
      </c>
      <c r="AL1039" s="7">
        <v>1</v>
      </c>
      <c r="AM1039" s="7">
        <v>0</v>
      </c>
      <c r="AO1039" s="9">
        <v>0</v>
      </c>
    </row>
    <row r="1040" spans="1:41" ht="63" customHeight="1" x14ac:dyDescent="0.2">
      <c r="A1040" s="7">
        <v>12582</v>
      </c>
      <c r="B1040" s="7" t="s">
        <v>4882</v>
      </c>
      <c r="C1040" s="7" t="s">
        <v>4883</v>
      </c>
      <c r="D1040" s="7" t="s">
        <v>22</v>
      </c>
      <c r="F1040" s="7" t="s">
        <v>154</v>
      </c>
      <c r="G1040" s="7" t="s">
        <v>92</v>
      </c>
      <c r="H1040" s="7" t="s">
        <v>38</v>
      </c>
      <c r="I1040" s="7" t="s">
        <v>13</v>
      </c>
      <c r="J1040" s="7" t="s">
        <v>4884</v>
      </c>
      <c r="K1040" s="7" t="s">
        <v>4885</v>
      </c>
      <c r="L1040" s="8" t="s">
        <v>5199</v>
      </c>
      <c r="M1040" s="7">
        <v>0</v>
      </c>
      <c r="N1040" s="9" t="s">
        <v>5044</v>
      </c>
      <c r="O1040" s="9" t="s">
        <v>5044</v>
      </c>
      <c r="P1040" s="7">
        <v>0</v>
      </c>
      <c r="Q1040" s="7">
        <v>0</v>
      </c>
      <c r="R1040" s="7">
        <v>0</v>
      </c>
      <c r="S1040" s="7">
        <v>1</v>
      </c>
      <c r="T1040" s="7">
        <v>1</v>
      </c>
      <c r="U1040" s="7">
        <v>350</v>
      </c>
      <c r="V1040" s="7">
        <v>0</v>
      </c>
      <c r="W1040" s="7">
        <v>1</v>
      </c>
      <c r="X1040" s="7">
        <v>0</v>
      </c>
      <c r="Y1040" s="7">
        <v>0</v>
      </c>
      <c r="Z1040" s="7">
        <v>0</v>
      </c>
      <c r="AA1040" s="7">
        <v>0</v>
      </c>
      <c r="AB1040" s="7">
        <v>1</v>
      </c>
      <c r="AC1040" s="7">
        <v>1</v>
      </c>
      <c r="AD1040" s="7" t="s">
        <v>5044</v>
      </c>
      <c r="AE1040" s="7" t="s">
        <v>5044</v>
      </c>
      <c r="AF1040" s="7" t="s">
        <v>5044</v>
      </c>
      <c r="AG1040" s="7">
        <v>1</v>
      </c>
      <c r="AH1040" s="7">
        <v>0</v>
      </c>
      <c r="AI1040" s="7">
        <v>0</v>
      </c>
      <c r="AJ1040" s="7" t="s">
        <v>5044</v>
      </c>
      <c r="AL1040" s="7">
        <v>1</v>
      </c>
      <c r="AM1040" s="7">
        <v>0</v>
      </c>
      <c r="AO1040" s="9">
        <v>0</v>
      </c>
    </row>
    <row r="1041" spans="1:41" ht="63" customHeight="1" x14ac:dyDescent="0.2">
      <c r="A1041" s="7">
        <v>12592</v>
      </c>
      <c r="B1041" s="7" t="s">
        <v>4890</v>
      </c>
      <c r="C1041" s="7" t="s">
        <v>4891</v>
      </c>
      <c r="D1041" s="7" t="s">
        <v>149</v>
      </c>
      <c r="F1041" s="7" t="s">
        <v>65</v>
      </c>
      <c r="G1041" s="7" t="s">
        <v>48</v>
      </c>
      <c r="H1041" s="7" t="s">
        <v>2272</v>
      </c>
      <c r="I1041" s="7" t="s">
        <v>13</v>
      </c>
      <c r="J1041" s="7" t="s">
        <v>4892</v>
      </c>
      <c r="K1041" s="7" t="s">
        <v>4893</v>
      </c>
      <c r="L1041" s="11" t="s">
        <v>5044</v>
      </c>
      <c r="M1041" s="7">
        <v>0</v>
      </c>
      <c r="N1041" s="9" t="s">
        <v>5044</v>
      </c>
      <c r="O1041" s="9" t="s">
        <v>5044</v>
      </c>
      <c r="P1041" s="7">
        <v>0</v>
      </c>
      <c r="Q1041" s="7">
        <v>0</v>
      </c>
      <c r="R1041" s="7">
        <v>0</v>
      </c>
      <c r="S1041" s="7">
        <v>3</v>
      </c>
      <c r="T1041" s="7">
        <v>1</v>
      </c>
      <c r="U1041" s="7">
        <v>120</v>
      </c>
      <c r="V1041" s="7">
        <v>0</v>
      </c>
      <c r="W1041" s="7">
        <v>1</v>
      </c>
      <c r="X1041" s="7">
        <v>0</v>
      </c>
      <c r="Y1041" s="7">
        <v>0</v>
      </c>
      <c r="Z1041" s="7">
        <v>0</v>
      </c>
      <c r="AA1041" s="7">
        <v>0</v>
      </c>
      <c r="AB1041" s="7">
        <v>1</v>
      </c>
      <c r="AC1041" s="7">
        <v>1</v>
      </c>
      <c r="AD1041" s="7" t="s">
        <v>5044</v>
      </c>
      <c r="AE1041" s="7" t="s">
        <v>5044</v>
      </c>
      <c r="AF1041" s="7" t="s">
        <v>5044</v>
      </c>
      <c r="AG1041" s="7">
        <v>2</v>
      </c>
      <c r="AH1041" s="7">
        <v>2</v>
      </c>
      <c r="AI1041" s="7">
        <v>2</v>
      </c>
      <c r="AJ1041" s="7" t="s">
        <v>5044</v>
      </c>
      <c r="AL1041" s="7" t="s">
        <v>5041</v>
      </c>
      <c r="AM1041" s="7">
        <v>0</v>
      </c>
      <c r="AN1041" s="7" t="s">
        <v>5105</v>
      </c>
      <c r="AO1041" s="11">
        <v>2</v>
      </c>
    </row>
    <row r="1042" spans="1:41" ht="63" customHeight="1" x14ac:dyDescent="0.2">
      <c r="A1042" s="7">
        <v>12610</v>
      </c>
      <c r="B1042" s="7" t="s">
        <v>4898</v>
      </c>
      <c r="C1042" s="7" t="s">
        <v>4899</v>
      </c>
      <c r="D1042" s="7" t="s">
        <v>25</v>
      </c>
      <c r="F1042" s="7" t="s">
        <v>568</v>
      </c>
      <c r="G1042" s="7" t="s">
        <v>52</v>
      </c>
      <c r="H1042" s="7" t="s">
        <v>71</v>
      </c>
      <c r="I1042" s="7" t="s">
        <v>13</v>
      </c>
      <c r="J1042" s="7" t="s">
        <v>4900</v>
      </c>
      <c r="K1042" s="7" t="s">
        <v>4901</v>
      </c>
      <c r="L1042" s="6" t="s">
        <v>5202</v>
      </c>
      <c r="M1042" s="7">
        <v>0</v>
      </c>
      <c r="N1042" s="9" t="s">
        <v>5044</v>
      </c>
      <c r="O1042" s="9" t="s">
        <v>5044</v>
      </c>
      <c r="P1042" s="7">
        <v>0</v>
      </c>
      <c r="Q1042" s="7">
        <v>0</v>
      </c>
      <c r="R1042" s="7">
        <v>0</v>
      </c>
      <c r="S1042" s="7">
        <v>1</v>
      </c>
      <c r="T1042" s="7">
        <v>4</v>
      </c>
      <c r="U1042" s="7">
        <v>50</v>
      </c>
      <c r="V1042" s="7">
        <v>0</v>
      </c>
      <c r="W1042" s="7">
        <v>1</v>
      </c>
      <c r="X1042" s="7">
        <v>0</v>
      </c>
      <c r="Y1042" s="7">
        <v>0</v>
      </c>
      <c r="Z1042" s="7">
        <v>0</v>
      </c>
      <c r="AA1042" s="7">
        <v>0</v>
      </c>
      <c r="AB1042" s="7">
        <v>1</v>
      </c>
      <c r="AC1042" s="7">
        <v>1</v>
      </c>
      <c r="AD1042" s="7" t="s">
        <v>5044</v>
      </c>
      <c r="AE1042" s="7" t="s">
        <v>5044</v>
      </c>
      <c r="AF1042" s="7" t="s">
        <v>5044</v>
      </c>
      <c r="AG1042" s="7">
        <v>2</v>
      </c>
      <c r="AH1042" s="7">
        <v>3</v>
      </c>
      <c r="AI1042" s="7">
        <v>0</v>
      </c>
      <c r="AJ1042" s="7" t="s">
        <v>5044</v>
      </c>
      <c r="AL1042" s="7">
        <v>1</v>
      </c>
      <c r="AM1042" s="7">
        <v>0</v>
      </c>
      <c r="AO1042" s="11">
        <v>3</v>
      </c>
    </row>
    <row r="1043" spans="1:41" ht="63" customHeight="1" x14ac:dyDescent="0.2">
      <c r="A1043" s="7">
        <v>12614</v>
      </c>
      <c r="B1043" s="7" t="s">
        <v>4902</v>
      </c>
      <c r="C1043" s="7" t="s">
        <v>4903</v>
      </c>
      <c r="D1043" s="7" t="s">
        <v>22</v>
      </c>
      <c r="F1043" s="7" t="s">
        <v>65</v>
      </c>
      <c r="G1043" s="7" t="s">
        <v>37</v>
      </c>
      <c r="H1043" s="7" t="s">
        <v>1077</v>
      </c>
      <c r="I1043" s="7" t="s">
        <v>13</v>
      </c>
      <c r="J1043" s="7" t="s">
        <v>4904</v>
      </c>
      <c r="K1043" s="7" t="s">
        <v>4905</v>
      </c>
      <c r="L1043" s="6" t="s">
        <v>5203</v>
      </c>
      <c r="M1043" s="7">
        <v>0</v>
      </c>
      <c r="N1043" s="9" t="s">
        <v>5044</v>
      </c>
      <c r="O1043" s="9" t="s">
        <v>5044</v>
      </c>
      <c r="P1043" s="7">
        <v>0</v>
      </c>
      <c r="Q1043" s="7">
        <v>0</v>
      </c>
      <c r="R1043" s="7">
        <v>0</v>
      </c>
      <c r="S1043" s="7">
        <v>1</v>
      </c>
      <c r="T1043" s="7">
        <v>1</v>
      </c>
      <c r="U1043" s="7">
        <v>193</v>
      </c>
      <c r="V1043" s="7">
        <v>0</v>
      </c>
      <c r="W1043" s="7">
        <v>1</v>
      </c>
      <c r="X1043" s="7">
        <v>0</v>
      </c>
      <c r="Y1043" s="7">
        <v>0</v>
      </c>
      <c r="Z1043" s="7">
        <v>0</v>
      </c>
      <c r="AA1043" s="7">
        <v>0</v>
      </c>
      <c r="AB1043" s="7">
        <v>1</v>
      </c>
      <c r="AC1043" s="7">
        <v>1</v>
      </c>
      <c r="AD1043" s="7" t="s">
        <v>5044</v>
      </c>
      <c r="AE1043" s="7" t="s">
        <v>5044</v>
      </c>
      <c r="AF1043" s="7" t="s">
        <v>5044</v>
      </c>
      <c r="AG1043" s="7">
        <v>2</v>
      </c>
      <c r="AH1043" s="7">
        <v>3</v>
      </c>
      <c r="AI1043" s="7">
        <v>0</v>
      </c>
      <c r="AJ1043" s="7" t="s">
        <v>5044</v>
      </c>
      <c r="AL1043" s="7">
        <v>1</v>
      </c>
      <c r="AM1043" s="7">
        <v>0</v>
      </c>
      <c r="AO1043" s="11">
        <v>3</v>
      </c>
    </row>
    <row r="1044" spans="1:41" ht="63" customHeight="1" x14ac:dyDescent="0.2">
      <c r="A1044" s="7">
        <v>12625</v>
      </c>
      <c r="B1044" s="7" t="s">
        <v>4906</v>
      </c>
      <c r="C1044" s="7" t="s">
        <v>4907</v>
      </c>
      <c r="D1044" s="7" t="s">
        <v>95</v>
      </c>
      <c r="F1044" s="7" t="s">
        <v>834</v>
      </c>
      <c r="G1044" s="7" t="s">
        <v>18</v>
      </c>
      <c r="H1044" s="7" t="s">
        <v>307</v>
      </c>
      <c r="I1044" s="7" t="s">
        <v>13</v>
      </c>
      <c r="J1044" s="7" t="s">
        <v>4908</v>
      </c>
      <c r="K1044" s="7" t="s">
        <v>4909</v>
      </c>
      <c r="L1044" s="11" t="s">
        <v>5044</v>
      </c>
      <c r="M1044" s="7">
        <v>0</v>
      </c>
      <c r="N1044" s="9" t="s">
        <v>5044</v>
      </c>
      <c r="O1044" s="9" t="s">
        <v>5044</v>
      </c>
      <c r="P1044" s="7">
        <v>0</v>
      </c>
      <c r="Q1044" s="7">
        <v>0</v>
      </c>
      <c r="R1044" s="7">
        <v>0</v>
      </c>
      <c r="S1044" s="7">
        <v>3</v>
      </c>
      <c r="T1044" s="7">
        <v>6</v>
      </c>
      <c r="U1044" s="7">
        <v>183</v>
      </c>
      <c r="V1044" s="7">
        <v>0</v>
      </c>
      <c r="W1044" s="7">
        <v>1</v>
      </c>
      <c r="X1044" s="7">
        <v>0</v>
      </c>
      <c r="Y1044" s="7">
        <v>0</v>
      </c>
      <c r="Z1044" s="7">
        <v>0</v>
      </c>
      <c r="AA1044" s="7">
        <v>0</v>
      </c>
      <c r="AB1044" s="7">
        <v>1</v>
      </c>
      <c r="AC1044" s="7">
        <v>1</v>
      </c>
      <c r="AD1044" s="7" t="s">
        <v>5044</v>
      </c>
      <c r="AE1044" s="7" t="s">
        <v>5044</v>
      </c>
      <c r="AF1044" s="7" t="s">
        <v>5044</v>
      </c>
      <c r="AG1044" s="7">
        <v>1</v>
      </c>
      <c r="AH1044" s="7">
        <v>0</v>
      </c>
      <c r="AI1044" s="7">
        <v>0</v>
      </c>
      <c r="AJ1044" s="7" t="s">
        <v>5044</v>
      </c>
      <c r="AL1044" s="7">
        <v>1</v>
      </c>
      <c r="AM1044" s="7">
        <v>0</v>
      </c>
      <c r="AO1044" s="9">
        <v>0</v>
      </c>
    </row>
    <row r="1045" spans="1:41" ht="63" customHeight="1" x14ac:dyDescent="0.2">
      <c r="A1045" s="7">
        <v>12626</v>
      </c>
      <c r="B1045" s="7" t="s">
        <v>4910</v>
      </c>
      <c r="C1045" s="7" t="s">
        <v>4911</v>
      </c>
      <c r="D1045" s="7" t="s">
        <v>41</v>
      </c>
      <c r="F1045" s="7" t="s">
        <v>384</v>
      </c>
      <c r="G1045" s="7" t="s">
        <v>18</v>
      </c>
      <c r="H1045" s="7" t="s">
        <v>102</v>
      </c>
      <c r="I1045" s="7" t="s">
        <v>13</v>
      </c>
      <c r="J1045" s="7" t="s">
        <v>4912</v>
      </c>
      <c r="K1045" s="7" t="s">
        <v>4913</v>
      </c>
      <c r="L1045" s="11" t="s">
        <v>5044</v>
      </c>
      <c r="M1045" s="7">
        <v>0</v>
      </c>
      <c r="N1045" s="9" t="s">
        <v>5044</v>
      </c>
      <c r="O1045" s="9" t="s">
        <v>5044</v>
      </c>
      <c r="P1045" s="7">
        <v>0</v>
      </c>
      <c r="Q1045" s="7">
        <v>0</v>
      </c>
      <c r="R1045" s="7">
        <v>0</v>
      </c>
      <c r="S1045" s="7">
        <v>3</v>
      </c>
      <c r="T1045" s="7">
        <v>6</v>
      </c>
      <c r="U1045" s="7">
        <v>130</v>
      </c>
      <c r="V1045" s="7">
        <v>0</v>
      </c>
      <c r="W1045" s="7">
        <v>1</v>
      </c>
      <c r="X1045" s="7">
        <v>0</v>
      </c>
      <c r="Y1045" s="7">
        <v>0</v>
      </c>
      <c r="Z1045" s="7">
        <v>0</v>
      </c>
      <c r="AA1045" s="7">
        <v>0</v>
      </c>
      <c r="AB1045" s="7">
        <v>1</v>
      </c>
      <c r="AC1045" s="7">
        <v>1</v>
      </c>
      <c r="AD1045" s="7" t="s">
        <v>5044</v>
      </c>
      <c r="AE1045" s="7" t="s">
        <v>5044</v>
      </c>
      <c r="AF1045" s="7" t="s">
        <v>5044</v>
      </c>
      <c r="AG1045" s="7">
        <v>1</v>
      </c>
      <c r="AH1045" s="7">
        <v>0</v>
      </c>
      <c r="AI1045" s="7">
        <v>0</v>
      </c>
      <c r="AJ1045" s="7" t="s">
        <v>5044</v>
      </c>
      <c r="AL1045" s="7">
        <v>0</v>
      </c>
      <c r="AM1045" s="7">
        <v>0</v>
      </c>
      <c r="AO1045" s="9">
        <v>0</v>
      </c>
    </row>
    <row r="1046" spans="1:41" ht="63" customHeight="1" x14ac:dyDescent="0.2">
      <c r="A1046" s="7">
        <v>12627</v>
      </c>
      <c r="B1046" s="7" t="s">
        <v>4914</v>
      </c>
      <c r="C1046" s="7" t="s">
        <v>4915</v>
      </c>
      <c r="D1046" s="7" t="s">
        <v>41</v>
      </c>
      <c r="F1046" s="7" t="s">
        <v>505</v>
      </c>
      <c r="G1046" s="7" t="s">
        <v>37</v>
      </c>
      <c r="H1046" s="7" t="s">
        <v>679</v>
      </c>
      <c r="I1046" s="7" t="s">
        <v>13</v>
      </c>
      <c r="J1046" s="7" t="s">
        <v>4916</v>
      </c>
      <c r="K1046" s="7" t="s">
        <v>4917</v>
      </c>
      <c r="L1046" s="8" t="s">
        <v>5204</v>
      </c>
      <c r="M1046" s="7">
        <v>0</v>
      </c>
      <c r="N1046" s="9" t="s">
        <v>5044</v>
      </c>
      <c r="O1046" s="9" t="s">
        <v>5044</v>
      </c>
      <c r="P1046" s="7">
        <v>0</v>
      </c>
      <c r="Q1046" s="7">
        <v>0</v>
      </c>
      <c r="R1046" s="7">
        <v>0</v>
      </c>
      <c r="S1046" s="7">
        <v>3</v>
      </c>
      <c r="T1046" s="7">
        <v>6</v>
      </c>
      <c r="U1046" s="7">
        <v>72</v>
      </c>
      <c r="V1046" s="7">
        <v>0</v>
      </c>
      <c r="W1046" s="7">
        <v>1</v>
      </c>
      <c r="X1046" s="7">
        <v>0</v>
      </c>
      <c r="Y1046" s="7">
        <v>0</v>
      </c>
      <c r="Z1046" s="7">
        <v>0</v>
      </c>
      <c r="AA1046" s="7">
        <v>0</v>
      </c>
      <c r="AB1046" s="7">
        <v>1</v>
      </c>
      <c r="AC1046" s="7">
        <v>1</v>
      </c>
      <c r="AD1046" s="7" t="s">
        <v>5044</v>
      </c>
      <c r="AE1046" s="7" t="s">
        <v>5044</v>
      </c>
      <c r="AF1046" s="7" t="s">
        <v>5044</v>
      </c>
      <c r="AG1046" s="7">
        <v>1</v>
      </c>
      <c r="AH1046" s="7">
        <v>0</v>
      </c>
      <c r="AI1046" s="7">
        <v>0</v>
      </c>
      <c r="AJ1046" s="7" t="s">
        <v>5044</v>
      </c>
      <c r="AL1046" s="7">
        <v>1</v>
      </c>
      <c r="AM1046" s="7">
        <v>0</v>
      </c>
      <c r="AO1046" s="9">
        <v>0</v>
      </c>
    </row>
    <row r="1047" spans="1:41" ht="63" customHeight="1" x14ac:dyDescent="0.2">
      <c r="A1047" s="7">
        <v>12629</v>
      </c>
      <c r="B1047" s="7" t="s">
        <v>4918</v>
      </c>
      <c r="C1047" s="7" t="s">
        <v>4919</v>
      </c>
      <c r="D1047" s="7" t="s">
        <v>74</v>
      </c>
      <c r="F1047" s="7" t="s">
        <v>4920</v>
      </c>
      <c r="G1047" s="7" t="s">
        <v>52</v>
      </c>
      <c r="H1047" s="7" t="s">
        <v>596</v>
      </c>
      <c r="I1047" s="7" t="s">
        <v>13</v>
      </c>
      <c r="J1047" s="7" t="s">
        <v>4921</v>
      </c>
      <c r="K1047" s="7" t="s">
        <v>4922</v>
      </c>
      <c r="L1047" s="8" t="s">
        <v>5220</v>
      </c>
      <c r="M1047" s="7">
        <v>0</v>
      </c>
      <c r="N1047" s="9" t="s">
        <v>5044</v>
      </c>
      <c r="O1047" s="9" t="s">
        <v>5044</v>
      </c>
      <c r="P1047" s="7">
        <v>0</v>
      </c>
      <c r="Q1047" s="7">
        <v>0</v>
      </c>
      <c r="R1047" s="7">
        <v>0</v>
      </c>
      <c r="S1047" s="7">
        <v>1</v>
      </c>
      <c r="T1047" s="7">
        <v>4</v>
      </c>
      <c r="U1047" s="7">
        <v>104</v>
      </c>
      <c r="V1047" s="7">
        <v>1</v>
      </c>
      <c r="W1047" s="7">
        <v>0</v>
      </c>
      <c r="X1047" s="7">
        <v>0</v>
      </c>
      <c r="Y1047" s="7">
        <v>0</v>
      </c>
      <c r="Z1047" s="7">
        <v>0</v>
      </c>
      <c r="AA1047" s="7">
        <v>0</v>
      </c>
      <c r="AB1047" s="7">
        <v>1</v>
      </c>
      <c r="AC1047" s="7">
        <v>1</v>
      </c>
      <c r="AD1047" s="7">
        <v>1</v>
      </c>
      <c r="AE1047" s="7">
        <v>0</v>
      </c>
      <c r="AF1047" s="7">
        <v>0</v>
      </c>
      <c r="AG1047" s="7" t="s">
        <v>5044</v>
      </c>
      <c r="AH1047" s="7" t="s">
        <v>5044</v>
      </c>
      <c r="AI1047" s="7" t="s">
        <v>5044</v>
      </c>
      <c r="AJ1047" s="7" t="s">
        <v>5044</v>
      </c>
      <c r="AL1047" s="7">
        <v>1</v>
      </c>
      <c r="AM1047" s="7">
        <v>0</v>
      </c>
      <c r="AO1047" s="9">
        <v>0</v>
      </c>
    </row>
    <row r="1048" spans="1:41" ht="63" customHeight="1" x14ac:dyDescent="0.2">
      <c r="A1048" s="7">
        <v>12635</v>
      </c>
      <c r="B1048" s="7" t="s">
        <v>4923</v>
      </c>
      <c r="C1048" s="7" t="s">
        <v>4924</v>
      </c>
      <c r="D1048" s="7" t="s">
        <v>74</v>
      </c>
      <c r="F1048" s="7" t="s">
        <v>118</v>
      </c>
      <c r="G1048" s="7" t="s">
        <v>52</v>
      </c>
      <c r="H1048" s="7" t="s">
        <v>656</v>
      </c>
      <c r="I1048" s="7" t="s">
        <v>13</v>
      </c>
      <c r="J1048" s="7" t="s">
        <v>4925</v>
      </c>
      <c r="K1048" s="7" t="s">
        <v>4926</v>
      </c>
      <c r="L1048" s="8" t="s">
        <v>5221</v>
      </c>
      <c r="M1048" s="7">
        <v>0</v>
      </c>
      <c r="N1048" s="9" t="s">
        <v>5044</v>
      </c>
      <c r="O1048" s="9" t="s">
        <v>5044</v>
      </c>
      <c r="P1048" s="7">
        <v>0</v>
      </c>
      <c r="Q1048" s="7">
        <v>0</v>
      </c>
      <c r="R1048" s="7">
        <v>0</v>
      </c>
      <c r="S1048" s="7">
        <v>1</v>
      </c>
      <c r="T1048" s="7">
        <v>1</v>
      </c>
      <c r="U1048" s="7">
        <v>346</v>
      </c>
      <c r="V1048" s="7">
        <v>0</v>
      </c>
      <c r="W1048" s="7">
        <v>1</v>
      </c>
      <c r="X1048" s="7">
        <v>0</v>
      </c>
      <c r="Y1048" s="7">
        <v>0</v>
      </c>
      <c r="Z1048" s="7">
        <v>0</v>
      </c>
      <c r="AA1048" s="7">
        <v>0</v>
      </c>
      <c r="AB1048" s="7">
        <v>1</v>
      </c>
      <c r="AC1048" s="7">
        <v>1</v>
      </c>
      <c r="AD1048" s="7" t="s">
        <v>5044</v>
      </c>
      <c r="AE1048" s="7" t="s">
        <v>5044</v>
      </c>
      <c r="AF1048" s="7" t="s">
        <v>5044</v>
      </c>
      <c r="AG1048" s="7">
        <v>2</v>
      </c>
      <c r="AH1048" s="7">
        <v>1</v>
      </c>
      <c r="AI1048" s="7">
        <v>2</v>
      </c>
      <c r="AJ1048" s="7" t="s">
        <v>5044</v>
      </c>
      <c r="AL1048" s="7">
        <v>0</v>
      </c>
      <c r="AM1048" s="7">
        <v>0</v>
      </c>
      <c r="AO1048" s="11">
        <v>1</v>
      </c>
    </row>
    <row r="1049" spans="1:41" ht="63" customHeight="1" x14ac:dyDescent="0.2">
      <c r="A1049" s="7">
        <v>12650</v>
      </c>
      <c r="B1049" s="7" t="s">
        <v>4927</v>
      </c>
      <c r="C1049" s="7" t="s">
        <v>4928</v>
      </c>
      <c r="D1049" s="7" t="s">
        <v>25</v>
      </c>
      <c r="F1049" s="7" t="s">
        <v>237</v>
      </c>
      <c r="G1049" s="7" t="s">
        <v>92</v>
      </c>
      <c r="H1049" s="7" t="s">
        <v>160</v>
      </c>
      <c r="I1049" s="7" t="s">
        <v>13</v>
      </c>
      <c r="J1049" s="7" t="s">
        <v>4929</v>
      </c>
      <c r="K1049" s="7" t="s">
        <v>4930</v>
      </c>
      <c r="L1049" s="11" t="s">
        <v>5044</v>
      </c>
      <c r="M1049" s="7">
        <v>0</v>
      </c>
      <c r="N1049" s="9" t="s">
        <v>5044</v>
      </c>
      <c r="O1049" s="9" t="s">
        <v>5044</v>
      </c>
      <c r="P1049" s="7">
        <v>0</v>
      </c>
      <c r="Q1049" s="7">
        <v>0</v>
      </c>
      <c r="R1049" s="7">
        <v>0</v>
      </c>
      <c r="S1049" s="7">
        <v>1</v>
      </c>
      <c r="T1049" s="7">
        <v>4</v>
      </c>
      <c r="U1049" s="7">
        <v>745</v>
      </c>
      <c r="V1049" s="7">
        <v>1</v>
      </c>
      <c r="W1049" s="7">
        <v>0</v>
      </c>
      <c r="X1049" s="7">
        <v>0</v>
      </c>
      <c r="Y1049" s="7">
        <v>0</v>
      </c>
      <c r="Z1049" s="7">
        <v>0</v>
      </c>
      <c r="AA1049" s="7">
        <v>0</v>
      </c>
      <c r="AB1049" s="7">
        <v>1</v>
      </c>
      <c r="AC1049" s="7">
        <v>1</v>
      </c>
      <c r="AD1049" s="7">
        <v>2</v>
      </c>
      <c r="AE1049" s="7">
        <v>3</v>
      </c>
      <c r="AF1049" s="7">
        <v>0</v>
      </c>
      <c r="AG1049" s="7" t="s">
        <v>5044</v>
      </c>
      <c r="AH1049" s="7" t="s">
        <v>5044</v>
      </c>
      <c r="AI1049" s="7" t="s">
        <v>5044</v>
      </c>
      <c r="AJ1049" s="7" t="s">
        <v>5044</v>
      </c>
      <c r="AL1049" s="7">
        <v>1</v>
      </c>
      <c r="AM1049" s="7">
        <v>0</v>
      </c>
      <c r="AO1049" s="11">
        <v>3</v>
      </c>
    </row>
    <row r="1050" spans="1:41" ht="63" customHeight="1" x14ac:dyDescent="0.2">
      <c r="A1050" s="7">
        <v>12653</v>
      </c>
      <c r="B1050" s="7" t="s">
        <v>4931</v>
      </c>
      <c r="C1050" s="7" t="s">
        <v>4932</v>
      </c>
      <c r="D1050" s="7" t="s">
        <v>46</v>
      </c>
      <c r="F1050" s="7" t="s">
        <v>293</v>
      </c>
      <c r="G1050" s="7" t="s">
        <v>17</v>
      </c>
      <c r="H1050" s="7" t="s">
        <v>1125</v>
      </c>
      <c r="I1050" s="7" t="s">
        <v>13</v>
      </c>
      <c r="J1050" s="7" t="s">
        <v>4933</v>
      </c>
      <c r="K1050" s="7" t="s">
        <v>4934</v>
      </c>
      <c r="L1050" s="11" t="s">
        <v>5044</v>
      </c>
      <c r="M1050" s="7">
        <v>0</v>
      </c>
      <c r="N1050" s="9" t="s">
        <v>5044</v>
      </c>
      <c r="O1050" s="9" t="s">
        <v>5044</v>
      </c>
      <c r="P1050" s="7">
        <v>0</v>
      </c>
      <c r="Q1050" s="7">
        <v>0</v>
      </c>
      <c r="R1050" s="7">
        <v>0</v>
      </c>
      <c r="S1050" s="7">
        <v>1</v>
      </c>
      <c r="T1050" s="7">
        <v>1</v>
      </c>
      <c r="U1050" s="7">
        <v>93</v>
      </c>
      <c r="V1050" s="7">
        <v>0</v>
      </c>
      <c r="W1050" s="7">
        <v>1</v>
      </c>
      <c r="X1050" s="7">
        <v>0</v>
      </c>
      <c r="Y1050" s="7">
        <v>0</v>
      </c>
      <c r="Z1050" s="7">
        <v>0</v>
      </c>
      <c r="AA1050" s="7">
        <v>0</v>
      </c>
      <c r="AB1050" s="7">
        <v>1</v>
      </c>
      <c r="AC1050" s="7">
        <v>1</v>
      </c>
      <c r="AD1050" s="7" t="s">
        <v>5044</v>
      </c>
      <c r="AE1050" s="7" t="s">
        <v>5044</v>
      </c>
      <c r="AF1050" s="7" t="s">
        <v>5044</v>
      </c>
      <c r="AG1050" s="7">
        <v>2</v>
      </c>
      <c r="AH1050" s="7">
        <v>3</v>
      </c>
      <c r="AI1050" s="7">
        <v>0</v>
      </c>
      <c r="AJ1050" s="7" t="s">
        <v>5044</v>
      </c>
      <c r="AL1050" s="7">
        <v>0</v>
      </c>
      <c r="AM1050" s="7">
        <v>0</v>
      </c>
      <c r="AO1050" s="11">
        <v>3</v>
      </c>
    </row>
    <row r="1051" spans="1:41" ht="63" customHeight="1" x14ac:dyDescent="0.2">
      <c r="A1051" s="7">
        <v>12658</v>
      </c>
      <c r="B1051" s="7" t="s">
        <v>4935</v>
      </c>
      <c r="C1051" s="7" t="s">
        <v>4936</v>
      </c>
      <c r="D1051" s="7" t="s">
        <v>149</v>
      </c>
      <c r="F1051" s="7" t="s">
        <v>865</v>
      </c>
      <c r="G1051" s="7" t="s">
        <v>52</v>
      </c>
      <c r="H1051" s="7" t="s">
        <v>160</v>
      </c>
      <c r="I1051" s="7" t="s">
        <v>13</v>
      </c>
      <c r="J1051" s="7" t="s">
        <v>4937</v>
      </c>
      <c r="K1051" s="7" t="s">
        <v>4938</v>
      </c>
      <c r="L1051" s="8">
        <v>1104011630</v>
      </c>
      <c r="M1051" s="7">
        <v>0</v>
      </c>
      <c r="N1051" s="9" t="s">
        <v>5044</v>
      </c>
      <c r="O1051" s="9" t="s">
        <v>5044</v>
      </c>
      <c r="P1051" s="7">
        <v>0</v>
      </c>
      <c r="Q1051" s="7">
        <v>0</v>
      </c>
      <c r="R1051" s="7">
        <v>0</v>
      </c>
      <c r="S1051" s="7">
        <v>1</v>
      </c>
      <c r="T1051" s="7">
        <v>2</v>
      </c>
      <c r="U1051" s="7">
        <v>60</v>
      </c>
      <c r="V1051" s="7">
        <v>0</v>
      </c>
      <c r="W1051" s="7">
        <v>1</v>
      </c>
      <c r="X1051" s="7">
        <v>0</v>
      </c>
      <c r="Y1051" s="7">
        <v>0</v>
      </c>
      <c r="Z1051" s="7">
        <v>0</v>
      </c>
      <c r="AA1051" s="7">
        <v>0</v>
      </c>
      <c r="AB1051" s="7">
        <v>1</v>
      </c>
      <c r="AC1051" s="7">
        <v>1</v>
      </c>
      <c r="AD1051" s="7" t="s">
        <v>5044</v>
      </c>
      <c r="AE1051" s="7" t="s">
        <v>5044</v>
      </c>
      <c r="AF1051" s="7" t="s">
        <v>5044</v>
      </c>
      <c r="AG1051" s="7">
        <v>2</v>
      </c>
      <c r="AH1051" s="7">
        <v>2</v>
      </c>
      <c r="AI1051" s="7">
        <v>2</v>
      </c>
      <c r="AJ1051" s="7" t="s">
        <v>5044</v>
      </c>
      <c r="AL1051" s="7">
        <v>0</v>
      </c>
      <c r="AM1051" s="7">
        <v>0</v>
      </c>
      <c r="AO1051" s="11">
        <v>2</v>
      </c>
    </row>
    <row r="1052" spans="1:41" ht="63" customHeight="1" x14ac:dyDescent="0.2">
      <c r="A1052" s="7">
        <v>12678</v>
      </c>
      <c r="B1052" s="7" t="s">
        <v>4942</v>
      </c>
      <c r="C1052" s="7" t="s">
        <v>4943</v>
      </c>
      <c r="D1052" s="7" t="s">
        <v>375</v>
      </c>
      <c r="F1052" s="7" t="s">
        <v>834</v>
      </c>
      <c r="G1052" s="7" t="s">
        <v>17</v>
      </c>
      <c r="H1052" s="7" t="s">
        <v>38</v>
      </c>
      <c r="I1052" s="7" t="s">
        <v>13</v>
      </c>
      <c r="J1052" s="7" t="s">
        <v>4944</v>
      </c>
      <c r="K1052" s="7" t="s">
        <v>4945</v>
      </c>
      <c r="L1052" s="6" t="s">
        <v>5223</v>
      </c>
      <c r="M1052" s="7">
        <v>0</v>
      </c>
      <c r="N1052" s="9" t="s">
        <v>5044</v>
      </c>
      <c r="O1052" s="9" t="s">
        <v>5044</v>
      </c>
      <c r="P1052" s="7">
        <v>0</v>
      </c>
      <c r="Q1052" s="7">
        <v>0</v>
      </c>
      <c r="R1052" s="7">
        <v>0</v>
      </c>
      <c r="S1052" s="7">
        <v>1</v>
      </c>
      <c r="T1052" s="7">
        <v>2</v>
      </c>
      <c r="U1052" s="7">
        <v>114</v>
      </c>
      <c r="V1052" s="7">
        <v>0</v>
      </c>
      <c r="W1052" s="7">
        <v>1</v>
      </c>
      <c r="X1052" s="7">
        <v>0</v>
      </c>
      <c r="Y1052" s="7">
        <v>0</v>
      </c>
      <c r="Z1052" s="7">
        <v>0</v>
      </c>
      <c r="AA1052" s="7">
        <v>0</v>
      </c>
      <c r="AB1052" s="7">
        <v>1</v>
      </c>
      <c r="AC1052" s="7">
        <v>1</v>
      </c>
      <c r="AD1052" s="7" t="s">
        <v>5044</v>
      </c>
      <c r="AE1052" s="7" t="s">
        <v>5044</v>
      </c>
      <c r="AF1052" s="7" t="s">
        <v>5044</v>
      </c>
      <c r="AG1052" s="7">
        <v>2</v>
      </c>
      <c r="AH1052" s="7">
        <v>3</v>
      </c>
      <c r="AI1052" s="7">
        <v>0</v>
      </c>
      <c r="AJ1052" s="7" t="s">
        <v>5044</v>
      </c>
      <c r="AL1052" s="7">
        <v>1</v>
      </c>
      <c r="AM1052" s="7">
        <v>0</v>
      </c>
      <c r="AO1052" s="11">
        <v>3</v>
      </c>
    </row>
    <row r="1053" spans="1:41" ht="63" customHeight="1" x14ac:dyDescent="0.2">
      <c r="A1053" s="7">
        <v>12681</v>
      </c>
      <c r="B1053" s="7" t="s">
        <v>4946</v>
      </c>
      <c r="C1053" s="7" t="s">
        <v>4947</v>
      </c>
      <c r="D1053" s="7" t="s">
        <v>16</v>
      </c>
      <c r="F1053" s="7" t="s">
        <v>31</v>
      </c>
      <c r="G1053" s="7" t="s">
        <v>27</v>
      </c>
      <c r="H1053" s="7" t="s">
        <v>4948</v>
      </c>
      <c r="I1053" s="7" t="s">
        <v>13</v>
      </c>
      <c r="J1053" s="7" t="s">
        <v>4949</v>
      </c>
      <c r="K1053" s="7" t="s">
        <v>4950</v>
      </c>
      <c r="L1053" s="11" t="s">
        <v>5044</v>
      </c>
      <c r="M1053" s="7">
        <v>0</v>
      </c>
      <c r="N1053" s="9" t="s">
        <v>5044</v>
      </c>
      <c r="O1053" s="9" t="s">
        <v>5044</v>
      </c>
      <c r="P1053" s="7">
        <v>0</v>
      </c>
      <c r="Q1053" s="7">
        <v>0</v>
      </c>
      <c r="R1053" s="7">
        <v>0</v>
      </c>
      <c r="S1053" s="7">
        <v>4</v>
      </c>
      <c r="T1053" s="7">
        <v>2</v>
      </c>
      <c r="U1053" s="7">
        <v>89</v>
      </c>
      <c r="V1053" s="7">
        <v>0</v>
      </c>
      <c r="W1053" s="7">
        <v>1</v>
      </c>
      <c r="X1053" s="7">
        <v>0</v>
      </c>
      <c r="Y1053" s="7">
        <v>0</v>
      </c>
      <c r="Z1053" s="7">
        <v>0</v>
      </c>
      <c r="AA1053" s="7">
        <v>0</v>
      </c>
      <c r="AB1053" s="7">
        <v>0</v>
      </c>
      <c r="AC1053" s="7">
        <v>1</v>
      </c>
      <c r="AD1053" s="7" t="s">
        <v>5044</v>
      </c>
      <c r="AE1053" s="7" t="s">
        <v>5044</v>
      </c>
      <c r="AF1053" s="7" t="s">
        <v>5044</v>
      </c>
      <c r="AG1053" s="7">
        <v>1</v>
      </c>
      <c r="AH1053" s="7">
        <v>0</v>
      </c>
      <c r="AI1053" s="7">
        <v>0</v>
      </c>
      <c r="AJ1053" s="7" t="s">
        <v>5044</v>
      </c>
      <c r="AL1053" s="7" t="s">
        <v>5044</v>
      </c>
      <c r="AM1053" s="7">
        <v>0</v>
      </c>
      <c r="AN1053" s="7" t="s">
        <v>5105</v>
      </c>
      <c r="AO1053" s="9">
        <v>0</v>
      </c>
    </row>
    <row r="1054" spans="1:41" ht="63" customHeight="1" x14ac:dyDescent="0.2">
      <c r="A1054" s="7">
        <v>12686</v>
      </c>
      <c r="B1054" s="7" t="s">
        <v>4951</v>
      </c>
      <c r="C1054" s="7" t="s">
        <v>4952</v>
      </c>
      <c r="D1054" s="7" t="s">
        <v>149</v>
      </c>
      <c r="F1054" s="7" t="s">
        <v>144</v>
      </c>
      <c r="G1054" s="7" t="s">
        <v>52</v>
      </c>
      <c r="H1054" s="7" t="s">
        <v>4953</v>
      </c>
      <c r="I1054" s="7" t="s">
        <v>13</v>
      </c>
      <c r="J1054" s="7" t="s">
        <v>4954</v>
      </c>
      <c r="K1054" s="7" t="s">
        <v>4955</v>
      </c>
      <c r="L1054" s="8" t="s">
        <v>5224</v>
      </c>
      <c r="M1054" s="7">
        <v>0</v>
      </c>
      <c r="N1054" s="9" t="s">
        <v>5044</v>
      </c>
      <c r="O1054" s="9" t="s">
        <v>5044</v>
      </c>
      <c r="P1054" s="7">
        <v>0</v>
      </c>
      <c r="Q1054" s="7">
        <v>0</v>
      </c>
      <c r="R1054" s="7">
        <v>0</v>
      </c>
      <c r="S1054" s="7" t="s">
        <v>7673</v>
      </c>
      <c r="T1054" s="7">
        <v>1</v>
      </c>
      <c r="U1054" s="7">
        <v>204</v>
      </c>
      <c r="V1054" s="7">
        <v>1</v>
      </c>
      <c r="W1054" s="7">
        <v>0</v>
      </c>
      <c r="X1054" s="7">
        <v>0</v>
      </c>
      <c r="Y1054" s="7">
        <v>0</v>
      </c>
      <c r="Z1054" s="7">
        <v>0</v>
      </c>
      <c r="AA1054" s="7">
        <v>0</v>
      </c>
      <c r="AB1054" s="7">
        <v>1</v>
      </c>
      <c r="AC1054" s="7">
        <v>1</v>
      </c>
      <c r="AD1054" s="7">
        <v>2</v>
      </c>
      <c r="AE1054" s="7">
        <v>1</v>
      </c>
      <c r="AF1054" s="7">
        <v>1</v>
      </c>
      <c r="AG1054" s="7" t="s">
        <v>5044</v>
      </c>
      <c r="AH1054" s="7" t="s">
        <v>5044</v>
      </c>
      <c r="AI1054" s="7" t="s">
        <v>5044</v>
      </c>
      <c r="AJ1054" s="7" t="s">
        <v>5044</v>
      </c>
      <c r="AL1054" s="7">
        <v>0</v>
      </c>
      <c r="AM1054" s="7">
        <v>0</v>
      </c>
      <c r="AO1054" s="11">
        <v>1</v>
      </c>
    </row>
    <row r="1055" spans="1:41" ht="63" customHeight="1" x14ac:dyDescent="0.2">
      <c r="A1055" s="7">
        <v>12701</v>
      </c>
      <c r="B1055" s="7" t="s">
        <v>4956</v>
      </c>
      <c r="C1055" s="7" t="s">
        <v>4957</v>
      </c>
      <c r="D1055" s="7" t="s">
        <v>16</v>
      </c>
      <c r="F1055" s="7" t="s">
        <v>4958</v>
      </c>
      <c r="G1055" s="7" t="s">
        <v>4959</v>
      </c>
      <c r="H1055" s="7" t="s">
        <v>180</v>
      </c>
      <c r="I1055" s="7" t="s">
        <v>13</v>
      </c>
      <c r="J1055" s="7" t="s">
        <v>4960</v>
      </c>
      <c r="K1055" s="7" t="s">
        <v>4961</v>
      </c>
      <c r="L1055" s="6" t="s">
        <v>5225</v>
      </c>
      <c r="M1055" s="7">
        <v>0</v>
      </c>
      <c r="N1055" s="9" t="s">
        <v>5044</v>
      </c>
      <c r="O1055" s="9" t="s">
        <v>5044</v>
      </c>
      <c r="P1055" s="7">
        <v>0</v>
      </c>
      <c r="Q1055" s="7">
        <v>0</v>
      </c>
      <c r="R1055" s="7">
        <v>0</v>
      </c>
      <c r="S1055" s="7">
        <v>1</v>
      </c>
      <c r="T1055" s="7">
        <v>2</v>
      </c>
      <c r="U1055" s="7">
        <v>209</v>
      </c>
      <c r="V1055" s="7">
        <v>0</v>
      </c>
      <c r="W1055" s="7">
        <v>1</v>
      </c>
      <c r="X1055" s="7">
        <v>0</v>
      </c>
      <c r="Y1055" s="7">
        <v>0</v>
      </c>
      <c r="Z1055" s="7">
        <v>0</v>
      </c>
      <c r="AA1055" s="7">
        <v>0</v>
      </c>
      <c r="AB1055" s="7">
        <v>1</v>
      </c>
      <c r="AC1055" s="7">
        <v>1</v>
      </c>
      <c r="AD1055" s="7" t="s">
        <v>5044</v>
      </c>
      <c r="AE1055" s="7" t="s">
        <v>5044</v>
      </c>
      <c r="AF1055" s="7" t="s">
        <v>5044</v>
      </c>
      <c r="AG1055" s="7">
        <v>2</v>
      </c>
      <c r="AH1055" s="7">
        <v>1</v>
      </c>
      <c r="AI1055" s="7">
        <v>2</v>
      </c>
      <c r="AJ1055" s="7" t="s">
        <v>5044</v>
      </c>
      <c r="AL1055" s="7">
        <v>1</v>
      </c>
      <c r="AM1055" s="7">
        <v>0</v>
      </c>
      <c r="AO1055" s="11">
        <v>1</v>
      </c>
    </row>
    <row r="1056" spans="1:41" ht="63" customHeight="1" x14ac:dyDescent="0.2">
      <c r="A1056" s="7">
        <v>12705</v>
      </c>
      <c r="B1056" s="7" t="s">
        <v>4962</v>
      </c>
      <c r="C1056" s="7" t="s">
        <v>4963</v>
      </c>
      <c r="D1056" s="7" t="s">
        <v>22</v>
      </c>
      <c r="F1056" s="7" t="s">
        <v>4964</v>
      </c>
      <c r="H1056" s="7" t="s">
        <v>4965</v>
      </c>
      <c r="I1056" s="7" t="s">
        <v>13</v>
      </c>
      <c r="J1056" s="7" t="s">
        <v>4966</v>
      </c>
      <c r="K1056" s="7" t="s">
        <v>4967</v>
      </c>
      <c r="L1056" s="6" t="s">
        <v>5226</v>
      </c>
      <c r="M1056" s="7">
        <v>0</v>
      </c>
      <c r="N1056" s="9" t="s">
        <v>5044</v>
      </c>
      <c r="O1056" s="9" t="s">
        <v>5044</v>
      </c>
      <c r="P1056" s="7">
        <v>0</v>
      </c>
      <c r="Q1056" s="7">
        <v>0</v>
      </c>
      <c r="R1056" s="7">
        <v>0</v>
      </c>
      <c r="S1056" s="7">
        <v>3</v>
      </c>
      <c r="T1056" s="7">
        <v>1</v>
      </c>
      <c r="U1056" s="7">
        <v>103</v>
      </c>
      <c r="V1056" s="7">
        <v>0</v>
      </c>
      <c r="W1056" s="7">
        <v>1</v>
      </c>
      <c r="X1056" s="7">
        <v>0</v>
      </c>
      <c r="Y1056" s="7">
        <v>0</v>
      </c>
      <c r="Z1056" s="7">
        <v>0</v>
      </c>
      <c r="AA1056" s="7">
        <v>0</v>
      </c>
      <c r="AB1056" s="7">
        <v>1</v>
      </c>
      <c r="AC1056" s="7">
        <v>1</v>
      </c>
      <c r="AD1056" s="7" t="s">
        <v>5044</v>
      </c>
      <c r="AE1056" s="7" t="s">
        <v>5044</v>
      </c>
      <c r="AF1056" s="7" t="s">
        <v>5044</v>
      </c>
      <c r="AG1056" s="7">
        <v>2</v>
      </c>
      <c r="AH1056" s="7">
        <v>3</v>
      </c>
      <c r="AI1056" s="7">
        <v>0</v>
      </c>
      <c r="AJ1056" s="7" t="s">
        <v>5044</v>
      </c>
      <c r="AL1056" s="7">
        <v>0</v>
      </c>
      <c r="AM1056" s="7">
        <v>0</v>
      </c>
      <c r="AO1056" s="11">
        <v>3</v>
      </c>
    </row>
    <row r="1057" spans="1:41" ht="63" customHeight="1" x14ac:dyDescent="0.2">
      <c r="A1057" s="7">
        <v>12710</v>
      </c>
      <c r="B1057" s="7" t="s">
        <v>4968</v>
      </c>
      <c r="C1057" s="7" t="s">
        <v>4969</v>
      </c>
      <c r="D1057" s="7" t="s">
        <v>16</v>
      </c>
      <c r="F1057" s="7" t="s">
        <v>65</v>
      </c>
      <c r="G1057" s="7" t="s">
        <v>52</v>
      </c>
      <c r="H1057" s="7" t="s">
        <v>348</v>
      </c>
      <c r="I1057" s="7" t="s">
        <v>13</v>
      </c>
      <c r="J1057" s="7" t="s">
        <v>4970</v>
      </c>
      <c r="K1057" s="7" t="s">
        <v>4971</v>
      </c>
      <c r="L1057" s="11" t="s">
        <v>5044</v>
      </c>
      <c r="M1057" s="7">
        <v>0</v>
      </c>
      <c r="N1057" s="9" t="s">
        <v>5044</v>
      </c>
      <c r="O1057" s="9" t="s">
        <v>5044</v>
      </c>
      <c r="P1057" s="7">
        <v>0</v>
      </c>
      <c r="Q1057" s="7">
        <v>0</v>
      </c>
      <c r="R1057" s="7">
        <v>0</v>
      </c>
      <c r="S1057" s="7">
        <v>3</v>
      </c>
      <c r="T1057" s="7">
        <v>6</v>
      </c>
      <c r="U1057" s="7">
        <v>66</v>
      </c>
      <c r="V1057" s="7">
        <v>0</v>
      </c>
      <c r="W1057" s="7">
        <v>1</v>
      </c>
      <c r="X1057" s="7">
        <v>0</v>
      </c>
      <c r="Y1057" s="7">
        <v>0</v>
      </c>
      <c r="Z1057" s="7">
        <v>0</v>
      </c>
      <c r="AA1057" s="7">
        <v>0</v>
      </c>
      <c r="AB1057" s="7">
        <v>1</v>
      </c>
      <c r="AC1057" s="7">
        <v>1</v>
      </c>
      <c r="AD1057" s="7" t="s">
        <v>5044</v>
      </c>
      <c r="AE1057" s="7" t="s">
        <v>5044</v>
      </c>
      <c r="AF1057" s="7" t="s">
        <v>5044</v>
      </c>
      <c r="AG1057" s="7">
        <v>1</v>
      </c>
      <c r="AH1057" s="7">
        <v>0</v>
      </c>
      <c r="AI1057" s="7">
        <v>0</v>
      </c>
      <c r="AJ1057" s="7" t="s">
        <v>5044</v>
      </c>
      <c r="AL1057" s="7" t="s">
        <v>5044</v>
      </c>
      <c r="AM1057" s="7">
        <v>0</v>
      </c>
      <c r="AN1057" s="7" t="s">
        <v>5105</v>
      </c>
      <c r="AO1057" s="9">
        <v>0</v>
      </c>
    </row>
    <row r="1058" spans="1:41" ht="63" customHeight="1" x14ac:dyDescent="0.2">
      <c r="A1058" s="7">
        <v>12714</v>
      </c>
      <c r="B1058" s="7" t="s">
        <v>4972</v>
      </c>
      <c r="C1058" s="7" t="s">
        <v>4973</v>
      </c>
      <c r="D1058" s="7" t="s">
        <v>41</v>
      </c>
      <c r="F1058" s="7" t="s">
        <v>58</v>
      </c>
      <c r="G1058" s="7" t="s">
        <v>52</v>
      </c>
      <c r="H1058" s="7" t="s">
        <v>2819</v>
      </c>
      <c r="I1058" s="7" t="s">
        <v>13</v>
      </c>
      <c r="J1058" s="7" t="s">
        <v>4974</v>
      </c>
      <c r="K1058" s="7" t="s">
        <v>4975</v>
      </c>
      <c r="L1058" s="11" t="s">
        <v>5044</v>
      </c>
      <c r="M1058" s="7">
        <v>0</v>
      </c>
      <c r="N1058" s="9" t="s">
        <v>5044</v>
      </c>
      <c r="O1058" s="9" t="s">
        <v>5044</v>
      </c>
      <c r="P1058" s="7">
        <v>0</v>
      </c>
      <c r="Q1058" s="7">
        <v>0</v>
      </c>
      <c r="R1058" s="7">
        <v>0</v>
      </c>
      <c r="S1058" s="7">
        <v>3</v>
      </c>
      <c r="T1058" s="7">
        <v>4</v>
      </c>
      <c r="U1058" s="7">
        <v>101</v>
      </c>
      <c r="V1058" s="7">
        <v>0</v>
      </c>
      <c r="W1058" s="7">
        <v>1</v>
      </c>
      <c r="X1058" s="7">
        <v>0</v>
      </c>
      <c r="Y1058" s="7">
        <v>0</v>
      </c>
      <c r="Z1058" s="7">
        <v>0</v>
      </c>
      <c r="AA1058" s="7">
        <v>0</v>
      </c>
      <c r="AB1058" s="7">
        <v>1</v>
      </c>
      <c r="AC1058" s="7">
        <v>1</v>
      </c>
      <c r="AD1058" s="7" t="s">
        <v>5044</v>
      </c>
      <c r="AE1058" s="7" t="s">
        <v>5044</v>
      </c>
      <c r="AF1058" s="7" t="s">
        <v>5044</v>
      </c>
      <c r="AG1058" s="7">
        <v>2</v>
      </c>
      <c r="AH1058" s="7">
        <v>3</v>
      </c>
      <c r="AI1058" s="7">
        <v>0</v>
      </c>
      <c r="AJ1058" s="7" t="s">
        <v>5044</v>
      </c>
      <c r="AL1058" s="7" t="s">
        <v>5044</v>
      </c>
      <c r="AM1058" s="7">
        <v>0</v>
      </c>
      <c r="AN1058" s="7" t="s">
        <v>5105</v>
      </c>
      <c r="AO1058" s="11">
        <v>3</v>
      </c>
    </row>
    <row r="1059" spans="1:41" ht="63" customHeight="1" x14ac:dyDescent="0.2">
      <c r="A1059" s="7">
        <v>12716</v>
      </c>
      <c r="B1059" s="7" t="s">
        <v>4976</v>
      </c>
      <c r="C1059" s="7" t="s">
        <v>4977</v>
      </c>
      <c r="D1059" s="7" t="s">
        <v>95</v>
      </c>
      <c r="F1059" s="7" t="s">
        <v>194</v>
      </c>
      <c r="G1059" s="7" t="s">
        <v>144</v>
      </c>
      <c r="H1059" s="7" t="s">
        <v>290</v>
      </c>
      <c r="I1059" s="7" t="s">
        <v>13</v>
      </c>
      <c r="J1059" s="7" t="s">
        <v>4978</v>
      </c>
      <c r="K1059" s="7" t="s">
        <v>4979</v>
      </c>
      <c r="L1059" s="6" t="s">
        <v>5227</v>
      </c>
      <c r="M1059" s="7">
        <v>0</v>
      </c>
      <c r="N1059" s="9" t="s">
        <v>5044</v>
      </c>
      <c r="O1059" s="9" t="s">
        <v>5044</v>
      </c>
      <c r="P1059" s="7">
        <v>0</v>
      </c>
      <c r="Q1059" s="7">
        <v>0</v>
      </c>
      <c r="R1059" s="7">
        <v>0</v>
      </c>
      <c r="S1059" s="7">
        <v>1</v>
      </c>
      <c r="T1059" s="7">
        <v>1</v>
      </c>
      <c r="U1059" s="7">
        <v>102</v>
      </c>
      <c r="V1059" s="7">
        <v>0</v>
      </c>
      <c r="W1059" s="7">
        <v>1</v>
      </c>
      <c r="X1059" s="7">
        <v>0</v>
      </c>
      <c r="Y1059" s="7">
        <v>0</v>
      </c>
      <c r="Z1059" s="7">
        <v>0</v>
      </c>
      <c r="AA1059" s="7">
        <v>0</v>
      </c>
      <c r="AB1059" s="7">
        <v>0</v>
      </c>
      <c r="AC1059" s="7">
        <v>1</v>
      </c>
      <c r="AD1059" s="7" t="s">
        <v>5044</v>
      </c>
      <c r="AE1059" s="7" t="s">
        <v>5044</v>
      </c>
      <c r="AF1059" s="7" t="s">
        <v>5044</v>
      </c>
      <c r="AG1059" s="7">
        <v>2</v>
      </c>
      <c r="AH1059" s="7">
        <v>1</v>
      </c>
      <c r="AI1059" s="7">
        <v>2</v>
      </c>
      <c r="AJ1059" s="7" t="s">
        <v>5044</v>
      </c>
      <c r="AL1059" s="7" t="s">
        <v>5041</v>
      </c>
      <c r="AM1059" s="7">
        <v>0</v>
      </c>
      <c r="AN1059" s="7" t="s">
        <v>5105</v>
      </c>
      <c r="AO1059" s="11">
        <v>1</v>
      </c>
    </row>
    <row r="1060" spans="1:41" ht="63" customHeight="1" x14ac:dyDescent="0.2">
      <c r="A1060" s="7">
        <v>12732</v>
      </c>
      <c r="B1060" s="7" t="s">
        <v>4980</v>
      </c>
      <c r="C1060" s="7" t="s">
        <v>4981</v>
      </c>
      <c r="D1060" s="7" t="s">
        <v>16</v>
      </c>
      <c r="F1060" s="7" t="s">
        <v>4074</v>
      </c>
      <c r="G1060" s="7" t="s">
        <v>52</v>
      </c>
      <c r="H1060" s="7" t="s">
        <v>4982</v>
      </c>
      <c r="I1060" s="7" t="s">
        <v>13</v>
      </c>
      <c r="J1060" s="7" t="s">
        <v>4983</v>
      </c>
      <c r="K1060" s="7" t="s">
        <v>4984</v>
      </c>
      <c r="L1060" s="11" t="s">
        <v>5044</v>
      </c>
      <c r="M1060" s="7">
        <v>0</v>
      </c>
      <c r="N1060" s="9" t="s">
        <v>5044</v>
      </c>
      <c r="O1060" s="9" t="s">
        <v>5044</v>
      </c>
      <c r="P1060" s="7">
        <v>0</v>
      </c>
      <c r="Q1060" s="7">
        <v>0</v>
      </c>
      <c r="R1060" s="7">
        <v>0</v>
      </c>
      <c r="S1060" s="7">
        <v>1</v>
      </c>
      <c r="T1060" s="7">
        <v>6</v>
      </c>
      <c r="U1060" s="7">
        <v>112</v>
      </c>
      <c r="V1060" s="7">
        <v>0</v>
      </c>
      <c r="W1060" s="7">
        <v>1</v>
      </c>
      <c r="X1060" s="7">
        <v>0</v>
      </c>
      <c r="Y1060" s="7">
        <v>0</v>
      </c>
      <c r="Z1060" s="7">
        <v>0</v>
      </c>
      <c r="AA1060" s="7">
        <v>0</v>
      </c>
      <c r="AB1060" s="7">
        <v>1</v>
      </c>
      <c r="AC1060" s="7">
        <v>0</v>
      </c>
      <c r="AD1060" s="7" t="s">
        <v>5044</v>
      </c>
      <c r="AE1060" s="7" t="s">
        <v>5044</v>
      </c>
      <c r="AF1060" s="7" t="s">
        <v>5044</v>
      </c>
      <c r="AG1060" s="7">
        <v>0</v>
      </c>
      <c r="AH1060" s="7" t="s">
        <v>5044</v>
      </c>
      <c r="AI1060" s="7" t="s">
        <v>5044</v>
      </c>
      <c r="AJ1060" s="7" t="s">
        <v>5044</v>
      </c>
      <c r="AL1060" s="7">
        <v>0</v>
      </c>
      <c r="AM1060" s="7">
        <v>0</v>
      </c>
      <c r="AO1060" s="11">
        <v>9</v>
      </c>
    </row>
    <row r="1061" spans="1:41" ht="63" customHeight="1" x14ac:dyDescent="0.2">
      <c r="A1061" s="7">
        <v>12741</v>
      </c>
      <c r="B1061" s="7" t="s">
        <v>4985</v>
      </c>
      <c r="C1061" s="7" t="s">
        <v>4986</v>
      </c>
      <c r="D1061" s="7" t="s">
        <v>46</v>
      </c>
      <c r="F1061" s="7" t="s">
        <v>129</v>
      </c>
      <c r="G1061" s="7" t="s">
        <v>52</v>
      </c>
      <c r="H1061" s="7" t="s">
        <v>4987</v>
      </c>
      <c r="I1061" s="7" t="s">
        <v>13</v>
      </c>
      <c r="J1061" s="7" t="s">
        <v>4988</v>
      </c>
      <c r="K1061" s="7" t="s">
        <v>4989</v>
      </c>
      <c r="L1061" s="11" t="s">
        <v>5044</v>
      </c>
      <c r="M1061" s="7">
        <v>0</v>
      </c>
      <c r="N1061" s="9" t="s">
        <v>5044</v>
      </c>
      <c r="O1061" s="9" t="s">
        <v>5044</v>
      </c>
      <c r="P1061" s="7">
        <v>0</v>
      </c>
      <c r="Q1061" s="7">
        <v>0</v>
      </c>
      <c r="R1061" s="7">
        <v>0</v>
      </c>
      <c r="S1061" s="7">
        <v>3</v>
      </c>
      <c r="T1061" s="7">
        <v>6</v>
      </c>
      <c r="U1061" s="7">
        <v>110</v>
      </c>
      <c r="V1061" s="7">
        <v>0</v>
      </c>
      <c r="W1061" s="7">
        <v>1</v>
      </c>
      <c r="X1061" s="7">
        <v>0</v>
      </c>
      <c r="Y1061" s="7">
        <v>0</v>
      </c>
      <c r="Z1061" s="7">
        <v>0</v>
      </c>
      <c r="AA1061" s="7">
        <v>0</v>
      </c>
      <c r="AB1061" s="7">
        <v>0</v>
      </c>
      <c r="AC1061" s="7">
        <v>1</v>
      </c>
      <c r="AD1061" s="7" t="s">
        <v>5044</v>
      </c>
      <c r="AE1061" s="7" t="s">
        <v>5044</v>
      </c>
      <c r="AF1061" s="7" t="s">
        <v>5044</v>
      </c>
      <c r="AG1061" s="7">
        <v>2</v>
      </c>
      <c r="AH1061" s="7">
        <v>3</v>
      </c>
      <c r="AI1061" s="7">
        <v>0</v>
      </c>
      <c r="AJ1061" s="7" t="s">
        <v>5044</v>
      </c>
      <c r="AL1061" s="7">
        <v>1</v>
      </c>
      <c r="AM1061" s="7">
        <v>0</v>
      </c>
      <c r="AO1061" s="11">
        <v>3</v>
      </c>
    </row>
    <row r="1062" spans="1:41" ht="63" customHeight="1" x14ac:dyDescent="0.2">
      <c r="A1062" s="7">
        <v>12742</v>
      </c>
      <c r="B1062" s="7" t="s">
        <v>4990</v>
      </c>
      <c r="C1062" s="7" t="s">
        <v>4991</v>
      </c>
      <c r="D1062" s="7" t="s">
        <v>95</v>
      </c>
      <c r="F1062" s="7" t="s">
        <v>356</v>
      </c>
      <c r="G1062" s="7" t="s">
        <v>17</v>
      </c>
      <c r="H1062" s="7" t="s">
        <v>238</v>
      </c>
      <c r="I1062" s="7" t="s">
        <v>13</v>
      </c>
      <c r="J1062" s="7" t="s">
        <v>4992</v>
      </c>
      <c r="K1062" s="7" t="s">
        <v>4993</v>
      </c>
      <c r="L1062" s="11" t="s">
        <v>5044</v>
      </c>
      <c r="M1062" s="7">
        <v>0</v>
      </c>
      <c r="N1062" s="9" t="s">
        <v>5044</v>
      </c>
      <c r="O1062" s="9" t="s">
        <v>5044</v>
      </c>
      <c r="P1062" s="7">
        <v>0</v>
      </c>
      <c r="Q1062" s="7">
        <v>0</v>
      </c>
      <c r="R1062" s="7">
        <v>0</v>
      </c>
      <c r="S1062" s="7">
        <v>3</v>
      </c>
      <c r="T1062" s="7">
        <v>6</v>
      </c>
      <c r="U1062" s="7">
        <v>60</v>
      </c>
      <c r="V1062" s="7">
        <v>0</v>
      </c>
      <c r="W1062" s="7">
        <v>1</v>
      </c>
      <c r="X1062" s="7">
        <v>0</v>
      </c>
      <c r="Y1062" s="7">
        <v>0</v>
      </c>
      <c r="Z1062" s="7">
        <v>0</v>
      </c>
      <c r="AA1062" s="7">
        <v>0</v>
      </c>
      <c r="AB1062" s="7">
        <v>0</v>
      </c>
      <c r="AC1062" s="7">
        <v>1</v>
      </c>
      <c r="AD1062" s="7" t="s">
        <v>5044</v>
      </c>
      <c r="AE1062" s="7" t="s">
        <v>5044</v>
      </c>
      <c r="AF1062" s="7" t="s">
        <v>5044</v>
      </c>
      <c r="AG1062" s="7">
        <v>1</v>
      </c>
      <c r="AH1062" s="7">
        <v>0</v>
      </c>
      <c r="AI1062" s="7">
        <v>0</v>
      </c>
      <c r="AJ1062" s="7" t="s">
        <v>5044</v>
      </c>
      <c r="AL1062" s="7" t="s">
        <v>5041</v>
      </c>
      <c r="AM1062" s="7">
        <v>0</v>
      </c>
      <c r="AN1062" s="7" t="s">
        <v>5105</v>
      </c>
      <c r="AO1062" s="9">
        <v>0</v>
      </c>
    </row>
    <row r="1063" spans="1:41" ht="63" customHeight="1" x14ac:dyDescent="0.2">
      <c r="A1063" s="7">
        <v>12745</v>
      </c>
      <c r="B1063" s="7" t="s">
        <v>4994</v>
      </c>
      <c r="C1063" s="7" t="s">
        <v>4995</v>
      </c>
      <c r="D1063" s="7" t="s">
        <v>25</v>
      </c>
      <c r="F1063" s="7" t="s">
        <v>254</v>
      </c>
      <c r="G1063" s="7" t="s">
        <v>48</v>
      </c>
      <c r="H1063" s="7" t="s">
        <v>145</v>
      </c>
      <c r="I1063" s="7" t="s">
        <v>13</v>
      </c>
      <c r="J1063" s="7" t="s">
        <v>4996</v>
      </c>
      <c r="K1063" s="7" t="s">
        <v>4997</v>
      </c>
      <c r="L1063" s="6" t="s">
        <v>5228</v>
      </c>
      <c r="M1063" s="7">
        <v>0</v>
      </c>
      <c r="N1063" s="9" t="s">
        <v>5044</v>
      </c>
      <c r="O1063" s="9" t="s">
        <v>5044</v>
      </c>
      <c r="P1063" s="7">
        <v>0</v>
      </c>
      <c r="Q1063" s="7">
        <v>0</v>
      </c>
      <c r="R1063" s="7">
        <v>0</v>
      </c>
      <c r="S1063" s="7">
        <v>1</v>
      </c>
      <c r="T1063" s="7">
        <v>6</v>
      </c>
      <c r="U1063" s="7">
        <v>105</v>
      </c>
      <c r="V1063" s="7">
        <v>0</v>
      </c>
      <c r="W1063" s="7">
        <v>1</v>
      </c>
      <c r="X1063" s="7">
        <v>0</v>
      </c>
      <c r="Y1063" s="7">
        <v>0</v>
      </c>
      <c r="Z1063" s="7">
        <v>0</v>
      </c>
      <c r="AA1063" s="7">
        <v>0</v>
      </c>
      <c r="AB1063" s="7">
        <v>1</v>
      </c>
      <c r="AC1063" s="7">
        <v>1</v>
      </c>
      <c r="AD1063" s="7" t="s">
        <v>5044</v>
      </c>
      <c r="AE1063" s="7" t="s">
        <v>5044</v>
      </c>
      <c r="AF1063" s="7" t="s">
        <v>5044</v>
      </c>
      <c r="AG1063" s="7">
        <v>1</v>
      </c>
      <c r="AH1063" s="7">
        <v>0</v>
      </c>
      <c r="AI1063" s="7">
        <v>0</v>
      </c>
      <c r="AJ1063" s="7" t="s">
        <v>5044</v>
      </c>
      <c r="AL1063" s="7">
        <v>1</v>
      </c>
      <c r="AM1063" s="7">
        <v>0</v>
      </c>
      <c r="AO1063" s="9">
        <v>0</v>
      </c>
    </row>
    <row r="1064" spans="1:41" ht="63" customHeight="1" x14ac:dyDescent="0.2">
      <c r="A1064" s="7">
        <v>12751</v>
      </c>
      <c r="B1064" s="7" t="s">
        <v>4998</v>
      </c>
      <c r="C1064" s="7" t="s">
        <v>4999</v>
      </c>
      <c r="D1064" s="7" t="s">
        <v>16</v>
      </c>
      <c r="F1064" s="7" t="s">
        <v>470</v>
      </c>
      <c r="G1064" s="7" t="s">
        <v>17</v>
      </c>
      <c r="H1064" s="7" t="s">
        <v>38</v>
      </c>
      <c r="I1064" s="7" t="s">
        <v>13</v>
      </c>
      <c r="J1064" s="7" t="s">
        <v>5000</v>
      </c>
      <c r="K1064" s="7" t="s">
        <v>5001</v>
      </c>
      <c r="L1064" s="8" t="s">
        <v>5229</v>
      </c>
      <c r="M1064" s="7">
        <v>0</v>
      </c>
      <c r="N1064" s="9" t="s">
        <v>5044</v>
      </c>
      <c r="O1064" s="9" t="s">
        <v>5044</v>
      </c>
      <c r="P1064" s="7">
        <v>0</v>
      </c>
      <c r="Q1064" s="7">
        <v>0</v>
      </c>
      <c r="R1064" s="7">
        <v>0</v>
      </c>
      <c r="S1064" s="7">
        <v>1</v>
      </c>
      <c r="T1064" s="7">
        <v>1</v>
      </c>
      <c r="U1064" s="7">
        <v>60</v>
      </c>
      <c r="V1064" s="7">
        <v>0</v>
      </c>
      <c r="W1064" s="7">
        <v>1</v>
      </c>
      <c r="X1064" s="7">
        <v>0</v>
      </c>
      <c r="Y1064" s="7">
        <v>0</v>
      </c>
      <c r="Z1064" s="7">
        <v>0</v>
      </c>
      <c r="AA1064" s="7">
        <v>0</v>
      </c>
      <c r="AB1064" s="7">
        <v>1</v>
      </c>
      <c r="AC1064" s="7">
        <v>1</v>
      </c>
      <c r="AD1064" s="7" t="s">
        <v>5044</v>
      </c>
      <c r="AE1064" s="7" t="s">
        <v>5044</v>
      </c>
      <c r="AF1064" s="7" t="s">
        <v>5044</v>
      </c>
      <c r="AG1064" s="7">
        <v>1</v>
      </c>
      <c r="AH1064" s="7">
        <v>0</v>
      </c>
      <c r="AI1064" s="7">
        <v>0</v>
      </c>
      <c r="AJ1064" s="7" t="s">
        <v>5044</v>
      </c>
      <c r="AL1064" s="7">
        <v>0</v>
      </c>
      <c r="AM1064" s="7">
        <v>0</v>
      </c>
      <c r="AO1064" s="9">
        <v>0</v>
      </c>
    </row>
    <row r="1065" spans="1:41" ht="63" customHeight="1" x14ac:dyDescent="0.2">
      <c r="A1065" s="7">
        <v>12755</v>
      </c>
      <c r="B1065" s="7" t="s">
        <v>5002</v>
      </c>
      <c r="C1065" s="7" t="s">
        <v>5003</v>
      </c>
      <c r="D1065" s="7" t="s">
        <v>74</v>
      </c>
      <c r="H1065" s="7" t="s">
        <v>160</v>
      </c>
      <c r="I1065" s="7" t="s">
        <v>13</v>
      </c>
      <c r="J1065" s="7" t="s">
        <v>5004</v>
      </c>
      <c r="K1065" s="7" t="s">
        <v>5005</v>
      </c>
      <c r="L1065" s="8" t="s">
        <v>5230</v>
      </c>
      <c r="M1065" s="7">
        <v>0</v>
      </c>
      <c r="N1065" s="9" t="s">
        <v>5044</v>
      </c>
      <c r="O1065" s="9" t="s">
        <v>5044</v>
      </c>
      <c r="P1065" s="7">
        <v>0</v>
      </c>
      <c r="Q1065" s="7">
        <v>0</v>
      </c>
      <c r="R1065" s="7">
        <v>0</v>
      </c>
      <c r="S1065" s="7">
        <v>1</v>
      </c>
      <c r="T1065" s="7">
        <v>1</v>
      </c>
      <c r="U1065" s="7">
        <v>112</v>
      </c>
      <c r="V1065" s="7">
        <v>0</v>
      </c>
      <c r="W1065" s="7">
        <v>1</v>
      </c>
      <c r="X1065" s="7">
        <v>0</v>
      </c>
      <c r="Y1065" s="7">
        <v>0</v>
      </c>
      <c r="Z1065" s="7">
        <v>0</v>
      </c>
      <c r="AA1065" s="7">
        <v>0</v>
      </c>
      <c r="AB1065" s="7">
        <v>1</v>
      </c>
      <c r="AC1065" s="7">
        <v>1</v>
      </c>
      <c r="AD1065" s="7" t="s">
        <v>5044</v>
      </c>
      <c r="AE1065" s="7" t="s">
        <v>5044</v>
      </c>
      <c r="AF1065" s="7" t="s">
        <v>5044</v>
      </c>
      <c r="AG1065" s="7">
        <v>2</v>
      </c>
      <c r="AH1065" s="7">
        <v>3</v>
      </c>
      <c r="AI1065" s="7">
        <v>0</v>
      </c>
      <c r="AJ1065" s="7" t="s">
        <v>5044</v>
      </c>
      <c r="AL1065" s="7">
        <v>0</v>
      </c>
      <c r="AM1065" s="7">
        <v>0</v>
      </c>
      <c r="AO1065" s="11">
        <v>3</v>
      </c>
    </row>
    <row r="1066" spans="1:41" ht="63" customHeight="1" x14ac:dyDescent="0.2">
      <c r="A1066" s="7" t="s">
        <v>6299</v>
      </c>
      <c r="B1066" s="7" t="s">
        <v>6300</v>
      </c>
      <c r="C1066" s="7" t="s">
        <v>6301</v>
      </c>
      <c r="D1066" s="7">
        <v>2022</v>
      </c>
      <c r="F1066" s="7">
        <v>136</v>
      </c>
      <c r="H1066" s="7" t="s">
        <v>6302</v>
      </c>
      <c r="J1066" s="7" t="s">
        <v>6303</v>
      </c>
      <c r="L1066" s="7" t="s">
        <v>6304</v>
      </c>
      <c r="M1066" s="7">
        <v>0</v>
      </c>
      <c r="N1066" s="9" t="s">
        <v>5044</v>
      </c>
      <c r="O1066" s="9" t="s">
        <v>5044</v>
      </c>
      <c r="P1066" s="7">
        <v>0</v>
      </c>
      <c r="Q1066" s="7">
        <v>0</v>
      </c>
      <c r="R1066" s="7">
        <v>0</v>
      </c>
      <c r="S1066" s="7">
        <v>9</v>
      </c>
      <c r="T1066" s="7">
        <v>4</v>
      </c>
      <c r="U1066" s="7">
        <v>864</v>
      </c>
      <c r="V1066" s="7">
        <v>1</v>
      </c>
      <c r="W1066" s="7">
        <v>1</v>
      </c>
      <c r="X1066" s="7">
        <v>0</v>
      </c>
      <c r="Y1066" s="7">
        <v>0</v>
      </c>
      <c r="Z1066" s="7">
        <v>0</v>
      </c>
      <c r="AA1066" s="7">
        <v>0</v>
      </c>
      <c r="AB1066" s="7">
        <v>1</v>
      </c>
      <c r="AC1066" s="7">
        <v>0</v>
      </c>
      <c r="AD1066" s="7">
        <v>2</v>
      </c>
      <c r="AE1066" s="7">
        <v>1</v>
      </c>
      <c r="AF1066" s="7">
        <v>1</v>
      </c>
      <c r="AG1066" s="7">
        <v>2</v>
      </c>
      <c r="AH1066" s="7">
        <v>1</v>
      </c>
      <c r="AI1066" s="7">
        <v>1</v>
      </c>
      <c r="AJ1066" s="7" t="s">
        <v>5044</v>
      </c>
      <c r="AL1066" s="7">
        <v>1</v>
      </c>
      <c r="AM1066" s="7">
        <v>0</v>
      </c>
      <c r="AO1066" s="11">
        <v>1</v>
      </c>
    </row>
    <row r="1067" spans="1:41" ht="63" customHeight="1" x14ac:dyDescent="0.2">
      <c r="A1067" s="7" t="s">
        <v>6346</v>
      </c>
      <c r="B1067" s="7" t="s">
        <v>6347</v>
      </c>
      <c r="C1067" s="7" t="s">
        <v>6348</v>
      </c>
      <c r="D1067" s="7">
        <v>2023</v>
      </c>
      <c r="H1067" s="7" t="s">
        <v>6349</v>
      </c>
      <c r="J1067" s="5" t="s">
        <v>6350</v>
      </c>
      <c r="K1067" s="5" t="s">
        <v>6351</v>
      </c>
      <c r="L1067" s="7" t="s">
        <v>5422</v>
      </c>
      <c r="M1067" s="7">
        <v>0</v>
      </c>
      <c r="N1067" s="9" t="s">
        <v>5044</v>
      </c>
      <c r="O1067" s="9" t="s">
        <v>5044</v>
      </c>
      <c r="P1067" s="7">
        <v>0</v>
      </c>
      <c r="Q1067" s="7">
        <v>0</v>
      </c>
      <c r="R1067" s="7">
        <v>0</v>
      </c>
      <c r="S1067" s="7">
        <v>1</v>
      </c>
      <c r="T1067" s="7">
        <v>1</v>
      </c>
      <c r="U1067" s="7">
        <v>261</v>
      </c>
      <c r="V1067" s="7">
        <v>0</v>
      </c>
      <c r="W1067" s="7">
        <v>1</v>
      </c>
      <c r="X1067" s="7">
        <v>0</v>
      </c>
      <c r="Y1067" s="7">
        <v>0</v>
      </c>
      <c r="Z1067" s="7">
        <v>0</v>
      </c>
      <c r="AA1067" s="7">
        <v>0</v>
      </c>
      <c r="AB1067" s="7">
        <v>1</v>
      </c>
      <c r="AC1067" s="7">
        <v>1</v>
      </c>
      <c r="AD1067" s="7" t="s">
        <v>5044</v>
      </c>
      <c r="AE1067" s="7" t="s">
        <v>5044</v>
      </c>
      <c r="AF1067" s="7" t="s">
        <v>5044</v>
      </c>
      <c r="AG1067" s="7">
        <v>2</v>
      </c>
      <c r="AH1067" s="7">
        <v>1</v>
      </c>
      <c r="AI1067" s="7">
        <v>2</v>
      </c>
      <c r="AJ1067" s="7" t="s">
        <v>5044</v>
      </c>
      <c r="AL1067" s="7">
        <v>1</v>
      </c>
      <c r="AM1067" s="7">
        <v>0</v>
      </c>
      <c r="AO1067" s="11">
        <v>1</v>
      </c>
    </row>
    <row r="1068" spans="1:41" ht="63" customHeight="1" x14ac:dyDescent="0.2">
      <c r="A1068" s="7" t="s">
        <v>6352</v>
      </c>
      <c r="B1068" s="7" t="s">
        <v>6353</v>
      </c>
      <c r="C1068" s="7" t="s">
        <v>6354</v>
      </c>
      <c r="D1068" s="7">
        <v>2019</v>
      </c>
      <c r="H1068" s="7" t="s">
        <v>6355</v>
      </c>
      <c r="J1068" s="5" t="s">
        <v>6356</v>
      </c>
      <c r="K1068" s="5" t="s">
        <v>6357</v>
      </c>
      <c r="L1068" s="5" t="s">
        <v>6358</v>
      </c>
      <c r="M1068" s="7">
        <v>0</v>
      </c>
      <c r="N1068" s="9" t="s">
        <v>5044</v>
      </c>
      <c r="O1068" s="9" t="s">
        <v>5044</v>
      </c>
      <c r="P1068" s="7">
        <v>0</v>
      </c>
      <c r="Q1068" s="7">
        <v>0</v>
      </c>
      <c r="R1068" s="7">
        <v>0</v>
      </c>
      <c r="S1068" s="7">
        <v>1</v>
      </c>
      <c r="T1068" s="7">
        <v>1</v>
      </c>
      <c r="U1068" s="7">
        <v>112</v>
      </c>
      <c r="V1068" s="7">
        <v>1</v>
      </c>
      <c r="W1068" s="7">
        <v>1</v>
      </c>
      <c r="X1068" s="7">
        <v>0</v>
      </c>
      <c r="Y1068" s="7">
        <v>0</v>
      </c>
      <c r="Z1068" s="7">
        <v>0</v>
      </c>
      <c r="AA1068" s="7">
        <v>0</v>
      </c>
      <c r="AB1068" s="7">
        <v>1</v>
      </c>
      <c r="AC1068" s="7">
        <v>1</v>
      </c>
      <c r="AD1068" s="7">
        <v>2</v>
      </c>
      <c r="AE1068" s="7">
        <v>1</v>
      </c>
      <c r="AF1068" s="7">
        <v>1</v>
      </c>
      <c r="AG1068" s="7">
        <v>2</v>
      </c>
      <c r="AH1068" s="7">
        <v>3</v>
      </c>
      <c r="AI1068" s="7">
        <v>0</v>
      </c>
      <c r="AJ1068" s="7" t="s">
        <v>5044</v>
      </c>
      <c r="AL1068" s="7">
        <v>1</v>
      </c>
      <c r="AM1068" s="7">
        <v>0</v>
      </c>
      <c r="AO1068" s="11">
        <v>1</v>
      </c>
    </row>
    <row r="1069" spans="1:41" ht="63" customHeight="1" x14ac:dyDescent="0.2">
      <c r="A1069" s="7" t="s">
        <v>6359</v>
      </c>
      <c r="B1069" s="25" t="s">
        <v>6360</v>
      </c>
      <c r="C1069" s="7" t="s">
        <v>6361</v>
      </c>
      <c r="D1069" s="7">
        <v>2023</v>
      </c>
      <c r="H1069" s="7" t="s">
        <v>6362</v>
      </c>
      <c r="J1069" s="5" t="s">
        <v>6363</v>
      </c>
      <c r="K1069" s="5" t="s">
        <v>6364</v>
      </c>
      <c r="L1069" s="5" t="s">
        <v>5284</v>
      </c>
      <c r="M1069" s="7">
        <v>0</v>
      </c>
      <c r="N1069" s="9" t="s">
        <v>5044</v>
      </c>
      <c r="O1069" s="9" t="s">
        <v>5044</v>
      </c>
      <c r="P1069" s="7">
        <v>0</v>
      </c>
      <c r="Q1069" s="7">
        <v>0</v>
      </c>
      <c r="R1069" s="7">
        <v>0</v>
      </c>
      <c r="S1069" s="7">
        <v>1</v>
      </c>
      <c r="T1069" s="7">
        <v>1</v>
      </c>
      <c r="U1069" s="7">
        <v>220</v>
      </c>
      <c r="V1069" s="7">
        <v>0</v>
      </c>
      <c r="W1069" s="7">
        <v>1</v>
      </c>
      <c r="X1069" s="7">
        <v>0</v>
      </c>
      <c r="Y1069" s="7">
        <v>0</v>
      </c>
      <c r="Z1069" s="7">
        <v>1</v>
      </c>
      <c r="AA1069" s="7">
        <v>0</v>
      </c>
      <c r="AB1069" s="7">
        <v>1</v>
      </c>
      <c r="AC1069" s="7">
        <v>1</v>
      </c>
      <c r="AD1069" s="7" t="s">
        <v>5044</v>
      </c>
      <c r="AE1069" s="7" t="s">
        <v>5044</v>
      </c>
      <c r="AF1069" s="7" t="s">
        <v>5044</v>
      </c>
      <c r="AG1069" s="7">
        <v>1</v>
      </c>
      <c r="AH1069" s="7">
        <v>0</v>
      </c>
      <c r="AI1069" s="7">
        <v>0</v>
      </c>
      <c r="AJ1069" s="7">
        <v>0</v>
      </c>
      <c r="AL1069" s="7">
        <v>1</v>
      </c>
      <c r="AM1069" s="7">
        <v>0</v>
      </c>
      <c r="AO1069" s="9">
        <v>0</v>
      </c>
    </row>
    <row r="1070" spans="1:41" ht="63" customHeight="1" x14ac:dyDescent="0.2">
      <c r="A1070" s="7" t="s">
        <v>6365</v>
      </c>
      <c r="B1070" s="7" t="s">
        <v>6366</v>
      </c>
      <c r="C1070" s="7" t="s">
        <v>6367</v>
      </c>
      <c r="D1070" s="7">
        <v>2019</v>
      </c>
      <c r="H1070" s="7" t="s">
        <v>6368</v>
      </c>
      <c r="J1070" s="7" t="s">
        <v>6369</v>
      </c>
      <c r="L1070" s="7" t="s">
        <v>5233</v>
      </c>
      <c r="M1070" s="7">
        <v>0</v>
      </c>
      <c r="N1070" s="9" t="s">
        <v>5044</v>
      </c>
      <c r="O1070" s="9" t="s">
        <v>5044</v>
      </c>
      <c r="P1070" s="7">
        <v>0</v>
      </c>
      <c r="Q1070" s="7">
        <v>0</v>
      </c>
      <c r="R1070" s="7">
        <v>0</v>
      </c>
      <c r="S1070" s="7">
        <v>1</v>
      </c>
      <c r="T1070" s="7">
        <v>1</v>
      </c>
      <c r="U1070" s="7">
        <v>105</v>
      </c>
      <c r="V1070" s="7">
        <v>0</v>
      </c>
      <c r="W1070" s="7">
        <v>1</v>
      </c>
      <c r="X1070" s="7">
        <v>0</v>
      </c>
      <c r="Y1070" s="7">
        <v>0</v>
      </c>
      <c r="Z1070" s="7">
        <v>0</v>
      </c>
      <c r="AA1070" s="7">
        <v>0</v>
      </c>
      <c r="AB1070" s="7">
        <v>1</v>
      </c>
      <c r="AC1070" s="7">
        <v>1</v>
      </c>
      <c r="AD1070" s="7" t="s">
        <v>5044</v>
      </c>
      <c r="AE1070" s="7" t="s">
        <v>5044</v>
      </c>
      <c r="AF1070" s="7" t="s">
        <v>5044</v>
      </c>
      <c r="AG1070" s="7">
        <v>2</v>
      </c>
      <c r="AH1070" s="7">
        <v>1</v>
      </c>
      <c r="AI1070" s="7">
        <v>2</v>
      </c>
      <c r="AJ1070" s="7" t="s">
        <v>5044</v>
      </c>
      <c r="AL1070" s="7" t="s">
        <v>5044</v>
      </c>
      <c r="AM1070" s="7">
        <v>0</v>
      </c>
      <c r="AN1070" s="7" t="s">
        <v>6509</v>
      </c>
      <c r="AO1070" s="11">
        <v>1</v>
      </c>
    </row>
    <row r="1071" spans="1:41" ht="63" customHeight="1" x14ac:dyDescent="0.2">
      <c r="A1071" s="7" t="s">
        <v>6370</v>
      </c>
      <c r="B1071" s="7" t="s">
        <v>6371</v>
      </c>
      <c r="C1071" s="7" t="s">
        <v>6372</v>
      </c>
      <c r="D1071" s="7">
        <v>2022</v>
      </c>
      <c r="J1071" s="7" t="s">
        <v>6373</v>
      </c>
      <c r="L1071" s="7" t="s">
        <v>5274</v>
      </c>
      <c r="M1071" s="7">
        <v>0</v>
      </c>
      <c r="N1071" s="9" t="s">
        <v>5044</v>
      </c>
      <c r="O1071" s="9" t="s">
        <v>5044</v>
      </c>
      <c r="P1071" s="7">
        <v>0</v>
      </c>
      <c r="Q1071" s="7">
        <v>0</v>
      </c>
      <c r="R1071" s="7">
        <v>0</v>
      </c>
      <c r="S1071" s="7">
        <v>3</v>
      </c>
      <c r="T1071" s="7">
        <v>1</v>
      </c>
      <c r="U1071" s="7">
        <v>300</v>
      </c>
      <c r="V1071" s="7">
        <v>0</v>
      </c>
      <c r="W1071" s="7">
        <v>1</v>
      </c>
      <c r="X1071" s="7">
        <v>0</v>
      </c>
      <c r="Y1071" s="7">
        <v>0</v>
      </c>
      <c r="Z1071" s="7">
        <v>0</v>
      </c>
      <c r="AA1071" s="7">
        <v>0</v>
      </c>
      <c r="AB1071" s="7">
        <v>1</v>
      </c>
      <c r="AC1071" s="7">
        <v>1</v>
      </c>
      <c r="AD1071" s="7" t="s">
        <v>5044</v>
      </c>
      <c r="AE1071" s="7" t="s">
        <v>5044</v>
      </c>
      <c r="AF1071" s="7" t="s">
        <v>5044</v>
      </c>
      <c r="AG1071" s="7">
        <v>2</v>
      </c>
      <c r="AH1071" s="7">
        <v>3</v>
      </c>
      <c r="AI1071" s="7">
        <v>0</v>
      </c>
      <c r="AJ1071" s="7" t="s">
        <v>5044</v>
      </c>
      <c r="AK1071" s="7">
        <v>1</v>
      </c>
      <c r="AL1071" s="7">
        <v>1</v>
      </c>
      <c r="AM1071" s="7">
        <v>0</v>
      </c>
      <c r="AO1071" s="11">
        <v>3</v>
      </c>
    </row>
    <row r="1072" spans="1:41" ht="63" customHeight="1" x14ac:dyDescent="0.2">
      <c r="A1072" s="7" t="s">
        <v>6374</v>
      </c>
      <c r="B1072" s="7" t="s">
        <v>6375</v>
      </c>
      <c r="C1072" s="7" t="s">
        <v>6376</v>
      </c>
      <c r="D1072" s="7">
        <v>2016</v>
      </c>
      <c r="H1072" s="7" t="s">
        <v>6377</v>
      </c>
      <c r="J1072" s="5" t="s">
        <v>6378</v>
      </c>
      <c r="K1072" s="5" t="s">
        <v>741</v>
      </c>
      <c r="L1072" s="5" t="s">
        <v>5552</v>
      </c>
      <c r="M1072" s="7">
        <v>0</v>
      </c>
      <c r="N1072" s="9" t="s">
        <v>5044</v>
      </c>
      <c r="O1072" s="9" t="s">
        <v>5044</v>
      </c>
      <c r="P1072" s="7">
        <v>0</v>
      </c>
      <c r="Q1072" s="7">
        <v>0</v>
      </c>
      <c r="R1072" s="7">
        <v>0</v>
      </c>
      <c r="S1072" s="7">
        <v>1</v>
      </c>
      <c r="T1072" s="7">
        <v>5</v>
      </c>
      <c r="U1072" s="7">
        <v>144</v>
      </c>
      <c r="V1072" s="7">
        <v>1</v>
      </c>
      <c r="W1072" s="7">
        <v>0</v>
      </c>
      <c r="X1072" s="7">
        <v>0</v>
      </c>
      <c r="Y1072" s="7">
        <v>1</v>
      </c>
      <c r="Z1072" s="7">
        <v>0</v>
      </c>
      <c r="AA1072" s="7">
        <v>0</v>
      </c>
      <c r="AB1072" s="7">
        <v>1</v>
      </c>
      <c r="AC1072" s="7">
        <v>1</v>
      </c>
      <c r="AD1072" s="7">
        <v>2</v>
      </c>
      <c r="AE1072" s="7">
        <v>3</v>
      </c>
      <c r="AF1072" s="7">
        <v>0</v>
      </c>
      <c r="AG1072" s="7" t="s">
        <v>5044</v>
      </c>
      <c r="AH1072" s="7" t="s">
        <v>5044</v>
      </c>
      <c r="AI1072" s="7" t="s">
        <v>5044</v>
      </c>
      <c r="AJ1072" s="7">
        <v>0</v>
      </c>
      <c r="AK1072" s="7">
        <v>1</v>
      </c>
      <c r="AL1072" s="7">
        <v>0</v>
      </c>
      <c r="AM1072" s="7">
        <v>0</v>
      </c>
      <c r="AO1072" s="11">
        <v>3</v>
      </c>
    </row>
    <row r="1073" spans="1:41" ht="63" customHeight="1" x14ac:dyDescent="0.2">
      <c r="A1073" s="7" t="s">
        <v>6379</v>
      </c>
      <c r="B1073" s="7" t="s">
        <v>6380</v>
      </c>
      <c r="C1073" s="7" t="s">
        <v>6381</v>
      </c>
      <c r="D1073" s="7">
        <v>2023</v>
      </c>
      <c r="H1073" s="7" t="s">
        <v>6368</v>
      </c>
      <c r="J1073" s="5" t="s">
        <v>6382</v>
      </c>
      <c r="K1073" s="5" t="s">
        <v>6383</v>
      </c>
      <c r="L1073" s="5" t="s">
        <v>5635</v>
      </c>
      <c r="M1073" s="7">
        <v>0</v>
      </c>
      <c r="N1073" s="9" t="s">
        <v>5044</v>
      </c>
      <c r="O1073" s="9" t="s">
        <v>5044</v>
      </c>
      <c r="P1073" s="7">
        <v>0</v>
      </c>
      <c r="Q1073" s="7">
        <v>0</v>
      </c>
      <c r="R1073" s="7">
        <v>0</v>
      </c>
      <c r="S1073" s="7" t="s">
        <v>5377</v>
      </c>
      <c r="T1073" s="7">
        <v>1</v>
      </c>
      <c r="U1073" s="7">
        <v>377</v>
      </c>
      <c r="V1073" s="7">
        <v>0</v>
      </c>
      <c r="W1073" s="7">
        <v>1</v>
      </c>
      <c r="X1073" s="7">
        <v>0</v>
      </c>
      <c r="Y1073" s="7">
        <v>0</v>
      </c>
      <c r="Z1073" s="7">
        <v>0</v>
      </c>
      <c r="AA1073" s="7">
        <v>0</v>
      </c>
      <c r="AB1073" s="7">
        <v>1</v>
      </c>
      <c r="AC1073" s="7">
        <v>1</v>
      </c>
      <c r="AD1073" s="7" t="s">
        <v>5044</v>
      </c>
      <c r="AE1073" s="7" t="s">
        <v>5044</v>
      </c>
      <c r="AF1073" s="7" t="s">
        <v>5044</v>
      </c>
      <c r="AG1073" s="7">
        <v>1</v>
      </c>
      <c r="AH1073" s="7">
        <v>0</v>
      </c>
      <c r="AI1073" s="7">
        <v>0</v>
      </c>
      <c r="AJ1073" s="7" t="s">
        <v>5044</v>
      </c>
      <c r="AL1073" s="7">
        <v>0</v>
      </c>
      <c r="AM1073" s="7">
        <v>0</v>
      </c>
      <c r="AO1073" s="9">
        <v>0</v>
      </c>
    </row>
    <row r="1074" spans="1:41" ht="63" customHeight="1" x14ac:dyDescent="0.2">
      <c r="A1074" s="7" t="s">
        <v>6384</v>
      </c>
      <c r="B1074" s="7" t="s">
        <v>6385</v>
      </c>
      <c r="C1074" s="7" t="s">
        <v>6386</v>
      </c>
      <c r="D1074" s="7">
        <v>2018</v>
      </c>
      <c r="H1074" s="7" t="s">
        <v>6387</v>
      </c>
      <c r="J1074" s="7" t="s">
        <v>6388</v>
      </c>
      <c r="K1074" s="5" t="s">
        <v>6389</v>
      </c>
      <c r="L1074" s="7" t="s">
        <v>5992</v>
      </c>
      <c r="M1074" s="7">
        <v>0</v>
      </c>
      <c r="N1074" s="9" t="s">
        <v>5044</v>
      </c>
      <c r="O1074" s="9" t="s">
        <v>5044</v>
      </c>
      <c r="P1074" s="7">
        <v>0</v>
      </c>
      <c r="Q1074" s="7">
        <v>0</v>
      </c>
      <c r="R1074" s="7">
        <v>0</v>
      </c>
      <c r="S1074" s="7">
        <v>1</v>
      </c>
      <c r="T1074" s="7">
        <v>1</v>
      </c>
      <c r="U1074" s="7">
        <v>331</v>
      </c>
      <c r="V1074" s="7">
        <v>1</v>
      </c>
      <c r="W1074" s="7">
        <v>0</v>
      </c>
      <c r="X1074" s="7">
        <v>0</v>
      </c>
      <c r="Y1074" s="7">
        <v>0</v>
      </c>
      <c r="Z1074" s="7">
        <v>0</v>
      </c>
      <c r="AA1074" s="7">
        <v>0</v>
      </c>
      <c r="AB1074" s="7">
        <v>1</v>
      </c>
      <c r="AC1074" s="7">
        <v>1</v>
      </c>
      <c r="AD1074" s="7">
        <v>2</v>
      </c>
      <c r="AE1074" s="7">
        <v>3</v>
      </c>
      <c r="AF1074" s="7">
        <v>0</v>
      </c>
      <c r="AG1074" s="7" t="s">
        <v>5044</v>
      </c>
      <c r="AH1074" s="7" t="s">
        <v>5044</v>
      </c>
      <c r="AI1074" s="7" t="s">
        <v>5044</v>
      </c>
      <c r="AJ1074" s="7" t="s">
        <v>5044</v>
      </c>
      <c r="AK1074" s="7">
        <v>1</v>
      </c>
      <c r="AL1074" s="7">
        <v>0</v>
      </c>
      <c r="AM1074" s="7">
        <v>0</v>
      </c>
      <c r="AO1074" s="11">
        <v>3</v>
      </c>
    </row>
    <row r="1075" spans="1:41" ht="63" customHeight="1" x14ac:dyDescent="0.2">
      <c r="A1075" s="7" t="s">
        <v>6305</v>
      </c>
      <c r="B1075" s="7" t="s">
        <v>6306</v>
      </c>
      <c r="C1075" s="7" t="s">
        <v>6307</v>
      </c>
      <c r="D1075" s="7">
        <v>2022</v>
      </c>
      <c r="H1075" s="7" t="s">
        <v>6308</v>
      </c>
      <c r="J1075" s="7" t="s">
        <v>6309</v>
      </c>
      <c r="K1075" s="5" t="s">
        <v>6310</v>
      </c>
      <c r="L1075" s="8" t="s">
        <v>5126</v>
      </c>
      <c r="M1075" s="7">
        <v>0</v>
      </c>
      <c r="N1075" s="9" t="s">
        <v>5044</v>
      </c>
      <c r="O1075" s="9" t="s">
        <v>5044</v>
      </c>
      <c r="P1075" s="7">
        <v>0</v>
      </c>
      <c r="Q1075" s="7">
        <v>0</v>
      </c>
      <c r="R1075" s="7">
        <v>0</v>
      </c>
      <c r="S1075" s="7" t="s">
        <v>5096</v>
      </c>
      <c r="T1075" s="7">
        <v>4</v>
      </c>
      <c r="U1075" s="7">
        <v>91</v>
      </c>
      <c r="V1075" s="7">
        <v>0</v>
      </c>
      <c r="W1075" s="7">
        <v>1</v>
      </c>
      <c r="X1075" s="7">
        <v>0</v>
      </c>
      <c r="Y1075" s="7">
        <v>0</v>
      </c>
      <c r="Z1075" s="7">
        <v>0</v>
      </c>
      <c r="AA1075" s="7">
        <v>0</v>
      </c>
      <c r="AB1075" s="7">
        <v>1</v>
      </c>
      <c r="AC1075" s="7">
        <v>0</v>
      </c>
      <c r="AD1075" s="7" t="s">
        <v>5044</v>
      </c>
      <c r="AE1075" s="7" t="s">
        <v>5044</v>
      </c>
      <c r="AF1075" s="7" t="s">
        <v>5044</v>
      </c>
      <c r="AG1075" s="7">
        <v>0</v>
      </c>
      <c r="AH1075" s="7" t="s">
        <v>5044</v>
      </c>
      <c r="AI1075" s="7" t="s">
        <v>5044</v>
      </c>
      <c r="AJ1075" s="7" t="s">
        <v>5044</v>
      </c>
      <c r="AL1075" s="7">
        <v>0</v>
      </c>
      <c r="AM1075" s="7">
        <v>0</v>
      </c>
      <c r="AO1075" s="11">
        <v>9</v>
      </c>
    </row>
    <row r="1076" spans="1:41" ht="63" customHeight="1" x14ac:dyDescent="0.2">
      <c r="A1076" s="7" t="s">
        <v>6394</v>
      </c>
      <c r="B1076" s="7" t="s">
        <v>6395</v>
      </c>
      <c r="C1076" s="7" t="s">
        <v>6396</v>
      </c>
      <c r="D1076" s="7">
        <v>2017</v>
      </c>
      <c r="E1076" s="7" t="s">
        <v>5318</v>
      </c>
      <c r="F1076" s="7" t="s">
        <v>5318</v>
      </c>
      <c r="G1076" s="7" t="s">
        <v>5318</v>
      </c>
      <c r="H1076" s="7" t="s">
        <v>6397</v>
      </c>
      <c r="I1076" s="7" t="s">
        <v>5318</v>
      </c>
      <c r="J1076" s="7" t="s">
        <v>5318</v>
      </c>
      <c r="K1076" s="7" t="s">
        <v>6398</v>
      </c>
      <c r="L1076" s="7" t="s">
        <v>5375</v>
      </c>
      <c r="M1076" s="7">
        <v>0</v>
      </c>
      <c r="N1076" s="7" t="s">
        <v>5044</v>
      </c>
      <c r="O1076" s="7" t="s">
        <v>5044</v>
      </c>
      <c r="P1076" s="7">
        <v>0</v>
      </c>
      <c r="Q1076" s="7">
        <v>0</v>
      </c>
      <c r="R1076" s="7">
        <v>0</v>
      </c>
      <c r="S1076" s="7">
        <v>1</v>
      </c>
      <c r="T1076" s="7">
        <v>4</v>
      </c>
      <c r="U1076" s="7">
        <v>86</v>
      </c>
      <c r="V1076" s="7">
        <v>0</v>
      </c>
      <c r="W1076" s="7">
        <v>1</v>
      </c>
      <c r="X1076" s="7">
        <v>0</v>
      </c>
      <c r="Y1076" s="7">
        <v>0</v>
      </c>
      <c r="Z1076" s="7">
        <v>0</v>
      </c>
      <c r="AA1076" s="7">
        <v>0</v>
      </c>
      <c r="AB1076" s="7">
        <v>1</v>
      </c>
      <c r="AC1076" s="7">
        <v>0</v>
      </c>
      <c r="AD1076" s="7" t="s">
        <v>5044</v>
      </c>
      <c r="AE1076" s="7" t="s">
        <v>5044</v>
      </c>
      <c r="AF1076" s="7" t="s">
        <v>5044</v>
      </c>
      <c r="AG1076" s="7">
        <v>0</v>
      </c>
      <c r="AH1076" s="7" t="s">
        <v>5044</v>
      </c>
      <c r="AI1076" s="7" t="s">
        <v>5044</v>
      </c>
      <c r="AJ1076" s="7" t="s">
        <v>5044</v>
      </c>
      <c r="AK1076" s="7" t="s">
        <v>5318</v>
      </c>
      <c r="AL1076" s="7">
        <v>0</v>
      </c>
      <c r="AM1076" s="7">
        <v>0</v>
      </c>
      <c r="AN1076" s="7" t="s">
        <v>5318</v>
      </c>
      <c r="AO1076" s="11">
        <v>9</v>
      </c>
    </row>
    <row r="1077" spans="1:41" ht="63" customHeight="1" x14ac:dyDescent="0.2">
      <c r="A1077" s="7" t="s">
        <v>6399</v>
      </c>
      <c r="B1077" s="7" t="s">
        <v>6400</v>
      </c>
      <c r="C1077" s="7" t="s">
        <v>6401</v>
      </c>
      <c r="D1077" s="7">
        <v>2020</v>
      </c>
      <c r="E1077" s="7" t="s">
        <v>5318</v>
      </c>
      <c r="F1077" s="7" t="s">
        <v>5318</v>
      </c>
      <c r="G1077" s="7" t="s">
        <v>5318</v>
      </c>
      <c r="H1077" s="7" t="s">
        <v>5318</v>
      </c>
      <c r="I1077" s="7" t="s">
        <v>5318</v>
      </c>
      <c r="J1077" s="7" t="s">
        <v>5318</v>
      </c>
      <c r="K1077" s="7" t="s">
        <v>6402</v>
      </c>
      <c r="L1077" s="7" t="s">
        <v>5919</v>
      </c>
      <c r="M1077" s="7">
        <v>0</v>
      </c>
      <c r="N1077" s="7" t="s">
        <v>5044</v>
      </c>
      <c r="O1077" s="7" t="s">
        <v>5044</v>
      </c>
      <c r="P1077" s="7">
        <v>1</v>
      </c>
      <c r="Q1077" s="7">
        <v>0</v>
      </c>
      <c r="R1077" s="7">
        <v>0</v>
      </c>
      <c r="S1077" s="7">
        <v>1</v>
      </c>
      <c r="T1077" s="7">
        <v>1</v>
      </c>
      <c r="U1077" s="7">
        <v>9</v>
      </c>
      <c r="V1077" s="7">
        <v>0</v>
      </c>
      <c r="W1077" s="7">
        <v>1</v>
      </c>
      <c r="X1077" s="7">
        <v>0</v>
      </c>
      <c r="Y1077" s="7">
        <v>0</v>
      </c>
      <c r="Z1077" s="7">
        <v>0</v>
      </c>
      <c r="AA1077" s="7">
        <v>0</v>
      </c>
      <c r="AB1077" s="7">
        <v>1</v>
      </c>
      <c r="AC1077" s="7">
        <v>0</v>
      </c>
      <c r="AD1077" s="7" t="s">
        <v>5044</v>
      </c>
      <c r="AE1077" s="7" t="s">
        <v>5044</v>
      </c>
      <c r="AF1077" s="7" t="s">
        <v>5044</v>
      </c>
      <c r="AG1077" s="7">
        <v>0</v>
      </c>
      <c r="AH1077" s="7" t="s">
        <v>5044</v>
      </c>
      <c r="AI1077" s="7" t="s">
        <v>5044</v>
      </c>
      <c r="AJ1077" s="7" t="s">
        <v>5044</v>
      </c>
      <c r="AK1077" s="7" t="s">
        <v>5318</v>
      </c>
      <c r="AL1077" s="7" t="s">
        <v>5044</v>
      </c>
      <c r="AM1077" s="7">
        <v>0</v>
      </c>
      <c r="AO1077" s="11">
        <v>9</v>
      </c>
    </row>
    <row r="1078" spans="1:41" ht="63" customHeight="1" x14ac:dyDescent="0.2">
      <c r="A1078" s="7" t="s">
        <v>6403</v>
      </c>
      <c r="B1078" s="7" t="s">
        <v>6404</v>
      </c>
      <c r="C1078" s="7" t="s">
        <v>6405</v>
      </c>
      <c r="D1078" s="7">
        <v>2018</v>
      </c>
      <c r="E1078" s="7" t="s">
        <v>6406</v>
      </c>
      <c r="F1078" s="7" t="s">
        <v>5318</v>
      </c>
      <c r="G1078" s="7" t="s">
        <v>5318</v>
      </c>
      <c r="H1078" s="7" t="s">
        <v>5318</v>
      </c>
      <c r="I1078" s="7" t="s">
        <v>5318</v>
      </c>
      <c r="J1078" s="7" t="s">
        <v>5318</v>
      </c>
      <c r="K1078" s="7" t="s">
        <v>6407</v>
      </c>
      <c r="L1078" s="7" t="s">
        <v>6408</v>
      </c>
      <c r="M1078" s="7">
        <v>0</v>
      </c>
      <c r="N1078" s="7" t="s">
        <v>5044</v>
      </c>
      <c r="O1078" s="7" t="s">
        <v>5044</v>
      </c>
      <c r="P1078" s="7">
        <v>0</v>
      </c>
      <c r="Q1078" s="7">
        <v>0</v>
      </c>
      <c r="R1078" s="7">
        <v>0</v>
      </c>
      <c r="S1078" s="7">
        <v>9</v>
      </c>
      <c r="T1078" s="7">
        <v>1</v>
      </c>
      <c r="U1078" s="7">
        <v>125</v>
      </c>
      <c r="V1078" s="7">
        <v>0</v>
      </c>
      <c r="W1078" s="7">
        <v>1</v>
      </c>
      <c r="X1078" s="7">
        <v>0</v>
      </c>
      <c r="Y1078" s="7">
        <v>0</v>
      </c>
      <c r="Z1078" s="7">
        <v>0</v>
      </c>
      <c r="AA1078" s="7">
        <v>0</v>
      </c>
      <c r="AB1078" s="7">
        <v>1</v>
      </c>
      <c r="AC1078" s="7">
        <v>0</v>
      </c>
      <c r="AD1078" s="7" t="s">
        <v>5044</v>
      </c>
      <c r="AE1078" s="7" t="s">
        <v>5044</v>
      </c>
      <c r="AF1078" s="7" t="s">
        <v>5044</v>
      </c>
      <c r="AG1078" s="7">
        <v>0</v>
      </c>
      <c r="AH1078" s="7" t="s">
        <v>5044</v>
      </c>
      <c r="AI1078" s="7" t="s">
        <v>5044</v>
      </c>
      <c r="AJ1078" s="7" t="s">
        <v>5044</v>
      </c>
      <c r="AK1078" s="7" t="s">
        <v>5318</v>
      </c>
      <c r="AL1078" s="7">
        <v>0</v>
      </c>
      <c r="AM1078" s="7">
        <v>0</v>
      </c>
      <c r="AN1078" s="7" t="s">
        <v>5318</v>
      </c>
      <c r="AO1078" s="11">
        <v>9</v>
      </c>
    </row>
    <row r="1079" spans="1:41" ht="63" customHeight="1" x14ac:dyDescent="0.2">
      <c r="A1079" s="7" t="s">
        <v>6409</v>
      </c>
      <c r="B1079" s="7" t="s">
        <v>6410</v>
      </c>
      <c r="C1079" s="7" t="s">
        <v>6411</v>
      </c>
      <c r="D1079" s="7">
        <v>2020</v>
      </c>
      <c r="E1079" s="7" t="s">
        <v>5318</v>
      </c>
      <c r="F1079" s="7" t="s">
        <v>5318</v>
      </c>
      <c r="G1079" s="7" t="s">
        <v>5318</v>
      </c>
      <c r="H1079" s="7" t="s">
        <v>5318</v>
      </c>
      <c r="I1079" s="7" t="s">
        <v>5318</v>
      </c>
      <c r="J1079" s="7" t="s">
        <v>5318</v>
      </c>
      <c r="K1079" s="7" t="s">
        <v>6412</v>
      </c>
      <c r="L1079" s="8" t="s">
        <v>6062</v>
      </c>
      <c r="M1079" s="7">
        <v>0</v>
      </c>
      <c r="N1079" s="7" t="s">
        <v>5044</v>
      </c>
      <c r="O1079" s="7" t="s">
        <v>5044</v>
      </c>
      <c r="P1079" s="7">
        <v>0</v>
      </c>
      <c r="Q1079" s="7">
        <v>0</v>
      </c>
      <c r="R1079" s="7">
        <v>0</v>
      </c>
      <c r="S1079" s="7">
        <v>1</v>
      </c>
      <c r="T1079" s="7">
        <v>1</v>
      </c>
      <c r="U1079" s="7">
        <v>166</v>
      </c>
      <c r="V1079" s="7">
        <v>0</v>
      </c>
      <c r="W1079" s="7">
        <v>0</v>
      </c>
      <c r="X1079" s="7">
        <v>0</v>
      </c>
      <c r="Y1079" s="7">
        <v>0</v>
      </c>
      <c r="Z1079" s="7">
        <v>0</v>
      </c>
      <c r="AA1079" s="7">
        <v>0</v>
      </c>
      <c r="AB1079" s="7">
        <v>1</v>
      </c>
      <c r="AC1079" s="7">
        <v>1</v>
      </c>
      <c r="AD1079" s="7" t="s">
        <v>5044</v>
      </c>
      <c r="AE1079" s="7" t="s">
        <v>5044</v>
      </c>
      <c r="AF1079" s="7" t="s">
        <v>5044</v>
      </c>
      <c r="AG1079" s="7">
        <v>1</v>
      </c>
      <c r="AH1079" s="7">
        <v>0</v>
      </c>
      <c r="AI1079" s="7">
        <v>0</v>
      </c>
      <c r="AJ1079" s="7" t="s">
        <v>5044</v>
      </c>
      <c r="AK1079" s="7" t="s">
        <v>5318</v>
      </c>
      <c r="AL1079" s="7">
        <v>1</v>
      </c>
      <c r="AM1079" s="7">
        <v>0</v>
      </c>
      <c r="AN1079" s="7" t="s">
        <v>5318</v>
      </c>
      <c r="AO1079" s="9">
        <v>0</v>
      </c>
    </row>
    <row r="1080" spans="1:41" ht="63" customHeight="1" x14ac:dyDescent="0.2">
      <c r="A1080" s="7" t="s">
        <v>6413</v>
      </c>
      <c r="B1080" s="7" t="s">
        <v>6414</v>
      </c>
      <c r="C1080" s="7" t="s">
        <v>6415</v>
      </c>
      <c r="D1080" s="7">
        <v>2021</v>
      </c>
      <c r="E1080" s="7" t="s">
        <v>5318</v>
      </c>
      <c r="F1080" s="7" t="s">
        <v>5318</v>
      </c>
      <c r="G1080" s="7" t="s">
        <v>5318</v>
      </c>
      <c r="H1080" s="7" t="s">
        <v>5318</v>
      </c>
      <c r="I1080" s="7" t="s">
        <v>5318</v>
      </c>
      <c r="J1080" s="7" t="s">
        <v>5318</v>
      </c>
      <c r="K1080" s="7" t="s">
        <v>6416</v>
      </c>
      <c r="L1080" s="7" t="s">
        <v>6055</v>
      </c>
      <c r="M1080" s="7">
        <v>0</v>
      </c>
      <c r="N1080" s="7" t="s">
        <v>5044</v>
      </c>
      <c r="O1080" s="7" t="s">
        <v>5044</v>
      </c>
      <c r="P1080" s="7">
        <v>1</v>
      </c>
      <c r="Q1080" s="7">
        <v>0</v>
      </c>
      <c r="R1080" s="7">
        <v>0</v>
      </c>
      <c r="S1080" s="7">
        <v>3</v>
      </c>
      <c r="T1080" s="7">
        <v>1</v>
      </c>
      <c r="U1080" s="7">
        <v>49</v>
      </c>
      <c r="V1080" s="7">
        <v>0</v>
      </c>
      <c r="W1080" s="7">
        <v>1</v>
      </c>
      <c r="X1080" s="7">
        <v>0</v>
      </c>
      <c r="Y1080" s="7">
        <v>0</v>
      </c>
      <c r="Z1080" s="7">
        <v>0</v>
      </c>
      <c r="AA1080" s="7">
        <v>0</v>
      </c>
      <c r="AB1080" s="7">
        <v>1</v>
      </c>
      <c r="AC1080" s="7">
        <v>1</v>
      </c>
      <c r="AD1080" s="7" t="s">
        <v>5044</v>
      </c>
      <c r="AE1080" s="7" t="s">
        <v>5044</v>
      </c>
      <c r="AF1080" s="7" t="s">
        <v>5044</v>
      </c>
      <c r="AG1080" s="7">
        <v>2</v>
      </c>
      <c r="AH1080" s="7">
        <v>3</v>
      </c>
      <c r="AI1080" s="7">
        <v>0</v>
      </c>
      <c r="AJ1080" s="7" t="s">
        <v>5044</v>
      </c>
      <c r="AK1080" s="7" t="s">
        <v>5318</v>
      </c>
      <c r="AL1080" s="7">
        <v>1</v>
      </c>
      <c r="AM1080" s="7">
        <v>0</v>
      </c>
      <c r="AN1080" s="7" t="s">
        <v>6417</v>
      </c>
      <c r="AO1080" s="11">
        <v>3</v>
      </c>
    </row>
    <row r="1081" spans="1:41" ht="63" customHeight="1" x14ac:dyDescent="0.2">
      <c r="A1081" s="7" t="s">
        <v>6418</v>
      </c>
      <c r="B1081" s="7" t="s">
        <v>6419</v>
      </c>
      <c r="C1081" s="7" t="s">
        <v>6420</v>
      </c>
      <c r="D1081" s="7">
        <v>2022</v>
      </c>
      <c r="E1081" s="7" t="s">
        <v>5318</v>
      </c>
      <c r="F1081" s="7" t="s">
        <v>5318</v>
      </c>
      <c r="G1081" s="7" t="s">
        <v>5318</v>
      </c>
      <c r="H1081" s="7" t="s">
        <v>5318</v>
      </c>
      <c r="I1081" s="7" t="s">
        <v>5318</v>
      </c>
      <c r="J1081" s="7" t="s">
        <v>5318</v>
      </c>
      <c r="K1081" s="7" t="s">
        <v>6421</v>
      </c>
      <c r="L1081" s="7" t="s">
        <v>6051</v>
      </c>
      <c r="M1081" s="7">
        <v>0</v>
      </c>
      <c r="N1081" s="7" t="s">
        <v>5044</v>
      </c>
      <c r="O1081" s="7" t="s">
        <v>5044</v>
      </c>
      <c r="P1081" s="7">
        <v>0</v>
      </c>
      <c r="Q1081" s="7">
        <v>0</v>
      </c>
      <c r="R1081" s="7">
        <v>0</v>
      </c>
      <c r="S1081" s="7" t="s">
        <v>5357</v>
      </c>
      <c r="T1081" s="7">
        <v>1</v>
      </c>
      <c r="U1081" s="7">
        <v>64</v>
      </c>
      <c r="V1081" s="7">
        <v>0</v>
      </c>
      <c r="W1081" s="7">
        <v>1</v>
      </c>
      <c r="X1081" s="7">
        <v>0</v>
      </c>
      <c r="Y1081" s="7">
        <v>0</v>
      </c>
      <c r="Z1081" s="7">
        <v>0</v>
      </c>
      <c r="AA1081" s="7">
        <v>0</v>
      </c>
      <c r="AB1081" s="7">
        <v>1</v>
      </c>
      <c r="AC1081" s="7">
        <v>0</v>
      </c>
      <c r="AD1081" s="7" t="s">
        <v>5044</v>
      </c>
      <c r="AE1081" s="7" t="s">
        <v>5044</v>
      </c>
      <c r="AF1081" s="7" t="s">
        <v>5044</v>
      </c>
      <c r="AG1081" s="7">
        <v>0</v>
      </c>
      <c r="AH1081" s="7" t="s">
        <v>5044</v>
      </c>
      <c r="AI1081" s="7" t="s">
        <v>5044</v>
      </c>
      <c r="AJ1081" s="7" t="s">
        <v>5044</v>
      </c>
      <c r="AK1081" s="7" t="s">
        <v>5318</v>
      </c>
      <c r="AL1081" s="7" t="s">
        <v>5044</v>
      </c>
      <c r="AM1081" s="7">
        <v>0</v>
      </c>
      <c r="AN1081" s="7" t="s">
        <v>6422</v>
      </c>
      <c r="AO1081" s="11">
        <v>9</v>
      </c>
    </row>
    <row r="1082" spans="1:41" ht="63" customHeight="1" x14ac:dyDescent="0.2">
      <c r="A1082" s="7" t="s">
        <v>6423</v>
      </c>
      <c r="B1082" s="7" t="s">
        <v>6424</v>
      </c>
      <c r="C1082" s="7" t="s">
        <v>6425</v>
      </c>
      <c r="D1082" s="7">
        <v>2020</v>
      </c>
      <c r="E1082" s="7" t="s">
        <v>5318</v>
      </c>
      <c r="F1082" s="7" t="s">
        <v>5318</v>
      </c>
      <c r="G1082" s="7" t="s">
        <v>5318</v>
      </c>
      <c r="H1082" s="7" t="s">
        <v>5318</v>
      </c>
      <c r="I1082" s="7" t="s">
        <v>5318</v>
      </c>
      <c r="J1082" s="7" t="s">
        <v>5318</v>
      </c>
      <c r="K1082" s="7" t="s">
        <v>6426</v>
      </c>
      <c r="L1082" s="7" t="s">
        <v>6427</v>
      </c>
      <c r="M1082" s="7">
        <v>0</v>
      </c>
      <c r="N1082" s="7" t="s">
        <v>5044</v>
      </c>
      <c r="O1082" s="7" t="s">
        <v>5044</v>
      </c>
      <c r="P1082" s="7">
        <v>0</v>
      </c>
      <c r="Q1082" s="7">
        <v>0</v>
      </c>
      <c r="R1082" s="7">
        <v>0</v>
      </c>
      <c r="S1082" s="7">
        <v>1</v>
      </c>
      <c r="T1082" s="7">
        <v>4</v>
      </c>
      <c r="U1082" s="7">
        <v>444</v>
      </c>
      <c r="V1082" s="7">
        <v>0</v>
      </c>
      <c r="W1082" s="7">
        <v>1</v>
      </c>
      <c r="X1082" s="7">
        <v>0</v>
      </c>
      <c r="Y1082" s="7">
        <v>0</v>
      </c>
      <c r="Z1082" s="7">
        <v>0</v>
      </c>
      <c r="AA1082" s="7">
        <v>0</v>
      </c>
      <c r="AB1082" s="7">
        <v>1</v>
      </c>
      <c r="AC1082" s="7">
        <v>1</v>
      </c>
      <c r="AD1082" s="7" t="s">
        <v>5044</v>
      </c>
      <c r="AE1082" s="7" t="s">
        <v>5044</v>
      </c>
      <c r="AF1082" s="7" t="s">
        <v>5044</v>
      </c>
      <c r="AG1082" s="7">
        <v>1</v>
      </c>
      <c r="AH1082" s="7">
        <v>0</v>
      </c>
      <c r="AI1082" s="7">
        <v>0</v>
      </c>
      <c r="AJ1082" s="7" t="s">
        <v>5044</v>
      </c>
      <c r="AK1082" s="7" t="s">
        <v>5318</v>
      </c>
      <c r="AL1082" s="7">
        <v>0</v>
      </c>
      <c r="AM1082" s="7">
        <v>0</v>
      </c>
      <c r="AN1082" s="7" t="s">
        <v>5318</v>
      </c>
      <c r="AO1082" s="9">
        <v>0</v>
      </c>
    </row>
    <row r="1083" spans="1:41" ht="63" customHeight="1" x14ac:dyDescent="0.2">
      <c r="A1083" s="7" t="s">
        <v>6428</v>
      </c>
      <c r="B1083" s="7" t="s">
        <v>6429</v>
      </c>
      <c r="C1083" s="7" t="s">
        <v>6430</v>
      </c>
      <c r="D1083" s="7">
        <v>2018</v>
      </c>
      <c r="E1083" s="7" t="s">
        <v>5318</v>
      </c>
      <c r="F1083" s="7" t="s">
        <v>5318</v>
      </c>
      <c r="G1083" s="7" t="s">
        <v>5318</v>
      </c>
      <c r="H1083" s="7" t="s">
        <v>5318</v>
      </c>
      <c r="I1083" s="7" t="s">
        <v>5318</v>
      </c>
      <c r="J1083" s="7" t="s">
        <v>5318</v>
      </c>
      <c r="K1083" s="7" t="s">
        <v>2409</v>
      </c>
      <c r="L1083" s="7" t="s">
        <v>6011</v>
      </c>
      <c r="M1083" s="7">
        <v>0</v>
      </c>
      <c r="N1083" s="7" t="s">
        <v>5044</v>
      </c>
      <c r="O1083" s="7" t="s">
        <v>5044</v>
      </c>
      <c r="P1083" s="7">
        <v>0</v>
      </c>
      <c r="Q1083" s="7">
        <v>0</v>
      </c>
      <c r="R1083" s="7">
        <v>0</v>
      </c>
      <c r="S1083" s="7">
        <v>1</v>
      </c>
      <c r="T1083" s="7">
        <v>1</v>
      </c>
      <c r="U1083" s="7">
        <v>248</v>
      </c>
      <c r="V1083" s="7">
        <v>0</v>
      </c>
      <c r="W1083" s="7">
        <v>1</v>
      </c>
      <c r="X1083" s="7">
        <v>0</v>
      </c>
      <c r="Y1083" s="7">
        <v>0</v>
      </c>
      <c r="Z1083" s="7">
        <v>0</v>
      </c>
      <c r="AA1083" s="7">
        <v>0</v>
      </c>
      <c r="AB1083" s="7">
        <v>1</v>
      </c>
      <c r="AC1083" s="7">
        <v>0</v>
      </c>
      <c r="AD1083" s="7" t="s">
        <v>5044</v>
      </c>
      <c r="AE1083" s="7" t="s">
        <v>5044</v>
      </c>
      <c r="AF1083" s="7" t="s">
        <v>5044</v>
      </c>
      <c r="AG1083" s="7">
        <v>0</v>
      </c>
      <c r="AH1083" s="7" t="s">
        <v>5044</v>
      </c>
      <c r="AI1083" s="7" t="s">
        <v>5044</v>
      </c>
      <c r="AJ1083" s="7" t="s">
        <v>5044</v>
      </c>
      <c r="AK1083" s="7" t="s">
        <v>5318</v>
      </c>
      <c r="AL1083" s="7">
        <v>0</v>
      </c>
      <c r="AM1083" s="7">
        <v>0</v>
      </c>
      <c r="AN1083" s="7" t="s">
        <v>5318</v>
      </c>
      <c r="AO1083" s="11">
        <v>9</v>
      </c>
    </row>
    <row r="1084" spans="1:41" ht="63" customHeight="1" x14ac:dyDescent="0.2">
      <c r="A1084" s="7" t="s">
        <v>6431</v>
      </c>
      <c r="B1084" s="7" t="s">
        <v>6432</v>
      </c>
      <c r="C1084" s="7" t="s">
        <v>6433</v>
      </c>
      <c r="D1084" s="7">
        <v>2018</v>
      </c>
      <c r="E1084" s="7" t="s">
        <v>5318</v>
      </c>
      <c r="F1084" s="7" t="s">
        <v>5318</v>
      </c>
      <c r="G1084" s="7" t="s">
        <v>5318</v>
      </c>
      <c r="H1084" s="7" t="s">
        <v>5318</v>
      </c>
      <c r="I1084" s="7" t="s">
        <v>5318</v>
      </c>
      <c r="J1084" s="7" t="s">
        <v>5318</v>
      </c>
      <c r="K1084" s="7" t="s">
        <v>6434</v>
      </c>
      <c r="L1084" s="11" t="s">
        <v>5044</v>
      </c>
      <c r="M1084" s="7">
        <v>0</v>
      </c>
      <c r="N1084" s="7" t="s">
        <v>5044</v>
      </c>
      <c r="O1084" s="7" t="s">
        <v>5044</v>
      </c>
      <c r="P1084" s="7">
        <v>0</v>
      </c>
      <c r="Q1084" s="7">
        <v>0</v>
      </c>
      <c r="R1084" s="7">
        <v>0</v>
      </c>
      <c r="S1084" s="7">
        <v>3</v>
      </c>
      <c r="T1084" s="7">
        <v>1</v>
      </c>
      <c r="U1084" s="7">
        <v>163</v>
      </c>
      <c r="V1084" s="7">
        <v>0</v>
      </c>
      <c r="W1084" s="7">
        <v>1</v>
      </c>
      <c r="X1084" s="7">
        <v>0</v>
      </c>
      <c r="Y1084" s="7">
        <v>0</v>
      </c>
      <c r="Z1084" s="7">
        <v>0</v>
      </c>
      <c r="AA1084" s="7">
        <v>0</v>
      </c>
      <c r="AB1084" s="7">
        <v>1</v>
      </c>
      <c r="AC1084" s="7">
        <v>1</v>
      </c>
      <c r="AD1084" s="7" t="s">
        <v>5044</v>
      </c>
      <c r="AE1084" s="7" t="s">
        <v>5044</v>
      </c>
      <c r="AF1084" s="7" t="s">
        <v>5044</v>
      </c>
      <c r="AG1084" s="7">
        <v>2</v>
      </c>
      <c r="AH1084" s="7">
        <v>3</v>
      </c>
      <c r="AI1084" s="7">
        <v>0</v>
      </c>
      <c r="AJ1084" s="7" t="s">
        <v>5044</v>
      </c>
      <c r="AK1084" s="7" t="s">
        <v>6435</v>
      </c>
      <c r="AL1084" s="7">
        <v>1</v>
      </c>
      <c r="AM1084" s="7">
        <v>0</v>
      </c>
      <c r="AN1084" s="7" t="s">
        <v>6436</v>
      </c>
      <c r="AO1084" s="11">
        <v>3</v>
      </c>
    </row>
    <row r="1085" spans="1:41" ht="63" customHeight="1" x14ac:dyDescent="0.2">
      <c r="A1085" s="7" t="s">
        <v>6311</v>
      </c>
      <c r="B1085" s="7" t="s">
        <v>6312</v>
      </c>
      <c r="C1085" s="7" t="s">
        <v>6313</v>
      </c>
      <c r="D1085" s="7">
        <v>2023</v>
      </c>
      <c r="H1085" s="7" t="s">
        <v>6314</v>
      </c>
      <c r="K1085" s="7" t="s">
        <v>6315</v>
      </c>
      <c r="L1085" s="7" t="s">
        <v>5131</v>
      </c>
      <c r="M1085" s="7">
        <v>0</v>
      </c>
      <c r="N1085" s="9" t="s">
        <v>5044</v>
      </c>
      <c r="O1085" s="9" t="s">
        <v>5044</v>
      </c>
      <c r="P1085" s="7">
        <v>1</v>
      </c>
      <c r="Q1085" s="7">
        <v>0</v>
      </c>
      <c r="R1085" s="7">
        <v>0</v>
      </c>
      <c r="S1085" s="7">
        <v>1</v>
      </c>
      <c r="T1085" s="7">
        <v>1</v>
      </c>
      <c r="U1085" s="7">
        <v>62</v>
      </c>
      <c r="V1085" s="7">
        <v>0</v>
      </c>
      <c r="W1085" s="7">
        <v>1</v>
      </c>
      <c r="X1085" s="7">
        <v>0</v>
      </c>
      <c r="Y1085" s="7">
        <v>0</v>
      </c>
      <c r="Z1085" s="7">
        <v>1</v>
      </c>
      <c r="AA1085" s="7">
        <v>0</v>
      </c>
      <c r="AB1085" s="7">
        <v>0</v>
      </c>
      <c r="AC1085" s="7">
        <v>1</v>
      </c>
      <c r="AD1085" s="7" t="s">
        <v>5044</v>
      </c>
      <c r="AE1085" s="7" t="s">
        <v>5044</v>
      </c>
      <c r="AF1085" s="7" t="s">
        <v>5044</v>
      </c>
      <c r="AG1085" s="7">
        <v>2</v>
      </c>
      <c r="AH1085" s="7">
        <v>1</v>
      </c>
      <c r="AI1085" s="7">
        <v>2</v>
      </c>
      <c r="AJ1085" s="7">
        <v>0</v>
      </c>
      <c r="AL1085" s="7">
        <v>0</v>
      </c>
      <c r="AM1085" s="7">
        <v>0</v>
      </c>
      <c r="AO1085" s="11">
        <v>1</v>
      </c>
    </row>
    <row r="1086" spans="1:41" ht="63" customHeight="1" x14ac:dyDescent="0.2">
      <c r="A1086" s="7" t="s">
        <v>6442</v>
      </c>
      <c r="B1086" s="7" t="s">
        <v>6443</v>
      </c>
      <c r="C1086" s="7" t="s">
        <v>6444</v>
      </c>
      <c r="D1086" s="7">
        <v>2019</v>
      </c>
      <c r="E1086" s="7" t="s">
        <v>5318</v>
      </c>
      <c r="F1086" s="7" t="s">
        <v>5318</v>
      </c>
      <c r="G1086" s="7" t="s">
        <v>5318</v>
      </c>
      <c r="H1086" s="7" t="s">
        <v>5318</v>
      </c>
      <c r="I1086" s="7" t="s">
        <v>5318</v>
      </c>
      <c r="J1086" s="7" t="s">
        <v>5318</v>
      </c>
      <c r="K1086" s="7" t="s">
        <v>6357</v>
      </c>
      <c r="L1086" s="7" t="s">
        <v>6445</v>
      </c>
      <c r="M1086" s="7">
        <v>0</v>
      </c>
      <c r="N1086" s="7" t="s">
        <v>5044</v>
      </c>
      <c r="O1086" s="7" t="s">
        <v>5044</v>
      </c>
      <c r="P1086" s="7">
        <v>0</v>
      </c>
      <c r="Q1086" s="7">
        <v>0</v>
      </c>
      <c r="R1086" s="7">
        <v>0</v>
      </c>
      <c r="S1086" s="7">
        <v>1</v>
      </c>
      <c r="T1086" s="7">
        <v>1</v>
      </c>
      <c r="U1086" s="7">
        <v>112</v>
      </c>
      <c r="V1086" s="7">
        <v>1</v>
      </c>
      <c r="W1086" s="7">
        <v>0</v>
      </c>
      <c r="X1086" s="7">
        <v>0</v>
      </c>
      <c r="Y1086" s="7">
        <v>0</v>
      </c>
      <c r="Z1086" s="7">
        <v>0</v>
      </c>
      <c r="AA1086" s="7">
        <v>0</v>
      </c>
      <c r="AB1086" s="7">
        <v>1</v>
      </c>
      <c r="AC1086" s="7">
        <v>1</v>
      </c>
      <c r="AD1086" s="7">
        <v>2</v>
      </c>
      <c r="AE1086" s="7">
        <v>1</v>
      </c>
      <c r="AF1086" s="7">
        <v>1</v>
      </c>
      <c r="AG1086" s="7" t="s">
        <v>5044</v>
      </c>
      <c r="AH1086" s="7" t="s">
        <v>5044</v>
      </c>
      <c r="AI1086" s="7" t="s">
        <v>5044</v>
      </c>
      <c r="AJ1086" s="7" t="s">
        <v>5044</v>
      </c>
      <c r="AK1086" s="7" t="s">
        <v>5318</v>
      </c>
      <c r="AL1086" s="7">
        <v>1</v>
      </c>
      <c r="AM1086" s="7">
        <v>0</v>
      </c>
      <c r="AN1086" s="7" t="s">
        <v>5318</v>
      </c>
      <c r="AO1086" s="11">
        <v>1</v>
      </c>
    </row>
    <row r="1087" spans="1:41" ht="63" customHeight="1" x14ac:dyDescent="0.2">
      <c r="A1087" s="7" t="s">
        <v>6446</v>
      </c>
      <c r="B1087" s="7" t="s">
        <v>6447</v>
      </c>
      <c r="C1087" s="7" t="s">
        <v>6448</v>
      </c>
      <c r="D1087" s="7">
        <v>2020</v>
      </c>
      <c r="H1087" s="7" t="s">
        <v>6449</v>
      </c>
      <c r="K1087" s="7" t="s">
        <v>6450</v>
      </c>
      <c r="L1087" s="7" t="s">
        <v>5694</v>
      </c>
      <c r="M1087" s="7">
        <v>0</v>
      </c>
      <c r="N1087" s="9" t="s">
        <v>5044</v>
      </c>
      <c r="O1087" s="9" t="s">
        <v>5044</v>
      </c>
      <c r="P1087" s="7">
        <v>1</v>
      </c>
      <c r="Q1087" s="7">
        <v>0</v>
      </c>
      <c r="R1087" s="7">
        <v>0</v>
      </c>
      <c r="S1087" s="7">
        <v>3</v>
      </c>
      <c r="T1087" s="7">
        <v>1</v>
      </c>
      <c r="U1087" s="7">
        <v>50</v>
      </c>
      <c r="V1087" s="7">
        <v>0</v>
      </c>
      <c r="W1087" s="7">
        <v>1</v>
      </c>
      <c r="X1087" s="7">
        <v>0</v>
      </c>
      <c r="Y1087" s="7">
        <v>0</v>
      </c>
      <c r="Z1087" s="7">
        <v>0</v>
      </c>
      <c r="AA1087" s="7">
        <v>0</v>
      </c>
      <c r="AB1087" s="7">
        <v>0</v>
      </c>
      <c r="AC1087" s="7">
        <v>1</v>
      </c>
      <c r="AD1087" s="7" t="s">
        <v>5044</v>
      </c>
      <c r="AE1087" s="7" t="s">
        <v>5044</v>
      </c>
      <c r="AF1087" s="7" t="s">
        <v>5044</v>
      </c>
      <c r="AG1087" s="7">
        <v>2</v>
      </c>
      <c r="AH1087" s="7">
        <v>3</v>
      </c>
      <c r="AI1087" s="7">
        <v>0</v>
      </c>
      <c r="AJ1087" s="7" t="s">
        <v>5044</v>
      </c>
      <c r="AL1087" s="7" t="s">
        <v>5044</v>
      </c>
      <c r="AM1087" s="7">
        <v>0</v>
      </c>
      <c r="AN1087" s="7" t="s">
        <v>6417</v>
      </c>
      <c r="AO1087" s="11">
        <v>3</v>
      </c>
    </row>
    <row r="1088" spans="1:41" ht="63" customHeight="1" x14ac:dyDescent="0.2">
      <c r="A1088" s="7" t="s">
        <v>6451</v>
      </c>
      <c r="B1088" s="7" t="s">
        <v>6452</v>
      </c>
      <c r="C1088" s="7" t="s">
        <v>6453</v>
      </c>
      <c r="D1088" s="7">
        <v>2023</v>
      </c>
      <c r="H1088" s="7" t="s">
        <v>6454</v>
      </c>
      <c r="K1088" s="7" t="s">
        <v>6455</v>
      </c>
      <c r="L1088" s="7" t="s">
        <v>5710</v>
      </c>
      <c r="M1088" s="7">
        <v>0</v>
      </c>
      <c r="N1088" s="9" t="s">
        <v>5044</v>
      </c>
      <c r="O1088" s="9" t="s">
        <v>5044</v>
      </c>
      <c r="P1088" s="7">
        <v>0</v>
      </c>
      <c r="Q1088" s="7">
        <v>0</v>
      </c>
      <c r="R1088" s="7">
        <v>0</v>
      </c>
      <c r="S1088" s="7">
        <v>9</v>
      </c>
      <c r="T1088" s="7">
        <v>1</v>
      </c>
      <c r="U1088" s="7">
        <v>80</v>
      </c>
      <c r="V1088" s="7">
        <v>0</v>
      </c>
      <c r="W1088" s="7">
        <v>1</v>
      </c>
      <c r="X1088" s="7">
        <v>0</v>
      </c>
      <c r="Y1088" s="7">
        <v>0</v>
      </c>
      <c r="Z1088" s="7">
        <v>1</v>
      </c>
      <c r="AA1088" s="7">
        <v>0</v>
      </c>
      <c r="AB1088" s="7">
        <v>1</v>
      </c>
      <c r="AC1088" s="7">
        <v>1</v>
      </c>
      <c r="AD1088" s="7" t="s">
        <v>5044</v>
      </c>
      <c r="AE1088" s="7" t="s">
        <v>5044</v>
      </c>
      <c r="AF1088" s="7" t="s">
        <v>5044</v>
      </c>
      <c r="AG1088" s="7">
        <v>0</v>
      </c>
      <c r="AH1088" s="7" t="s">
        <v>5044</v>
      </c>
      <c r="AI1088" s="7" t="s">
        <v>5044</v>
      </c>
      <c r="AJ1088" s="7">
        <v>0</v>
      </c>
      <c r="AL1088" s="7">
        <v>1</v>
      </c>
      <c r="AM1088" s="7">
        <v>0</v>
      </c>
      <c r="AO1088" s="11">
        <v>9</v>
      </c>
    </row>
    <row r="1089" spans="1:43" ht="63" customHeight="1" x14ac:dyDescent="0.2">
      <c r="A1089" s="7" t="s">
        <v>6456</v>
      </c>
      <c r="B1089" s="7" t="s">
        <v>6457</v>
      </c>
      <c r="C1089" s="7" t="s">
        <v>6487</v>
      </c>
      <c r="D1089" s="7">
        <v>2020</v>
      </c>
      <c r="H1089" s="7" t="s">
        <v>6458</v>
      </c>
      <c r="J1089" s="5" t="s">
        <v>6459</v>
      </c>
      <c r="K1089" s="6" t="s">
        <v>6460</v>
      </c>
      <c r="L1089" s="6" t="s">
        <v>6086</v>
      </c>
      <c r="M1089" s="7">
        <v>0</v>
      </c>
      <c r="N1089" s="9" t="s">
        <v>5044</v>
      </c>
      <c r="O1089" s="9" t="s">
        <v>5044</v>
      </c>
      <c r="P1089" s="7">
        <v>0</v>
      </c>
      <c r="Q1089" s="7">
        <v>0</v>
      </c>
      <c r="R1089" s="7">
        <v>0</v>
      </c>
      <c r="S1089" s="7">
        <v>1</v>
      </c>
      <c r="T1089" s="7">
        <v>1</v>
      </c>
      <c r="U1089" s="7">
        <v>53</v>
      </c>
      <c r="V1089" s="7">
        <v>0</v>
      </c>
      <c r="W1089" s="7">
        <v>1</v>
      </c>
      <c r="X1089" s="7">
        <v>0</v>
      </c>
      <c r="Y1089" s="7">
        <v>0</v>
      </c>
      <c r="Z1089" s="7">
        <v>0</v>
      </c>
      <c r="AA1089" s="7">
        <v>0</v>
      </c>
      <c r="AB1089" s="7">
        <v>1</v>
      </c>
      <c r="AC1089" s="7">
        <v>1</v>
      </c>
      <c r="AD1089" s="7" t="s">
        <v>5044</v>
      </c>
      <c r="AE1089" s="7" t="s">
        <v>5044</v>
      </c>
      <c r="AF1089" s="7" t="s">
        <v>5044</v>
      </c>
      <c r="AG1089" s="7">
        <v>2</v>
      </c>
      <c r="AH1089" s="7">
        <v>1</v>
      </c>
      <c r="AI1089" s="7">
        <v>2</v>
      </c>
      <c r="AJ1089" s="7" t="s">
        <v>5044</v>
      </c>
      <c r="AL1089" s="7">
        <v>1</v>
      </c>
      <c r="AM1089" s="7">
        <v>0</v>
      </c>
      <c r="AO1089" s="11">
        <v>1</v>
      </c>
    </row>
    <row r="1090" spans="1:43" ht="63" customHeight="1" x14ac:dyDescent="0.2">
      <c r="A1090" s="7" t="s">
        <v>6461</v>
      </c>
      <c r="B1090" s="7" t="s">
        <v>6462</v>
      </c>
      <c r="C1090" s="7" t="s">
        <v>6463</v>
      </c>
      <c r="D1090" s="7">
        <v>2018</v>
      </c>
      <c r="H1090" s="7" t="s">
        <v>6464</v>
      </c>
      <c r="J1090" s="7" t="s">
        <v>6465</v>
      </c>
      <c r="K1090" s="8" t="s">
        <v>6466</v>
      </c>
      <c r="L1090" s="8" t="s">
        <v>5754</v>
      </c>
      <c r="M1090" s="7">
        <v>0</v>
      </c>
      <c r="N1090" s="9" t="s">
        <v>5044</v>
      </c>
      <c r="O1090" s="9" t="s">
        <v>5044</v>
      </c>
      <c r="P1090" s="7">
        <v>0</v>
      </c>
      <c r="Q1090" s="7">
        <v>0</v>
      </c>
      <c r="R1090" s="7">
        <v>0</v>
      </c>
      <c r="S1090" s="7">
        <v>1</v>
      </c>
      <c r="T1090" s="7">
        <v>5</v>
      </c>
      <c r="U1090" s="7">
        <v>114</v>
      </c>
      <c r="V1090" s="7">
        <v>0</v>
      </c>
      <c r="W1090" s="7">
        <v>1</v>
      </c>
      <c r="X1090" s="7">
        <v>0</v>
      </c>
      <c r="Y1090" s="7">
        <v>0</v>
      </c>
      <c r="Z1090" s="7">
        <v>0</v>
      </c>
      <c r="AA1090" s="7">
        <v>0</v>
      </c>
      <c r="AB1090" s="7">
        <v>1</v>
      </c>
      <c r="AC1090" s="7">
        <v>0</v>
      </c>
      <c r="AD1090" s="7" t="s">
        <v>5044</v>
      </c>
      <c r="AE1090" s="7" t="s">
        <v>5044</v>
      </c>
      <c r="AF1090" s="7" t="s">
        <v>5044</v>
      </c>
      <c r="AG1090" s="7">
        <v>0</v>
      </c>
      <c r="AH1090" s="7" t="s">
        <v>5044</v>
      </c>
      <c r="AI1090" s="7" t="s">
        <v>5044</v>
      </c>
      <c r="AJ1090" s="7" t="s">
        <v>5044</v>
      </c>
      <c r="AL1090" s="7">
        <v>0</v>
      </c>
      <c r="AM1090" s="7">
        <v>0</v>
      </c>
      <c r="AO1090" s="11">
        <v>9</v>
      </c>
    </row>
    <row r="1091" spans="1:43" ht="63" customHeight="1" x14ac:dyDescent="0.2">
      <c r="A1091" s="7" t="s">
        <v>6467</v>
      </c>
      <c r="B1091" s="7" t="s">
        <v>6468</v>
      </c>
      <c r="C1091" s="7" t="s">
        <v>6469</v>
      </c>
      <c r="D1091" s="7">
        <v>2014</v>
      </c>
      <c r="H1091" s="7" t="s">
        <v>6470</v>
      </c>
      <c r="K1091" s="7" t="s">
        <v>6471</v>
      </c>
      <c r="L1091" s="7" t="s">
        <v>5767</v>
      </c>
      <c r="M1091" s="7">
        <v>0</v>
      </c>
      <c r="N1091" s="9" t="s">
        <v>5044</v>
      </c>
      <c r="O1091" s="9" t="s">
        <v>5044</v>
      </c>
      <c r="P1091" s="7">
        <v>0</v>
      </c>
      <c r="Q1091" s="7">
        <v>0</v>
      </c>
      <c r="R1091" s="7">
        <v>0</v>
      </c>
      <c r="S1091" s="7">
        <v>6</v>
      </c>
      <c r="T1091" s="7">
        <v>1</v>
      </c>
      <c r="U1091" s="7">
        <v>84</v>
      </c>
      <c r="V1091" s="7">
        <v>0</v>
      </c>
      <c r="W1091" s="7">
        <v>1</v>
      </c>
      <c r="X1091" s="7">
        <v>0</v>
      </c>
      <c r="Y1091" s="7">
        <v>0</v>
      </c>
      <c r="Z1091" s="7">
        <v>0</v>
      </c>
      <c r="AA1091" s="7">
        <v>0</v>
      </c>
      <c r="AB1091" s="7">
        <v>1</v>
      </c>
      <c r="AC1091" s="7">
        <v>1</v>
      </c>
      <c r="AD1091" s="7" t="s">
        <v>5044</v>
      </c>
      <c r="AE1091" s="7" t="s">
        <v>5044</v>
      </c>
      <c r="AF1091" s="7" t="s">
        <v>5044</v>
      </c>
      <c r="AG1091" s="7">
        <v>2</v>
      </c>
      <c r="AH1091" s="7">
        <v>3</v>
      </c>
      <c r="AI1091" s="7">
        <v>0</v>
      </c>
      <c r="AJ1091" s="7" t="s">
        <v>5044</v>
      </c>
      <c r="AL1091" s="7" t="s">
        <v>5044</v>
      </c>
      <c r="AM1091" s="7">
        <v>0</v>
      </c>
      <c r="AN1091" s="7" t="s">
        <v>5105</v>
      </c>
      <c r="AO1091" s="11">
        <v>3</v>
      </c>
    </row>
    <row r="1092" spans="1:43" ht="63" customHeight="1" x14ac:dyDescent="0.2">
      <c r="A1092" s="7" t="s">
        <v>6472</v>
      </c>
      <c r="B1092" s="7" t="s">
        <v>6473</v>
      </c>
      <c r="C1092" s="7" t="s">
        <v>6474</v>
      </c>
      <c r="D1092" s="7">
        <v>2022</v>
      </c>
      <c r="H1092" s="7" t="s">
        <v>6475</v>
      </c>
      <c r="J1092" s="5" t="s">
        <v>6476</v>
      </c>
      <c r="K1092" s="6" t="s">
        <v>6477</v>
      </c>
      <c r="L1092" s="8" t="s">
        <v>5811</v>
      </c>
      <c r="M1092" s="7">
        <v>0</v>
      </c>
      <c r="N1092" s="9" t="s">
        <v>5044</v>
      </c>
      <c r="O1092" s="9" t="s">
        <v>5044</v>
      </c>
      <c r="P1092" s="7">
        <v>1</v>
      </c>
      <c r="Q1092" s="7">
        <v>0</v>
      </c>
      <c r="R1092" s="7">
        <v>0</v>
      </c>
      <c r="S1092" s="7">
        <v>3</v>
      </c>
      <c r="T1092" s="7">
        <v>1</v>
      </c>
      <c r="U1092" s="7">
        <v>50</v>
      </c>
      <c r="V1092" s="7">
        <v>0</v>
      </c>
      <c r="W1092" s="7">
        <v>1</v>
      </c>
      <c r="X1092" s="7">
        <v>0</v>
      </c>
      <c r="Y1092" s="7">
        <v>0</v>
      </c>
      <c r="Z1092" s="7">
        <v>0</v>
      </c>
      <c r="AA1092" s="7">
        <v>0</v>
      </c>
      <c r="AB1092" s="7">
        <v>1</v>
      </c>
      <c r="AC1092" s="7">
        <v>1</v>
      </c>
      <c r="AD1092" s="7" t="s">
        <v>5044</v>
      </c>
      <c r="AE1092" s="7" t="s">
        <v>5044</v>
      </c>
      <c r="AF1092" s="7" t="s">
        <v>5044</v>
      </c>
      <c r="AG1092" s="7">
        <v>1</v>
      </c>
      <c r="AH1092" s="7">
        <v>0</v>
      </c>
      <c r="AI1092" s="7">
        <v>0</v>
      </c>
      <c r="AJ1092" s="7" t="s">
        <v>5044</v>
      </c>
      <c r="AL1092" s="7" t="s">
        <v>5044</v>
      </c>
      <c r="AM1092" s="7">
        <v>0</v>
      </c>
      <c r="AN1092" s="7" t="s">
        <v>6417</v>
      </c>
      <c r="AO1092" s="9">
        <v>0</v>
      </c>
    </row>
    <row r="1093" spans="1:43" ht="63" customHeight="1" x14ac:dyDescent="0.2">
      <c r="A1093" s="7" t="s">
        <v>6268</v>
      </c>
      <c r="B1093" s="7" t="s">
        <v>5006</v>
      </c>
      <c r="C1093" s="7" t="s">
        <v>5007</v>
      </c>
      <c r="D1093" s="7">
        <v>2012</v>
      </c>
      <c r="L1093" s="8" t="s">
        <v>5231</v>
      </c>
      <c r="M1093" s="7">
        <v>0</v>
      </c>
      <c r="N1093" s="9" t="s">
        <v>5044</v>
      </c>
      <c r="O1093" s="9" t="s">
        <v>5044</v>
      </c>
      <c r="P1093" s="7">
        <v>0</v>
      </c>
      <c r="Q1093" s="7">
        <v>0</v>
      </c>
      <c r="R1093" s="7">
        <v>0</v>
      </c>
      <c r="S1093" s="7">
        <v>1</v>
      </c>
      <c r="T1093" s="7">
        <v>1</v>
      </c>
      <c r="U1093" s="7">
        <v>119</v>
      </c>
      <c r="V1093" s="7">
        <v>0</v>
      </c>
      <c r="W1093" s="7">
        <v>1</v>
      </c>
      <c r="X1093" s="7">
        <v>0</v>
      </c>
      <c r="Y1093" s="7">
        <v>0</v>
      </c>
      <c r="Z1093" s="7">
        <v>0</v>
      </c>
      <c r="AA1093" s="7">
        <v>0</v>
      </c>
      <c r="AB1093" s="7">
        <v>1</v>
      </c>
      <c r="AC1093" s="7">
        <v>1</v>
      </c>
      <c r="AD1093" s="7" t="s">
        <v>5044</v>
      </c>
      <c r="AE1093" s="7" t="s">
        <v>5044</v>
      </c>
      <c r="AF1093" s="7" t="s">
        <v>5044</v>
      </c>
      <c r="AG1093" s="7">
        <v>2</v>
      </c>
      <c r="AH1093" s="7">
        <v>3</v>
      </c>
      <c r="AI1093" s="7">
        <v>2</v>
      </c>
      <c r="AJ1093" s="7" t="s">
        <v>5044</v>
      </c>
      <c r="AL1093" s="7">
        <v>1</v>
      </c>
      <c r="AM1093" s="7">
        <v>0</v>
      </c>
      <c r="AO1093" s="11">
        <v>3</v>
      </c>
    </row>
    <row r="1094" spans="1:43" ht="63" customHeight="1" x14ac:dyDescent="0.2">
      <c r="A1094" s="7" t="s">
        <v>6316</v>
      </c>
      <c r="B1094" s="7" t="s">
        <v>6317</v>
      </c>
      <c r="C1094" s="7" t="s">
        <v>6318</v>
      </c>
      <c r="D1094" s="7">
        <v>2021</v>
      </c>
      <c r="H1094" s="7" t="s">
        <v>6319</v>
      </c>
      <c r="J1094" s="5" t="s">
        <v>6320</v>
      </c>
      <c r="K1094" s="5" t="s">
        <v>6320</v>
      </c>
      <c r="L1094" s="7" t="s">
        <v>5142</v>
      </c>
      <c r="M1094" s="7">
        <v>0</v>
      </c>
      <c r="N1094" s="9" t="s">
        <v>5044</v>
      </c>
      <c r="O1094" s="9" t="s">
        <v>5044</v>
      </c>
      <c r="P1094" s="7">
        <v>0</v>
      </c>
      <c r="Q1094" s="7">
        <v>0</v>
      </c>
      <c r="R1094" s="7">
        <v>0</v>
      </c>
      <c r="S1094" s="7">
        <v>3</v>
      </c>
      <c r="T1094" s="7">
        <v>1</v>
      </c>
      <c r="U1094" s="7">
        <v>345</v>
      </c>
      <c r="V1094" s="7">
        <v>0</v>
      </c>
      <c r="W1094" s="7">
        <v>1</v>
      </c>
      <c r="X1094" s="7">
        <v>0</v>
      </c>
      <c r="Y1094" s="7">
        <v>0</v>
      </c>
      <c r="Z1094" s="7">
        <v>0</v>
      </c>
      <c r="AA1094" s="7">
        <v>0</v>
      </c>
      <c r="AB1094" s="7">
        <v>1</v>
      </c>
      <c r="AC1094" s="7">
        <v>0</v>
      </c>
      <c r="AD1094" s="7" t="s">
        <v>5044</v>
      </c>
      <c r="AE1094" s="7" t="s">
        <v>5044</v>
      </c>
      <c r="AF1094" s="7" t="s">
        <v>5044</v>
      </c>
      <c r="AG1094" s="7">
        <v>0</v>
      </c>
      <c r="AH1094" s="7" t="s">
        <v>5044</v>
      </c>
      <c r="AI1094" s="7" t="s">
        <v>5044</v>
      </c>
      <c r="AJ1094" s="7" t="s">
        <v>5044</v>
      </c>
      <c r="AL1094" s="7" t="s">
        <v>5044</v>
      </c>
      <c r="AM1094" s="7">
        <v>0</v>
      </c>
      <c r="AN1094" s="7" t="s">
        <v>6513</v>
      </c>
      <c r="AO1094" s="11">
        <v>9</v>
      </c>
    </row>
    <row r="1095" spans="1:43" ht="63" customHeight="1" x14ac:dyDescent="0.2">
      <c r="A1095" s="7" t="s">
        <v>6478</v>
      </c>
      <c r="B1095" s="7" t="s">
        <v>5008</v>
      </c>
      <c r="C1095" s="7" t="s">
        <v>5009</v>
      </c>
      <c r="D1095" s="7">
        <v>2019</v>
      </c>
      <c r="L1095" s="8" t="s">
        <v>5233</v>
      </c>
      <c r="M1095" s="7">
        <v>0</v>
      </c>
      <c r="N1095" s="9" t="s">
        <v>5044</v>
      </c>
      <c r="O1095" s="9" t="s">
        <v>5044</v>
      </c>
      <c r="P1095" s="7">
        <v>0</v>
      </c>
      <c r="Q1095" s="7">
        <v>0</v>
      </c>
      <c r="R1095" s="7">
        <v>0</v>
      </c>
      <c r="S1095" s="7">
        <v>1</v>
      </c>
      <c r="T1095" s="7">
        <v>1</v>
      </c>
      <c r="U1095" s="7">
        <v>111</v>
      </c>
      <c r="V1095" s="7">
        <v>0</v>
      </c>
      <c r="W1095" s="7">
        <v>1</v>
      </c>
      <c r="X1095" s="7">
        <v>0</v>
      </c>
      <c r="Y1095" s="7">
        <v>0</v>
      </c>
      <c r="Z1095" s="7">
        <v>0</v>
      </c>
      <c r="AA1095" s="7">
        <v>0</v>
      </c>
      <c r="AB1095" s="7">
        <v>1</v>
      </c>
      <c r="AC1095" s="7">
        <v>1</v>
      </c>
      <c r="AD1095" s="7" t="s">
        <v>5044</v>
      </c>
      <c r="AE1095" s="7" t="s">
        <v>5044</v>
      </c>
      <c r="AF1095" s="7" t="s">
        <v>5044</v>
      </c>
      <c r="AG1095" s="7">
        <v>2</v>
      </c>
      <c r="AH1095" s="7">
        <v>1</v>
      </c>
      <c r="AI1095" s="7">
        <v>2</v>
      </c>
      <c r="AJ1095" s="7" t="s">
        <v>5044</v>
      </c>
      <c r="AL1095" s="7">
        <v>1</v>
      </c>
      <c r="AM1095" s="7">
        <v>0</v>
      </c>
      <c r="AO1095" s="11">
        <v>1</v>
      </c>
    </row>
    <row r="1096" spans="1:43" ht="63" customHeight="1" x14ac:dyDescent="0.2">
      <c r="A1096" s="7" t="s">
        <v>6479</v>
      </c>
      <c r="B1096" s="7" t="s">
        <v>6480</v>
      </c>
      <c r="C1096" s="7" t="s">
        <v>6481</v>
      </c>
      <c r="D1096" s="7">
        <v>2020</v>
      </c>
      <c r="H1096" s="7" t="s">
        <v>6482</v>
      </c>
      <c r="L1096" s="8" t="s">
        <v>5294</v>
      </c>
      <c r="M1096" s="7">
        <v>0</v>
      </c>
      <c r="N1096" s="9" t="s">
        <v>5044</v>
      </c>
      <c r="O1096" s="9" t="s">
        <v>5044</v>
      </c>
      <c r="P1096" s="7">
        <v>0</v>
      </c>
      <c r="Q1096" s="7">
        <v>0</v>
      </c>
      <c r="R1096" s="7">
        <v>0</v>
      </c>
      <c r="S1096" s="7">
        <v>1</v>
      </c>
      <c r="T1096" s="7">
        <v>1</v>
      </c>
      <c r="U1096" s="7">
        <v>620</v>
      </c>
      <c r="V1096" s="7">
        <v>0</v>
      </c>
      <c r="W1096" s="7">
        <v>1</v>
      </c>
      <c r="X1096" s="7">
        <v>0</v>
      </c>
      <c r="Y1096" s="7">
        <v>0</v>
      </c>
      <c r="Z1096" s="7">
        <v>0</v>
      </c>
      <c r="AA1096" s="7">
        <v>0</v>
      </c>
      <c r="AB1096" s="7">
        <v>1</v>
      </c>
      <c r="AC1096" s="7">
        <v>0</v>
      </c>
      <c r="AD1096" s="7" t="s">
        <v>5044</v>
      </c>
      <c r="AE1096" s="7" t="s">
        <v>5044</v>
      </c>
      <c r="AF1096" s="7" t="s">
        <v>5044</v>
      </c>
      <c r="AG1096" s="7">
        <v>0</v>
      </c>
      <c r="AH1096" s="7" t="s">
        <v>5044</v>
      </c>
      <c r="AI1096" s="7" t="s">
        <v>5044</v>
      </c>
      <c r="AJ1096" s="7" t="s">
        <v>5044</v>
      </c>
      <c r="AL1096" s="7">
        <v>1</v>
      </c>
      <c r="AM1096" s="7">
        <v>0</v>
      </c>
      <c r="AN1096" s="7" t="s">
        <v>6483</v>
      </c>
      <c r="AO1096" s="11">
        <v>9</v>
      </c>
    </row>
    <row r="1097" spans="1:43" ht="63" customHeight="1" x14ac:dyDescent="0.2">
      <c r="A1097" s="7" t="s">
        <v>6321</v>
      </c>
      <c r="B1097" s="7" t="s">
        <v>6322</v>
      </c>
      <c r="C1097" s="7" t="s">
        <v>6323</v>
      </c>
      <c r="D1097" s="7">
        <v>2019</v>
      </c>
      <c r="H1097" s="7" t="s">
        <v>6324</v>
      </c>
      <c r="L1097" s="7" t="s">
        <v>5143</v>
      </c>
      <c r="M1097" s="7">
        <v>0</v>
      </c>
      <c r="N1097" s="9" t="s">
        <v>5044</v>
      </c>
      <c r="O1097" s="9" t="s">
        <v>5044</v>
      </c>
      <c r="P1097" s="7">
        <v>0</v>
      </c>
      <c r="Q1097" s="7">
        <v>0</v>
      </c>
      <c r="R1097" s="7">
        <v>0</v>
      </c>
      <c r="S1097" s="7">
        <v>1</v>
      </c>
      <c r="T1097" s="7">
        <v>1</v>
      </c>
      <c r="U1097" s="7">
        <v>1326</v>
      </c>
      <c r="V1097" s="7">
        <v>0</v>
      </c>
      <c r="W1097" s="7">
        <v>1</v>
      </c>
      <c r="X1097" s="7">
        <v>0</v>
      </c>
      <c r="Y1097" s="7">
        <v>0</v>
      </c>
      <c r="Z1097" s="7">
        <v>0</v>
      </c>
      <c r="AA1097" s="7">
        <v>0</v>
      </c>
      <c r="AB1097" s="7">
        <v>1</v>
      </c>
      <c r="AC1097" s="7">
        <v>1</v>
      </c>
      <c r="AD1097" s="7" t="s">
        <v>5044</v>
      </c>
      <c r="AE1097" s="7" t="s">
        <v>5044</v>
      </c>
      <c r="AF1097" s="7" t="s">
        <v>5044</v>
      </c>
      <c r="AG1097" s="7">
        <v>1</v>
      </c>
      <c r="AH1097" s="7">
        <v>0</v>
      </c>
      <c r="AI1097" s="7">
        <v>0</v>
      </c>
      <c r="AJ1097" s="7" t="s">
        <v>5044</v>
      </c>
      <c r="AL1097" s="7">
        <v>1</v>
      </c>
      <c r="AM1097" s="7">
        <v>0</v>
      </c>
      <c r="AO1097" s="9">
        <v>0</v>
      </c>
    </row>
    <row r="1098" spans="1:43" ht="63" customHeight="1" x14ac:dyDescent="0.2">
      <c r="A1098" s="7" t="s">
        <v>6484</v>
      </c>
      <c r="B1098" s="7" t="s">
        <v>6485</v>
      </c>
      <c r="C1098" s="7" t="s">
        <v>6486</v>
      </c>
      <c r="D1098" s="7">
        <v>2021</v>
      </c>
      <c r="L1098" s="7" t="s">
        <v>6240</v>
      </c>
      <c r="M1098" s="7">
        <v>0</v>
      </c>
      <c r="N1098" s="9" t="s">
        <v>5044</v>
      </c>
      <c r="O1098" s="9" t="s">
        <v>5044</v>
      </c>
      <c r="P1098" s="7">
        <v>0</v>
      </c>
      <c r="Q1098" s="7">
        <v>0</v>
      </c>
      <c r="R1098" s="7">
        <v>0</v>
      </c>
      <c r="S1098" s="7">
        <v>1</v>
      </c>
      <c r="T1098" s="7">
        <v>4</v>
      </c>
      <c r="U1098" s="7">
        <v>40</v>
      </c>
      <c r="V1098" s="7">
        <v>0</v>
      </c>
      <c r="W1098" s="7">
        <v>1</v>
      </c>
      <c r="X1098" s="7">
        <v>0</v>
      </c>
      <c r="Y1098" s="7">
        <v>0</v>
      </c>
      <c r="Z1098" s="7">
        <v>0</v>
      </c>
      <c r="AA1098" s="7">
        <v>0</v>
      </c>
      <c r="AB1098" s="7">
        <v>1</v>
      </c>
      <c r="AC1098" s="7">
        <v>0</v>
      </c>
      <c r="AD1098" s="7" t="s">
        <v>5044</v>
      </c>
      <c r="AE1098" s="7" t="s">
        <v>5044</v>
      </c>
      <c r="AF1098" s="7" t="s">
        <v>5044</v>
      </c>
      <c r="AG1098" s="7">
        <v>0</v>
      </c>
      <c r="AH1098" s="7" t="s">
        <v>5044</v>
      </c>
      <c r="AI1098" s="7" t="s">
        <v>5044</v>
      </c>
      <c r="AJ1098" s="7" t="s">
        <v>5044</v>
      </c>
      <c r="AL1098" s="7">
        <v>0</v>
      </c>
      <c r="AM1098" s="7">
        <v>0</v>
      </c>
      <c r="AO1098" s="11">
        <v>9</v>
      </c>
    </row>
    <row r="1099" spans="1:43" ht="63" customHeight="1" x14ac:dyDescent="0.2">
      <c r="A1099" s="7" t="s">
        <v>6325</v>
      </c>
      <c r="B1099" s="7" t="s">
        <v>6326</v>
      </c>
      <c r="C1099" s="7" t="s">
        <v>6327</v>
      </c>
      <c r="D1099" s="7">
        <v>2023</v>
      </c>
      <c r="H1099" s="7" t="s">
        <v>6328</v>
      </c>
      <c r="J1099" s="7" t="s">
        <v>6329</v>
      </c>
      <c r="L1099" s="7" t="s">
        <v>6330</v>
      </c>
      <c r="M1099" s="7">
        <v>0</v>
      </c>
      <c r="N1099" s="9" t="s">
        <v>5044</v>
      </c>
      <c r="O1099" s="9" t="s">
        <v>5044</v>
      </c>
      <c r="P1099" s="7">
        <v>1</v>
      </c>
      <c r="Q1099" s="7">
        <v>0</v>
      </c>
      <c r="R1099" s="7">
        <v>0</v>
      </c>
      <c r="S1099" s="7" t="s">
        <v>5772</v>
      </c>
      <c r="T1099" s="7">
        <v>1</v>
      </c>
      <c r="U1099" s="7">
        <v>48</v>
      </c>
      <c r="V1099" s="7">
        <v>0</v>
      </c>
      <c r="W1099" s="7">
        <v>1</v>
      </c>
      <c r="X1099" s="7">
        <v>0</v>
      </c>
      <c r="Y1099" s="7">
        <v>0</v>
      </c>
      <c r="Z1099" s="7">
        <v>1</v>
      </c>
      <c r="AA1099" s="7">
        <v>0</v>
      </c>
      <c r="AB1099" s="7">
        <v>1</v>
      </c>
      <c r="AC1099" s="7">
        <v>1</v>
      </c>
      <c r="AD1099" s="7" t="s">
        <v>5044</v>
      </c>
      <c r="AE1099" s="7" t="s">
        <v>5044</v>
      </c>
      <c r="AF1099" s="7" t="s">
        <v>5044</v>
      </c>
      <c r="AG1099" s="7">
        <v>1</v>
      </c>
      <c r="AH1099" s="7">
        <v>0</v>
      </c>
      <c r="AI1099" s="7">
        <v>0</v>
      </c>
      <c r="AJ1099" s="7">
        <v>0</v>
      </c>
      <c r="AL1099" s="7">
        <v>0</v>
      </c>
      <c r="AM1099" s="7">
        <v>0</v>
      </c>
      <c r="AN1099" s="7" t="s">
        <v>5277</v>
      </c>
      <c r="AO1099" s="9">
        <v>0</v>
      </c>
    </row>
    <row r="1100" spans="1:43" ht="63" customHeight="1" x14ac:dyDescent="0.2">
      <c r="A1100" s="7" t="s">
        <v>6332</v>
      </c>
      <c r="B1100" s="7" t="s">
        <v>6333</v>
      </c>
      <c r="C1100" s="7" t="s">
        <v>5318</v>
      </c>
      <c r="D1100" s="7">
        <v>2022</v>
      </c>
      <c r="E1100" s="7" t="s">
        <v>5318</v>
      </c>
      <c r="F1100" s="7" t="s">
        <v>5318</v>
      </c>
      <c r="G1100" s="7" t="s">
        <v>5318</v>
      </c>
      <c r="H1100" s="7" t="s">
        <v>5318</v>
      </c>
      <c r="I1100" s="7" t="s">
        <v>5318</v>
      </c>
      <c r="J1100" s="7" t="s">
        <v>5318</v>
      </c>
      <c r="K1100" s="8" t="s">
        <v>6334</v>
      </c>
      <c r="L1100" s="7" t="s">
        <v>5187</v>
      </c>
      <c r="M1100" s="7">
        <v>0</v>
      </c>
      <c r="N1100" s="7" t="s">
        <v>5044</v>
      </c>
      <c r="O1100" s="7" t="s">
        <v>5044</v>
      </c>
      <c r="P1100" s="7">
        <v>0</v>
      </c>
      <c r="Q1100" s="7">
        <v>0</v>
      </c>
      <c r="R1100" s="7">
        <v>0</v>
      </c>
      <c r="S1100" s="7">
        <v>1</v>
      </c>
      <c r="T1100" s="7">
        <v>4</v>
      </c>
      <c r="U1100" s="7">
        <v>580</v>
      </c>
      <c r="V1100" s="7">
        <v>0</v>
      </c>
      <c r="W1100" s="7">
        <v>1</v>
      </c>
      <c r="X1100" s="7">
        <v>0</v>
      </c>
      <c r="Y1100" s="7">
        <v>0</v>
      </c>
      <c r="Z1100" s="7">
        <v>0</v>
      </c>
      <c r="AA1100" s="7">
        <v>0</v>
      </c>
      <c r="AB1100" s="7">
        <v>1</v>
      </c>
      <c r="AC1100" s="7">
        <v>1</v>
      </c>
      <c r="AD1100" s="7" t="s">
        <v>5044</v>
      </c>
      <c r="AE1100" s="7" t="s">
        <v>5044</v>
      </c>
      <c r="AF1100" s="7" t="s">
        <v>5044</v>
      </c>
      <c r="AG1100" s="7">
        <v>2</v>
      </c>
      <c r="AH1100" s="7">
        <v>2</v>
      </c>
      <c r="AI1100" s="7">
        <v>2</v>
      </c>
      <c r="AJ1100" s="7" t="s">
        <v>5044</v>
      </c>
      <c r="AK1100" s="7" t="s">
        <v>5318</v>
      </c>
      <c r="AL1100" s="7">
        <v>0</v>
      </c>
      <c r="AM1100" s="7">
        <v>0</v>
      </c>
      <c r="AN1100" s="7" t="s">
        <v>5318</v>
      </c>
      <c r="AO1100" s="11">
        <v>2</v>
      </c>
    </row>
    <row r="1101" spans="1:43" ht="63" customHeight="1" x14ac:dyDescent="0.2">
      <c r="A1101" s="7" t="s">
        <v>6335</v>
      </c>
      <c r="B1101" s="7" t="s">
        <v>6336</v>
      </c>
      <c r="C1101" s="7" t="s">
        <v>6337</v>
      </c>
      <c r="D1101" s="7">
        <v>2022</v>
      </c>
      <c r="H1101" s="7" t="s">
        <v>6338</v>
      </c>
      <c r="J1101" s="5" t="s">
        <v>6339</v>
      </c>
      <c r="K1101" s="5" t="s">
        <v>3424</v>
      </c>
      <c r="L1101" s="5" t="s">
        <v>5409</v>
      </c>
      <c r="M1101" s="7">
        <v>0</v>
      </c>
      <c r="N1101" s="9" t="s">
        <v>5044</v>
      </c>
      <c r="O1101" s="9" t="s">
        <v>5044</v>
      </c>
      <c r="P1101" s="7">
        <v>0</v>
      </c>
      <c r="Q1101" s="7">
        <v>0</v>
      </c>
      <c r="R1101" s="7">
        <v>0</v>
      </c>
      <c r="S1101" s="7">
        <v>9</v>
      </c>
      <c r="T1101" s="7">
        <v>1</v>
      </c>
      <c r="U1101" s="7">
        <v>960</v>
      </c>
      <c r="V1101" s="7">
        <v>0</v>
      </c>
      <c r="W1101" s="7">
        <v>1</v>
      </c>
      <c r="X1101" s="7">
        <v>0</v>
      </c>
      <c r="Y1101" s="7">
        <v>0</v>
      </c>
      <c r="Z1101" s="7">
        <v>0</v>
      </c>
      <c r="AA1101" s="7">
        <v>0</v>
      </c>
      <c r="AB1101" s="7">
        <v>1</v>
      </c>
      <c r="AC1101" s="7">
        <v>1</v>
      </c>
      <c r="AD1101" s="7" t="s">
        <v>5044</v>
      </c>
      <c r="AE1101" s="7" t="s">
        <v>5044</v>
      </c>
      <c r="AF1101" s="7" t="s">
        <v>5044</v>
      </c>
      <c r="AG1101" s="7">
        <v>2</v>
      </c>
      <c r="AH1101" s="7">
        <v>2</v>
      </c>
      <c r="AI1101" s="7">
        <v>2</v>
      </c>
      <c r="AJ1101" s="7" t="s">
        <v>5044</v>
      </c>
      <c r="AL1101" s="7">
        <v>1</v>
      </c>
      <c r="AM1101" s="7">
        <v>0</v>
      </c>
      <c r="AO1101" s="11">
        <v>2</v>
      </c>
    </row>
    <row r="1102" spans="1:43" ht="63" customHeight="1" x14ac:dyDescent="0.2">
      <c r="A1102" s="7" t="s">
        <v>6340</v>
      </c>
      <c r="B1102" s="7" t="s">
        <v>6341</v>
      </c>
      <c r="C1102" s="7" t="s">
        <v>6342</v>
      </c>
      <c r="D1102" s="7">
        <v>2021</v>
      </c>
      <c r="H1102" s="7" t="s">
        <v>6343</v>
      </c>
      <c r="J1102" s="5" t="s">
        <v>6344</v>
      </c>
      <c r="K1102" s="5" t="s">
        <v>6345</v>
      </c>
      <c r="L1102" s="7" t="s">
        <v>5417</v>
      </c>
      <c r="M1102" s="7">
        <v>0</v>
      </c>
      <c r="N1102" s="9" t="s">
        <v>5044</v>
      </c>
      <c r="O1102" s="9" t="s">
        <v>5044</v>
      </c>
      <c r="P1102" s="7">
        <v>0</v>
      </c>
      <c r="Q1102" s="7">
        <v>0</v>
      </c>
      <c r="R1102" s="7">
        <v>0</v>
      </c>
      <c r="S1102" s="7">
        <v>1</v>
      </c>
      <c r="T1102" s="7">
        <v>1</v>
      </c>
      <c r="U1102" s="7">
        <v>262</v>
      </c>
      <c r="V1102" s="7">
        <v>0</v>
      </c>
      <c r="W1102" s="7">
        <v>1</v>
      </c>
      <c r="X1102" s="7">
        <v>0</v>
      </c>
      <c r="Y1102" s="7">
        <v>0</v>
      </c>
      <c r="Z1102" s="7">
        <v>1</v>
      </c>
      <c r="AA1102" s="7">
        <v>0</v>
      </c>
      <c r="AB1102" s="7">
        <v>1</v>
      </c>
      <c r="AC1102" s="7">
        <v>1</v>
      </c>
      <c r="AD1102" s="7" t="s">
        <v>5044</v>
      </c>
      <c r="AE1102" s="7" t="s">
        <v>5044</v>
      </c>
      <c r="AF1102" s="7" t="s">
        <v>5044</v>
      </c>
      <c r="AG1102" s="7">
        <v>2</v>
      </c>
      <c r="AH1102" s="7">
        <v>1</v>
      </c>
      <c r="AI1102" s="7">
        <v>2</v>
      </c>
      <c r="AJ1102" s="7">
        <v>0</v>
      </c>
      <c r="AL1102" s="7">
        <v>1</v>
      </c>
      <c r="AM1102" s="7">
        <v>0</v>
      </c>
      <c r="AO1102" s="11">
        <v>1</v>
      </c>
    </row>
    <row r="1103" spans="1:43" ht="63" customHeight="1" x14ac:dyDescent="0.2">
      <c r="A1103" s="8" t="s">
        <v>7654</v>
      </c>
      <c r="B1103" s="8" t="s">
        <v>7675</v>
      </c>
      <c r="C1103" s="7" t="s">
        <v>7655</v>
      </c>
      <c r="D1103" s="8">
        <v>2021</v>
      </c>
      <c r="E1103" s="8" t="s">
        <v>5318</v>
      </c>
      <c r="F1103" s="8" t="s">
        <v>5318</v>
      </c>
      <c r="G1103" s="8" t="s">
        <v>5318</v>
      </c>
      <c r="H1103" s="8" t="s">
        <v>7656</v>
      </c>
      <c r="I1103" s="8" t="s">
        <v>5318</v>
      </c>
      <c r="J1103" s="8" t="s">
        <v>5318</v>
      </c>
      <c r="K1103" s="8" t="s">
        <v>7657</v>
      </c>
      <c r="L1103" s="8" t="s">
        <v>5694</v>
      </c>
      <c r="M1103" s="7">
        <v>0</v>
      </c>
      <c r="N1103" s="9" t="s">
        <v>5044</v>
      </c>
      <c r="O1103" s="7" t="s">
        <v>5044</v>
      </c>
      <c r="P1103" s="7">
        <v>1</v>
      </c>
      <c r="Q1103" s="7">
        <v>0</v>
      </c>
      <c r="R1103" s="7">
        <v>0</v>
      </c>
      <c r="S1103" s="7">
        <v>3</v>
      </c>
      <c r="T1103" s="7">
        <v>1</v>
      </c>
      <c r="U1103" s="7">
        <v>50</v>
      </c>
      <c r="V1103" s="8">
        <v>0</v>
      </c>
      <c r="W1103" s="7">
        <v>1</v>
      </c>
      <c r="X1103" s="7">
        <v>0</v>
      </c>
      <c r="Y1103" s="8">
        <v>0</v>
      </c>
      <c r="Z1103" s="8">
        <v>0</v>
      </c>
      <c r="AA1103" s="7">
        <v>0</v>
      </c>
      <c r="AB1103" s="7">
        <v>1</v>
      </c>
      <c r="AC1103" s="7">
        <v>1</v>
      </c>
      <c r="AD1103" s="7" t="s">
        <v>5044</v>
      </c>
      <c r="AE1103" s="7" t="s">
        <v>5044</v>
      </c>
      <c r="AF1103" s="7" t="s">
        <v>5044</v>
      </c>
      <c r="AG1103" s="7">
        <v>2</v>
      </c>
      <c r="AH1103" s="7">
        <v>3</v>
      </c>
      <c r="AI1103" s="7">
        <v>0</v>
      </c>
      <c r="AJ1103" s="7" t="s">
        <v>5044</v>
      </c>
      <c r="AK1103" s="8" t="s">
        <v>5318</v>
      </c>
      <c r="AL1103" s="7" t="s">
        <v>5044</v>
      </c>
      <c r="AM1103" s="7">
        <v>0</v>
      </c>
      <c r="AN1103" s="8" t="s">
        <v>5318</v>
      </c>
      <c r="AO1103" s="11">
        <v>3</v>
      </c>
      <c r="AP1103" s="8" t="s">
        <v>5318</v>
      </c>
      <c r="AQ1103" s="8" t="s">
        <v>5318</v>
      </c>
    </row>
    <row r="1104" spans="1:43" s="19" customFormat="1" ht="63" customHeight="1" x14ac:dyDescent="0.2"/>
    <row r="1105" spans="13:46" ht="63" customHeight="1" x14ac:dyDescent="0.2">
      <c r="M1105" s="7">
        <f t="shared" ref="M1105:T1105" si="0">COUNTIFS(M3:M1103, "1")</f>
        <v>0</v>
      </c>
      <c r="N1105" s="7">
        <f t="shared" si="0"/>
        <v>0</v>
      </c>
      <c r="O1105" s="7">
        <f t="shared" si="0"/>
        <v>0</v>
      </c>
      <c r="P1105" s="7">
        <f t="shared" si="0"/>
        <v>58</v>
      </c>
      <c r="Q1105" s="7">
        <f t="shared" si="0"/>
        <v>1</v>
      </c>
      <c r="R1105" s="7">
        <f t="shared" si="0"/>
        <v>13</v>
      </c>
      <c r="S1105" s="7">
        <f t="shared" si="0"/>
        <v>623</v>
      </c>
      <c r="T1105" s="7">
        <f t="shared" si="0"/>
        <v>559</v>
      </c>
      <c r="V1105" s="7">
        <f t="shared" ref="V1105:AE1105" si="1">COUNTIFS(V3:V1103, "1")</f>
        <v>149</v>
      </c>
      <c r="W1105" s="7">
        <f t="shared" si="1"/>
        <v>972</v>
      </c>
      <c r="X1105" s="7">
        <f t="shared" si="1"/>
        <v>4</v>
      </c>
      <c r="Y1105" s="7">
        <f t="shared" si="1"/>
        <v>14</v>
      </c>
      <c r="Z1105" s="7">
        <f t="shared" si="1"/>
        <v>63</v>
      </c>
      <c r="AA1105" s="7">
        <f t="shared" si="1"/>
        <v>5</v>
      </c>
      <c r="AB1105" s="7">
        <f t="shared" si="1"/>
        <v>1036</v>
      </c>
      <c r="AC1105" s="7">
        <f t="shared" si="1"/>
        <v>965</v>
      </c>
      <c r="AD1105" s="7">
        <f t="shared" si="1"/>
        <v>50</v>
      </c>
      <c r="AE1105" s="7">
        <f t="shared" si="1"/>
        <v>28</v>
      </c>
      <c r="AG1105" s="7">
        <f>COUNTIFS(AG3:AG1103, "1")</f>
        <v>286</v>
      </c>
      <c r="AH1105" s="7">
        <f>COUNTIFS(AH3:AH1103, "1")</f>
        <v>105</v>
      </c>
      <c r="AI1105" s="27" t="s">
        <v>7678</v>
      </c>
      <c r="AK1105" s="7">
        <f>COUNTIFS(AK3:AK1103, "1")</f>
        <v>163</v>
      </c>
      <c r="AL1105" s="7">
        <f>COUNTIFS(AL3:AL1103, "1")</f>
        <v>440</v>
      </c>
      <c r="AO1105" s="7">
        <f>COUNTIFS(AO3:AO1103, "0")</f>
        <v>335</v>
      </c>
      <c r="AP1105" s="7">
        <f>100/AO1110*AO1105</f>
        <v>30.426884650317891</v>
      </c>
    </row>
    <row r="1106" spans="13:46" ht="63" customHeight="1" x14ac:dyDescent="0.2">
      <c r="M1106" s="7">
        <f t="shared" ref="M1106:R1106" si="2">COUNTIFS(M3:M1103, "0")</f>
        <v>1101</v>
      </c>
      <c r="N1106" s="7">
        <f t="shared" si="2"/>
        <v>0</v>
      </c>
      <c r="O1106" s="7">
        <f t="shared" si="2"/>
        <v>2</v>
      </c>
      <c r="P1106" s="7">
        <f t="shared" si="2"/>
        <v>1043</v>
      </c>
      <c r="Q1106" s="7">
        <f t="shared" si="2"/>
        <v>1100</v>
      </c>
      <c r="R1106" s="7">
        <f t="shared" si="2"/>
        <v>1088</v>
      </c>
      <c r="S1106" s="7">
        <f>COUNTIFS(S3:S1103, "2")</f>
        <v>8</v>
      </c>
      <c r="T1106" s="7">
        <f>COUNTIFS(T3:T1103, "2")</f>
        <v>97</v>
      </c>
      <c r="V1106" s="7">
        <f t="shared" ref="V1106:AD1106" si="3">COUNTIFS(V3:V1103, "0")</f>
        <v>952</v>
      </c>
      <c r="W1106" s="7">
        <f t="shared" si="3"/>
        <v>129</v>
      </c>
      <c r="X1106" s="7">
        <f t="shared" si="3"/>
        <v>1097</v>
      </c>
      <c r="Y1106" s="7">
        <f t="shared" si="3"/>
        <v>1087</v>
      </c>
      <c r="Z1106" s="7">
        <f t="shared" si="3"/>
        <v>1038</v>
      </c>
      <c r="AA1106" s="7">
        <f t="shared" si="3"/>
        <v>1096</v>
      </c>
      <c r="AB1106" s="7">
        <f t="shared" si="3"/>
        <v>65</v>
      </c>
      <c r="AC1106" s="7">
        <f t="shared" si="3"/>
        <v>136</v>
      </c>
      <c r="AD1106" s="7">
        <f t="shared" si="3"/>
        <v>10</v>
      </c>
      <c r="AE1106" s="7">
        <f>COUNTIFS(AE3:AE1103, "2")</f>
        <v>17</v>
      </c>
      <c r="AF1106" s="7">
        <v>14</v>
      </c>
      <c r="AG1106" s="7">
        <f>COUNTIFS(AG3:AG1103, "2")</f>
        <v>546</v>
      </c>
      <c r="AH1106" s="7">
        <f>COUNTIFS(AH3:AH1103, "2")</f>
        <v>113</v>
      </c>
      <c r="AI1106" s="27" t="s">
        <v>7680</v>
      </c>
      <c r="AL1106" s="7">
        <f>COUNTIFS(AL3:AL1103, "0")</f>
        <v>492</v>
      </c>
      <c r="AO1106" s="7">
        <f>COUNTIFS(AO3:AO1103, "1")</f>
        <v>123</v>
      </c>
      <c r="AP1106" s="7">
        <f>100/AO1110*AO1106</f>
        <v>11.1716621253406</v>
      </c>
    </row>
    <row r="1107" spans="13:46" ht="63" customHeight="1" x14ac:dyDescent="0.2">
      <c r="M1107" s="7">
        <f t="shared" ref="M1107:R1107" si="4">SUM(M1105,M1106)</f>
        <v>1101</v>
      </c>
      <c r="N1107" s="7">
        <f t="shared" si="4"/>
        <v>0</v>
      </c>
      <c r="O1107" s="7">
        <f t="shared" si="4"/>
        <v>2</v>
      </c>
      <c r="P1107" s="7">
        <f t="shared" si="4"/>
        <v>1101</v>
      </c>
      <c r="Q1107" s="7">
        <f t="shared" si="4"/>
        <v>1101</v>
      </c>
      <c r="R1107" s="7">
        <f t="shared" si="4"/>
        <v>1101</v>
      </c>
      <c r="S1107" s="7">
        <f>COUNTIFS(S3:S1103, "3")</f>
        <v>186</v>
      </c>
      <c r="T1107" s="7">
        <f>COUNTIFS(T3:T1103, "3")</f>
        <v>18</v>
      </c>
      <c r="V1107" s="7">
        <f>SUM(V1105,V1106)</f>
        <v>1101</v>
      </c>
      <c r="W1107" s="7">
        <f t="shared" ref="W1107:AC1107" si="5">SUM(W1105,W1106)</f>
        <v>1101</v>
      </c>
      <c r="X1107" s="7">
        <f t="shared" si="5"/>
        <v>1101</v>
      </c>
      <c r="Y1107" s="7">
        <f t="shared" si="5"/>
        <v>1101</v>
      </c>
      <c r="Z1107" s="7">
        <f t="shared" si="5"/>
        <v>1101</v>
      </c>
      <c r="AA1107" s="7">
        <f t="shared" si="5"/>
        <v>1101</v>
      </c>
      <c r="AB1107" s="7">
        <f t="shared" si="5"/>
        <v>1101</v>
      </c>
      <c r="AC1107" s="7">
        <f t="shared" si="5"/>
        <v>1101</v>
      </c>
      <c r="AD1107" s="7">
        <f>COUNTIFS(AD3:AD1103, "2")</f>
        <v>89</v>
      </c>
      <c r="AE1107" s="7">
        <f>COUNTIFS(AE3:AE1103, "3")</f>
        <v>44</v>
      </c>
      <c r="AH1107" s="7">
        <f>COUNTIFS(AH3:AH1103, "3")</f>
        <v>328</v>
      </c>
      <c r="AI1107" s="27" t="s">
        <v>7681</v>
      </c>
      <c r="AL1107" s="7">
        <f>SUM(AL1105,AL1106)</f>
        <v>932</v>
      </c>
      <c r="AO1107" s="7">
        <f>COUNTIFS(AO3:AO1103, "2")</f>
        <v>127</v>
      </c>
      <c r="AP1107" s="7">
        <f>100/AO1110*AO1107</f>
        <v>11.53496821071753</v>
      </c>
    </row>
    <row r="1108" spans="13:46" ht="63" customHeight="1" x14ac:dyDescent="0.2">
      <c r="S1108" s="7">
        <f>COUNTIFS(S3:S1103, "4")</f>
        <v>14</v>
      </c>
      <c r="T1108" s="7">
        <f>COUNTIFS(T3:T1103, "4")</f>
        <v>336</v>
      </c>
      <c r="AD1108" s="7">
        <f>COUNTIFS(AD3:AD1103, "na")</f>
        <v>952</v>
      </c>
      <c r="AE1108" s="7">
        <f>COUNTIFS(AE3:AE1103, "0")</f>
        <v>50</v>
      </c>
      <c r="AG1108" s="7">
        <f>COUNTIFS(AG3:AG1103, "na")</f>
        <v>124</v>
      </c>
      <c r="AI1108" s="27" t="s">
        <v>7679</v>
      </c>
      <c r="AO1108" s="7">
        <f>COUNTIFS(AO3:AO1103, "3")</f>
        <v>365</v>
      </c>
      <c r="AP1108" s="7">
        <f>100/AO1110*AO1108</f>
        <v>33.151680290644869</v>
      </c>
      <c r="AQ1108" s="7">
        <v>163</v>
      </c>
      <c r="AR1108" s="7">
        <f>100/AO1110*AQ1108</f>
        <v>14.804722979109899</v>
      </c>
      <c r="AS1108" s="7">
        <f>AO1108-AQ1108</f>
        <v>202</v>
      </c>
      <c r="AT1108" s="7">
        <f>100/AO1110*AS1108</f>
        <v>18.346957311534968</v>
      </c>
    </row>
    <row r="1109" spans="13:46" ht="63" customHeight="1" x14ac:dyDescent="0.2">
      <c r="S1109" s="7">
        <f>COUNTIFS(S3:S1103, "5")</f>
        <v>58</v>
      </c>
      <c r="T1109" s="7">
        <f>COUNTIFS(T3:T1103, "5")</f>
        <v>49</v>
      </c>
      <c r="AD1109" s="7">
        <f>SUM(AD1105:AD1108)</f>
        <v>1101</v>
      </c>
      <c r="AE1109" s="7">
        <f>SUM(AE1105:AE1108)</f>
        <v>139</v>
      </c>
      <c r="AG1109" s="7">
        <f>SUM(AG1105:AG1108)</f>
        <v>956</v>
      </c>
      <c r="AH1109" s="7">
        <f>SUM(AH1105:AH1108)</f>
        <v>546</v>
      </c>
      <c r="AO1109" s="7">
        <f>COUNTIFS(AO3:AO1103, "9")</f>
        <v>151</v>
      </c>
      <c r="AP1109" s="7">
        <f>100/AO1110*AO1109</f>
        <v>13.714804722979109</v>
      </c>
    </row>
    <row r="1110" spans="13:46" ht="63" customHeight="1" x14ac:dyDescent="0.2">
      <c r="S1110" s="7">
        <f>COUNTIFS(S3:S1103, "6")</f>
        <v>3</v>
      </c>
      <c r="T1110" s="7">
        <f>COUNTIFS(T3:T1103, "6")</f>
        <v>42</v>
      </c>
      <c r="AO1110" s="7">
        <f>SUM(AO1105:AO1109)</f>
        <v>1101</v>
      </c>
      <c r="AP1110" s="7">
        <f>AO1110-AO1105</f>
        <v>766</v>
      </c>
    </row>
    <row r="1111" spans="13:46" ht="63" customHeight="1" x14ac:dyDescent="0.2">
      <c r="S1111" s="7">
        <f>COUNTIFS(S3:S1103, "7")</f>
        <v>9</v>
      </c>
      <c r="T1111" s="7">
        <f>SUM(T1105:T1110)</f>
        <v>1101</v>
      </c>
      <c r="AC1111" s="25" t="s">
        <v>7676</v>
      </c>
      <c r="AD1111" s="7">
        <v>75</v>
      </c>
      <c r="AF1111" s="25" t="s">
        <v>7677</v>
      </c>
      <c r="AG1111" s="7">
        <v>691</v>
      </c>
    </row>
    <row r="1112" spans="13:46" ht="63" customHeight="1" x14ac:dyDescent="0.2">
      <c r="S1112" s="7">
        <f>COUNTIFS(S3:S1103, "8")</f>
        <v>2</v>
      </c>
      <c r="AG1112" s="7">
        <f>SUM(AG1111,AD1111,AD1105,AG1105)</f>
        <v>1102</v>
      </c>
    </row>
    <row r="1113" spans="13:46" ht="63" customHeight="1" x14ac:dyDescent="0.2">
      <c r="S1113" s="7">
        <f>COUNTIFS(S3:S1103, "9")</f>
        <v>101</v>
      </c>
    </row>
    <row r="1114" spans="13:46" ht="63" customHeight="1" x14ac:dyDescent="0.2">
      <c r="S1114" s="7">
        <f>COUNTIFS(S3:S1103, "10")</f>
        <v>7</v>
      </c>
    </row>
    <row r="1115" spans="13:46" ht="63" customHeight="1" x14ac:dyDescent="0.2">
      <c r="S1115" s="7">
        <f>COUNTIFS(S3:S1103, "11")</f>
        <v>14</v>
      </c>
    </row>
    <row r="1116" spans="13:46" ht="63" customHeight="1" x14ac:dyDescent="0.2">
      <c r="S1116" s="7">
        <f>COUNTIFS(S3:S1103, "12")</f>
        <v>0</v>
      </c>
    </row>
    <row r="1117" spans="13:46" ht="63" customHeight="1" x14ac:dyDescent="0.2">
      <c r="S1117" s="7">
        <v>113</v>
      </c>
    </row>
    <row r="1118" spans="13:46" ht="63" customHeight="1" x14ac:dyDescent="0.2">
      <c r="S1118" s="7">
        <f>SUM(S1105:S1117)</f>
        <v>1138</v>
      </c>
    </row>
  </sheetData>
  <sheetProtection formatCells="0" formatColumns="0" formatRows="0" insertColumns="0" insertRows="0" insertHyperlinks="0" deleteColumns="0" deleteRows="0" sort="0" autoFilter="0" pivotTables="0"/>
  <autoFilter ref="A1:AQ1118" xr:uid="{F2791D40-4890-D94A-B86A-A68873A19C96}"/>
  <hyperlinks>
    <hyperlink ref="L526" r:id="rId1" tooltip="See in ClinicalTrials.gov" display="http://clinicaltrials.gov/show/NCT01759901" xr:uid="{8B5FC5AC-67C6-7B4F-8755-C066FDAB21B4}"/>
    <hyperlink ref="L527" r:id="rId2" tooltip="See in ClinicalTrials.gov" display="http://clinicaltrials.gov/show/NCT00730743" xr:uid="{AB5BA76F-FEA8-E84F-B280-AFCE3CE1297A}"/>
    <hyperlink ref="L531" r:id="rId3" tooltip="See in ClinicalTrials.gov" display="http://clinicaltrials.gov/show/NCT02727322" xr:uid="{7D945111-3F40-C743-8C3C-9CE8828AE2DD}"/>
    <hyperlink ref="L535" r:id="rId4" tooltip="See in ClinicalTrials.gov" display="http://clinicaltrials.gov/show/NCT01986699" xr:uid="{CAB24067-9EDA-C146-94FF-EDA38206B5A8}"/>
    <hyperlink ref="L538" r:id="rId5" tooltip="See in ClinicalTrials.gov" display="http://clinicaltrials.gov/show/NCT01317485" xr:uid="{FE5414C0-F1BA-5841-B9B3-14B865C1EFE2}"/>
    <hyperlink ref="L541" r:id="rId6" tooltip="See in ClinicalTrials.gov" display="http://clinicaltrials.gov/show/NCT01460615" xr:uid="{CD553F06-4230-AD48-ADBB-AE26BC7EB53B}"/>
    <hyperlink ref="L542" r:id="rId7" tooltip="See in ClinicalTrials.gov" display="http://clinicaltrials.gov/show/NCT04575233" xr:uid="{5814331B-7113-0143-A500-D29DB551FDBB}"/>
    <hyperlink ref="L543" r:id="rId8" tooltip="See in ClinicalTrials.gov" display="http://clinicaltrials.gov/show/NCT03957109" xr:uid="{E888B3F2-7ED8-424C-BBA5-1187F30AB9CC}"/>
    <hyperlink ref="L544" r:id="rId9" tooltip="See in ClinicalTrials.gov" display="http://clinicaltrials.gov/show/NCT03269955" xr:uid="{DCDEEBEF-8526-8E4A-8613-B78F4E8A625B}"/>
    <hyperlink ref="L552" r:id="rId10" tooltip="See in ClinicalTrials.gov" display="http://clinicaltrials.gov/show/NCT03522259" xr:uid="{ADC65D9E-CDAF-C04E-BC63-58A0332737EB}"/>
    <hyperlink ref="L553" r:id="rId11" tooltip="See in ClinicalTrials.gov" display="http://clinicaltrials.gov/show/NCT01595230" xr:uid="{E0D52E81-A91C-3C46-A23B-28E615975928}"/>
    <hyperlink ref="L565" r:id="rId12" tooltip="See in ClinicalTrials.gov" display="http://clinicaltrials.gov/show/NCT01921985" xr:uid="{B1A2A54F-2A85-194C-8450-C5FB8691B010}"/>
    <hyperlink ref="L567" r:id="rId13" tooltip="See in ClinicalTrials.gov" display="http://clinicaltrials.gov/show/NCT02481427" xr:uid="{F25C71F8-E85A-9E42-AF32-54C15D91827A}"/>
    <hyperlink ref="L572" r:id="rId14" tooltip="See in ClinicalTrials.gov" display="http://clinicaltrials.gov/show/NCT01362127" xr:uid="{306CA7EF-1CF4-AD4B-BD6A-79500A41AF16}"/>
    <hyperlink ref="L575" r:id="rId15" tooltip="See in ClinicalTrials.gov" display="http://clinicaltrials.gov/show/NCT02415335" xr:uid="{05BB3F0E-2B62-0144-BFB3-C53A7DAC6B73}"/>
    <hyperlink ref="L576" r:id="rId16" tooltip="See in ClinicalTrials.gov" display="http://clinicaltrials.gov/show/NCT02711449" xr:uid="{A0DE9D0D-69C9-4743-A626-49C34687EFA6}"/>
    <hyperlink ref="L577" r:id="rId17" tooltip="See in ClinicalTrials.gov" display="http://clinicaltrials.gov/show/NCT01084070" xr:uid="{85D10ED8-1BBE-8946-8A31-57735509F422}"/>
    <hyperlink ref="L579" r:id="rId18" tooltip="See in ClinicalTrials.gov" display="http://clinicaltrials.gov/show/NCT02026687" xr:uid="{E2AEF2B4-16B6-0A49-BE19-E39D965DD11F}"/>
    <hyperlink ref="L597" r:id="rId19" tooltip="See in ClinicalTrials.gov" display="http://clinicaltrials.gov/show/NCT01384617" xr:uid="{D4C4E7A8-E834-5848-B2F8-48AA30EDF953}"/>
    <hyperlink ref="L599" r:id="rId20" tooltip="See in ClinicalTrials.gov" display="http://clinicaltrials.gov/show/NCT01526668" xr:uid="{33BB5D39-C3DF-C24B-A641-68A582CE7D21}"/>
    <hyperlink ref="L602" r:id="rId21" tooltip="See in ClinicalTrials.gov" display="http://clinicaltrials.gov/show/NCT01675999" xr:uid="{5B7E62BB-6CA8-1748-A01F-BFEAEFFFB8A1}"/>
    <hyperlink ref="L605" r:id="rId22" tooltip="See in ClinicalTrials.gov" display="http://clinicaltrials.gov/show/NCT01960049" xr:uid="{12A38A37-AF95-874B-BB8F-A4A99444330D}"/>
    <hyperlink ref="L608" r:id="rId23" tooltip="See in ClinicalTrials.gov" display="http://clinicaltrials.gov/show/NCT03009227" xr:uid="{80622CD1-89D2-3441-8E81-062A5CB302F5}"/>
    <hyperlink ref="L610" r:id="rId24" tooltip="See in ClinicalTrials.gov" display="http://clinicaltrials.gov/show/NCT01480128" xr:uid="{2EC79388-9346-994E-87F1-375188A4ED44}"/>
    <hyperlink ref="L615" r:id="rId25" tooltip="See in ClinicalTrials.gov" display="http://clinicaltrials.gov/show/NCT05080114" xr:uid="{828730AA-5A26-0344-B4B9-08DA4A9BD860}"/>
    <hyperlink ref="L619" r:id="rId26" tooltip="See in ClinicalTrials.gov" display="http://clinicaltrials.gov/show/NCT00722709" xr:uid="{BE4853E6-1736-D04B-B13C-921386AEBCA8}"/>
    <hyperlink ref="L623" r:id="rId27" tooltip="See in ClinicalTrials.gov" display="http://clinicaltrials.gov/show/NCT00915265" xr:uid="{C71D904A-DC0E-294E-946F-54115A6FDC05}"/>
    <hyperlink ref="L629" r:id="rId28" tooltip="See in ClinicalTrials.gov" display="http://clinicaltrials.gov/show/NCT03134534" xr:uid="{340C97EC-91C3-4B41-A7C2-8BCEFC2864FD}"/>
    <hyperlink ref="L630" r:id="rId29" tooltip="See in ClinicalTrials.gov" display="http://clinicaltrials.gov/show/NCT02533271" xr:uid="{EBEC8A3E-BF6F-CC4B-AE5F-4AF339ACCE2D}"/>
    <hyperlink ref="L631" r:id="rId30" tooltip="See in ClinicalTrials.gov" display="http://clinicaltrials.gov/show/NCT01899547" xr:uid="{9BC61713-C5C4-A64C-83A2-22DD9B6FC915}"/>
    <hyperlink ref="L1031" r:id="rId31" tooltip="See in ClinicalTrials.gov" display="http://clinicaltrials.gov/show/NCT02279771" xr:uid="{C21BCBB1-AC6F-CE4E-A3FA-01FB052772C8}"/>
    <hyperlink ref="L1032" r:id="rId32" tooltip="See in ClinicalTrials.gov" display="http://clinicaltrials.gov/show/NCT02950324" xr:uid="{D0ADFD2F-6226-3749-8448-9BD3F22C717E}"/>
    <hyperlink ref="L1033" r:id="rId33" tooltip="See in ClinicalTrials.gov" display="http://clinicaltrials.gov/show/NCT03045107" xr:uid="{45BE0793-91AB-DF48-B71B-E71AFE94F816}"/>
    <hyperlink ref="L1037" r:id="rId34" tooltip="See in ClinicalTrials.gov" display="http://clinicaltrials.gov/show/NCT00064662" xr:uid="{EFB3104F-0C74-B944-BB2A-24845C5263C7}"/>
    <hyperlink ref="L1042" r:id="rId35" tooltip="See in ClinicalTrials.gov" display="http://clinicaltrials.gov/show/NCT01256034" xr:uid="{02F89D02-EDB1-7B48-B230-CBA6E7D58F7D}"/>
    <hyperlink ref="L1043" r:id="rId36" tooltip="See in ClinicalTrials.gov" display="http://clinicaltrials.gov/show/NCT02542085" xr:uid="{F3B85040-CB37-D342-829B-9E1946EFBF60}"/>
    <hyperlink ref="L1052" r:id="rId37" tooltip="See in ClinicalTrials.gov" display="http://clinicaltrials.gov/show/NCT00487409" xr:uid="{4AFCDF38-EF55-4049-B2BC-4BA63A250B72}"/>
    <hyperlink ref="L1055" r:id="rId38" tooltip="See in ClinicalTrials.gov" display="http://clinicaltrials.gov/show/NCT03406975" xr:uid="{46A8EDB6-F1F2-9D41-82C6-883104DBCC5F}"/>
    <hyperlink ref="L1056" r:id="rId39" tooltip="See in ClinicalTrials.gov" display="http://clinicaltrials.gov/show/NCT02054013" xr:uid="{58BE2814-8330-FC45-86CF-996FA5CB9A8D}"/>
    <hyperlink ref="L1059" r:id="rId40" tooltip="See in ClinicalTrials.gov" display="http://clinicaltrials.gov/show/NCT02085902" xr:uid="{79F41449-75AC-CC40-A9CA-909557CF77FE}"/>
    <hyperlink ref="L1063" r:id="rId41" tooltip="See in ClinicalTrials.gov" display="http://clinicaltrials.gov/show/NCT01974388" xr:uid="{4F89BAD0-079D-464D-91B4-B274E1A46C6A}"/>
    <hyperlink ref="L915" r:id="rId42" tooltip="See in ClinicalTrials.gov" display="http://clinicaltrials.gov/show/NCT04243967" xr:uid="{6DF0F855-13CD-F641-B666-EFCBF226438B}"/>
    <hyperlink ref="L918" r:id="rId43" tooltip="See in ClinicalTrials.gov" display="http://clinicaltrials.gov/show/NCT037812016" xr:uid="{AFD9C238-81B9-514F-9B2F-311A05A11931}"/>
    <hyperlink ref="L920" r:id="rId44" tooltip="See in ClinicalTrials.gov" display="http://clinicaltrials.gov/show/NCT00227526" xr:uid="{149EC03B-51D0-7742-AC0B-44E95448FC72}"/>
    <hyperlink ref="L921" r:id="rId45" display="https://clinicaltrials.gov/ct2/show/NCT02502760" xr:uid="{BB8AD49C-7251-1845-A4CB-0CFD2FFB6B30}"/>
    <hyperlink ref="L923" r:id="rId46" tooltip="See in ClinicalTrials.gov" display="http://clinicaltrials.gov/show/NCT02662257" xr:uid="{28BFBF1F-30D0-464A-AB60-6E06464C6F88}"/>
    <hyperlink ref="L925" r:id="rId47" tooltip="See in ClinicalTrials.gov" display="http://clinicaltrials.gov/show/NCT02479685" xr:uid="{33BE8386-67C1-1645-8056-8F4901BAFFFD}"/>
    <hyperlink ref="L926" r:id="rId48" tooltip="See in ClinicalTrials.gov" display="http://clinicaltrials.gov/show/NCT02430168" xr:uid="{FBBB8ABA-78D5-D940-B77F-1EF8B706AC9A}"/>
    <hyperlink ref="L928" r:id="rId49" tooltip="See in ClinicalTrials.gov" display="http://clinicaltrials.gov/show/NCT01728116" xr:uid="{46A7F6D2-00DB-0341-88D6-7919E285D787}"/>
    <hyperlink ref="L931" r:id="rId50" tooltip="See in ClinicalTrials.gov" display="http://clinicaltrials.gov/show/NCT03984734" xr:uid="{B311B64A-0452-4D46-B77C-BCE7C1422B25}"/>
    <hyperlink ref="L932" r:id="rId51" tooltip="See in ClinicalTrials.gov" display="http://clinicaltrials.gov/show/NCT00915863" xr:uid="{623C5A55-D224-3842-AF2B-449DFB473D48}"/>
    <hyperlink ref="L936" r:id="rId52" tooltip="See in ClinicalTrials.gov" display="http://clinicaltrials.gov/show/NCT02838134" xr:uid="{426B82FD-CC5A-5B44-B787-4F42A5901F35}"/>
    <hyperlink ref="L937" r:id="rId53" tooltip="See in ClinicalTrials.gov" display="http://clinicaltrials.gov/show/NCT03963427" xr:uid="{B93AD1E2-B3DA-BA40-B680-5E45B88EDB35}"/>
    <hyperlink ref="L938" r:id="rId54" tooltip="See in ClinicalTrials.gov" display="http://clinicaltrials.gov/show/NCT 00692393" xr:uid="{A0645B72-463F-5E41-9C36-A4516B9B6C10}"/>
    <hyperlink ref="L939" r:id="rId55" tooltip="See in ClinicalTrials.gov" display="http://clinicaltrials.gov/show/NCT00554892" xr:uid="{BDBF303E-7867-F740-940A-DDDD19AF6BF1}"/>
    <hyperlink ref="L946" r:id="rId56" tooltip="See in ClinicalTrials.gov" display="http://clinicaltrials.gov/show/NCT01870817" xr:uid="{2333F886-E3AD-FE47-BB5A-65D86FC9E97E}"/>
    <hyperlink ref="L954" r:id="rId57" tooltip="See in ClinicalTrials.gov" display="http://clinicaltrials.gov/show/NCT01344018" xr:uid="{611496C9-617C-FE40-9C1D-21C0D50C10AC}"/>
    <hyperlink ref="L955" r:id="rId58" tooltip="See in ClinicalTrials.gov" display="http://clinicaltrials.gov/show/NCT02162563" xr:uid="{AD01F441-33DA-9646-BA3D-D6FB8712523D}"/>
    <hyperlink ref="L956" r:id="rId59" tooltip="See in ClinicalTrials.gov" display="http://clinicaltrials.gov/show/NCT02667860" xr:uid="{699ABDCC-F8DC-6245-B689-0EE037C291AA}"/>
    <hyperlink ref="L962" r:id="rId60" tooltip="See in ClinicalTrials.gov" display="http://clinicaltrials.gov/show/NCT01766661" xr:uid="{2E4050F3-88BD-7744-B369-49AB4CA5198E}"/>
    <hyperlink ref="L964" r:id="rId61" tooltip="See in ClinicalTrials.gov" display="http://clinicaltrials.gov/show/NCT04781049" xr:uid="{28EBE1D9-B26D-5245-842A-AD0984CB2914}"/>
    <hyperlink ref="L965" r:id="rId62" tooltip="See in ClinicalTrials.gov" display="http://clinicaltrials.gov/show/NCT05130918" xr:uid="{7E22BE57-9586-FB43-BFC0-ABFE1E1BD4F0}"/>
    <hyperlink ref="L970" r:id="rId63" display="https://clinicaltrials.gov/show/NCT00359320" xr:uid="{617B6B2B-42E7-A548-AF8E-CD404B6F01AE}"/>
    <hyperlink ref="L971" r:id="rId64" display="https://clinicaltrials.gov/ct2/show/NCT03281460" xr:uid="{A9C2B834-6D43-AC43-83A7-DAB21A2CFD0D}"/>
    <hyperlink ref="L978" r:id="rId65" tooltip="See in ClinicalTrials.gov" display="http://clinicaltrials.gov/show/NCT02613728" xr:uid="{2DF6F40E-152B-B148-B5E4-D68FA5BAEC31}"/>
    <hyperlink ref="L979" r:id="rId66" tooltip="See in ClinicalTrials.gov" display="http://clinicaltrials.gov/show/NCT02555293" xr:uid="{6FA68EBF-42E5-FB4E-A79D-2EFFD45069EC}"/>
    <hyperlink ref="L980" r:id="rId67" tooltip="See in ClinicalTrials.gov" display="http://clinicaltrials.gov/show/NCT00516711" xr:uid="{7B089F03-57CC-5448-A851-5FFC8A233150}"/>
    <hyperlink ref="L981" r:id="rId68" tooltip="See in ClinicalTrials.gov" display="http://clinicaltrials.gov/show/NCT00913276" xr:uid="{E3FD905D-EBB8-3046-9874-F37E768D399C}"/>
    <hyperlink ref="K1075" r:id="rId69" xr:uid="{4BA82904-F022-0D4B-9919-126A44FB33AA}"/>
    <hyperlink ref="J1094" r:id="rId70" xr:uid="{904AB1F2-0F3A-4C4C-A612-2DB993259AD0}"/>
    <hyperlink ref="K1094" r:id="rId71" xr:uid="{725455AE-7C22-E045-AE94-F76474EC2CA1}"/>
    <hyperlink ref="K1101" r:id="rId72" xr:uid="{A0F0C52A-3769-E94C-929D-97B8301A7BF3}"/>
    <hyperlink ref="J1101" r:id="rId73" xr:uid="{2E3F9EED-20FC-4E40-9956-2F8EB1D47EB4}"/>
    <hyperlink ref="L1101" r:id="rId74" xr:uid="{410AFCE0-17F0-754F-9185-57CFC8F957A7}"/>
    <hyperlink ref="K1102" r:id="rId75" xr:uid="{D0F8B04E-5359-D847-AEA0-20F3FC06D613}"/>
    <hyperlink ref="J1102" r:id="rId76" xr:uid="{2C070E0C-0C39-6545-BA6C-4E74638C3A68}"/>
    <hyperlink ref="J1067" r:id="rId77" location="bib17" xr:uid="{89F0E529-35BF-C749-8955-82720F9008BB}"/>
    <hyperlink ref="K1067" r:id="rId78" xr:uid="{90CD2262-DBD4-2947-97CF-C20B97503122}"/>
    <hyperlink ref="K1068" r:id="rId79" xr:uid="{E4FDDA5A-05CD-3045-B95B-D5E0361FF861}"/>
    <hyperlink ref="J1068" r:id="rId80" xr:uid="{F0E4B238-8CAB-CA4E-8469-24FB0CAF8368}"/>
    <hyperlink ref="L1068" r:id="rId81" xr:uid="{0292C37F-8EBD-584F-996D-14F4DB98BD4A}"/>
    <hyperlink ref="K1069" r:id="rId82" xr:uid="{ADFE453D-8FBA-B342-8F61-9393BF6DB4FE}"/>
    <hyperlink ref="J1069" r:id="rId83" xr:uid="{D6347797-9B3C-2A44-99EC-895990A111BC}"/>
    <hyperlink ref="L1069" r:id="rId84" xr:uid="{B350747C-8C83-0E45-A3EC-A43B8A8A3822}"/>
    <hyperlink ref="J1072" r:id="rId85" xr:uid="{5D2E1A89-DC57-B644-AF58-CF8BDB1CE00B}"/>
    <hyperlink ref="K1072" r:id="rId86" xr:uid="{6969F9DA-55B6-184A-8117-26765BB0DA29}"/>
    <hyperlink ref="L1072" r:id="rId87" xr:uid="{4D1E36F1-8DC7-1C43-9BA2-B32269FA1C09}"/>
    <hyperlink ref="J1073" r:id="rId88" xr:uid="{7D1A151E-A4A3-1541-A9AF-46B5F583E118}"/>
    <hyperlink ref="K1073" r:id="rId89" xr:uid="{5CA51A27-D0ED-C94C-BC49-0BF274E8AF4A}"/>
    <hyperlink ref="L1073" r:id="rId90" xr:uid="{33F7C7F8-425E-3745-96C5-3C9755F382E4}"/>
    <hyperlink ref="K1074" r:id="rId91" display="https://doi.org/10.1002/bjs5.71" xr:uid="{3C02E1B4-928D-3040-8188-F67C9BE2AB96}"/>
    <hyperlink ref="J1089" r:id="rId92" xr:uid="{EBDD5A82-F9E3-0D4D-81A1-F6E79C4E740D}"/>
    <hyperlink ref="K1089" r:id="rId93" xr:uid="{8DA90A7F-457D-5A42-99A9-C0E6ABD609A4}"/>
    <hyperlink ref="L1089" r:id="rId94" xr:uid="{B2A6A980-87DB-D849-8E2D-37ABD3FC1A96}"/>
    <hyperlink ref="J1092" r:id="rId95" xr:uid="{1DDB58EC-2ED5-3F4C-9728-79EC84E015FC}"/>
    <hyperlink ref="K1092" r:id="rId96" display="https://doi.org/10.1111/bju.15619" xr:uid="{9433940B-3711-8941-B04C-3845E3219BD7}"/>
    <hyperlink ref="L66" r:id="rId97" xr:uid="{B9145D35-9203-414A-B129-D64150D71ED3}"/>
    <hyperlink ref="L71" r:id="rId98" xr:uid="{7C49DFB7-C63B-0948-8520-1B5A7AFB37AF}"/>
    <hyperlink ref="L79" r:id="rId99" xr:uid="{9C2CB41E-9041-EA49-8D3C-0668B76D7593}"/>
    <hyperlink ref="L80" r:id="rId100" xr:uid="{A62465DC-D0A0-6F46-A68E-69B4745A566B}"/>
    <hyperlink ref="L82" r:id="rId101" xr:uid="{2BA823DC-1D16-F143-9194-BECD0FF9521F}"/>
    <hyperlink ref="L83" r:id="rId102" xr:uid="{00FD2399-BFFB-8847-9107-3B5697A0BC86}"/>
    <hyperlink ref="L90" r:id="rId103" xr:uid="{F2EFC22C-F97B-EC40-9E57-5629FBD45531}"/>
    <hyperlink ref="L91" r:id="rId104" xr:uid="{69728AAF-034D-724E-91FB-58A2EDF54E9B}"/>
    <hyperlink ref="L92" r:id="rId105" xr:uid="{376F1D5D-B6B6-E443-BDE2-64EA505F6330}"/>
    <hyperlink ref="L97" r:id="rId106" xr:uid="{C32E08B1-AE6C-FC40-BE88-83E9AE2D67EE}"/>
    <hyperlink ref="L101" r:id="rId107" xr:uid="{210B39C3-DD18-814C-83BB-12A58ACC8F18}"/>
    <hyperlink ref="L102" r:id="rId108" xr:uid="{B8B00B94-EACB-9149-BA2C-DD14506DC356}"/>
    <hyperlink ref="L106" r:id="rId109" xr:uid="{3E792E5E-1285-2141-896D-4D291FF55A87}"/>
    <hyperlink ref="L111" r:id="rId110" xr:uid="{8DAB158A-119E-944B-A4D2-235D78BCF614}"/>
    <hyperlink ref="L123" r:id="rId111" xr:uid="{146A7DD2-1749-CB43-868A-7C0A75EE8A96}"/>
    <hyperlink ref="L127" r:id="rId112" xr:uid="{1D2BC4C9-0F13-1543-ACF8-87ABB1EECDF8}"/>
    <hyperlink ref="L130" r:id="rId113" xr:uid="{9698CB64-CAC4-1C46-874D-52F3857BCDBD}"/>
    <hyperlink ref="L132" r:id="rId114" xr:uid="{B970F23C-580A-5142-9662-F20855059C21}"/>
    <hyperlink ref="L135" r:id="rId115" xr:uid="{332FCDA6-C72F-8A40-9134-03380798F336}"/>
    <hyperlink ref="L138" r:id="rId116" xr:uid="{C7B0A835-A338-954D-8493-28BE95C40BE2}"/>
    <hyperlink ref="L143" r:id="rId117" xr:uid="{613EA239-4309-414B-9833-CA1A74D7C415}"/>
    <hyperlink ref="L145" r:id="rId118" xr:uid="{DE9EAA31-5487-064B-97E7-85C64F42C99B}"/>
    <hyperlink ref="L146" r:id="rId119" xr:uid="{0E2835B6-037E-9B41-B353-EBCC73575431}"/>
    <hyperlink ref="L147" r:id="rId120" xr:uid="{7875CDED-8E5D-434B-8E4F-1F2D8EA61033}"/>
    <hyperlink ref="L151" r:id="rId121" xr:uid="{5E796B87-55AE-BF49-8265-EFBA46C3DFB0}"/>
    <hyperlink ref="L153" r:id="rId122" xr:uid="{8E97C742-74E7-7448-89BB-D7075C778385}"/>
    <hyperlink ref="L154" r:id="rId123" xr:uid="{9653F76E-AB19-6D4E-BB1F-0A670F0FBE2B}"/>
    <hyperlink ref="L155" r:id="rId124" xr:uid="{0DC2E96C-AFFA-064B-A437-D38F228356F6}"/>
    <hyperlink ref="L168" r:id="rId125" xr:uid="{C5D3DE66-466D-B64A-9A74-3942E610906F}"/>
    <hyperlink ref="L170" r:id="rId126" xr:uid="{8E1DC902-4FB0-644E-B4A6-74ACC73957C8}"/>
    <hyperlink ref="L174" r:id="rId127" xr:uid="{22385935-71F1-CE46-BB1D-CFC77B662244}"/>
    <hyperlink ref="L177" r:id="rId128" xr:uid="{F80BF1AC-186C-7342-B3EB-2747A6DD2F86}"/>
    <hyperlink ref="L181" r:id="rId129" xr:uid="{3E5BD0E3-717E-334A-B36E-062C8A328A28}"/>
    <hyperlink ref="L184" r:id="rId130" xr:uid="{9F388D83-A18E-8044-A51E-D5535FDA5440}"/>
    <hyperlink ref="L187" r:id="rId131" xr:uid="{8C68EB56-9065-1F49-A01B-CC33784F37E5}"/>
    <hyperlink ref="L189" r:id="rId132" xr:uid="{56E38B23-0CFF-2C4C-8F69-7F798186C733}"/>
    <hyperlink ref="L199" r:id="rId133" xr:uid="{C664C917-957F-BA47-8C1C-78702CB42E6C}"/>
    <hyperlink ref="L201" r:id="rId134" xr:uid="{7C2EE689-5CA0-A244-AD10-20029E20F104}"/>
    <hyperlink ref="L204" r:id="rId135" xr:uid="{B8C28CF3-96BE-9E46-985A-6349712140D3}"/>
    <hyperlink ref="L207" r:id="rId136" xr:uid="{FCADF09B-2D8C-1C4F-9138-4A14466C9EF9}"/>
    <hyperlink ref="L215" r:id="rId137" xr:uid="{92A76A70-EE8E-F54C-904B-C5108A421844}"/>
    <hyperlink ref="L218" r:id="rId138" xr:uid="{91F93BD9-A506-DA4C-9CCB-D8E11D956E1D}"/>
    <hyperlink ref="L219" r:id="rId139" xr:uid="{62A9E704-2C5A-3147-8C98-CF0E5F65F92B}"/>
    <hyperlink ref="L220" r:id="rId140" xr:uid="{A3636FAF-7D71-544F-BAEE-0447ADE56C6F}"/>
    <hyperlink ref="L221" r:id="rId141" xr:uid="{7549C4D5-D4BE-C644-AEF7-55B885BCDF81}"/>
    <hyperlink ref="L224" r:id="rId142" xr:uid="{B61B4F7A-90A5-B543-841D-B3C78610210F}"/>
    <hyperlink ref="L225" r:id="rId143" xr:uid="{0AF07F48-6E6A-BB46-8C5C-83F93BD22672}"/>
    <hyperlink ref="L227" r:id="rId144" xr:uid="{E754EB18-2E9C-074D-BD8B-656846DA17E1}"/>
    <hyperlink ref="L228" r:id="rId145" xr:uid="{A25960A7-3646-704F-B047-E227B7B68C3C}"/>
    <hyperlink ref="L230" r:id="rId146" xr:uid="{3BEBDBB3-BC1E-004C-A62C-B21370BA2686}"/>
    <hyperlink ref="L232" r:id="rId147" xr:uid="{6F153F9F-565F-5E4B-8903-18A7422382B4}"/>
    <hyperlink ref="L233" r:id="rId148" xr:uid="{D7A5A029-FB97-3642-9C17-64B570D30FD7}"/>
    <hyperlink ref="L234" r:id="rId149" xr:uid="{8B4DE415-F1A6-3846-8EB5-862493B937F3}"/>
    <hyperlink ref="L242" r:id="rId150" xr:uid="{E041F53C-9F38-2C4C-ACAA-B6D97159E5EE}"/>
    <hyperlink ref="L245" r:id="rId151" xr:uid="{C1E4EF75-C841-B043-9F57-DD1496D9684A}"/>
    <hyperlink ref="L246" r:id="rId152" xr:uid="{7A939283-6CFA-B444-BA37-814D2D2CC0EB}"/>
    <hyperlink ref="L247" r:id="rId153" xr:uid="{803D7C21-62CF-A642-AFE9-BE9D22B24863}"/>
    <hyperlink ref="L248" r:id="rId154" xr:uid="{B03BC202-D8C8-C04B-B596-04D8A0EA37AB}"/>
    <hyperlink ref="L249" r:id="rId155" xr:uid="{21C076E2-9135-CF44-A850-8945C7566DEA}"/>
    <hyperlink ref="L255" r:id="rId156" xr:uid="{3EB0A0B5-D8EF-7D4E-A0FF-374DDDC3500D}"/>
    <hyperlink ref="L260" r:id="rId157" xr:uid="{BBC30303-8590-CA45-90DC-418E89C97DDC}"/>
    <hyperlink ref="L262" r:id="rId158" xr:uid="{C64BA795-55FF-1D48-8BDD-A85A93AC9C6E}"/>
    <hyperlink ref="L263" r:id="rId159" xr:uid="{981A88CA-D78E-574F-9FFC-1FA827EC43CB}"/>
    <hyperlink ref="L264" r:id="rId160" xr:uid="{F8AF5446-E30F-794C-A36B-2D0E74F70317}"/>
    <hyperlink ref="L266" r:id="rId161" xr:uid="{2BB2D6FB-6435-CF40-8198-167B39BF8760}"/>
    <hyperlink ref="L267" r:id="rId162" xr:uid="{41B89A7A-3663-BF46-A98A-F055647DA642}"/>
    <hyperlink ref="L268" r:id="rId163" xr:uid="{42787A73-64B2-224B-B579-CBB96C03A4CD}"/>
    <hyperlink ref="L270" r:id="rId164" xr:uid="{E7514539-6884-304C-8F54-9712E52A3FB6}"/>
    <hyperlink ref="L272" r:id="rId165" xr:uid="{B27AEF1C-734C-7D4F-BA15-4E6ED0BBE119}"/>
    <hyperlink ref="L275" r:id="rId166" xr:uid="{658257F0-4D7B-CC4E-9EA8-712AD7B6FE87}"/>
    <hyperlink ref="L276" r:id="rId167" xr:uid="{AAC09CD0-726D-7D4B-8541-15DBA097779A}"/>
    <hyperlink ref="L279" r:id="rId168" xr:uid="{3CBB0208-F68D-D14A-9858-FE4BBEDFE02B}"/>
    <hyperlink ref="L280" r:id="rId169" xr:uid="{8ABB9B40-6B6C-424B-9483-5E132E1ED2DC}"/>
    <hyperlink ref="L281" r:id="rId170" xr:uid="{13029FF6-3799-004A-BF73-E21767450D51}"/>
    <hyperlink ref="L282" r:id="rId171" xr:uid="{B85169EC-E6C7-F94D-8E72-7DD5063751EB}"/>
    <hyperlink ref="L284" r:id="rId172" xr:uid="{655A704A-1D14-FC4F-A555-35A431B117AA}"/>
    <hyperlink ref="L285" r:id="rId173" xr:uid="{EDE3FA72-80B9-7A4A-B730-8A2BD15AB89C}"/>
    <hyperlink ref="L289" r:id="rId174" xr:uid="{EAB7F029-1347-5A46-BE41-871A8A5A56EE}"/>
    <hyperlink ref="L290" r:id="rId175" xr:uid="{EDBEBA12-D924-BC4D-BB9E-9A07E70789E6}"/>
    <hyperlink ref="L291" r:id="rId176" xr:uid="{B7088462-8C2F-6347-9B7D-6FAEF4440FFA}"/>
    <hyperlink ref="L292" r:id="rId177" xr:uid="{45037B1B-6C14-8E49-9E11-E441E23954E9}"/>
    <hyperlink ref="L295" r:id="rId178" xr:uid="{BA7CFB40-2AD7-C94C-9F8F-85835C706159}"/>
  </hyperlinks>
  <pageMargins left="0.7" right="0.7" top="0.75" bottom="0.75" header="0.3" footer="0.3"/>
  <pageSetup orientation="portrait"/>
  <legacyDrawing r:id="rId17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Q1409"/>
  <sheetViews>
    <sheetView topLeftCell="A135" zoomScale="80" zoomScaleNormal="80" workbookViewId="0">
      <selection activeCell="E1328" sqref="E1328"/>
    </sheetView>
  </sheetViews>
  <sheetFormatPr baseColWidth="10" defaultColWidth="8.83203125" defaultRowHeight="63" customHeight="1" x14ac:dyDescent="0.2"/>
  <cols>
    <col min="1" max="1" width="8.83203125" style="7"/>
    <col min="2" max="2" width="37.5" style="7" customWidth="1"/>
    <col min="3" max="3" width="30.33203125" style="7" customWidth="1"/>
    <col min="4" max="4" width="8.1640625" style="7" customWidth="1"/>
    <col min="5" max="5" width="11.6640625" style="7" customWidth="1"/>
    <col min="6" max="6" width="9.33203125" style="7" customWidth="1"/>
    <col min="7" max="7" width="8.6640625" style="7" customWidth="1"/>
    <col min="8" max="8" width="18" style="7" customWidth="1"/>
    <col min="9" max="9" width="11.83203125" style="7" customWidth="1"/>
    <col min="10" max="10" width="59.83203125" style="7" customWidth="1"/>
    <col min="11" max="11" width="28.83203125" style="7" customWidth="1"/>
    <col min="12" max="12" width="17.83203125" style="7" customWidth="1"/>
    <col min="13" max="15" width="15" style="7" customWidth="1"/>
    <col min="16" max="16" width="18.5" style="7" customWidth="1"/>
    <col min="17" max="18" width="17.83203125" style="7" customWidth="1"/>
    <col min="19" max="20" width="16.6640625" style="7" customWidth="1"/>
    <col min="21" max="21" width="14.1640625" style="7" customWidth="1"/>
    <col min="22" max="27" width="12.83203125" style="7" customWidth="1"/>
    <col min="28" max="28" width="14.6640625" style="7" customWidth="1"/>
    <col min="29" max="29" width="14.5" style="7" customWidth="1"/>
    <col min="30" max="30" width="22.1640625" style="7" customWidth="1"/>
    <col min="31" max="31" width="23" style="7" customWidth="1"/>
    <col min="32" max="32" width="23.83203125" style="7" customWidth="1"/>
    <col min="33" max="33" width="21.6640625" style="7" customWidth="1"/>
    <col min="34" max="34" width="23.6640625" style="7" customWidth="1"/>
    <col min="35" max="35" width="24.5" style="7" customWidth="1"/>
    <col min="36" max="36" width="25.83203125" style="7" customWidth="1"/>
    <col min="37" max="37" width="26.5" style="7" customWidth="1"/>
    <col min="38" max="38" width="22.83203125" style="7" customWidth="1"/>
    <col min="39" max="39" width="17.1640625" style="7" customWidth="1"/>
    <col min="40" max="40" width="48.1640625" style="7" customWidth="1"/>
    <col min="41" max="16384" width="8.83203125" style="7"/>
  </cols>
  <sheetData>
    <row r="1" spans="1:43" s="15" customFormat="1" ht="63" customHeight="1" x14ac:dyDescent="0.2">
      <c r="A1" s="15" t="s">
        <v>0</v>
      </c>
      <c r="B1" s="15" t="s">
        <v>1</v>
      </c>
      <c r="C1" s="15" t="s">
        <v>2</v>
      </c>
      <c r="D1" s="15" t="s">
        <v>3</v>
      </c>
      <c r="E1" s="15" t="s">
        <v>7</v>
      </c>
      <c r="F1" s="15" t="s">
        <v>5031</v>
      </c>
      <c r="G1" s="15" t="s">
        <v>5032</v>
      </c>
      <c r="H1" s="15" t="s">
        <v>5033</v>
      </c>
      <c r="I1" s="15" t="s">
        <v>4</v>
      </c>
      <c r="J1" s="15" t="s">
        <v>5</v>
      </c>
      <c r="K1" s="15" t="s">
        <v>6</v>
      </c>
      <c r="L1" s="15" t="s">
        <v>5014</v>
      </c>
      <c r="M1" s="15" t="s">
        <v>5015</v>
      </c>
      <c r="N1" s="15" t="s">
        <v>5091</v>
      </c>
      <c r="O1" s="15" t="s">
        <v>5092</v>
      </c>
      <c r="P1" s="15" t="s">
        <v>5017</v>
      </c>
      <c r="Q1" s="15" t="s">
        <v>5018</v>
      </c>
      <c r="R1" s="15" t="s">
        <v>5019</v>
      </c>
      <c r="S1" s="15" t="s">
        <v>5026</v>
      </c>
      <c r="T1" s="15" t="s">
        <v>5027</v>
      </c>
      <c r="U1" s="15" t="s">
        <v>5037</v>
      </c>
      <c r="V1" s="15" t="s">
        <v>5021</v>
      </c>
      <c r="W1" s="15" t="s">
        <v>5020</v>
      </c>
      <c r="X1" s="15" t="s">
        <v>5022</v>
      </c>
      <c r="Y1" s="15" t="s">
        <v>5023</v>
      </c>
      <c r="Z1" s="15" t="s">
        <v>5024</v>
      </c>
      <c r="AA1" s="15" t="s">
        <v>5025</v>
      </c>
      <c r="AB1" s="15" t="s">
        <v>5038</v>
      </c>
      <c r="AC1" s="15" t="s">
        <v>5039</v>
      </c>
      <c r="AD1" s="15" t="s">
        <v>5049</v>
      </c>
      <c r="AE1" s="15" t="s">
        <v>5045</v>
      </c>
      <c r="AF1" s="15" t="s">
        <v>5046</v>
      </c>
      <c r="AG1" s="15" t="s">
        <v>5047</v>
      </c>
      <c r="AH1" s="15" t="s">
        <v>5050</v>
      </c>
      <c r="AI1" s="15" t="s">
        <v>5048</v>
      </c>
      <c r="AJ1" s="15" t="s">
        <v>5051</v>
      </c>
      <c r="AK1" s="15" t="s">
        <v>5029</v>
      </c>
      <c r="AL1" s="15" t="s">
        <v>5063</v>
      </c>
      <c r="AM1" s="15" t="s">
        <v>5061</v>
      </c>
      <c r="AN1" s="15" t="s">
        <v>5040</v>
      </c>
    </row>
    <row r="2" spans="1:43" ht="75" customHeight="1" x14ac:dyDescent="0.2">
      <c r="L2" s="7" t="s">
        <v>5062</v>
      </c>
      <c r="M2" s="7" t="s">
        <v>5016</v>
      </c>
      <c r="N2" s="7" t="s">
        <v>5016</v>
      </c>
      <c r="O2" s="7" t="s">
        <v>5016</v>
      </c>
      <c r="P2" s="7" t="s">
        <v>5016</v>
      </c>
      <c r="Q2" s="7" t="s">
        <v>5016</v>
      </c>
      <c r="R2" s="7" t="s">
        <v>5016</v>
      </c>
      <c r="S2" s="26" t="s">
        <v>7661</v>
      </c>
      <c r="T2" s="18" t="s">
        <v>5028</v>
      </c>
      <c r="V2" s="7" t="s">
        <v>5016</v>
      </c>
      <c r="W2" s="7" t="s">
        <v>5016</v>
      </c>
      <c r="X2" s="7" t="s">
        <v>5016</v>
      </c>
      <c r="Y2" s="7" t="s">
        <v>5016</v>
      </c>
      <c r="Z2" s="7" t="s">
        <v>5016</v>
      </c>
      <c r="AA2" s="7" t="s">
        <v>5016</v>
      </c>
      <c r="AB2" s="7" t="s">
        <v>5016</v>
      </c>
      <c r="AC2" s="7" t="s">
        <v>5056</v>
      </c>
      <c r="AD2" s="7" t="s">
        <v>7658</v>
      </c>
      <c r="AE2" s="7" t="s">
        <v>7662</v>
      </c>
      <c r="AF2" s="7" t="s">
        <v>5058</v>
      </c>
      <c r="AG2" s="7" t="s">
        <v>7659</v>
      </c>
      <c r="AH2" s="7" t="s">
        <v>7662</v>
      </c>
      <c r="AI2" s="7" t="s">
        <v>5059</v>
      </c>
      <c r="AJ2" s="7" t="s">
        <v>5060</v>
      </c>
      <c r="AK2" s="7" t="s">
        <v>5030</v>
      </c>
      <c r="AL2" s="7" t="s">
        <v>7660</v>
      </c>
      <c r="AM2" s="7" t="s">
        <v>5016</v>
      </c>
    </row>
    <row r="3" spans="1:43" ht="63" customHeight="1" x14ac:dyDescent="0.2">
      <c r="A3" s="7">
        <v>11</v>
      </c>
      <c r="B3" s="9" t="s">
        <v>6514</v>
      </c>
      <c r="C3" s="9" t="s">
        <v>8</v>
      </c>
      <c r="D3" s="9">
        <v>2007</v>
      </c>
      <c r="E3" s="9" t="s">
        <v>5318</v>
      </c>
      <c r="F3" s="9">
        <v>51</v>
      </c>
      <c r="G3" s="9">
        <v>5</v>
      </c>
      <c r="H3" s="9" t="s">
        <v>6515</v>
      </c>
      <c r="I3" s="9" t="s">
        <v>6516</v>
      </c>
      <c r="J3" s="9" t="s">
        <v>6517</v>
      </c>
      <c r="K3" s="9" t="s">
        <v>14</v>
      </c>
      <c r="L3" s="9" t="s">
        <v>5041</v>
      </c>
      <c r="M3" s="9">
        <v>0</v>
      </c>
      <c r="N3" s="9" t="s">
        <v>5044</v>
      </c>
      <c r="O3" s="9" t="s">
        <v>5044</v>
      </c>
      <c r="P3" s="9">
        <v>0</v>
      </c>
      <c r="Q3" s="9">
        <v>0</v>
      </c>
      <c r="R3" s="9">
        <v>1</v>
      </c>
      <c r="S3" s="9">
        <v>5</v>
      </c>
      <c r="T3" s="9">
        <v>1</v>
      </c>
      <c r="U3" s="9">
        <v>72</v>
      </c>
      <c r="V3" s="9">
        <v>1</v>
      </c>
      <c r="W3" s="9">
        <v>0</v>
      </c>
      <c r="X3" s="9">
        <v>0</v>
      </c>
      <c r="Y3" s="9">
        <v>0</v>
      </c>
      <c r="Z3" s="9">
        <v>0</v>
      </c>
      <c r="AA3" s="9">
        <v>0</v>
      </c>
      <c r="AB3" s="9">
        <v>1</v>
      </c>
      <c r="AC3" s="9">
        <v>1</v>
      </c>
      <c r="AD3" s="9">
        <v>1</v>
      </c>
      <c r="AE3" s="9">
        <v>0</v>
      </c>
      <c r="AF3" s="9">
        <v>0</v>
      </c>
      <c r="AG3" s="24" t="s">
        <v>5044</v>
      </c>
      <c r="AH3" s="24" t="s">
        <v>5044</v>
      </c>
      <c r="AI3" s="24" t="s">
        <v>5044</v>
      </c>
      <c r="AJ3" s="9" t="s">
        <v>5044</v>
      </c>
      <c r="AK3" s="9" t="s">
        <v>5318</v>
      </c>
      <c r="AL3" s="9">
        <v>1</v>
      </c>
      <c r="AM3" s="9">
        <v>0</v>
      </c>
      <c r="AN3" s="9" t="s">
        <v>5318</v>
      </c>
      <c r="AO3" s="9" t="s">
        <v>5318</v>
      </c>
      <c r="AP3" s="9" t="s">
        <v>5318</v>
      </c>
      <c r="AQ3" s="9" t="s">
        <v>5318</v>
      </c>
    </row>
    <row r="4" spans="1:43" ht="63" customHeight="1" x14ac:dyDescent="0.2">
      <c r="A4" s="10">
        <v>52</v>
      </c>
      <c r="B4" s="11" t="s">
        <v>6521</v>
      </c>
      <c r="C4" s="11" t="s">
        <v>21</v>
      </c>
      <c r="D4" s="11">
        <v>2018</v>
      </c>
      <c r="E4" s="11" t="s">
        <v>5318</v>
      </c>
      <c r="F4" s="11">
        <v>2018</v>
      </c>
      <c r="G4" s="11" t="s">
        <v>5318</v>
      </c>
      <c r="H4" s="11" t="s">
        <v>6522</v>
      </c>
      <c r="I4" s="11" t="s">
        <v>6516</v>
      </c>
      <c r="J4" s="11" t="s">
        <v>6523</v>
      </c>
      <c r="K4" s="11" t="s">
        <v>23</v>
      </c>
      <c r="L4" s="11" t="s">
        <v>5043</v>
      </c>
      <c r="M4" s="11">
        <v>0</v>
      </c>
      <c r="N4" s="9" t="s">
        <v>5044</v>
      </c>
      <c r="O4" s="9" t="s">
        <v>5044</v>
      </c>
      <c r="P4" s="11">
        <v>0</v>
      </c>
      <c r="Q4" s="11">
        <v>0</v>
      </c>
      <c r="R4" s="11">
        <v>0</v>
      </c>
      <c r="S4" s="11">
        <v>1</v>
      </c>
      <c r="T4" s="11">
        <v>4</v>
      </c>
      <c r="U4" s="11">
        <v>32</v>
      </c>
      <c r="V4" s="11">
        <v>0</v>
      </c>
      <c r="W4" s="11">
        <v>1</v>
      </c>
      <c r="X4" s="11">
        <v>0</v>
      </c>
      <c r="Y4" s="11">
        <v>0</v>
      </c>
      <c r="Z4" s="11">
        <v>0</v>
      </c>
      <c r="AA4" s="11">
        <v>0</v>
      </c>
      <c r="AB4" s="11">
        <v>1</v>
      </c>
      <c r="AC4" s="11">
        <v>1</v>
      </c>
      <c r="AD4" s="11" t="s">
        <v>5044</v>
      </c>
      <c r="AE4" s="11" t="s">
        <v>5044</v>
      </c>
      <c r="AF4" s="11" t="s">
        <v>5044</v>
      </c>
      <c r="AG4" s="11">
        <v>1</v>
      </c>
      <c r="AH4" s="11">
        <v>0</v>
      </c>
      <c r="AI4" s="11">
        <v>0</v>
      </c>
      <c r="AJ4" s="11" t="s">
        <v>5044</v>
      </c>
      <c r="AK4" s="11" t="s">
        <v>5318</v>
      </c>
      <c r="AL4" s="11">
        <v>1</v>
      </c>
      <c r="AM4" s="11">
        <v>0</v>
      </c>
      <c r="AN4" s="11" t="s">
        <v>5318</v>
      </c>
      <c r="AO4" s="11" t="s">
        <v>5318</v>
      </c>
      <c r="AP4" s="11" t="s">
        <v>5318</v>
      </c>
      <c r="AQ4" s="11" t="s">
        <v>5318</v>
      </c>
    </row>
    <row r="5" spans="1:43" ht="63" customHeight="1" x14ac:dyDescent="0.2">
      <c r="A5" s="10">
        <v>56</v>
      </c>
      <c r="B5" s="11" t="s">
        <v>6524</v>
      </c>
      <c r="C5" s="11" t="s">
        <v>24</v>
      </c>
      <c r="D5" s="11">
        <v>2014</v>
      </c>
      <c r="E5" s="11" t="s">
        <v>5318</v>
      </c>
      <c r="F5" s="11">
        <v>38</v>
      </c>
      <c r="G5" s="11">
        <v>8</v>
      </c>
      <c r="H5" s="11" t="s">
        <v>6525</v>
      </c>
      <c r="I5" s="11" t="s">
        <v>6516</v>
      </c>
      <c r="J5" s="11" t="s">
        <v>6526</v>
      </c>
      <c r="K5" s="11" t="s">
        <v>29</v>
      </c>
      <c r="L5" s="11" t="s">
        <v>5044</v>
      </c>
      <c r="M5" s="11">
        <v>0</v>
      </c>
      <c r="N5" s="9" t="s">
        <v>5044</v>
      </c>
      <c r="O5" s="9" t="s">
        <v>5044</v>
      </c>
      <c r="P5" s="11">
        <v>0</v>
      </c>
      <c r="Q5" s="11">
        <v>0</v>
      </c>
      <c r="R5" s="11">
        <v>0</v>
      </c>
      <c r="S5" s="11">
        <v>1</v>
      </c>
      <c r="T5" s="11">
        <v>4</v>
      </c>
      <c r="U5" s="11">
        <v>68</v>
      </c>
      <c r="V5" s="11">
        <v>1</v>
      </c>
      <c r="W5" s="11">
        <v>1</v>
      </c>
      <c r="X5" s="11">
        <v>0</v>
      </c>
      <c r="Y5" s="11">
        <v>0</v>
      </c>
      <c r="Z5" s="11">
        <v>0</v>
      </c>
      <c r="AA5" s="11">
        <v>0</v>
      </c>
      <c r="AB5" s="11">
        <v>1</v>
      </c>
      <c r="AC5" s="11">
        <v>1</v>
      </c>
      <c r="AD5" s="11">
        <v>2</v>
      </c>
      <c r="AE5" s="11">
        <v>1</v>
      </c>
      <c r="AF5" s="11">
        <v>2</v>
      </c>
      <c r="AG5" s="11">
        <v>1</v>
      </c>
      <c r="AH5" s="11">
        <v>0</v>
      </c>
      <c r="AI5" s="11">
        <v>0</v>
      </c>
      <c r="AJ5" s="11" t="s">
        <v>5044</v>
      </c>
      <c r="AK5" s="11" t="s">
        <v>5318</v>
      </c>
      <c r="AL5" s="11">
        <v>0</v>
      </c>
      <c r="AM5" s="11">
        <v>0</v>
      </c>
      <c r="AN5" s="11" t="s">
        <v>5318</v>
      </c>
      <c r="AO5" s="11" t="s">
        <v>5318</v>
      </c>
      <c r="AP5" s="11" t="s">
        <v>5318</v>
      </c>
      <c r="AQ5" s="11" t="s">
        <v>5318</v>
      </c>
    </row>
    <row r="6" spans="1:43" ht="63" customHeight="1" x14ac:dyDescent="0.2">
      <c r="A6" s="10">
        <v>57</v>
      </c>
      <c r="B6" s="11" t="s">
        <v>6527</v>
      </c>
      <c r="C6" s="11" t="s">
        <v>24</v>
      </c>
      <c r="D6" s="11">
        <v>2013</v>
      </c>
      <c r="E6" s="11" t="s">
        <v>5318</v>
      </c>
      <c r="F6" s="11">
        <v>37</v>
      </c>
      <c r="G6" s="11">
        <v>2</v>
      </c>
      <c r="H6" s="11" t="s">
        <v>6525</v>
      </c>
      <c r="I6" s="11" t="s">
        <v>6516</v>
      </c>
      <c r="J6" s="11" t="s">
        <v>6528</v>
      </c>
      <c r="K6" s="11" t="s">
        <v>33</v>
      </c>
      <c r="L6" s="11" t="s">
        <v>5044</v>
      </c>
      <c r="M6" s="11">
        <v>0</v>
      </c>
      <c r="N6" s="9" t="s">
        <v>5044</v>
      </c>
      <c r="O6" s="9" t="s">
        <v>5044</v>
      </c>
      <c r="P6" s="11">
        <v>0</v>
      </c>
      <c r="Q6" s="11">
        <v>0</v>
      </c>
      <c r="R6" s="11">
        <v>0</v>
      </c>
      <c r="S6" s="11">
        <v>1</v>
      </c>
      <c r="T6" s="11">
        <v>4</v>
      </c>
      <c r="U6" s="11">
        <v>76</v>
      </c>
      <c r="V6" s="11">
        <v>1</v>
      </c>
      <c r="W6" s="11">
        <v>1</v>
      </c>
      <c r="X6" s="11">
        <v>0</v>
      </c>
      <c r="Y6" s="11">
        <v>0</v>
      </c>
      <c r="Z6" s="11">
        <v>0</v>
      </c>
      <c r="AA6" s="11">
        <v>0</v>
      </c>
      <c r="AB6" s="11">
        <v>1</v>
      </c>
      <c r="AC6" s="11">
        <v>1</v>
      </c>
      <c r="AD6" s="11">
        <v>2</v>
      </c>
      <c r="AE6" s="11">
        <v>1</v>
      </c>
      <c r="AF6" s="11">
        <v>2</v>
      </c>
      <c r="AG6" s="11">
        <v>1</v>
      </c>
      <c r="AH6" s="11">
        <v>0</v>
      </c>
      <c r="AI6" s="11">
        <v>0</v>
      </c>
      <c r="AJ6" s="11" t="s">
        <v>5044</v>
      </c>
      <c r="AK6" s="11" t="s">
        <v>5318</v>
      </c>
      <c r="AL6" s="11">
        <v>0</v>
      </c>
      <c r="AM6" s="11">
        <v>0</v>
      </c>
      <c r="AN6" s="11" t="s">
        <v>5318</v>
      </c>
      <c r="AO6" s="11" t="s">
        <v>5318</v>
      </c>
      <c r="AP6" s="11" t="s">
        <v>5318</v>
      </c>
      <c r="AQ6" s="11" t="s">
        <v>5318</v>
      </c>
    </row>
    <row r="7" spans="1:43" ht="63" customHeight="1" x14ac:dyDescent="0.2">
      <c r="A7" s="10">
        <v>66</v>
      </c>
      <c r="B7" s="11" t="s">
        <v>6529</v>
      </c>
      <c r="C7" s="11" t="s">
        <v>34</v>
      </c>
      <c r="D7" s="11">
        <v>2012</v>
      </c>
      <c r="E7" s="11" t="s">
        <v>5318</v>
      </c>
      <c r="F7" s="11">
        <v>99</v>
      </c>
      <c r="G7" s="11">
        <v>6</v>
      </c>
      <c r="H7" s="11" t="s">
        <v>6530</v>
      </c>
      <c r="I7" s="11" t="s">
        <v>6516</v>
      </c>
      <c r="J7" s="11" t="s">
        <v>6531</v>
      </c>
      <c r="K7" s="11" t="s">
        <v>39</v>
      </c>
      <c r="L7" s="11" t="s">
        <v>5052</v>
      </c>
      <c r="M7" s="11">
        <v>0</v>
      </c>
      <c r="N7" s="9" t="s">
        <v>5044</v>
      </c>
      <c r="O7" s="9" t="s">
        <v>5044</v>
      </c>
      <c r="P7" s="11">
        <v>0</v>
      </c>
      <c r="Q7" s="11">
        <v>0</v>
      </c>
      <c r="R7" s="11">
        <v>0</v>
      </c>
      <c r="S7" s="11">
        <v>1</v>
      </c>
      <c r="T7" s="11">
        <v>4</v>
      </c>
      <c r="U7" s="11">
        <v>192</v>
      </c>
      <c r="V7" s="11">
        <v>0</v>
      </c>
      <c r="W7" s="11">
        <v>1</v>
      </c>
      <c r="X7" s="11">
        <v>0</v>
      </c>
      <c r="Y7" s="11">
        <v>0</v>
      </c>
      <c r="Z7" s="11">
        <v>0</v>
      </c>
      <c r="AA7" s="11">
        <v>0</v>
      </c>
      <c r="AB7" s="11">
        <v>1</v>
      </c>
      <c r="AC7" s="11">
        <v>1</v>
      </c>
      <c r="AD7" s="11" t="s">
        <v>5044</v>
      </c>
      <c r="AE7" s="11" t="s">
        <v>5044</v>
      </c>
      <c r="AF7" s="11" t="s">
        <v>5044</v>
      </c>
      <c r="AG7" s="11">
        <v>2</v>
      </c>
      <c r="AH7" s="11">
        <v>2</v>
      </c>
      <c r="AI7" s="11">
        <v>2</v>
      </c>
      <c r="AJ7" s="11" t="s">
        <v>5044</v>
      </c>
      <c r="AK7" s="11" t="s">
        <v>5318</v>
      </c>
      <c r="AL7" s="11">
        <v>1</v>
      </c>
      <c r="AM7" s="11">
        <v>0</v>
      </c>
      <c r="AN7" s="11" t="s">
        <v>5318</v>
      </c>
      <c r="AO7" s="11" t="s">
        <v>5318</v>
      </c>
      <c r="AP7" s="11" t="s">
        <v>5318</v>
      </c>
      <c r="AQ7" s="11" t="s">
        <v>5318</v>
      </c>
    </row>
    <row r="8" spans="1:43" ht="63" customHeight="1" x14ac:dyDescent="0.2">
      <c r="A8" s="10">
        <v>71</v>
      </c>
      <c r="B8" s="11" t="s">
        <v>6532</v>
      </c>
      <c r="C8" s="11" t="s">
        <v>40</v>
      </c>
      <c r="D8" s="11">
        <v>2021</v>
      </c>
      <c r="E8" s="11" t="s">
        <v>5318</v>
      </c>
      <c r="F8" s="11">
        <v>273</v>
      </c>
      <c r="G8" s="11">
        <v>6</v>
      </c>
      <c r="H8" s="11" t="s">
        <v>6533</v>
      </c>
      <c r="I8" s="11" t="s">
        <v>6516</v>
      </c>
      <c r="J8" s="11" t="s">
        <v>6534</v>
      </c>
      <c r="K8" s="11" t="s">
        <v>44</v>
      </c>
      <c r="L8" s="11" t="s">
        <v>5053</v>
      </c>
      <c r="M8" s="11">
        <v>0</v>
      </c>
      <c r="N8" s="9" t="s">
        <v>5044</v>
      </c>
      <c r="O8" s="9" t="s">
        <v>5044</v>
      </c>
      <c r="P8" s="11">
        <v>0</v>
      </c>
      <c r="Q8" s="11">
        <v>0</v>
      </c>
      <c r="R8" s="11">
        <v>0</v>
      </c>
      <c r="S8" s="11">
        <v>1</v>
      </c>
      <c r="T8" s="11">
        <v>4</v>
      </c>
      <c r="U8" s="11">
        <v>688</v>
      </c>
      <c r="V8" s="11">
        <v>0</v>
      </c>
      <c r="W8" s="11">
        <v>1</v>
      </c>
      <c r="X8" s="11">
        <v>0</v>
      </c>
      <c r="Y8" s="11">
        <v>0</v>
      </c>
      <c r="Z8" s="11">
        <v>0</v>
      </c>
      <c r="AA8" s="11">
        <v>0</v>
      </c>
      <c r="AB8" s="11">
        <v>1</v>
      </c>
      <c r="AC8" s="11">
        <v>1</v>
      </c>
      <c r="AD8" s="11" t="s">
        <v>5044</v>
      </c>
      <c r="AE8" s="11" t="s">
        <v>5044</v>
      </c>
      <c r="AF8" s="11" t="s">
        <v>5044</v>
      </c>
      <c r="AG8" s="11">
        <v>2</v>
      </c>
      <c r="AH8" s="11">
        <v>1</v>
      </c>
      <c r="AI8" s="11">
        <v>1</v>
      </c>
      <c r="AJ8" s="11" t="s">
        <v>5044</v>
      </c>
      <c r="AK8" s="11" t="s">
        <v>5318</v>
      </c>
      <c r="AL8" s="11">
        <v>1</v>
      </c>
      <c r="AM8" s="11">
        <v>0</v>
      </c>
      <c r="AN8" s="11" t="s">
        <v>5318</v>
      </c>
      <c r="AO8" s="11" t="s">
        <v>5318</v>
      </c>
      <c r="AP8" s="11" t="s">
        <v>5318</v>
      </c>
      <c r="AQ8" s="11" t="s">
        <v>5318</v>
      </c>
    </row>
    <row r="9" spans="1:43" ht="63" customHeight="1" x14ac:dyDescent="0.2">
      <c r="A9" s="10">
        <v>79</v>
      </c>
      <c r="B9" s="11" t="s">
        <v>6535</v>
      </c>
      <c r="C9" s="11" t="s">
        <v>45</v>
      </c>
      <c r="D9" s="11">
        <v>2019</v>
      </c>
      <c r="E9" s="11" t="s">
        <v>5318</v>
      </c>
      <c r="F9" s="11">
        <v>9</v>
      </c>
      <c r="G9" s="11">
        <v>10</v>
      </c>
      <c r="H9" s="11" t="s">
        <v>6519</v>
      </c>
      <c r="I9" s="11" t="s">
        <v>6516</v>
      </c>
      <c r="J9" s="11" t="s">
        <v>6536</v>
      </c>
      <c r="K9" s="11" t="s">
        <v>49</v>
      </c>
      <c r="L9" s="11" t="s">
        <v>5054</v>
      </c>
      <c r="M9" s="11">
        <v>1</v>
      </c>
      <c r="N9" s="11">
        <v>0</v>
      </c>
      <c r="O9" s="9" t="s">
        <v>5044</v>
      </c>
      <c r="P9" s="11">
        <v>0</v>
      </c>
      <c r="Q9" s="11">
        <v>0</v>
      </c>
      <c r="R9" s="11">
        <v>0</v>
      </c>
      <c r="S9" s="11">
        <v>1</v>
      </c>
      <c r="T9" s="11">
        <v>4</v>
      </c>
      <c r="U9" s="11">
        <v>208</v>
      </c>
      <c r="V9" s="11">
        <v>0</v>
      </c>
      <c r="W9" s="11">
        <v>1</v>
      </c>
      <c r="X9" s="11">
        <v>0</v>
      </c>
      <c r="Y9" s="11">
        <v>0</v>
      </c>
      <c r="Z9" s="11">
        <v>0</v>
      </c>
      <c r="AA9" s="11">
        <v>0</v>
      </c>
      <c r="AB9" s="11">
        <v>1</v>
      </c>
      <c r="AC9" s="11" t="s">
        <v>5044</v>
      </c>
      <c r="AD9" s="11" t="s">
        <v>5044</v>
      </c>
      <c r="AE9" s="11" t="s">
        <v>5044</v>
      </c>
      <c r="AF9" s="11" t="s">
        <v>5044</v>
      </c>
      <c r="AG9" s="11" t="s">
        <v>5044</v>
      </c>
      <c r="AH9" s="11" t="s">
        <v>5044</v>
      </c>
      <c r="AI9" s="11" t="s">
        <v>5044</v>
      </c>
      <c r="AJ9" s="11" t="s">
        <v>5044</v>
      </c>
      <c r="AK9" s="11" t="s">
        <v>5318</v>
      </c>
      <c r="AL9" s="11" t="s">
        <v>5041</v>
      </c>
      <c r="AM9" s="11">
        <v>0</v>
      </c>
      <c r="AN9" s="11" t="s">
        <v>5318</v>
      </c>
      <c r="AO9" s="11" t="s">
        <v>5318</v>
      </c>
      <c r="AP9" s="11" t="s">
        <v>5318</v>
      </c>
      <c r="AQ9" s="11" t="s">
        <v>5318</v>
      </c>
    </row>
    <row r="10" spans="1:43" ht="63" customHeight="1" x14ac:dyDescent="0.2">
      <c r="A10" s="10">
        <v>80</v>
      </c>
      <c r="B10" s="11" t="s">
        <v>6537</v>
      </c>
      <c r="C10" s="11" t="s">
        <v>50</v>
      </c>
      <c r="D10" s="11">
        <v>2019</v>
      </c>
      <c r="E10" s="11" t="s">
        <v>5318</v>
      </c>
      <c r="F10" s="11">
        <v>20</v>
      </c>
      <c r="G10" s="11">
        <v>1</v>
      </c>
      <c r="H10" s="11" t="s">
        <v>6538</v>
      </c>
      <c r="I10" s="11" t="s">
        <v>6516</v>
      </c>
      <c r="J10" s="11" t="s">
        <v>6539</v>
      </c>
      <c r="K10" s="11" t="s">
        <v>54</v>
      </c>
      <c r="L10" s="11" t="s">
        <v>5055</v>
      </c>
      <c r="M10" s="11">
        <v>1</v>
      </c>
      <c r="N10" s="11">
        <v>0</v>
      </c>
      <c r="O10" s="9" t="s">
        <v>5044</v>
      </c>
      <c r="P10" s="11">
        <v>0</v>
      </c>
      <c r="Q10" s="11">
        <v>0</v>
      </c>
      <c r="R10" s="11">
        <v>0</v>
      </c>
      <c r="S10" s="11">
        <v>3</v>
      </c>
      <c r="T10" s="11">
        <v>4</v>
      </c>
      <c r="U10" s="11">
        <v>208</v>
      </c>
      <c r="V10" s="11">
        <v>0</v>
      </c>
      <c r="W10" s="11">
        <v>1</v>
      </c>
      <c r="X10" s="11">
        <v>0</v>
      </c>
      <c r="Y10" s="11">
        <v>0</v>
      </c>
      <c r="Z10" s="11">
        <v>0</v>
      </c>
      <c r="AA10" s="11">
        <v>0</v>
      </c>
      <c r="AB10" s="11">
        <v>1</v>
      </c>
      <c r="AC10" s="11" t="s">
        <v>5044</v>
      </c>
      <c r="AD10" s="11" t="s">
        <v>5044</v>
      </c>
      <c r="AE10" s="11" t="s">
        <v>5044</v>
      </c>
      <c r="AF10" s="11" t="s">
        <v>5044</v>
      </c>
      <c r="AG10" s="11" t="s">
        <v>5044</v>
      </c>
      <c r="AH10" s="11" t="s">
        <v>5044</v>
      </c>
      <c r="AI10" s="11" t="s">
        <v>5044</v>
      </c>
      <c r="AJ10" s="11" t="s">
        <v>5044</v>
      </c>
      <c r="AK10" s="11" t="s">
        <v>5318</v>
      </c>
      <c r="AL10" s="11" t="s">
        <v>5041</v>
      </c>
      <c r="AM10" s="11">
        <v>0</v>
      </c>
      <c r="AN10" s="11" t="s">
        <v>5318</v>
      </c>
      <c r="AO10" s="11" t="s">
        <v>5318</v>
      </c>
      <c r="AP10" s="11" t="s">
        <v>5318</v>
      </c>
      <c r="AQ10" s="11" t="s">
        <v>5318</v>
      </c>
    </row>
    <row r="11" spans="1:43" ht="63" customHeight="1" x14ac:dyDescent="0.2">
      <c r="A11" s="10">
        <v>82</v>
      </c>
      <c r="B11" s="11" t="s">
        <v>6540</v>
      </c>
      <c r="C11" s="11" t="s">
        <v>55</v>
      </c>
      <c r="D11" s="11">
        <v>2016</v>
      </c>
      <c r="E11" s="11" t="s">
        <v>5318</v>
      </c>
      <c r="F11" s="11">
        <v>95</v>
      </c>
      <c r="G11" s="11">
        <v>27</v>
      </c>
      <c r="H11" s="11" t="s">
        <v>6541</v>
      </c>
      <c r="I11" s="11" t="s">
        <v>6516</v>
      </c>
      <c r="J11" s="11" t="s">
        <v>6542</v>
      </c>
      <c r="K11" s="11" t="s">
        <v>60</v>
      </c>
      <c r="L11" s="12" t="s">
        <v>5057</v>
      </c>
      <c r="M11" s="11">
        <v>0</v>
      </c>
      <c r="N11" s="9" t="s">
        <v>5044</v>
      </c>
      <c r="O11" s="9" t="s">
        <v>5044</v>
      </c>
      <c r="P11" s="11">
        <v>0</v>
      </c>
      <c r="Q11" s="11">
        <v>0</v>
      </c>
      <c r="R11" s="11">
        <v>0</v>
      </c>
      <c r="S11" s="11">
        <v>1</v>
      </c>
      <c r="T11" s="11">
        <v>4</v>
      </c>
      <c r="U11" s="11">
        <v>101</v>
      </c>
      <c r="V11" s="11">
        <v>0</v>
      </c>
      <c r="W11" s="11">
        <v>1</v>
      </c>
      <c r="X11" s="11">
        <v>0</v>
      </c>
      <c r="Y11" s="11">
        <v>0</v>
      </c>
      <c r="Z11" s="11">
        <v>0</v>
      </c>
      <c r="AA11" s="11">
        <v>0</v>
      </c>
      <c r="AB11" s="11">
        <v>1</v>
      </c>
      <c r="AC11" s="11">
        <v>1</v>
      </c>
      <c r="AD11" s="11" t="s">
        <v>5044</v>
      </c>
      <c r="AE11" s="11" t="s">
        <v>5044</v>
      </c>
      <c r="AF11" s="11" t="s">
        <v>5044</v>
      </c>
      <c r="AG11" s="11">
        <v>2</v>
      </c>
      <c r="AH11" s="11">
        <v>2</v>
      </c>
      <c r="AI11" s="11">
        <v>2</v>
      </c>
      <c r="AJ11" s="11" t="s">
        <v>5044</v>
      </c>
      <c r="AK11" s="11" t="s">
        <v>5318</v>
      </c>
      <c r="AL11" s="11">
        <v>1</v>
      </c>
      <c r="AM11" s="11">
        <v>0</v>
      </c>
      <c r="AN11" s="11" t="s">
        <v>5318</v>
      </c>
      <c r="AO11" s="11" t="s">
        <v>5318</v>
      </c>
      <c r="AP11" s="11" t="s">
        <v>5318</v>
      </c>
      <c r="AQ11" s="11" t="s">
        <v>5318</v>
      </c>
    </row>
    <row r="12" spans="1:43" ht="63" customHeight="1" x14ac:dyDescent="0.2">
      <c r="A12" s="10">
        <v>111</v>
      </c>
      <c r="B12" s="11" t="s">
        <v>6543</v>
      </c>
      <c r="C12" s="11" t="s">
        <v>61</v>
      </c>
      <c r="D12" s="11">
        <v>2021</v>
      </c>
      <c r="E12" s="11" t="s">
        <v>5318</v>
      </c>
      <c r="F12" s="11">
        <v>131</v>
      </c>
      <c r="G12" s="11">
        <v>1</v>
      </c>
      <c r="H12" s="11" t="s">
        <v>6544</v>
      </c>
      <c r="I12" s="11" t="s">
        <v>6516</v>
      </c>
      <c r="J12" s="11" t="s">
        <v>6545</v>
      </c>
      <c r="K12" s="11" t="s">
        <v>63</v>
      </c>
      <c r="L12" s="11" t="s">
        <v>5064</v>
      </c>
      <c r="M12" s="11">
        <v>0</v>
      </c>
      <c r="N12" s="9" t="s">
        <v>5044</v>
      </c>
      <c r="O12" s="9" t="s">
        <v>5044</v>
      </c>
      <c r="P12" s="11">
        <v>0</v>
      </c>
      <c r="Q12" s="11">
        <v>0</v>
      </c>
      <c r="R12" s="11">
        <v>0</v>
      </c>
      <c r="S12" s="11">
        <v>9</v>
      </c>
      <c r="T12" s="11">
        <v>4</v>
      </c>
      <c r="U12" s="11">
        <v>220</v>
      </c>
      <c r="V12" s="11">
        <v>1</v>
      </c>
      <c r="W12" s="11">
        <v>1</v>
      </c>
      <c r="X12" s="11">
        <v>0</v>
      </c>
      <c r="Y12" s="11">
        <v>0</v>
      </c>
      <c r="Z12" s="11">
        <v>0</v>
      </c>
      <c r="AA12" s="11">
        <v>0</v>
      </c>
      <c r="AB12" s="11">
        <v>1</v>
      </c>
      <c r="AC12" s="11">
        <v>1</v>
      </c>
      <c r="AD12" s="11">
        <v>2</v>
      </c>
      <c r="AE12" s="11">
        <v>1</v>
      </c>
      <c r="AF12" s="11">
        <v>1</v>
      </c>
      <c r="AG12" s="11">
        <v>1</v>
      </c>
      <c r="AH12" s="11">
        <v>0</v>
      </c>
      <c r="AI12" s="11">
        <v>0</v>
      </c>
      <c r="AJ12" s="11" t="s">
        <v>5044</v>
      </c>
      <c r="AK12" s="11" t="s">
        <v>5318</v>
      </c>
      <c r="AL12" s="11">
        <v>1</v>
      </c>
      <c r="AM12" s="11">
        <v>0</v>
      </c>
      <c r="AN12" s="11" t="s">
        <v>5318</v>
      </c>
      <c r="AO12" s="11" t="s">
        <v>5318</v>
      </c>
      <c r="AP12" s="11" t="s">
        <v>5318</v>
      </c>
      <c r="AQ12" s="11" t="s">
        <v>5318</v>
      </c>
    </row>
    <row r="13" spans="1:43" ht="63" customHeight="1" x14ac:dyDescent="0.2">
      <c r="A13" s="10">
        <v>131</v>
      </c>
      <c r="B13" s="11" t="s">
        <v>6546</v>
      </c>
      <c r="C13" s="11" t="s">
        <v>64</v>
      </c>
      <c r="D13" s="11">
        <v>2022</v>
      </c>
      <c r="E13" s="11" t="s">
        <v>5318</v>
      </c>
      <c r="F13" s="11">
        <v>22</v>
      </c>
      <c r="G13" s="11">
        <v>1</v>
      </c>
      <c r="H13" s="11" t="s">
        <v>6547</v>
      </c>
      <c r="I13" s="11" t="s">
        <v>6516</v>
      </c>
      <c r="J13" s="11" t="s">
        <v>6548</v>
      </c>
      <c r="K13" s="11" t="s">
        <v>67</v>
      </c>
      <c r="L13" s="12" t="s">
        <v>5065</v>
      </c>
      <c r="M13" s="11">
        <v>1</v>
      </c>
      <c r="N13" s="11">
        <v>0</v>
      </c>
      <c r="O13" s="9" t="s">
        <v>5044</v>
      </c>
      <c r="P13" s="11">
        <v>0</v>
      </c>
      <c r="Q13" s="11">
        <v>0</v>
      </c>
      <c r="R13" s="11">
        <v>0</v>
      </c>
      <c r="S13" s="11">
        <v>1</v>
      </c>
      <c r="T13" s="11">
        <v>4</v>
      </c>
      <c r="U13" s="11">
        <v>128</v>
      </c>
      <c r="V13" s="11">
        <v>1</v>
      </c>
      <c r="W13" s="11">
        <v>0</v>
      </c>
      <c r="X13" s="11">
        <v>0</v>
      </c>
      <c r="Y13" s="11">
        <v>0</v>
      </c>
      <c r="Z13" s="11">
        <v>0</v>
      </c>
      <c r="AA13" s="11">
        <v>0</v>
      </c>
      <c r="AB13" s="11">
        <v>1</v>
      </c>
      <c r="AC13" s="11" t="s">
        <v>5044</v>
      </c>
      <c r="AD13" s="11" t="s">
        <v>5044</v>
      </c>
      <c r="AE13" s="11" t="s">
        <v>5044</v>
      </c>
      <c r="AF13" s="11" t="s">
        <v>5044</v>
      </c>
      <c r="AG13" s="11" t="s">
        <v>5044</v>
      </c>
      <c r="AH13" s="11" t="s">
        <v>5044</v>
      </c>
      <c r="AI13" s="11" t="s">
        <v>5044</v>
      </c>
      <c r="AJ13" s="11" t="s">
        <v>5044</v>
      </c>
      <c r="AK13" s="11" t="s">
        <v>5318</v>
      </c>
      <c r="AL13" s="11" t="s">
        <v>5041</v>
      </c>
      <c r="AM13" s="11">
        <v>0</v>
      </c>
      <c r="AN13" s="11" t="s">
        <v>5318</v>
      </c>
      <c r="AO13" s="11" t="s">
        <v>5318</v>
      </c>
      <c r="AP13" s="11" t="s">
        <v>5318</v>
      </c>
      <c r="AQ13" s="11" t="s">
        <v>5318</v>
      </c>
    </row>
    <row r="14" spans="1:43" ht="63" customHeight="1" x14ac:dyDescent="0.2">
      <c r="A14" s="10">
        <v>134</v>
      </c>
      <c r="B14" s="11" t="s">
        <v>6549</v>
      </c>
      <c r="C14" s="11" t="s">
        <v>68</v>
      </c>
      <c r="D14" s="11">
        <v>2021</v>
      </c>
      <c r="E14" s="11" t="s">
        <v>5318</v>
      </c>
      <c r="F14" s="11">
        <v>27</v>
      </c>
      <c r="G14" s="11">
        <v>5</v>
      </c>
      <c r="H14" s="11" t="s">
        <v>6550</v>
      </c>
      <c r="I14" s="11" t="s">
        <v>6516</v>
      </c>
      <c r="J14" s="11" t="s">
        <v>6551</v>
      </c>
      <c r="K14" s="11" t="s">
        <v>69</v>
      </c>
      <c r="L14" s="11" t="s">
        <v>5044</v>
      </c>
      <c r="M14" s="11">
        <v>0</v>
      </c>
      <c r="N14" s="9" t="s">
        <v>5044</v>
      </c>
      <c r="O14" s="9" t="s">
        <v>5044</v>
      </c>
      <c r="P14" s="11">
        <v>0</v>
      </c>
      <c r="Q14" s="11">
        <v>0</v>
      </c>
      <c r="R14" s="11">
        <v>0</v>
      </c>
      <c r="S14" s="11">
        <v>1</v>
      </c>
      <c r="T14" s="11">
        <v>2</v>
      </c>
      <c r="U14" s="11">
        <v>87</v>
      </c>
      <c r="V14" s="11">
        <v>0</v>
      </c>
      <c r="W14" s="11">
        <v>1</v>
      </c>
      <c r="X14" s="11">
        <v>0</v>
      </c>
      <c r="Y14" s="11">
        <v>0</v>
      </c>
      <c r="Z14" s="11">
        <v>0</v>
      </c>
      <c r="AA14" s="11">
        <v>0</v>
      </c>
      <c r="AB14" s="11">
        <v>1</v>
      </c>
      <c r="AC14" s="11">
        <v>1</v>
      </c>
      <c r="AD14" s="11" t="s">
        <v>5044</v>
      </c>
      <c r="AE14" s="11" t="s">
        <v>5044</v>
      </c>
      <c r="AF14" s="11" t="s">
        <v>5044</v>
      </c>
      <c r="AG14" s="11">
        <v>1</v>
      </c>
      <c r="AH14" s="11">
        <v>0</v>
      </c>
      <c r="AI14" s="11">
        <v>0</v>
      </c>
      <c r="AJ14" s="11" t="s">
        <v>5044</v>
      </c>
      <c r="AK14" s="11" t="s">
        <v>5318</v>
      </c>
      <c r="AL14" s="11">
        <v>0</v>
      </c>
      <c r="AM14" s="11">
        <v>0</v>
      </c>
      <c r="AN14" s="11" t="s">
        <v>5318</v>
      </c>
      <c r="AO14" s="11" t="s">
        <v>5318</v>
      </c>
      <c r="AP14" s="11" t="s">
        <v>5318</v>
      </c>
      <c r="AQ14" s="11" t="s">
        <v>5318</v>
      </c>
    </row>
    <row r="15" spans="1:43" ht="63" customHeight="1" x14ac:dyDescent="0.2">
      <c r="A15" s="10">
        <v>145</v>
      </c>
      <c r="B15" s="11" t="s">
        <v>6552</v>
      </c>
      <c r="C15" s="11" t="s">
        <v>70</v>
      </c>
      <c r="D15" s="11">
        <v>2018</v>
      </c>
      <c r="E15" s="11" t="s">
        <v>5318</v>
      </c>
      <c r="F15" s="11">
        <v>163</v>
      </c>
      <c r="G15" s="11">
        <v>2</v>
      </c>
      <c r="H15" s="11" t="s">
        <v>6553</v>
      </c>
      <c r="I15" s="11" t="s">
        <v>6516</v>
      </c>
      <c r="J15" s="11" t="s">
        <v>6554</v>
      </c>
      <c r="K15" s="11" t="s">
        <v>72</v>
      </c>
      <c r="L15" s="11" t="s">
        <v>5066</v>
      </c>
      <c r="M15" s="11">
        <v>0</v>
      </c>
      <c r="N15" s="9" t="s">
        <v>5044</v>
      </c>
      <c r="O15" s="9" t="s">
        <v>5044</v>
      </c>
      <c r="P15" s="11">
        <v>0</v>
      </c>
      <c r="Q15" s="11">
        <v>0</v>
      </c>
      <c r="R15" s="11">
        <v>0</v>
      </c>
      <c r="S15" s="11">
        <v>1</v>
      </c>
      <c r="T15" s="11">
        <v>4</v>
      </c>
      <c r="U15" s="11">
        <v>438</v>
      </c>
      <c r="V15" s="11">
        <v>0</v>
      </c>
      <c r="W15" s="11">
        <v>1</v>
      </c>
      <c r="X15" s="11">
        <v>0</v>
      </c>
      <c r="Y15" s="11">
        <v>0</v>
      </c>
      <c r="Z15" s="11">
        <v>0</v>
      </c>
      <c r="AA15" s="11">
        <v>0</v>
      </c>
      <c r="AB15" s="11">
        <v>1</v>
      </c>
      <c r="AC15" s="11">
        <v>1</v>
      </c>
      <c r="AD15" s="11" t="s">
        <v>5044</v>
      </c>
      <c r="AE15" s="11" t="s">
        <v>5044</v>
      </c>
      <c r="AF15" s="11" t="s">
        <v>5044</v>
      </c>
      <c r="AG15" s="11">
        <v>1</v>
      </c>
      <c r="AH15" s="11">
        <v>0</v>
      </c>
      <c r="AI15" s="11">
        <v>0</v>
      </c>
      <c r="AJ15" s="11" t="s">
        <v>5044</v>
      </c>
      <c r="AK15" s="11" t="s">
        <v>5318</v>
      </c>
      <c r="AL15" s="11">
        <v>0</v>
      </c>
      <c r="AM15" s="11">
        <v>0</v>
      </c>
      <c r="AN15" s="11" t="s">
        <v>5318</v>
      </c>
      <c r="AO15" s="11" t="s">
        <v>5318</v>
      </c>
      <c r="AP15" s="11" t="s">
        <v>5318</v>
      </c>
      <c r="AQ15" s="11" t="s">
        <v>5318</v>
      </c>
    </row>
    <row r="16" spans="1:43" ht="63" customHeight="1" x14ac:dyDescent="0.2">
      <c r="A16" s="10">
        <v>157</v>
      </c>
      <c r="B16" s="11" t="s">
        <v>6555</v>
      </c>
      <c r="C16" s="11" t="s">
        <v>73</v>
      </c>
      <c r="D16" s="11">
        <v>2023</v>
      </c>
      <c r="E16" s="11" t="s">
        <v>5318</v>
      </c>
      <c r="F16" s="11">
        <v>131</v>
      </c>
      <c r="G16" s="11" t="s">
        <v>5318</v>
      </c>
      <c r="H16" s="11" t="s">
        <v>6556</v>
      </c>
      <c r="I16" s="11" t="s">
        <v>6516</v>
      </c>
      <c r="J16" s="11" t="s">
        <v>6557</v>
      </c>
      <c r="K16" s="11" t="s">
        <v>76</v>
      </c>
      <c r="L16" s="11" t="s">
        <v>5067</v>
      </c>
      <c r="M16" s="11">
        <v>0</v>
      </c>
      <c r="N16" s="9" t="s">
        <v>5044</v>
      </c>
      <c r="O16" s="9" t="s">
        <v>5044</v>
      </c>
      <c r="P16" s="11">
        <v>0</v>
      </c>
      <c r="Q16" s="11">
        <v>0</v>
      </c>
      <c r="R16" s="11">
        <v>0</v>
      </c>
      <c r="S16" s="11">
        <v>1</v>
      </c>
      <c r="T16" s="11">
        <v>4</v>
      </c>
      <c r="U16" s="11">
        <v>340</v>
      </c>
      <c r="V16" s="11">
        <v>0</v>
      </c>
      <c r="W16" s="11">
        <v>1</v>
      </c>
      <c r="X16" s="11">
        <v>0</v>
      </c>
      <c r="Y16" s="11">
        <v>0</v>
      </c>
      <c r="Z16" s="11">
        <v>0</v>
      </c>
      <c r="AA16" s="11">
        <v>0</v>
      </c>
      <c r="AB16" s="11">
        <v>1</v>
      </c>
      <c r="AC16" s="11">
        <v>1</v>
      </c>
      <c r="AD16" s="11" t="s">
        <v>5044</v>
      </c>
      <c r="AE16" s="11" t="s">
        <v>5044</v>
      </c>
      <c r="AF16" s="11" t="s">
        <v>5044</v>
      </c>
      <c r="AG16" s="11">
        <v>1</v>
      </c>
      <c r="AH16" s="11">
        <v>0</v>
      </c>
      <c r="AI16" s="11">
        <v>0</v>
      </c>
      <c r="AJ16" s="11" t="s">
        <v>5044</v>
      </c>
      <c r="AK16" s="11" t="s">
        <v>5318</v>
      </c>
      <c r="AL16" s="11">
        <v>0</v>
      </c>
      <c r="AM16" s="11">
        <v>0</v>
      </c>
      <c r="AN16" s="11" t="s">
        <v>5318</v>
      </c>
      <c r="AO16" s="11" t="s">
        <v>5318</v>
      </c>
      <c r="AP16" s="11" t="s">
        <v>5318</v>
      </c>
      <c r="AQ16" s="11" t="s">
        <v>5318</v>
      </c>
    </row>
    <row r="17" spans="1:43" ht="63" customHeight="1" x14ac:dyDescent="0.2">
      <c r="A17" s="10">
        <v>158</v>
      </c>
      <c r="B17" s="11" t="s">
        <v>6558</v>
      </c>
      <c r="C17" s="11" t="s">
        <v>77</v>
      </c>
      <c r="D17" s="11">
        <v>2018</v>
      </c>
      <c r="E17" s="11" t="s">
        <v>5318</v>
      </c>
      <c r="F17" s="11">
        <v>131</v>
      </c>
      <c r="G17" s="11">
        <v>4</v>
      </c>
      <c r="H17" s="11" t="s">
        <v>6559</v>
      </c>
      <c r="I17" s="11" t="s">
        <v>6516</v>
      </c>
      <c r="J17" s="11" t="s">
        <v>6560</v>
      </c>
      <c r="K17" s="11" t="s">
        <v>78</v>
      </c>
      <c r="L17" s="11" t="s">
        <v>5044</v>
      </c>
      <c r="M17" s="11">
        <v>0</v>
      </c>
      <c r="N17" s="9" t="s">
        <v>5044</v>
      </c>
      <c r="O17" s="9" t="s">
        <v>5044</v>
      </c>
      <c r="P17" s="11">
        <v>0</v>
      </c>
      <c r="Q17" s="11">
        <v>0</v>
      </c>
      <c r="R17" s="11">
        <v>0</v>
      </c>
      <c r="S17" s="11">
        <v>1</v>
      </c>
      <c r="T17" s="11">
        <v>4</v>
      </c>
      <c r="U17" s="11">
        <v>114</v>
      </c>
      <c r="V17" s="11">
        <v>0</v>
      </c>
      <c r="W17" s="11">
        <v>1</v>
      </c>
      <c r="X17" s="11">
        <v>0</v>
      </c>
      <c r="Y17" s="11">
        <v>0</v>
      </c>
      <c r="Z17" s="11">
        <v>0</v>
      </c>
      <c r="AA17" s="11">
        <v>0</v>
      </c>
      <c r="AB17" s="11">
        <v>1</v>
      </c>
      <c r="AC17" s="11">
        <v>1</v>
      </c>
      <c r="AD17" s="11" t="s">
        <v>5044</v>
      </c>
      <c r="AE17" s="11" t="s">
        <v>5044</v>
      </c>
      <c r="AF17" s="11" t="s">
        <v>5044</v>
      </c>
      <c r="AG17" s="11">
        <v>1</v>
      </c>
      <c r="AH17" s="11">
        <v>0</v>
      </c>
      <c r="AI17" s="11">
        <v>0</v>
      </c>
      <c r="AJ17" s="11" t="s">
        <v>5044</v>
      </c>
      <c r="AK17" s="11" t="s">
        <v>5318</v>
      </c>
      <c r="AL17" s="11">
        <v>1</v>
      </c>
      <c r="AM17" s="11">
        <v>0</v>
      </c>
      <c r="AN17" s="11" t="s">
        <v>5318</v>
      </c>
      <c r="AO17" s="11" t="s">
        <v>5318</v>
      </c>
      <c r="AP17" s="11" t="s">
        <v>5318</v>
      </c>
      <c r="AQ17" s="11" t="s">
        <v>5318</v>
      </c>
    </row>
    <row r="18" spans="1:43" ht="63" customHeight="1" x14ac:dyDescent="0.2">
      <c r="A18" s="10">
        <v>164</v>
      </c>
      <c r="B18" s="11" t="s">
        <v>6561</v>
      </c>
      <c r="C18" s="11" t="s">
        <v>79</v>
      </c>
      <c r="D18" s="11">
        <v>2023</v>
      </c>
      <c r="E18" s="11" t="s">
        <v>5318</v>
      </c>
      <c r="F18" s="11">
        <v>102</v>
      </c>
      <c r="G18" s="11" t="s">
        <v>5318</v>
      </c>
      <c r="H18" s="11" t="s">
        <v>6562</v>
      </c>
      <c r="I18" s="11" t="s">
        <v>6516</v>
      </c>
      <c r="J18" s="11" t="s">
        <v>6563</v>
      </c>
      <c r="K18" s="11" t="s">
        <v>81</v>
      </c>
      <c r="L18" s="11" t="s">
        <v>5068</v>
      </c>
      <c r="M18" s="11">
        <v>0</v>
      </c>
      <c r="N18" s="9" t="s">
        <v>5044</v>
      </c>
      <c r="O18" s="9" t="s">
        <v>5044</v>
      </c>
      <c r="P18" s="11">
        <v>0</v>
      </c>
      <c r="Q18" s="11">
        <v>0</v>
      </c>
      <c r="R18" s="11">
        <v>0</v>
      </c>
      <c r="S18" s="11">
        <v>9</v>
      </c>
      <c r="T18" s="11">
        <v>4</v>
      </c>
      <c r="U18" s="11">
        <v>118</v>
      </c>
      <c r="V18" s="11">
        <v>0</v>
      </c>
      <c r="W18" s="11">
        <v>1</v>
      </c>
      <c r="X18" s="11">
        <v>0</v>
      </c>
      <c r="Y18" s="11">
        <v>0</v>
      </c>
      <c r="Z18" s="11">
        <v>0</v>
      </c>
      <c r="AA18" s="11">
        <v>0</v>
      </c>
      <c r="AB18" s="11">
        <v>1</v>
      </c>
      <c r="AC18" s="11">
        <v>1</v>
      </c>
      <c r="AD18" s="11" t="s">
        <v>5044</v>
      </c>
      <c r="AE18" s="11" t="s">
        <v>5044</v>
      </c>
      <c r="AF18" s="11" t="s">
        <v>5044</v>
      </c>
      <c r="AG18" s="11">
        <v>2</v>
      </c>
      <c r="AH18" s="11">
        <v>1</v>
      </c>
      <c r="AI18" s="11">
        <v>1</v>
      </c>
      <c r="AJ18" s="11" t="s">
        <v>5044</v>
      </c>
      <c r="AK18" s="11" t="s">
        <v>5318</v>
      </c>
      <c r="AL18" s="11">
        <v>1</v>
      </c>
      <c r="AM18" s="11">
        <v>0</v>
      </c>
      <c r="AN18" s="11" t="s">
        <v>5318</v>
      </c>
      <c r="AO18" s="11" t="s">
        <v>5318</v>
      </c>
      <c r="AP18" s="11" t="s">
        <v>5318</v>
      </c>
      <c r="AQ18" s="11" t="s">
        <v>5318</v>
      </c>
    </row>
    <row r="19" spans="1:43" ht="63" customHeight="1" x14ac:dyDescent="0.2">
      <c r="A19" s="10">
        <v>165</v>
      </c>
      <c r="B19" s="11" t="s">
        <v>6564</v>
      </c>
      <c r="C19" s="11" t="s">
        <v>82</v>
      </c>
      <c r="D19" s="11">
        <v>2023</v>
      </c>
      <c r="E19" s="11" t="s">
        <v>5318</v>
      </c>
      <c r="F19" s="11">
        <v>32</v>
      </c>
      <c r="G19" s="11">
        <v>1</v>
      </c>
      <c r="H19" s="11" t="s">
        <v>6565</v>
      </c>
      <c r="I19" s="11" t="s">
        <v>6516</v>
      </c>
      <c r="J19" s="11" t="s">
        <v>6566</v>
      </c>
      <c r="K19" s="11" t="s">
        <v>84</v>
      </c>
      <c r="L19" s="12" t="s">
        <v>5069</v>
      </c>
      <c r="M19" s="11">
        <v>0</v>
      </c>
      <c r="N19" s="9" t="s">
        <v>5044</v>
      </c>
      <c r="O19" s="9" t="s">
        <v>5044</v>
      </c>
      <c r="P19" s="11">
        <v>0</v>
      </c>
      <c r="Q19" s="11">
        <v>0</v>
      </c>
      <c r="R19" s="11">
        <v>0</v>
      </c>
      <c r="S19" s="11">
        <v>9</v>
      </c>
      <c r="T19" s="11">
        <v>4</v>
      </c>
      <c r="U19" s="11">
        <v>60</v>
      </c>
      <c r="V19" s="11">
        <v>0</v>
      </c>
      <c r="W19" s="11">
        <v>1</v>
      </c>
      <c r="X19" s="11">
        <v>0</v>
      </c>
      <c r="Y19" s="11">
        <v>0</v>
      </c>
      <c r="Z19" s="11">
        <v>0</v>
      </c>
      <c r="AA19" s="11">
        <v>0</v>
      </c>
      <c r="AB19" s="11">
        <v>1</v>
      </c>
      <c r="AC19" s="11">
        <v>1</v>
      </c>
      <c r="AD19" s="11" t="s">
        <v>5044</v>
      </c>
      <c r="AE19" s="11" t="s">
        <v>5044</v>
      </c>
      <c r="AF19" s="11" t="s">
        <v>5044</v>
      </c>
      <c r="AG19" s="11">
        <v>2</v>
      </c>
      <c r="AH19" s="11">
        <v>1</v>
      </c>
      <c r="AI19" s="11">
        <v>1</v>
      </c>
      <c r="AJ19" s="11" t="s">
        <v>5044</v>
      </c>
      <c r="AK19" s="11" t="s">
        <v>5318</v>
      </c>
      <c r="AL19" s="11">
        <v>1</v>
      </c>
      <c r="AM19" s="11">
        <v>0</v>
      </c>
      <c r="AN19" s="11" t="s">
        <v>5318</v>
      </c>
      <c r="AO19" s="11" t="s">
        <v>5318</v>
      </c>
      <c r="AP19" s="11" t="s">
        <v>5318</v>
      </c>
      <c r="AQ19" s="11" t="s">
        <v>5318</v>
      </c>
    </row>
    <row r="20" spans="1:43" ht="63" customHeight="1" x14ac:dyDescent="0.2">
      <c r="A20" s="10">
        <v>166</v>
      </c>
      <c r="B20" s="22" t="s">
        <v>6567</v>
      </c>
      <c r="C20" s="11" t="s">
        <v>85</v>
      </c>
      <c r="D20" s="11">
        <v>2016</v>
      </c>
      <c r="E20" s="11" t="s">
        <v>5318</v>
      </c>
      <c r="F20" s="11">
        <v>27</v>
      </c>
      <c r="G20" s="11">
        <v>1</v>
      </c>
      <c r="H20" s="11" t="s">
        <v>6568</v>
      </c>
      <c r="I20" s="11" t="s">
        <v>6516</v>
      </c>
      <c r="J20" s="11" t="s">
        <v>6569</v>
      </c>
      <c r="K20" s="11" t="s">
        <v>87</v>
      </c>
      <c r="L20" s="11" t="s">
        <v>5044</v>
      </c>
      <c r="M20" s="11">
        <v>0</v>
      </c>
      <c r="N20" s="9" t="s">
        <v>5044</v>
      </c>
      <c r="O20" s="9" t="s">
        <v>5044</v>
      </c>
      <c r="P20" s="11">
        <v>0</v>
      </c>
      <c r="Q20" s="11">
        <v>0</v>
      </c>
      <c r="R20" s="11">
        <v>0</v>
      </c>
      <c r="S20" s="11">
        <v>5</v>
      </c>
      <c r="T20" s="11">
        <v>4</v>
      </c>
      <c r="U20" s="11">
        <v>140</v>
      </c>
      <c r="V20" s="11">
        <v>1</v>
      </c>
      <c r="W20" s="11">
        <v>0</v>
      </c>
      <c r="X20" s="11">
        <v>0</v>
      </c>
      <c r="Y20" s="11">
        <v>0</v>
      </c>
      <c r="Z20" s="11">
        <v>0</v>
      </c>
      <c r="AA20" s="11">
        <v>0</v>
      </c>
      <c r="AB20" s="11">
        <v>1</v>
      </c>
      <c r="AC20" s="11">
        <v>1</v>
      </c>
      <c r="AD20" s="11">
        <v>2</v>
      </c>
      <c r="AE20" s="11">
        <v>3</v>
      </c>
      <c r="AF20" s="11">
        <v>0</v>
      </c>
      <c r="AG20" s="22" t="s">
        <v>5044</v>
      </c>
      <c r="AH20" s="11" t="s">
        <v>5044</v>
      </c>
      <c r="AI20" s="11" t="s">
        <v>5044</v>
      </c>
      <c r="AJ20" s="11" t="s">
        <v>5044</v>
      </c>
      <c r="AK20" s="11" t="s">
        <v>5318</v>
      </c>
      <c r="AL20" s="11">
        <v>1</v>
      </c>
      <c r="AM20" s="11">
        <v>0</v>
      </c>
      <c r="AN20" s="11" t="s">
        <v>5318</v>
      </c>
      <c r="AO20" s="11" t="s">
        <v>5318</v>
      </c>
      <c r="AP20" s="11" t="s">
        <v>5318</v>
      </c>
      <c r="AQ20" s="11" t="s">
        <v>5318</v>
      </c>
    </row>
    <row r="21" spans="1:43" ht="63" customHeight="1" x14ac:dyDescent="0.2">
      <c r="A21" s="10">
        <v>190</v>
      </c>
      <c r="B21" s="11" t="s">
        <v>6570</v>
      </c>
      <c r="C21" s="11" t="s">
        <v>88</v>
      </c>
      <c r="D21" s="11">
        <v>2023</v>
      </c>
      <c r="E21" s="11" t="s">
        <v>5318</v>
      </c>
      <c r="F21" s="11">
        <v>131</v>
      </c>
      <c r="G21" s="11">
        <v>2</v>
      </c>
      <c r="H21" s="11" t="s">
        <v>6454</v>
      </c>
      <c r="I21" s="11" t="s">
        <v>6516</v>
      </c>
      <c r="J21" s="11" t="s">
        <v>6571</v>
      </c>
      <c r="K21" s="11" t="s">
        <v>90</v>
      </c>
      <c r="L21" s="11" t="s">
        <v>5070</v>
      </c>
      <c r="M21" s="11">
        <v>0</v>
      </c>
      <c r="N21" s="9" t="s">
        <v>5044</v>
      </c>
      <c r="O21" s="9" t="s">
        <v>5044</v>
      </c>
      <c r="P21" s="11">
        <v>0</v>
      </c>
      <c r="Q21" s="11">
        <v>0</v>
      </c>
      <c r="R21" s="11">
        <v>0</v>
      </c>
      <c r="S21" s="11">
        <v>9</v>
      </c>
      <c r="T21" s="11">
        <v>4</v>
      </c>
      <c r="U21" s="11">
        <v>200</v>
      </c>
      <c r="V21" s="11">
        <v>0</v>
      </c>
      <c r="W21" s="11">
        <v>1</v>
      </c>
      <c r="X21" s="11">
        <v>0</v>
      </c>
      <c r="Y21" s="11">
        <v>0</v>
      </c>
      <c r="Z21" s="11">
        <v>0</v>
      </c>
      <c r="AA21" s="11">
        <v>0</v>
      </c>
      <c r="AB21" s="11">
        <v>1</v>
      </c>
      <c r="AC21" s="11">
        <v>1</v>
      </c>
      <c r="AD21" s="11" t="s">
        <v>5044</v>
      </c>
      <c r="AE21" s="11" t="s">
        <v>5044</v>
      </c>
      <c r="AF21" s="11" t="s">
        <v>5044</v>
      </c>
      <c r="AG21" s="11">
        <v>2</v>
      </c>
      <c r="AH21" s="11">
        <v>1</v>
      </c>
      <c r="AI21" s="11">
        <v>1</v>
      </c>
      <c r="AJ21" s="11" t="s">
        <v>5044</v>
      </c>
      <c r="AK21" s="11" t="s">
        <v>5318</v>
      </c>
      <c r="AL21" s="11">
        <v>1</v>
      </c>
      <c r="AM21" s="11">
        <v>0</v>
      </c>
      <c r="AN21" s="11" t="s">
        <v>5318</v>
      </c>
      <c r="AO21" s="11" t="s">
        <v>5318</v>
      </c>
      <c r="AP21" s="11" t="s">
        <v>5318</v>
      </c>
      <c r="AQ21" s="11" t="s">
        <v>5318</v>
      </c>
    </row>
    <row r="22" spans="1:43" ht="63" customHeight="1" x14ac:dyDescent="0.2">
      <c r="A22" s="10">
        <v>213</v>
      </c>
      <c r="B22" s="11" t="s">
        <v>6572</v>
      </c>
      <c r="C22" s="11" t="s">
        <v>91</v>
      </c>
      <c r="D22" s="11">
        <v>2021</v>
      </c>
      <c r="E22" s="11" t="s">
        <v>5318</v>
      </c>
      <c r="F22" s="11">
        <v>27</v>
      </c>
      <c r="G22" s="11">
        <v>11</v>
      </c>
      <c r="H22" s="11" t="s">
        <v>6573</v>
      </c>
      <c r="I22" s="11" t="s">
        <v>6516</v>
      </c>
      <c r="J22" s="11" t="s">
        <v>6574</v>
      </c>
      <c r="K22" s="11" t="s">
        <v>93</v>
      </c>
      <c r="L22" s="11" t="s">
        <v>5071</v>
      </c>
      <c r="M22" s="11">
        <v>0</v>
      </c>
      <c r="N22" s="9" t="s">
        <v>5044</v>
      </c>
      <c r="O22" s="9" t="s">
        <v>5044</v>
      </c>
      <c r="P22" s="11">
        <v>0</v>
      </c>
      <c r="Q22" s="11">
        <v>0</v>
      </c>
      <c r="R22" s="11">
        <v>0</v>
      </c>
      <c r="S22" s="11">
        <v>1</v>
      </c>
      <c r="T22" s="11">
        <v>4</v>
      </c>
      <c r="U22" s="11">
        <v>302</v>
      </c>
      <c r="V22" s="11">
        <v>0</v>
      </c>
      <c r="W22" s="11">
        <v>1</v>
      </c>
      <c r="X22" s="11">
        <v>0</v>
      </c>
      <c r="Y22" s="11">
        <v>0</v>
      </c>
      <c r="Z22" s="11">
        <v>0</v>
      </c>
      <c r="AA22" s="11">
        <v>0</v>
      </c>
      <c r="AB22" s="11">
        <v>1</v>
      </c>
      <c r="AC22" s="11">
        <v>1</v>
      </c>
      <c r="AD22" s="11" t="s">
        <v>5044</v>
      </c>
      <c r="AE22" s="11" t="s">
        <v>5044</v>
      </c>
      <c r="AF22" s="11" t="s">
        <v>5044</v>
      </c>
      <c r="AG22" s="11">
        <v>2</v>
      </c>
      <c r="AH22" s="11">
        <v>1</v>
      </c>
      <c r="AI22" s="11">
        <v>2</v>
      </c>
      <c r="AJ22" s="11" t="s">
        <v>5044</v>
      </c>
      <c r="AK22" s="11" t="s">
        <v>5318</v>
      </c>
      <c r="AL22" s="11">
        <v>1</v>
      </c>
      <c r="AM22" s="11">
        <v>0</v>
      </c>
      <c r="AN22" s="11" t="s">
        <v>5318</v>
      </c>
      <c r="AO22" s="11" t="s">
        <v>5318</v>
      </c>
      <c r="AP22" s="11" t="s">
        <v>5318</v>
      </c>
      <c r="AQ22" s="11" t="s">
        <v>5318</v>
      </c>
    </row>
    <row r="23" spans="1:43" ht="63" customHeight="1" x14ac:dyDescent="0.2">
      <c r="A23" s="10">
        <v>219</v>
      </c>
      <c r="B23" s="11" t="s">
        <v>6575</v>
      </c>
      <c r="C23" s="11" t="s">
        <v>94</v>
      </c>
      <c r="D23" s="11">
        <v>2017</v>
      </c>
      <c r="E23" s="11" t="s">
        <v>5318</v>
      </c>
      <c r="F23" s="11">
        <v>143</v>
      </c>
      <c r="G23" s="11">
        <v>12</v>
      </c>
      <c r="H23" s="11" t="s">
        <v>6576</v>
      </c>
      <c r="I23" s="11" t="s">
        <v>6516</v>
      </c>
      <c r="J23" s="11" t="s">
        <v>6577</v>
      </c>
      <c r="K23" s="11" t="s">
        <v>96</v>
      </c>
      <c r="L23" s="12" t="s">
        <v>5072</v>
      </c>
      <c r="M23" s="11">
        <v>0</v>
      </c>
      <c r="N23" s="9" t="s">
        <v>5044</v>
      </c>
      <c r="O23" s="9" t="s">
        <v>5044</v>
      </c>
      <c r="P23" s="11">
        <v>0</v>
      </c>
      <c r="Q23" s="11">
        <v>0</v>
      </c>
      <c r="R23" s="11">
        <v>0</v>
      </c>
      <c r="S23" s="11">
        <v>1</v>
      </c>
      <c r="T23" s="11">
        <v>4</v>
      </c>
      <c r="U23" s="11">
        <v>696</v>
      </c>
      <c r="V23" s="11">
        <v>1</v>
      </c>
      <c r="W23" s="11">
        <v>0</v>
      </c>
      <c r="X23" s="11">
        <v>0</v>
      </c>
      <c r="Y23" s="11">
        <v>0</v>
      </c>
      <c r="Z23" s="11">
        <v>0</v>
      </c>
      <c r="AA23" s="11">
        <v>0</v>
      </c>
      <c r="AB23" s="11">
        <v>1</v>
      </c>
      <c r="AC23" s="11">
        <v>1</v>
      </c>
      <c r="AD23" s="11">
        <v>1</v>
      </c>
      <c r="AE23" s="11">
        <v>0</v>
      </c>
      <c r="AF23" s="11">
        <v>0</v>
      </c>
      <c r="AG23" s="11" t="s">
        <v>5044</v>
      </c>
      <c r="AH23" s="11" t="s">
        <v>5044</v>
      </c>
      <c r="AI23" s="11" t="s">
        <v>5044</v>
      </c>
      <c r="AJ23" s="11" t="s">
        <v>5044</v>
      </c>
      <c r="AK23" s="11" t="s">
        <v>5318</v>
      </c>
      <c r="AL23" s="11">
        <v>1</v>
      </c>
      <c r="AM23" s="11">
        <v>0</v>
      </c>
      <c r="AN23" s="11" t="s">
        <v>5073</v>
      </c>
      <c r="AO23" s="11" t="s">
        <v>5318</v>
      </c>
      <c r="AP23" s="11" t="s">
        <v>5318</v>
      </c>
      <c r="AQ23" s="11" t="s">
        <v>5318</v>
      </c>
    </row>
    <row r="24" spans="1:43" ht="63" customHeight="1" x14ac:dyDescent="0.2">
      <c r="A24" s="10">
        <v>223</v>
      </c>
      <c r="B24" s="11" t="s">
        <v>6578</v>
      </c>
      <c r="C24" s="11" t="s">
        <v>97</v>
      </c>
      <c r="D24" s="11">
        <v>2021</v>
      </c>
      <c r="E24" s="11" t="s">
        <v>5318</v>
      </c>
      <c r="F24" s="11">
        <v>68</v>
      </c>
      <c r="G24" s="11" t="s">
        <v>5318</v>
      </c>
      <c r="H24" s="11" t="s">
        <v>6579</v>
      </c>
      <c r="I24" s="11" t="s">
        <v>6516</v>
      </c>
      <c r="J24" s="11" t="s">
        <v>6580</v>
      </c>
      <c r="K24" s="11" t="s">
        <v>99</v>
      </c>
      <c r="L24" s="11" t="s">
        <v>5074</v>
      </c>
      <c r="M24" s="11">
        <v>0</v>
      </c>
      <c r="N24" s="9" t="s">
        <v>5044</v>
      </c>
      <c r="O24" s="9" t="s">
        <v>5044</v>
      </c>
      <c r="P24" s="11">
        <v>0</v>
      </c>
      <c r="Q24" s="11">
        <v>0</v>
      </c>
      <c r="R24" s="11">
        <v>0</v>
      </c>
      <c r="S24" s="11">
        <v>9</v>
      </c>
      <c r="T24" s="11">
        <v>4</v>
      </c>
      <c r="U24" s="11">
        <v>60</v>
      </c>
      <c r="V24" s="11">
        <v>0</v>
      </c>
      <c r="W24" s="11">
        <v>1</v>
      </c>
      <c r="X24" s="11">
        <v>0</v>
      </c>
      <c r="Y24" s="11">
        <v>0</v>
      </c>
      <c r="Z24" s="11">
        <v>0</v>
      </c>
      <c r="AA24" s="11">
        <v>0</v>
      </c>
      <c r="AB24" s="11">
        <v>1</v>
      </c>
      <c r="AC24" s="11">
        <v>1</v>
      </c>
      <c r="AD24" s="11" t="s">
        <v>5044</v>
      </c>
      <c r="AE24" s="11" t="s">
        <v>5044</v>
      </c>
      <c r="AF24" s="11" t="s">
        <v>5044</v>
      </c>
      <c r="AG24" s="11">
        <v>2</v>
      </c>
      <c r="AH24" s="11">
        <v>3</v>
      </c>
      <c r="AI24" s="11">
        <v>0</v>
      </c>
      <c r="AJ24" s="11" t="s">
        <v>5044</v>
      </c>
      <c r="AK24" s="11">
        <v>2</v>
      </c>
      <c r="AL24" s="11">
        <v>1</v>
      </c>
      <c r="AM24" s="11">
        <v>0</v>
      </c>
      <c r="AN24" s="11" t="s">
        <v>5318</v>
      </c>
      <c r="AO24" s="11" t="s">
        <v>5318</v>
      </c>
      <c r="AP24" s="11" t="s">
        <v>5318</v>
      </c>
      <c r="AQ24" s="11" t="s">
        <v>5318</v>
      </c>
    </row>
    <row r="25" spans="1:43" ht="63" customHeight="1" x14ac:dyDescent="0.2">
      <c r="A25" s="10">
        <v>237</v>
      </c>
      <c r="B25" s="11" t="s">
        <v>6581</v>
      </c>
      <c r="C25" s="11" t="s">
        <v>100</v>
      </c>
      <c r="D25" s="11">
        <v>2020</v>
      </c>
      <c r="E25" s="11" t="s">
        <v>5318</v>
      </c>
      <c r="F25" s="11">
        <v>38</v>
      </c>
      <c r="G25" s="11">
        <v>6</v>
      </c>
      <c r="H25" s="11" t="s">
        <v>6582</v>
      </c>
      <c r="I25" s="11" t="s">
        <v>6516</v>
      </c>
      <c r="J25" s="11" t="s">
        <v>6583</v>
      </c>
      <c r="K25" s="11" t="s">
        <v>103</v>
      </c>
      <c r="L25" s="11" t="s">
        <v>5044</v>
      </c>
      <c r="M25" s="11">
        <v>0</v>
      </c>
      <c r="N25" s="9" t="s">
        <v>5044</v>
      </c>
      <c r="O25" s="9" t="s">
        <v>5044</v>
      </c>
      <c r="P25" s="11">
        <v>0</v>
      </c>
      <c r="Q25" s="11">
        <v>0</v>
      </c>
      <c r="R25" s="11">
        <v>0</v>
      </c>
      <c r="S25" s="11">
        <v>3</v>
      </c>
      <c r="T25" s="11">
        <v>4</v>
      </c>
      <c r="U25" s="11">
        <v>116</v>
      </c>
      <c r="V25" s="11">
        <v>0</v>
      </c>
      <c r="W25" s="11">
        <v>1</v>
      </c>
      <c r="X25" s="11">
        <v>0</v>
      </c>
      <c r="Y25" s="11">
        <v>0</v>
      </c>
      <c r="Z25" s="11">
        <v>0</v>
      </c>
      <c r="AA25" s="11">
        <v>0</v>
      </c>
      <c r="AB25" s="11">
        <v>1</v>
      </c>
      <c r="AC25" s="11">
        <v>1</v>
      </c>
      <c r="AD25" s="11" t="s">
        <v>5044</v>
      </c>
      <c r="AE25" s="11" t="s">
        <v>5044</v>
      </c>
      <c r="AF25" s="11" t="s">
        <v>5044</v>
      </c>
      <c r="AG25" s="11">
        <v>1</v>
      </c>
      <c r="AH25" s="11">
        <v>0</v>
      </c>
      <c r="AI25" s="11">
        <v>0</v>
      </c>
      <c r="AJ25" s="11" t="s">
        <v>5044</v>
      </c>
      <c r="AK25" s="11" t="s">
        <v>5318</v>
      </c>
      <c r="AL25" s="11">
        <v>0</v>
      </c>
      <c r="AM25" s="11">
        <v>0</v>
      </c>
      <c r="AN25" s="11" t="s">
        <v>5318</v>
      </c>
      <c r="AO25" s="11" t="s">
        <v>5318</v>
      </c>
      <c r="AP25" s="11" t="s">
        <v>5318</v>
      </c>
      <c r="AQ25" s="11" t="s">
        <v>5318</v>
      </c>
    </row>
    <row r="26" spans="1:43" ht="63" customHeight="1" x14ac:dyDescent="0.2">
      <c r="A26" s="10">
        <v>251</v>
      </c>
      <c r="B26" s="11" t="s">
        <v>6586</v>
      </c>
      <c r="C26" s="11" t="s">
        <v>106</v>
      </c>
      <c r="D26" s="11">
        <v>2020</v>
      </c>
      <c r="E26" s="11" t="s">
        <v>5318</v>
      </c>
      <c r="F26" s="11">
        <v>21</v>
      </c>
      <c r="G26" s="11">
        <v>1</v>
      </c>
      <c r="H26" s="11" t="s">
        <v>6538</v>
      </c>
      <c r="I26" s="11" t="s">
        <v>6516</v>
      </c>
      <c r="J26" s="11" t="s">
        <v>6587</v>
      </c>
      <c r="K26" s="11" t="s">
        <v>108</v>
      </c>
      <c r="L26" s="12" t="s">
        <v>5076</v>
      </c>
      <c r="M26" s="11">
        <v>1</v>
      </c>
      <c r="N26" s="11">
        <v>0</v>
      </c>
      <c r="O26" s="9" t="s">
        <v>5044</v>
      </c>
      <c r="P26" s="11">
        <v>0</v>
      </c>
      <c r="Q26" s="11">
        <v>0</v>
      </c>
      <c r="R26" s="11">
        <v>0</v>
      </c>
      <c r="S26" s="11">
        <v>1</v>
      </c>
      <c r="T26" s="11">
        <v>4</v>
      </c>
      <c r="U26" s="11">
        <v>200</v>
      </c>
      <c r="V26" s="11">
        <v>0</v>
      </c>
      <c r="W26" s="11">
        <v>1</v>
      </c>
      <c r="X26" s="11">
        <v>0</v>
      </c>
      <c r="Y26" s="11">
        <v>0</v>
      </c>
      <c r="Z26" s="11">
        <v>0</v>
      </c>
      <c r="AA26" s="11">
        <v>0</v>
      </c>
      <c r="AB26" s="11">
        <v>1</v>
      </c>
      <c r="AC26" s="11" t="s">
        <v>5044</v>
      </c>
      <c r="AD26" s="11" t="s">
        <v>5044</v>
      </c>
      <c r="AE26" s="11" t="s">
        <v>5044</v>
      </c>
      <c r="AF26" s="11" t="s">
        <v>5044</v>
      </c>
      <c r="AG26" s="11">
        <v>2</v>
      </c>
      <c r="AH26" s="11">
        <v>1</v>
      </c>
      <c r="AI26" s="11">
        <v>1</v>
      </c>
      <c r="AJ26" s="11" t="s">
        <v>5044</v>
      </c>
      <c r="AK26" s="11" t="s">
        <v>5318</v>
      </c>
      <c r="AL26" s="11" t="s">
        <v>5041</v>
      </c>
      <c r="AM26" s="11">
        <v>0</v>
      </c>
      <c r="AN26" s="11" t="s">
        <v>5089</v>
      </c>
      <c r="AO26" s="11" t="s">
        <v>5318</v>
      </c>
      <c r="AP26" s="11" t="s">
        <v>5318</v>
      </c>
      <c r="AQ26" s="11" t="s">
        <v>5318</v>
      </c>
    </row>
    <row r="27" spans="1:43" ht="63" customHeight="1" x14ac:dyDescent="0.2">
      <c r="A27" s="10">
        <v>260</v>
      </c>
      <c r="B27" s="11" t="s">
        <v>6588</v>
      </c>
      <c r="C27" s="11" t="s">
        <v>109</v>
      </c>
      <c r="D27" s="11">
        <v>2021</v>
      </c>
      <c r="E27" s="11" t="s">
        <v>5318</v>
      </c>
      <c r="F27" s="11">
        <v>100</v>
      </c>
      <c r="G27" s="11">
        <v>4</v>
      </c>
      <c r="H27" s="11" t="s">
        <v>6589</v>
      </c>
      <c r="I27" s="11" t="s">
        <v>6516</v>
      </c>
      <c r="J27" s="11" t="s">
        <v>6590</v>
      </c>
      <c r="K27" s="11" t="s">
        <v>112</v>
      </c>
      <c r="L27" s="11" t="s">
        <v>5077</v>
      </c>
      <c r="M27" s="11">
        <v>0</v>
      </c>
      <c r="N27" s="9" t="s">
        <v>5044</v>
      </c>
      <c r="O27" s="9" t="s">
        <v>5044</v>
      </c>
      <c r="P27" s="11">
        <v>0</v>
      </c>
      <c r="Q27" s="11">
        <v>0</v>
      </c>
      <c r="R27" s="11">
        <v>0</v>
      </c>
      <c r="S27" s="11">
        <v>1</v>
      </c>
      <c r="T27" s="11">
        <v>4</v>
      </c>
      <c r="U27" s="11">
        <v>78</v>
      </c>
      <c r="V27" s="11">
        <v>0</v>
      </c>
      <c r="W27" s="11">
        <v>1</v>
      </c>
      <c r="X27" s="11">
        <v>0</v>
      </c>
      <c r="Y27" s="11">
        <v>0</v>
      </c>
      <c r="Z27" s="11">
        <v>0</v>
      </c>
      <c r="AA27" s="11">
        <v>0</v>
      </c>
      <c r="AB27" s="11">
        <v>0</v>
      </c>
      <c r="AC27" s="11">
        <v>1</v>
      </c>
      <c r="AD27" s="11" t="s">
        <v>5044</v>
      </c>
      <c r="AE27" s="11" t="s">
        <v>5044</v>
      </c>
      <c r="AF27" s="11" t="s">
        <v>5044</v>
      </c>
      <c r="AG27" s="11">
        <v>2</v>
      </c>
      <c r="AH27" s="11">
        <v>3</v>
      </c>
      <c r="AI27" s="11">
        <v>0</v>
      </c>
      <c r="AJ27" s="11" t="s">
        <v>5044</v>
      </c>
      <c r="AK27" s="11" t="s">
        <v>5318</v>
      </c>
      <c r="AL27" s="11">
        <v>0</v>
      </c>
      <c r="AM27" s="11">
        <v>0</v>
      </c>
      <c r="AN27" s="11" t="s">
        <v>5318</v>
      </c>
      <c r="AO27" s="11" t="s">
        <v>5318</v>
      </c>
      <c r="AP27" s="11" t="s">
        <v>5318</v>
      </c>
      <c r="AQ27" s="11" t="s">
        <v>5318</v>
      </c>
    </row>
    <row r="28" spans="1:43" ht="63" customHeight="1" x14ac:dyDescent="0.2">
      <c r="A28" s="10">
        <v>264</v>
      </c>
      <c r="B28" s="11" t="s">
        <v>6591</v>
      </c>
      <c r="C28" s="11" t="s">
        <v>113</v>
      </c>
      <c r="D28" s="11">
        <v>2017</v>
      </c>
      <c r="E28" s="11" t="s">
        <v>5318</v>
      </c>
      <c r="F28" s="11">
        <v>36</v>
      </c>
      <c r="G28" s="11">
        <v>5</v>
      </c>
      <c r="H28" s="11" t="s">
        <v>6592</v>
      </c>
      <c r="I28" s="11" t="s">
        <v>6516</v>
      </c>
      <c r="J28" s="11" t="s">
        <v>6593</v>
      </c>
      <c r="K28" s="11" t="s">
        <v>116</v>
      </c>
      <c r="L28" s="11" t="s">
        <v>5078</v>
      </c>
      <c r="M28" s="11">
        <v>0</v>
      </c>
      <c r="N28" s="9" t="s">
        <v>5044</v>
      </c>
      <c r="O28" s="9" t="s">
        <v>5044</v>
      </c>
      <c r="P28" s="11">
        <v>0</v>
      </c>
      <c r="Q28" s="11">
        <v>0</v>
      </c>
      <c r="R28" s="11">
        <v>0</v>
      </c>
      <c r="S28" s="11">
        <v>1</v>
      </c>
      <c r="T28" s="11">
        <v>4</v>
      </c>
      <c r="U28" s="11">
        <v>320</v>
      </c>
      <c r="V28" s="11">
        <v>1</v>
      </c>
      <c r="W28" s="11">
        <v>1</v>
      </c>
      <c r="X28" s="11">
        <v>0</v>
      </c>
      <c r="Y28" s="11">
        <v>0</v>
      </c>
      <c r="Z28" s="11">
        <v>0</v>
      </c>
      <c r="AA28" s="11">
        <v>0</v>
      </c>
      <c r="AB28" s="11">
        <v>1</v>
      </c>
      <c r="AC28" s="11">
        <v>1</v>
      </c>
      <c r="AD28" s="11">
        <v>1</v>
      </c>
      <c r="AE28" s="11">
        <v>0</v>
      </c>
      <c r="AF28" s="11">
        <v>0</v>
      </c>
      <c r="AG28" s="11">
        <v>1</v>
      </c>
      <c r="AH28" s="11">
        <v>0</v>
      </c>
      <c r="AI28" s="11">
        <v>0</v>
      </c>
      <c r="AJ28" s="11" t="s">
        <v>5044</v>
      </c>
      <c r="AK28" s="11" t="s">
        <v>5318</v>
      </c>
      <c r="AL28" s="11">
        <v>1</v>
      </c>
      <c r="AM28" s="11">
        <v>0</v>
      </c>
      <c r="AN28" s="11" t="s">
        <v>5318</v>
      </c>
      <c r="AO28" s="11" t="s">
        <v>5318</v>
      </c>
      <c r="AP28" s="11" t="s">
        <v>5318</v>
      </c>
      <c r="AQ28" s="11" t="s">
        <v>5318</v>
      </c>
    </row>
    <row r="29" spans="1:43" ht="63" customHeight="1" x14ac:dyDescent="0.2">
      <c r="A29" s="10">
        <v>289</v>
      </c>
      <c r="B29" s="11" t="s">
        <v>6594</v>
      </c>
      <c r="C29" s="11" t="s">
        <v>117</v>
      </c>
      <c r="D29" s="11">
        <v>2023</v>
      </c>
      <c r="E29" s="11" t="s">
        <v>5318</v>
      </c>
      <c r="F29" s="11">
        <v>23</v>
      </c>
      <c r="G29" s="11">
        <v>1</v>
      </c>
      <c r="H29" s="11" t="s">
        <v>6595</v>
      </c>
      <c r="I29" s="11" t="s">
        <v>6516</v>
      </c>
      <c r="J29" s="11" t="s">
        <v>6596</v>
      </c>
      <c r="K29" s="11" t="s">
        <v>120</v>
      </c>
      <c r="L29" s="11" t="s">
        <v>5044</v>
      </c>
      <c r="M29" s="11">
        <v>1</v>
      </c>
      <c r="N29" s="11">
        <v>0</v>
      </c>
      <c r="O29" s="9" t="s">
        <v>5044</v>
      </c>
      <c r="P29" s="11">
        <v>0</v>
      </c>
      <c r="Q29" s="11">
        <v>0</v>
      </c>
      <c r="R29" s="11">
        <v>0</v>
      </c>
      <c r="S29" s="11">
        <v>5</v>
      </c>
      <c r="T29" s="11">
        <v>1</v>
      </c>
      <c r="U29" s="11">
        <v>113</v>
      </c>
      <c r="V29" s="11">
        <v>0</v>
      </c>
      <c r="W29" s="11">
        <v>1</v>
      </c>
      <c r="X29" s="11">
        <v>0</v>
      </c>
      <c r="Y29" s="11">
        <v>0</v>
      </c>
      <c r="Z29" s="11">
        <v>0</v>
      </c>
      <c r="AA29" s="11">
        <v>0</v>
      </c>
      <c r="AB29" s="11">
        <v>1</v>
      </c>
      <c r="AC29" s="11" t="s">
        <v>5044</v>
      </c>
      <c r="AD29" s="11" t="s">
        <v>5044</v>
      </c>
      <c r="AE29" s="11" t="s">
        <v>5044</v>
      </c>
      <c r="AF29" s="11" t="s">
        <v>5044</v>
      </c>
      <c r="AG29" s="11" t="s">
        <v>5044</v>
      </c>
      <c r="AH29" s="11" t="s">
        <v>5044</v>
      </c>
      <c r="AI29" s="11" t="s">
        <v>5044</v>
      </c>
      <c r="AJ29" s="11" t="s">
        <v>5044</v>
      </c>
      <c r="AK29" s="11" t="s">
        <v>5318</v>
      </c>
      <c r="AL29" s="11" t="s">
        <v>5041</v>
      </c>
      <c r="AM29" s="11">
        <v>0</v>
      </c>
      <c r="AN29" s="11" t="s">
        <v>5318</v>
      </c>
      <c r="AO29" s="11" t="s">
        <v>5318</v>
      </c>
      <c r="AP29" s="11" t="s">
        <v>5318</v>
      </c>
      <c r="AQ29" s="11" t="s">
        <v>5318</v>
      </c>
    </row>
    <row r="30" spans="1:43" ht="63" customHeight="1" x14ac:dyDescent="0.2">
      <c r="A30" s="10">
        <v>318</v>
      </c>
      <c r="B30" s="11" t="s">
        <v>6597</v>
      </c>
      <c r="C30" s="11" t="s">
        <v>121</v>
      </c>
      <c r="D30" s="11">
        <v>2019</v>
      </c>
      <c r="E30" s="11" t="s">
        <v>5318</v>
      </c>
      <c r="F30" s="11">
        <v>62</v>
      </c>
      <c r="G30" s="11">
        <v>2</v>
      </c>
      <c r="H30" s="11" t="s">
        <v>6598</v>
      </c>
      <c r="I30" s="11" t="s">
        <v>6516</v>
      </c>
      <c r="J30" s="11" t="s">
        <v>6599</v>
      </c>
      <c r="K30" s="11" t="s">
        <v>124</v>
      </c>
      <c r="L30" s="11" t="s">
        <v>5079</v>
      </c>
      <c r="M30" s="11">
        <v>0</v>
      </c>
      <c r="N30" s="9" t="s">
        <v>5044</v>
      </c>
      <c r="O30" s="9" t="s">
        <v>5044</v>
      </c>
      <c r="P30" s="11">
        <v>0</v>
      </c>
      <c r="Q30" s="11">
        <v>0</v>
      </c>
      <c r="R30" s="11">
        <v>0</v>
      </c>
      <c r="S30" s="11">
        <v>1</v>
      </c>
      <c r="T30" s="11">
        <v>2</v>
      </c>
      <c r="U30" s="11">
        <v>127</v>
      </c>
      <c r="V30" s="11">
        <v>0</v>
      </c>
      <c r="W30" s="11">
        <v>1</v>
      </c>
      <c r="X30" s="11">
        <v>0</v>
      </c>
      <c r="Y30" s="11">
        <v>0</v>
      </c>
      <c r="Z30" s="11">
        <v>0</v>
      </c>
      <c r="AA30" s="11">
        <v>0</v>
      </c>
      <c r="AB30" s="11">
        <v>1</v>
      </c>
      <c r="AC30" s="11">
        <v>1</v>
      </c>
      <c r="AD30" s="11" t="s">
        <v>5044</v>
      </c>
      <c r="AE30" s="11" t="s">
        <v>5044</v>
      </c>
      <c r="AF30" s="11" t="s">
        <v>5044</v>
      </c>
      <c r="AG30" s="11">
        <v>2</v>
      </c>
      <c r="AH30" s="11">
        <v>2</v>
      </c>
      <c r="AI30" s="11">
        <v>2</v>
      </c>
      <c r="AJ30" s="11" t="s">
        <v>5044</v>
      </c>
      <c r="AK30" s="11" t="s">
        <v>5318</v>
      </c>
      <c r="AL30" s="11">
        <v>1</v>
      </c>
      <c r="AM30" s="11">
        <v>0</v>
      </c>
      <c r="AN30" s="11" t="s">
        <v>5318</v>
      </c>
      <c r="AO30" s="11" t="s">
        <v>5318</v>
      </c>
      <c r="AP30" s="11" t="s">
        <v>5318</v>
      </c>
      <c r="AQ30" s="11" t="s">
        <v>5318</v>
      </c>
    </row>
    <row r="31" spans="1:43" ht="63" customHeight="1" x14ac:dyDescent="0.2">
      <c r="A31" s="10">
        <v>327</v>
      </c>
      <c r="B31" s="11" t="s">
        <v>6600</v>
      </c>
      <c r="C31" s="11" t="s">
        <v>125</v>
      </c>
      <c r="D31" s="11">
        <v>2021</v>
      </c>
      <c r="E31" s="11" t="s">
        <v>5318</v>
      </c>
      <c r="F31" s="11">
        <v>2021</v>
      </c>
      <c r="G31" s="11" t="s">
        <v>5318</v>
      </c>
      <c r="H31" s="11" t="s">
        <v>6601</v>
      </c>
      <c r="I31" s="11" t="s">
        <v>6516</v>
      </c>
      <c r="J31" s="11" t="s">
        <v>6602</v>
      </c>
      <c r="K31" s="11" t="s">
        <v>127</v>
      </c>
      <c r="L31" s="11" t="s">
        <v>5080</v>
      </c>
      <c r="M31" s="11">
        <v>0</v>
      </c>
      <c r="N31" s="9" t="s">
        <v>5044</v>
      </c>
      <c r="O31" s="9" t="s">
        <v>5044</v>
      </c>
      <c r="P31" s="11">
        <v>0</v>
      </c>
      <c r="Q31" s="11">
        <v>0</v>
      </c>
      <c r="R31" s="11">
        <v>0</v>
      </c>
      <c r="S31" s="11">
        <v>3</v>
      </c>
      <c r="T31" s="11">
        <v>6</v>
      </c>
      <c r="U31" s="11">
        <v>33</v>
      </c>
      <c r="V31" s="11">
        <v>0</v>
      </c>
      <c r="W31" s="11">
        <v>1</v>
      </c>
      <c r="X31" s="11">
        <v>0</v>
      </c>
      <c r="Y31" s="11">
        <v>0</v>
      </c>
      <c r="Z31" s="11">
        <v>0</v>
      </c>
      <c r="AA31" s="11">
        <v>0</v>
      </c>
      <c r="AB31" s="11">
        <v>0</v>
      </c>
      <c r="AC31" s="11">
        <v>1</v>
      </c>
      <c r="AD31" s="11" t="s">
        <v>5044</v>
      </c>
      <c r="AE31" s="11" t="s">
        <v>5044</v>
      </c>
      <c r="AF31" s="11" t="s">
        <v>5044</v>
      </c>
      <c r="AG31" s="11">
        <v>1</v>
      </c>
      <c r="AH31" s="11">
        <v>0</v>
      </c>
      <c r="AI31" s="11">
        <v>0</v>
      </c>
      <c r="AJ31" s="11" t="s">
        <v>5044</v>
      </c>
      <c r="AK31" s="11" t="s">
        <v>5318</v>
      </c>
      <c r="AL31" s="11" t="s">
        <v>5041</v>
      </c>
      <c r="AM31" s="11">
        <v>0</v>
      </c>
      <c r="AN31" s="11" t="s">
        <v>5318</v>
      </c>
      <c r="AO31" s="11" t="s">
        <v>5318</v>
      </c>
      <c r="AP31" s="11" t="s">
        <v>5318</v>
      </c>
      <c r="AQ31" s="11" t="s">
        <v>5318</v>
      </c>
    </row>
    <row r="32" spans="1:43" ht="63" customHeight="1" x14ac:dyDescent="0.2">
      <c r="A32" s="10">
        <v>346</v>
      </c>
      <c r="B32" s="11" t="s">
        <v>6603</v>
      </c>
      <c r="C32" s="11" t="s">
        <v>128</v>
      </c>
      <c r="D32" s="11">
        <v>2023</v>
      </c>
      <c r="E32" s="11" t="s">
        <v>5318</v>
      </c>
      <c r="F32" s="11">
        <v>13</v>
      </c>
      <c r="G32" s="11" t="s">
        <v>5318</v>
      </c>
      <c r="H32" s="11" t="s">
        <v>6604</v>
      </c>
      <c r="I32" s="11" t="s">
        <v>6516</v>
      </c>
      <c r="J32" s="11" t="s">
        <v>6605</v>
      </c>
      <c r="K32" s="11" t="s">
        <v>131</v>
      </c>
      <c r="L32" s="12" t="s">
        <v>5081</v>
      </c>
      <c r="M32" s="11">
        <v>1</v>
      </c>
      <c r="N32" s="11">
        <v>0</v>
      </c>
      <c r="O32" s="9" t="s">
        <v>5044</v>
      </c>
      <c r="P32" s="11">
        <v>0</v>
      </c>
      <c r="Q32" s="11">
        <v>0</v>
      </c>
      <c r="R32" s="11">
        <v>0</v>
      </c>
      <c r="S32" s="11">
        <v>1</v>
      </c>
      <c r="T32" s="11">
        <v>4</v>
      </c>
      <c r="U32" s="11">
        <v>212</v>
      </c>
      <c r="V32" s="11">
        <v>0</v>
      </c>
      <c r="W32" s="11">
        <v>1</v>
      </c>
      <c r="X32" s="11">
        <v>0</v>
      </c>
      <c r="Y32" s="11">
        <v>0</v>
      </c>
      <c r="Z32" s="11">
        <v>0</v>
      </c>
      <c r="AA32" s="11">
        <v>0</v>
      </c>
      <c r="AB32" s="11">
        <v>1</v>
      </c>
      <c r="AC32" s="11" t="s">
        <v>5044</v>
      </c>
      <c r="AD32" s="11" t="s">
        <v>5044</v>
      </c>
      <c r="AE32" s="11" t="s">
        <v>5044</v>
      </c>
      <c r="AF32" s="11" t="s">
        <v>5044</v>
      </c>
      <c r="AG32" s="11" t="s">
        <v>5044</v>
      </c>
      <c r="AH32" s="11" t="s">
        <v>5044</v>
      </c>
      <c r="AI32" s="11" t="s">
        <v>5044</v>
      </c>
      <c r="AJ32" s="11" t="s">
        <v>5044</v>
      </c>
      <c r="AK32" s="11" t="s">
        <v>5318</v>
      </c>
      <c r="AL32" s="11" t="s">
        <v>5041</v>
      </c>
      <c r="AM32" s="11">
        <v>0</v>
      </c>
      <c r="AN32" s="11" t="s">
        <v>5318</v>
      </c>
      <c r="AO32" s="11" t="s">
        <v>5318</v>
      </c>
      <c r="AP32" s="11" t="s">
        <v>5318</v>
      </c>
      <c r="AQ32" s="11" t="s">
        <v>5318</v>
      </c>
    </row>
    <row r="33" spans="1:43" ht="63" customHeight="1" x14ac:dyDescent="0.2">
      <c r="A33" s="10">
        <v>364</v>
      </c>
      <c r="B33" s="11" t="s">
        <v>6606</v>
      </c>
      <c r="C33" s="11" t="s">
        <v>132</v>
      </c>
      <c r="D33" s="11">
        <v>2013</v>
      </c>
      <c r="E33" s="11" t="s">
        <v>5318</v>
      </c>
      <c r="F33" s="11">
        <v>257</v>
      </c>
      <c r="G33" s="11">
        <v>1</v>
      </c>
      <c r="H33" s="11" t="s">
        <v>6533</v>
      </c>
      <c r="I33" s="11" t="s">
        <v>6516</v>
      </c>
      <c r="J33" s="11" t="s">
        <v>6607</v>
      </c>
      <c r="K33" s="11" t="s">
        <v>134</v>
      </c>
      <c r="L33" s="12" t="s">
        <v>5082</v>
      </c>
      <c r="M33" s="11">
        <v>0</v>
      </c>
      <c r="N33" s="9" t="s">
        <v>5044</v>
      </c>
      <c r="O33" s="9" t="s">
        <v>5044</v>
      </c>
      <c r="P33" s="11">
        <v>0</v>
      </c>
      <c r="Q33" s="11">
        <v>0</v>
      </c>
      <c r="R33" s="11">
        <v>0</v>
      </c>
      <c r="S33" s="11">
        <v>1</v>
      </c>
      <c r="T33" s="11">
        <v>5</v>
      </c>
      <c r="U33" s="11">
        <v>195</v>
      </c>
      <c r="V33" s="11">
        <v>0</v>
      </c>
      <c r="W33" s="11">
        <v>1</v>
      </c>
      <c r="X33" s="11">
        <v>0</v>
      </c>
      <c r="Y33" s="11">
        <v>0</v>
      </c>
      <c r="Z33" s="11">
        <v>0</v>
      </c>
      <c r="AA33" s="11">
        <v>0</v>
      </c>
      <c r="AB33" s="11">
        <v>1</v>
      </c>
      <c r="AC33" s="11">
        <v>1</v>
      </c>
      <c r="AD33" s="11" t="s">
        <v>5044</v>
      </c>
      <c r="AE33" s="11" t="s">
        <v>5044</v>
      </c>
      <c r="AF33" s="11" t="s">
        <v>5044</v>
      </c>
      <c r="AG33" s="11">
        <v>1</v>
      </c>
      <c r="AH33" s="11">
        <v>0</v>
      </c>
      <c r="AI33" s="11">
        <v>0</v>
      </c>
      <c r="AJ33" s="11" t="s">
        <v>5044</v>
      </c>
      <c r="AK33" s="11" t="s">
        <v>5318</v>
      </c>
      <c r="AL33" s="11">
        <v>0</v>
      </c>
      <c r="AM33" s="11">
        <v>0</v>
      </c>
      <c r="AN33" s="11" t="s">
        <v>5318</v>
      </c>
      <c r="AO33" s="11" t="s">
        <v>5318</v>
      </c>
      <c r="AP33" s="11" t="s">
        <v>5318</v>
      </c>
      <c r="AQ33" s="11" t="s">
        <v>5318</v>
      </c>
    </row>
    <row r="34" spans="1:43" ht="63" customHeight="1" x14ac:dyDescent="0.2">
      <c r="A34" s="10">
        <v>369</v>
      </c>
      <c r="B34" s="11" t="s">
        <v>6608</v>
      </c>
      <c r="C34" s="11" t="s">
        <v>135</v>
      </c>
      <c r="D34" s="11">
        <v>2019</v>
      </c>
      <c r="E34" s="11" t="s">
        <v>5318</v>
      </c>
      <c r="F34" s="11">
        <v>17</v>
      </c>
      <c r="G34" s="11">
        <v>1</v>
      </c>
      <c r="H34" s="11" t="s">
        <v>6609</v>
      </c>
      <c r="I34" s="11" t="s">
        <v>6516</v>
      </c>
      <c r="J34" s="11" t="s">
        <v>6610</v>
      </c>
      <c r="K34" s="11" t="s">
        <v>138</v>
      </c>
      <c r="L34" s="12" t="s">
        <v>5083</v>
      </c>
      <c r="M34" s="11">
        <v>0</v>
      </c>
      <c r="N34" s="9" t="s">
        <v>5044</v>
      </c>
      <c r="O34" s="9" t="s">
        <v>5044</v>
      </c>
      <c r="P34" s="11">
        <v>0</v>
      </c>
      <c r="Q34" s="11">
        <v>0</v>
      </c>
      <c r="R34" s="11">
        <v>0</v>
      </c>
      <c r="S34" s="11">
        <v>1</v>
      </c>
      <c r="T34" s="11">
        <v>4</v>
      </c>
      <c r="U34" s="11">
        <v>70</v>
      </c>
      <c r="V34" s="11">
        <v>1</v>
      </c>
      <c r="W34" s="11">
        <v>0</v>
      </c>
      <c r="X34" s="11">
        <v>0</v>
      </c>
      <c r="Y34" s="11">
        <v>0</v>
      </c>
      <c r="Z34" s="11">
        <v>0</v>
      </c>
      <c r="AA34" s="11">
        <v>0</v>
      </c>
      <c r="AB34" s="11">
        <v>1</v>
      </c>
      <c r="AC34" s="11">
        <v>1</v>
      </c>
      <c r="AD34" s="11">
        <v>2</v>
      </c>
      <c r="AE34" s="11">
        <v>3</v>
      </c>
      <c r="AF34" s="11">
        <v>0</v>
      </c>
      <c r="AG34" s="11" t="s">
        <v>5044</v>
      </c>
      <c r="AH34" s="11" t="s">
        <v>5044</v>
      </c>
      <c r="AI34" s="11" t="s">
        <v>5044</v>
      </c>
      <c r="AJ34" s="11" t="s">
        <v>5044</v>
      </c>
      <c r="AK34" s="11" t="s">
        <v>5318</v>
      </c>
      <c r="AL34" s="11" t="s">
        <v>5090</v>
      </c>
      <c r="AM34" s="11">
        <v>0</v>
      </c>
      <c r="AN34" s="11" t="s">
        <v>5318</v>
      </c>
      <c r="AO34" s="11" t="s">
        <v>5318</v>
      </c>
      <c r="AP34" s="11" t="s">
        <v>5318</v>
      </c>
      <c r="AQ34" s="11" t="s">
        <v>5318</v>
      </c>
    </row>
    <row r="35" spans="1:43" ht="63" customHeight="1" x14ac:dyDescent="0.2">
      <c r="A35" s="10">
        <v>380</v>
      </c>
      <c r="B35" s="11" t="s">
        <v>6611</v>
      </c>
      <c r="C35" s="11" t="s">
        <v>139</v>
      </c>
      <c r="D35" s="11">
        <v>2022</v>
      </c>
      <c r="E35" s="11" t="s">
        <v>5318</v>
      </c>
      <c r="F35" s="11" t="s">
        <v>5318</v>
      </c>
      <c r="G35" s="11" t="s">
        <v>5318</v>
      </c>
      <c r="H35" s="11" t="s">
        <v>6612</v>
      </c>
      <c r="I35" s="11" t="s">
        <v>6516</v>
      </c>
      <c r="J35" s="11" t="s">
        <v>6613</v>
      </c>
      <c r="K35" s="11" t="s">
        <v>141</v>
      </c>
      <c r="L35" s="11" t="s">
        <v>5084</v>
      </c>
      <c r="M35" s="11">
        <v>0</v>
      </c>
      <c r="N35" s="9" t="s">
        <v>5044</v>
      </c>
      <c r="O35" s="9" t="s">
        <v>5044</v>
      </c>
      <c r="P35" s="11">
        <v>0</v>
      </c>
      <c r="Q35" s="11">
        <v>0</v>
      </c>
      <c r="R35" s="11">
        <v>0</v>
      </c>
      <c r="S35" s="11">
        <v>1</v>
      </c>
      <c r="T35" s="11">
        <v>4</v>
      </c>
      <c r="U35" s="11">
        <v>583</v>
      </c>
      <c r="V35" s="11">
        <v>0</v>
      </c>
      <c r="W35" s="11">
        <v>1</v>
      </c>
      <c r="X35" s="11">
        <v>0</v>
      </c>
      <c r="Y35" s="11">
        <v>0</v>
      </c>
      <c r="Z35" s="11">
        <v>0</v>
      </c>
      <c r="AA35" s="11">
        <v>0</v>
      </c>
      <c r="AB35" s="11">
        <v>1</v>
      </c>
      <c r="AC35" s="11">
        <v>0</v>
      </c>
      <c r="AD35" s="11" t="s">
        <v>5044</v>
      </c>
      <c r="AE35" s="11" t="s">
        <v>5044</v>
      </c>
      <c r="AF35" s="11" t="s">
        <v>5044</v>
      </c>
      <c r="AG35" s="11">
        <v>0</v>
      </c>
      <c r="AH35" s="11" t="s">
        <v>5044</v>
      </c>
      <c r="AI35" s="11" t="s">
        <v>5044</v>
      </c>
      <c r="AJ35" s="11" t="s">
        <v>5044</v>
      </c>
      <c r="AK35" s="11" t="s">
        <v>5318</v>
      </c>
      <c r="AL35" s="11">
        <v>0</v>
      </c>
      <c r="AM35" s="11">
        <v>0</v>
      </c>
      <c r="AN35" s="11" t="s">
        <v>5318</v>
      </c>
      <c r="AO35" s="11" t="s">
        <v>5318</v>
      </c>
      <c r="AP35" s="11" t="s">
        <v>5318</v>
      </c>
      <c r="AQ35" s="11" t="s">
        <v>5318</v>
      </c>
    </row>
    <row r="36" spans="1:43" ht="63" customHeight="1" x14ac:dyDescent="0.2">
      <c r="A36" s="10">
        <v>391</v>
      </c>
      <c r="B36" s="11" t="s">
        <v>6614</v>
      </c>
      <c r="C36" s="11" t="s">
        <v>142</v>
      </c>
      <c r="D36" s="11">
        <v>2016</v>
      </c>
      <c r="E36" s="11" t="s">
        <v>5318</v>
      </c>
      <c r="F36" s="11">
        <v>26</v>
      </c>
      <c r="G36" s="11">
        <v>3</v>
      </c>
      <c r="H36" s="11" t="s">
        <v>6482</v>
      </c>
      <c r="I36" s="11" t="s">
        <v>6516</v>
      </c>
      <c r="J36" s="11" t="s">
        <v>6615</v>
      </c>
      <c r="K36" s="11" t="s">
        <v>146</v>
      </c>
      <c r="L36" s="12" t="s">
        <v>5085</v>
      </c>
      <c r="M36" s="11">
        <v>0</v>
      </c>
      <c r="N36" s="9" t="s">
        <v>5044</v>
      </c>
      <c r="O36" s="9" t="s">
        <v>5044</v>
      </c>
      <c r="P36" s="11">
        <v>0</v>
      </c>
      <c r="Q36" s="11">
        <v>0</v>
      </c>
      <c r="R36" s="11">
        <v>0</v>
      </c>
      <c r="S36" s="11">
        <v>1</v>
      </c>
      <c r="T36" s="11">
        <v>6</v>
      </c>
      <c r="U36" s="11">
        <v>115</v>
      </c>
      <c r="V36" s="11">
        <v>0</v>
      </c>
      <c r="W36" s="11">
        <v>1</v>
      </c>
      <c r="X36" s="11">
        <v>0</v>
      </c>
      <c r="Y36" s="11">
        <v>0</v>
      </c>
      <c r="Z36" s="11">
        <v>0</v>
      </c>
      <c r="AA36" s="11">
        <v>0</v>
      </c>
      <c r="AB36" s="11">
        <v>1</v>
      </c>
      <c r="AC36" s="11">
        <v>1</v>
      </c>
      <c r="AD36" s="11" t="s">
        <v>5044</v>
      </c>
      <c r="AE36" s="11" t="s">
        <v>5044</v>
      </c>
      <c r="AF36" s="11" t="s">
        <v>5044</v>
      </c>
      <c r="AG36" s="11">
        <v>1</v>
      </c>
      <c r="AH36" s="11">
        <v>0</v>
      </c>
      <c r="AI36" s="11">
        <v>0</v>
      </c>
      <c r="AJ36" s="11" t="s">
        <v>5044</v>
      </c>
      <c r="AK36" s="11" t="s">
        <v>5318</v>
      </c>
      <c r="AL36" s="11">
        <v>1</v>
      </c>
      <c r="AM36" s="11">
        <v>0</v>
      </c>
      <c r="AN36" s="11" t="s">
        <v>5318</v>
      </c>
      <c r="AO36" s="11" t="s">
        <v>5318</v>
      </c>
      <c r="AP36" s="11" t="s">
        <v>5318</v>
      </c>
      <c r="AQ36" s="11" t="s">
        <v>5318</v>
      </c>
    </row>
    <row r="37" spans="1:43" ht="63" customHeight="1" x14ac:dyDescent="0.2">
      <c r="A37" s="10">
        <v>401</v>
      </c>
      <c r="B37" s="11" t="s">
        <v>6616</v>
      </c>
      <c r="C37" s="11" t="s">
        <v>148</v>
      </c>
      <c r="D37" s="11">
        <v>2015</v>
      </c>
      <c r="E37" s="11" t="s">
        <v>5318</v>
      </c>
      <c r="F37" s="11">
        <v>94</v>
      </c>
      <c r="G37" s="11">
        <v>45</v>
      </c>
      <c r="H37" s="11" t="s">
        <v>6541</v>
      </c>
      <c r="I37" s="11" t="s">
        <v>6516</v>
      </c>
      <c r="J37" s="11" t="s">
        <v>6617</v>
      </c>
      <c r="K37" s="11" t="s">
        <v>152</v>
      </c>
      <c r="L37" s="11" t="s">
        <v>5087</v>
      </c>
      <c r="M37" s="11">
        <v>0</v>
      </c>
      <c r="N37" s="9" t="s">
        <v>5044</v>
      </c>
      <c r="O37" s="9" t="s">
        <v>5044</v>
      </c>
      <c r="P37" s="11">
        <v>0</v>
      </c>
      <c r="Q37" s="11">
        <v>0</v>
      </c>
      <c r="R37" s="11">
        <v>0</v>
      </c>
      <c r="S37" s="11">
        <v>1</v>
      </c>
      <c r="T37" s="11">
        <v>4</v>
      </c>
      <c r="U37" s="11">
        <v>181</v>
      </c>
      <c r="V37" s="11">
        <v>0</v>
      </c>
      <c r="W37" s="11">
        <v>1</v>
      </c>
      <c r="X37" s="11">
        <v>0</v>
      </c>
      <c r="Y37" s="11">
        <v>0</v>
      </c>
      <c r="Z37" s="11">
        <v>0</v>
      </c>
      <c r="AA37" s="11">
        <v>0</v>
      </c>
      <c r="AB37" s="11">
        <v>1</v>
      </c>
      <c r="AC37" s="11">
        <v>1</v>
      </c>
      <c r="AD37" s="11" t="s">
        <v>5044</v>
      </c>
      <c r="AE37" s="11" t="s">
        <v>5044</v>
      </c>
      <c r="AF37" s="11" t="s">
        <v>5044</v>
      </c>
      <c r="AG37" s="11">
        <v>1</v>
      </c>
      <c r="AH37" s="11">
        <v>0</v>
      </c>
      <c r="AI37" s="11">
        <v>0</v>
      </c>
      <c r="AJ37" s="11" t="s">
        <v>5044</v>
      </c>
      <c r="AK37" s="11" t="s">
        <v>5318</v>
      </c>
      <c r="AL37" s="11">
        <v>1</v>
      </c>
      <c r="AM37" s="11">
        <v>0</v>
      </c>
      <c r="AN37" s="11" t="s">
        <v>5318</v>
      </c>
      <c r="AO37" s="11" t="s">
        <v>5318</v>
      </c>
      <c r="AP37" s="11" t="s">
        <v>5318</v>
      </c>
      <c r="AQ37" s="11" t="s">
        <v>5318</v>
      </c>
    </row>
    <row r="38" spans="1:43" ht="63" customHeight="1" x14ac:dyDescent="0.2">
      <c r="A38" s="10">
        <v>402</v>
      </c>
      <c r="B38" s="11" t="s">
        <v>6618</v>
      </c>
      <c r="C38" s="11" t="s">
        <v>153</v>
      </c>
      <c r="D38" s="11">
        <v>2018</v>
      </c>
      <c r="E38" s="11" t="s">
        <v>5318</v>
      </c>
      <c r="F38" s="11">
        <v>105</v>
      </c>
      <c r="G38" s="11">
        <v>8</v>
      </c>
      <c r="H38" s="11" t="s">
        <v>6530</v>
      </c>
      <c r="I38" s="11" t="s">
        <v>6516</v>
      </c>
      <c r="J38" s="11" t="s">
        <v>6619</v>
      </c>
      <c r="K38" s="11" t="s">
        <v>155</v>
      </c>
      <c r="L38" s="11" t="s">
        <v>5088</v>
      </c>
      <c r="M38" s="11">
        <v>0</v>
      </c>
      <c r="N38" s="9" t="s">
        <v>5044</v>
      </c>
      <c r="O38" s="9" t="s">
        <v>5044</v>
      </c>
      <c r="P38" s="11">
        <v>0</v>
      </c>
      <c r="Q38" s="11">
        <v>0</v>
      </c>
      <c r="R38" s="11">
        <v>0</v>
      </c>
      <c r="S38" s="11">
        <v>1</v>
      </c>
      <c r="T38" s="11">
        <v>2</v>
      </c>
      <c r="U38" s="11">
        <v>107</v>
      </c>
      <c r="V38" s="11">
        <v>0</v>
      </c>
      <c r="W38" s="11">
        <v>1</v>
      </c>
      <c r="X38" s="11">
        <v>0</v>
      </c>
      <c r="Y38" s="11">
        <v>0</v>
      </c>
      <c r="Z38" s="11">
        <v>0</v>
      </c>
      <c r="AA38" s="11">
        <v>0</v>
      </c>
      <c r="AB38" s="11">
        <v>1</v>
      </c>
      <c r="AC38" s="11">
        <v>0</v>
      </c>
      <c r="AD38" s="11" t="s">
        <v>5044</v>
      </c>
      <c r="AE38" s="11" t="s">
        <v>5044</v>
      </c>
      <c r="AF38" s="11" t="s">
        <v>5044</v>
      </c>
      <c r="AG38" s="11">
        <v>0</v>
      </c>
      <c r="AH38" s="11" t="s">
        <v>5044</v>
      </c>
      <c r="AI38" s="11" t="s">
        <v>5044</v>
      </c>
      <c r="AJ38" s="11" t="s">
        <v>5044</v>
      </c>
      <c r="AK38" s="11" t="s">
        <v>5318</v>
      </c>
      <c r="AL38" s="11">
        <v>1</v>
      </c>
      <c r="AM38" s="11">
        <v>0</v>
      </c>
      <c r="AN38" s="11" t="s">
        <v>5318</v>
      </c>
      <c r="AO38" s="11" t="s">
        <v>5318</v>
      </c>
      <c r="AP38" s="11" t="s">
        <v>5318</v>
      </c>
      <c r="AQ38" s="11" t="s">
        <v>5318</v>
      </c>
    </row>
    <row r="39" spans="1:43" ht="63" customHeight="1" x14ac:dyDescent="0.2">
      <c r="A39" s="10">
        <v>411</v>
      </c>
      <c r="B39" s="11" t="s">
        <v>6620</v>
      </c>
      <c r="C39" s="11" t="s">
        <v>156</v>
      </c>
      <c r="D39" s="11">
        <v>2014</v>
      </c>
      <c r="E39" s="11" t="s">
        <v>5318</v>
      </c>
      <c r="F39" s="11">
        <v>21</v>
      </c>
      <c r="G39" s="11">
        <v>1</v>
      </c>
      <c r="H39" s="11" t="s">
        <v>6621</v>
      </c>
      <c r="I39" s="11" t="s">
        <v>6516</v>
      </c>
      <c r="J39" s="11" t="s">
        <v>6622</v>
      </c>
      <c r="K39" s="11" t="s">
        <v>158</v>
      </c>
      <c r="L39" s="11" t="s">
        <v>5044</v>
      </c>
      <c r="M39" s="11">
        <v>0</v>
      </c>
      <c r="N39" s="9" t="s">
        <v>5044</v>
      </c>
      <c r="O39" s="9" t="s">
        <v>5044</v>
      </c>
      <c r="P39" s="11">
        <v>1</v>
      </c>
      <c r="Q39" s="11">
        <v>0</v>
      </c>
      <c r="R39" s="11">
        <v>0</v>
      </c>
      <c r="S39" s="11">
        <v>1</v>
      </c>
      <c r="T39" s="11">
        <v>4</v>
      </c>
      <c r="U39" s="11">
        <v>83</v>
      </c>
      <c r="V39" s="11">
        <v>0</v>
      </c>
      <c r="W39" s="11">
        <v>1</v>
      </c>
      <c r="X39" s="11">
        <v>0</v>
      </c>
      <c r="Y39" s="11">
        <v>0</v>
      </c>
      <c r="Z39" s="11">
        <v>0</v>
      </c>
      <c r="AA39" s="11">
        <v>0</v>
      </c>
      <c r="AB39" s="11">
        <v>1</v>
      </c>
      <c r="AC39" s="11">
        <v>1</v>
      </c>
      <c r="AD39" s="11" t="s">
        <v>5044</v>
      </c>
      <c r="AE39" s="11" t="s">
        <v>5044</v>
      </c>
      <c r="AF39" s="11" t="s">
        <v>5044</v>
      </c>
      <c r="AG39" s="11">
        <v>2</v>
      </c>
      <c r="AH39" s="11">
        <v>2</v>
      </c>
      <c r="AI39" s="11">
        <v>2</v>
      </c>
      <c r="AJ39" s="11" t="s">
        <v>5044</v>
      </c>
      <c r="AK39" s="11" t="s">
        <v>5318</v>
      </c>
      <c r="AL39" s="11">
        <v>0</v>
      </c>
      <c r="AM39" s="11">
        <v>0</v>
      </c>
      <c r="AN39" s="11" t="s">
        <v>5318</v>
      </c>
      <c r="AO39" s="11" t="s">
        <v>5318</v>
      </c>
      <c r="AP39" s="11" t="s">
        <v>5318</v>
      </c>
      <c r="AQ39" s="11" t="s">
        <v>5318</v>
      </c>
    </row>
    <row r="40" spans="1:43" ht="63" customHeight="1" x14ac:dyDescent="0.2">
      <c r="A40" s="10">
        <v>431</v>
      </c>
      <c r="B40" s="11" t="s">
        <v>6623</v>
      </c>
      <c r="C40" s="11" t="s">
        <v>159</v>
      </c>
      <c r="D40" s="11">
        <v>2022</v>
      </c>
      <c r="E40" s="11" t="s">
        <v>5318</v>
      </c>
      <c r="F40" s="11">
        <v>36</v>
      </c>
      <c r="G40" s="11">
        <v>2</v>
      </c>
      <c r="H40" s="11" t="s">
        <v>6624</v>
      </c>
      <c r="I40" s="11" t="s">
        <v>6516</v>
      </c>
      <c r="J40" s="11" t="s">
        <v>6625</v>
      </c>
      <c r="K40" s="11" t="s">
        <v>161</v>
      </c>
      <c r="L40" s="11" t="s">
        <v>5093</v>
      </c>
      <c r="M40" s="11">
        <v>0</v>
      </c>
      <c r="N40" s="9" t="s">
        <v>5044</v>
      </c>
      <c r="O40" s="9" t="s">
        <v>5044</v>
      </c>
      <c r="P40" s="11">
        <v>0</v>
      </c>
      <c r="Q40" s="11">
        <v>0</v>
      </c>
      <c r="R40" s="11">
        <v>0</v>
      </c>
      <c r="S40" s="11">
        <v>1</v>
      </c>
      <c r="T40" s="11">
        <v>4</v>
      </c>
      <c r="U40" s="11">
        <v>112</v>
      </c>
      <c r="V40" s="11">
        <v>0</v>
      </c>
      <c r="W40" s="11">
        <v>1</v>
      </c>
      <c r="X40" s="11">
        <v>0</v>
      </c>
      <c r="Y40" s="11">
        <v>0</v>
      </c>
      <c r="Z40" s="11">
        <v>0</v>
      </c>
      <c r="AA40" s="11">
        <v>0</v>
      </c>
      <c r="AB40" s="11">
        <v>1</v>
      </c>
      <c r="AC40" s="11">
        <v>1</v>
      </c>
      <c r="AD40" s="11" t="s">
        <v>5044</v>
      </c>
      <c r="AE40" s="11" t="s">
        <v>5044</v>
      </c>
      <c r="AF40" s="11" t="s">
        <v>5044</v>
      </c>
      <c r="AG40" s="11">
        <v>1</v>
      </c>
      <c r="AH40" s="11">
        <v>0</v>
      </c>
      <c r="AI40" s="11">
        <v>0</v>
      </c>
      <c r="AJ40" s="11" t="s">
        <v>5044</v>
      </c>
      <c r="AK40" s="11" t="s">
        <v>5318</v>
      </c>
      <c r="AL40" s="11">
        <v>1</v>
      </c>
      <c r="AM40" s="11">
        <v>0</v>
      </c>
      <c r="AN40" s="11" t="s">
        <v>5318</v>
      </c>
      <c r="AO40" s="11" t="s">
        <v>5318</v>
      </c>
      <c r="AP40" s="11" t="s">
        <v>5318</v>
      </c>
      <c r="AQ40" s="11" t="s">
        <v>5318</v>
      </c>
    </row>
    <row r="41" spans="1:43" ht="63" customHeight="1" x14ac:dyDescent="0.2">
      <c r="A41" s="10">
        <v>432</v>
      </c>
      <c r="B41" s="11" t="s">
        <v>6626</v>
      </c>
      <c r="C41" s="11" t="s">
        <v>162</v>
      </c>
      <c r="D41" s="11">
        <v>2022</v>
      </c>
      <c r="E41" s="11" t="s">
        <v>5318</v>
      </c>
      <c r="F41" s="11">
        <v>25</v>
      </c>
      <c r="G41" s="11">
        <v>6</v>
      </c>
      <c r="H41" s="11" t="s">
        <v>6627</v>
      </c>
      <c r="I41" s="11" t="s">
        <v>6516</v>
      </c>
      <c r="J41" s="11" t="s">
        <v>6628</v>
      </c>
      <c r="K41" s="11" t="s">
        <v>5318</v>
      </c>
      <c r="L41" s="11" t="s">
        <v>5094</v>
      </c>
      <c r="M41" s="11">
        <v>0</v>
      </c>
      <c r="N41" s="9" t="s">
        <v>5044</v>
      </c>
      <c r="O41" s="9" t="s">
        <v>5044</v>
      </c>
      <c r="P41" s="11">
        <v>0</v>
      </c>
      <c r="Q41" s="11">
        <v>0</v>
      </c>
      <c r="R41" s="11">
        <v>0</v>
      </c>
      <c r="S41" s="11">
        <v>9</v>
      </c>
      <c r="T41" s="11">
        <v>4</v>
      </c>
      <c r="U41" s="11">
        <v>90</v>
      </c>
      <c r="V41" s="11">
        <v>0</v>
      </c>
      <c r="W41" s="11">
        <v>1</v>
      </c>
      <c r="X41" s="11">
        <v>0</v>
      </c>
      <c r="Y41" s="11">
        <v>0</v>
      </c>
      <c r="Z41" s="11">
        <v>0</v>
      </c>
      <c r="AA41" s="11">
        <v>0</v>
      </c>
      <c r="AB41" s="11">
        <v>1</v>
      </c>
      <c r="AC41" s="11">
        <v>1</v>
      </c>
      <c r="AD41" s="11" t="s">
        <v>5044</v>
      </c>
      <c r="AE41" s="11" t="s">
        <v>5044</v>
      </c>
      <c r="AF41" s="11" t="s">
        <v>5044</v>
      </c>
      <c r="AG41" s="11">
        <v>2</v>
      </c>
      <c r="AH41" s="11">
        <v>1</v>
      </c>
      <c r="AI41" s="11">
        <v>2</v>
      </c>
      <c r="AJ41" s="11" t="s">
        <v>5044</v>
      </c>
      <c r="AK41" s="11" t="s">
        <v>5318</v>
      </c>
      <c r="AL41" s="11">
        <v>1</v>
      </c>
      <c r="AM41" s="11">
        <v>0</v>
      </c>
      <c r="AN41" s="11" t="s">
        <v>5318</v>
      </c>
      <c r="AO41" s="11" t="s">
        <v>5318</v>
      </c>
      <c r="AP41" s="11" t="s">
        <v>5318</v>
      </c>
      <c r="AQ41" s="11" t="s">
        <v>5318</v>
      </c>
    </row>
    <row r="42" spans="1:43" ht="63" customHeight="1" x14ac:dyDescent="0.2">
      <c r="A42" s="10">
        <v>436</v>
      </c>
      <c r="B42" s="11" t="s">
        <v>6629</v>
      </c>
      <c r="C42" s="11" t="s">
        <v>165</v>
      </c>
      <c r="D42" s="11">
        <v>2020</v>
      </c>
      <c r="E42" s="11" t="s">
        <v>5318</v>
      </c>
      <c r="F42" s="11">
        <v>10</v>
      </c>
      <c r="G42" s="11">
        <v>1</v>
      </c>
      <c r="H42" s="11" t="s">
        <v>6519</v>
      </c>
      <c r="I42" s="11" t="s">
        <v>6516</v>
      </c>
      <c r="J42" s="11" t="s">
        <v>6630</v>
      </c>
      <c r="K42" s="11" t="s">
        <v>166</v>
      </c>
      <c r="L42" s="11" t="s">
        <v>5095</v>
      </c>
      <c r="M42" s="11">
        <v>1</v>
      </c>
      <c r="N42" s="11">
        <v>0</v>
      </c>
      <c r="O42" s="9" t="s">
        <v>5044</v>
      </c>
      <c r="P42" s="11">
        <v>0</v>
      </c>
      <c r="Q42" s="11">
        <v>0</v>
      </c>
      <c r="R42" s="11">
        <v>0</v>
      </c>
      <c r="S42" s="11">
        <v>1</v>
      </c>
      <c r="T42" s="11">
        <v>4</v>
      </c>
      <c r="U42" s="11">
        <v>458</v>
      </c>
      <c r="V42" s="11">
        <v>0</v>
      </c>
      <c r="W42" s="11">
        <v>1</v>
      </c>
      <c r="X42" s="11">
        <v>0</v>
      </c>
      <c r="Y42" s="11">
        <v>0</v>
      </c>
      <c r="Z42" s="11">
        <v>0</v>
      </c>
      <c r="AA42" s="11">
        <v>0</v>
      </c>
      <c r="AB42" s="11">
        <v>1</v>
      </c>
      <c r="AC42" s="11" t="s">
        <v>5044</v>
      </c>
      <c r="AD42" s="11" t="s">
        <v>5044</v>
      </c>
      <c r="AE42" s="11" t="s">
        <v>5044</v>
      </c>
      <c r="AF42" s="11" t="s">
        <v>5044</v>
      </c>
      <c r="AG42" s="11" t="s">
        <v>5044</v>
      </c>
      <c r="AH42" s="11" t="s">
        <v>5044</v>
      </c>
      <c r="AI42" s="11" t="s">
        <v>5044</v>
      </c>
      <c r="AJ42" s="11" t="s">
        <v>5044</v>
      </c>
      <c r="AK42" s="11" t="s">
        <v>5318</v>
      </c>
      <c r="AL42" s="11" t="s">
        <v>5041</v>
      </c>
      <c r="AM42" s="11">
        <v>0</v>
      </c>
      <c r="AN42" s="11" t="s">
        <v>5318</v>
      </c>
      <c r="AO42" s="11" t="s">
        <v>5318</v>
      </c>
      <c r="AP42" s="11" t="s">
        <v>5318</v>
      </c>
      <c r="AQ42" s="11" t="s">
        <v>5318</v>
      </c>
    </row>
    <row r="43" spans="1:43" ht="63" customHeight="1" x14ac:dyDescent="0.2">
      <c r="A43" s="10">
        <v>440</v>
      </c>
      <c r="B43" s="11" t="s">
        <v>6631</v>
      </c>
      <c r="C43" s="11" t="s">
        <v>167</v>
      </c>
      <c r="D43" s="11">
        <v>2016</v>
      </c>
      <c r="E43" s="11" t="s">
        <v>5318</v>
      </c>
      <c r="F43" s="11">
        <v>33</v>
      </c>
      <c r="G43" s="11">
        <v>3</v>
      </c>
      <c r="H43" s="11" t="s">
        <v>6632</v>
      </c>
      <c r="I43" s="11" t="s">
        <v>6516</v>
      </c>
      <c r="J43" s="11" t="s">
        <v>6633</v>
      </c>
      <c r="K43" s="11" t="s">
        <v>170</v>
      </c>
      <c r="L43" s="11" t="s">
        <v>5044</v>
      </c>
      <c r="M43" s="11">
        <v>0</v>
      </c>
      <c r="N43" s="9" t="s">
        <v>5044</v>
      </c>
      <c r="O43" s="9" t="s">
        <v>5044</v>
      </c>
      <c r="P43" s="11">
        <v>0</v>
      </c>
      <c r="Q43" s="11">
        <v>0</v>
      </c>
      <c r="R43" s="11">
        <v>0</v>
      </c>
      <c r="S43" s="11">
        <v>1</v>
      </c>
      <c r="T43" s="11">
        <v>4</v>
      </c>
      <c r="U43" s="11">
        <v>45</v>
      </c>
      <c r="V43" s="11">
        <v>0</v>
      </c>
      <c r="W43" s="11">
        <v>1</v>
      </c>
      <c r="X43" s="11">
        <v>0</v>
      </c>
      <c r="Y43" s="11">
        <v>0</v>
      </c>
      <c r="Z43" s="11">
        <v>0</v>
      </c>
      <c r="AA43" s="11">
        <v>0</v>
      </c>
      <c r="AB43" s="11">
        <v>1</v>
      </c>
      <c r="AC43" s="11">
        <v>1</v>
      </c>
      <c r="AD43" s="11" t="s">
        <v>5044</v>
      </c>
      <c r="AE43" s="11" t="s">
        <v>5044</v>
      </c>
      <c r="AF43" s="11" t="s">
        <v>5044</v>
      </c>
      <c r="AG43" s="11">
        <v>2</v>
      </c>
      <c r="AH43" s="11">
        <v>1</v>
      </c>
      <c r="AI43" s="11">
        <v>2</v>
      </c>
      <c r="AJ43" s="11" t="s">
        <v>5044</v>
      </c>
      <c r="AK43" s="11" t="s">
        <v>5318</v>
      </c>
      <c r="AL43" s="11">
        <v>0</v>
      </c>
      <c r="AM43" s="11">
        <v>0</v>
      </c>
      <c r="AN43" s="11" t="s">
        <v>5318</v>
      </c>
      <c r="AO43" s="11" t="s">
        <v>5318</v>
      </c>
      <c r="AP43" s="11" t="s">
        <v>5318</v>
      </c>
      <c r="AQ43" s="11" t="s">
        <v>5318</v>
      </c>
    </row>
    <row r="44" spans="1:43" ht="63" customHeight="1" x14ac:dyDescent="0.2">
      <c r="A44" s="10">
        <v>469</v>
      </c>
      <c r="B44" s="11" t="s">
        <v>6634</v>
      </c>
      <c r="C44" s="11" t="s">
        <v>171</v>
      </c>
      <c r="D44" s="11">
        <v>2020</v>
      </c>
      <c r="E44" s="11" t="s">
        <v>5318</v>
      </c>
      <c r="F44" s="11">
        <v>12</v>
      </c>
      <c r="G44" s="11">
        <v>1</v>
      </c>
      <c r="H44" s="11" t="s">
        <v>6308</v>
      </c>
      <c r="I44" s="11" t="s">
        <v>6516</v>
      </c>
      <c r="J44" s="11" t="s">
        <v>6635</v>
      </c>
      <c r="K44" s="11" t="s">
        <v>173</v>
      </c>
      <c r="L44" s="12" t="s">
        <v>5097</v>
      </c>
      <c r="M44" s="11">
        <v>0</v>
      </c>
      <c r="N44" s="9" t="s">
        <v>5044</v>
      </c>
      <c r="O44" s="9" t="s">
        <v>5044</v>
      </c>
      <c r="P44" s="11">
        <v>0</v>
      </c>
      <c r="Q44" s="11">
        <v>0</v>
      </c>
      <c r="R44" s="11">
        <v>0</v>
      </c>
      <c r="S44" s="11" t="s">
        <v>5096</v>
      </c>
      <c r="T44" s="11">
        <v>4</v>
      </c>
      <c r="U44" s="11">
        <v>118</v>
      </c>
      <c r="V44" s="11">
        <v>0</v>
      </c>
      <c r="W44" s="11">
        <v>1</v>
      </c>
      <c r="X44" s="11">
        <v>0</v>
      </c>
      <c r="Y44" s="11">
        <v>0</v>
      </c>
      <c r="Z44" s="11">
        <v>0</v>
      </c>
      <c r="AA44" s="11">
        <v>0</v>
      </c>
      <c r="AB44" s="11">
        <v>1</v>
      </c>
      <c r="AC44" s="11">
        <v>0</v>
      </c>
      <c r="AD44" s="11" t="s">
        <v>5044</v>
      </c>
      <c r="AE44" s="11" t="s">
        <v>5044</v>
      </c>
      <c r="AF44" s="11" t="s">
        <v>5044</v>
      </c>
      <c r="AG44" s="11">
        <v>0</v>
      </c>
      <c r="AH44" s="11" t="s">
        <v>5044</v>
      </c>
      <c r="AI44" s="11" t="s">
        <v>5044</v>
      </c>
      <c r="AJ44" s="11" t="s">
        <v>5044</v>
      </c>
      <c r="AK44" s="11" t="s">
        <v>5318</v>
      </c>
      <c r="AL44" s="11">
        <v>1</v>
      </c>
      <c r="AM44" s="11">
        <v>0</v>
      </c>
      <c r="AN44" s="11" t="s">
        <v>5318</v>
      </c>
      <c r="AO44" s="11" t="s">
        <v>5318</v>
      </c>
      <c r="AP44" s="11" t="s">
        <v>5318</v>
      </c>
      <c r="AQ44" s="11" t="s">
        <v>5318</v>
      </c>
    </row>
    <row r="45" spans="1:43" ht="63" customHeight="1" x14ac:dyDescent="0.2">
      <c r="A45" s="10">
        <v>478</v>
      </c>
      <c r="B45" s="11" t="s">
        <v>6636</v>
      </c>
      <c r="C45" s="11" t="s">
        <v>174</v>
      </c>
      <c r="D45" s="11">
        <v>2022</v>
      </c>
      <c r="E45" s="11" t="s">
        <v>5318</v>
      </c>
      <c r="F45" s="11">
        <v>7</v>
      </c>
      <c r="G45" s="11">
        <v>1</v>
      </c>
      <c r="H45" s="11" t="s">
        <v>6637</v>
      </c>
      <c r="I45" s="11" t="s">
        <v>6516</v>
      </c>
      <c r="J45" s="11" t="s">
        <v>6638</v>
      </c>
      <c r="K45" s="11" t="s">
        <v>176</v>
      </c>
      <c r="L45" s="11" t="s">
        <v>5098</v>
      </c>
      <c r="M45" s="11">
        <v>1</v>
      </c>
      <c r="N45" s="11">
        <v>0</v>
      </c>
      <c r="O45" s="9" t="s">
        <v>5044</v>
      </c>
      <c r="P45" s="11">
        <v>0</v>
      </c>
      <c r="Q45" s="11">
        <v>0</v>
      </c>
      <c r="R45" s="11">
        <v>0</v>
      </c>
      <c r="S45" s="11">
        <v>1</v>
      </c>
      <c r="T45" s="11">
        <v>2</v>
      </c>
      <c r="U45" s="11">
        <v>2275</v>
      </c>
      <c r="V45" s="11">
        <v>1</v>
      </c>
      <c r="W45" s="11">
        <v>0</v>
      </c>
      <c r="X45" s="11">
        <v>0</v>
      </c>
      <c r="Y45" s="11">
        <v>0</v>
      </c>
      <c r="Z45" s="11">
        <v>1</v>
      </c>
      <c r="AA45" s="11">
        <v>0</v>
      </c>
      <c r="AB45" s="11">
        <v>1</v>
      </c>
      <c r="AC45" s="11" t="s">
        <v>5044</v>
      </c>
      <c r="AD45" s="11" t="s">
        <v>5044</v>
      </c>
      <c r="AE45" s="11" t="s">
        <v>5044</v>
      </c>
      <c r="AF45" s="11" t="s">
        <v>5044</v>
      </c>
      <c r="AG45" s="11" t="s">
        <v>5044</v>
      </c>
      <c r="AH45" s="11" t="s">
        <v>5044</v>
      </c>
      <c r="AI45" s="11" t="s">
        <v>5044</v>
      </c>
      <c r="AJ45" s="11" t="s">
        <v>5044</v>
      </c>
      <c r="AK45" s="11" t="s">
        <v>5318</v>
      </c>
      <c r="AL45" s="11" t="s">
        <v>5041</v>
      </c>
      <c r="AM45" s="11">
        <v>0</v>
      </c>
      <c r="AN45" s="11" t="s">
        <v>5318</v>
      </c>
      <c r="AO45" s="11" t="s">
        <v>5318</v>
      </c>
      <c r="AP45" s="11" t="s">
        <v>5318</v>
      </c>
      <c r="AQ45" s="11" t="s">
        <v>5318</v>
      </c>
    </row>
    <row r="46" spans="1:43" ht="63" customHeight="1" x14ac:dyDescent="0.2">
      <c r="A46" s="10">
        <v>485</v>
      </c>
      <c r="B46" s="11" t="s">
        <v>6639</v>
      </c>
      <c r="C46" s="11" t="s">
        <v>177</v>
      </c>
      <c r="D46" s="11">
        <v>2014</v>
      </c>
      <c r="E46" s="11" t="s">
        <v>5318</v>
      </c>
      <c r="F46" s="11">
        <v>38</v>
      </c>
      <c r="G46" s="11">
        <v>4</v>
      </c>
      <c r="H46" s="11" t="s">
        <v>6640</v>
      </c>
      <c r="I46" s="11" t="s">
        <v>6516</v>
      </c>
      <c r="J46" s="11" t="s">
        <v>6641</v>
      </c>
      <c r="K46" s="11" t="s">
        <v>178</v>
      </c>
      <c r="L46" s="11" t="s">
        <v>5044</v>
      </c>
      <c r="M46" s="11">
        <v>0</v>
      </c>
      <c r="N46" s="9" t="s">
        <v>5044</v>
      </c>
      <c r="O46" s="9" t="s">
        <v>5044</v>
      </c>
      <c r="P46" s="11">
        <v>0</v>
      </c>
      <c r="Q46" s="11">
        <v>0</v>
      </c>
      <c r="R46" s="11">
        <v>0</v>
      </c>
      <c r="S46" s="11">
        <v>1</v>
      </c>
      <c r="T46" s="11">
        <v>4</v>
      </c>
      <c r="U46" s="11">
        <v>100</v>
      </c>
      <c r="V46" s="11">
        <v>0</v>
      </c>
      <c r="W46" s="11">
        <v>1</v>
      </c>
      <c r="X46" s="11">
        <v>0</v>
      </c>
      <c r="Y46" s="11">
        <v>0</v>
      </c>
      <c r="Z46" s="11">
        <v>0</v>
      </c>
      <c r="AA46" s="11">
        <v>0</v>
      </c>
      <c r="AB46" s="11">
        <v>0</v>
      </c>
      <c r="AC46" s="11">
        <v>1</v>
      </c>
      <c r="AD46" s="11" t="s">
        <v>5044</v>
      </c>
      <c r="AE46" s="11" t="s">
        <v>5044</v>
      </c>
      <c r="AF46" s="11" t="s">
        <v>5044</v>
      </c>
      <c r="AG46" s="11">
        <v>1</v>
      </c>
      <c r="AH46" s="11">
        <v>0</v>
      </c>
      <c r="AI46" s="11">
        <v>0</v>
      </c>
      <c r="AJ46" s="11" t="s">
        <v>5044</v>
      </c>
      <c r="AK46" s="11" t="s">
        <v>5318</v>
      </c>
      <c r="AL46" s="11">
        <v>0</v>
      </c>
      <c r="AM46" s="11">
        <v>0</v>
      </c>
      <c r="AN46" s="11" t="s">
        <v>5318</v>
      </c>
      <c r="AO46" s="11" t="s">
        <v>5318</v>
      </c>
      <c r="AP46" s="11" t="s">
        <v>5318</v>
      </c>
      <c r="AQ46" s="11" t="s">
        <v>5318</v>
      </c>
    </row>
    <row r="47" spans="1:43" ht="63" customHeight="1" x14ac:dyDescent="0.2">
      <c r="A47" s="10">
        <v>489</v>
      </c>
      <c r="B47" s="11" t="s">
        <v>6642</v>
      </c>
      <c r="C47" s="11" t="s">
        <v>179</v>
      </c>
      <c r="D47" s="11">
        <v>2016</v>
      </c>
      <c r="E47" s="11" t="s">
        <v>5318</v>
      </c>
      <c r="F47" s="11">
        <v>388</v>
      </c>
      <c r="G47" s="11">
        <v>10049</v>
      </c>
      <c r="H47" s="11" t="s">
        <v>6349</v>
      </c>
      <c r="I47" s="11" t="s">
        <v>6516</v>
      </c>
      <c r="J47" s="11" t="s">
        <v>6643</v>
      </c>
      <c r="K47" s="11" t="s">
        <v>181</v>
      </c>
      <c r="L47" s="11" t="s">
        <v>5099</v>
      </c>
      <c r="M47" s="11">
        <v>0</v>
      </c>
      <c r="N47" s="9" t="s">
        <v>5044</v>
      </c>
      <c r="O47" s="9" t="s">
        <v>5044</v>
      </c>
      <c r="P47" s="11">
        <v>0</v>
      </c>
      <c r="Q47" s="11">
        <v>0</v>
      </c>
      <c r="R47" s="11">
        <v>0</v>
      </c>
      <c r="S47" s="11">
        <v>3</v>
      </c>
      <c r="T47" s="11">
        <v>5</v>
      </c>
      <c r="U47" s="11">
        <v>326</v>
      </c>
      <c r="V47" s="11">
        <v>0</v>
      </c>
      <c r="W47" s="11">
        <v>1</v>
      </c>
      <c r="X47" s="11">
        <v>0</v>
      </c>
      <c r="Y47" s="11">
        <v>0</v>
      </c>
      <c r="Z47" s="11">
        <v>0</v>
      </c>
      <c r="AA47" s="11">
        <v>0</v>
      </c>
      <c r="AB47" s="11">
        <v>0</v>
      </c>
      <c r="AC47" s="11">
        <v>1</v>
      </c>
      <c r="AD47" s="11" t="s">
        <v>5044</v>
      </c>
      <c r="AE47" s="11" t="s">
        <v>5044</v>
      </c>
      <c r="AF47" s="11" t="s">
        <v>5044</v>
      </c>
      <c r="AG47" s="11">
        <v>1</v>
      </c>
      <c r="AH47" s="11">
        <v>0</v>
      </c>
      <c r="AI47" s="11">
        <v>0</v>
      </c>
      <c r="AJ47" s="11" t="s">
        <v>5044</v>
      </c>
      <c r="AK47" s="11" t="s">
        <v>5318</v>
      </c>
      <c r="AL47" s="11">
        <v>0</v>
      </c>
      <c r="AM47" s="11">
        <v>0</v>
      </c>
      <c r="AN47" s="11" t="s">
        <v>5318</v>
      </c>
      <c r="AO47" s="11" t="s">
        <v>5318</v>
      </c>
      <c r="AP47" s="11" t="s">
        <v>5318</v>
      </c>
      <c r="AQ47" s="11" t="s">
        <v>5318</v>
      </c>
    </row>
    <row r="48" spans="1:43" ht="63" customHeight="1" x14ac:dyDescent="0.2">
      <c r="A48" s="10">
        <v>515</v>
      </c>
      <c r="B48" s="11" t="s">
        <v>6644</v>
      </c>
      <c r="C48" s="11" t="s">
        <v>182</v>
      </c>
      <c r="D48" s="11">
        <v>2017</v>
      </c>
      <c r="E48" s="11" t="s">
        <v>5318</v>
      </c>
      <c r="F48" s="11">
        <v>7</v>
      </c>
      <c r="G48" s="11" t="s">
        <v>5318</v>
      </c>
      <c r="H48" s="11" t="s">
        <v>6645</v>
      </c>
      <c r="I48" s="11" t="s">
        <v>6516</v>
      </c>
      <c r="J48" s="11" t="s">
        <v>6646</v>
      </c>
      <c r="K48" s="11" t="s">
        <v>184</v>
      </c>
      <c r="L48" s="11" t="s">
        <v>5100</v>
      </c>
      <c r="M48" s="11">
        <v>0</v>
      </c>
      <c r="N48" s="9" t="s">
        <v>5044</v>
      </c>
      <c r="O48" s="9" t="s">
        <v>5044</v>
      </c>
      <c r="P48" s="11">
        <v>0</v>
      </c>
      <c r="Q48" s="11">
        <v>0</v>
      </c>
      <c r="R48" s="11">
        <v>0</v>
      </c>
      <c r="S48" s="11">
        <v>1</v>
      </c>
      <c r="T48" s="11">
        <v>4</v>
      </c>
      <c r="U48" s="11">
        <v>590</v>
      </c>
      <c r="V48" s="11">
        <v>0</v>
      </c>
      <c r="W48" s="11">
        <v>1</v>
      </c>
      <c r="X48" s="11">
        <v>0</v>
      </c>
      <c r="Y48" s="11">
        <v>0</v>
      </c>
      <c r="Z48" s="11">
        <v>0</v>
      </c>
      <c r="AA48" s="11">
        <v>0</v>
      </c>
      <c r="AB48" s="11">
        <v>1</v>
      </c>
      <c r="AC48" s="11">
        <v>1</v>
      </c>
      <c r="AD48" s="11" t="s">
        <v>5044</v>
      </c>
      <c r="AE48" s="11" t="s">
        <v>5044</v>
      </c>
      <c r="AF48" s="11" t="s">
        <v>5044</v>
      </c>
      <c r="AG48" s="11">
        <v>1</v>
      </c>
      <c r="AH48" s="11">
        <v>0</v>
      </c>
      <c r="AI48" s="11">
        <v>0</v>
      </c>
      <c r="AJ48" s="11" t="s">
        <v>5044</v>
      </c>
      <c r="AK48" s="11" t="s">
        <v>5318</v>
      </c>
      <c r="AL48" s="11">
        <v>1</v>
      </c>
      <c r="AM48" s="11">
        <v>0</v>
      </c>
      <c r="AN48" s="11" t="s">
        <v>5318</v>
      </c>
      <c r="AO48" s="11" t="s">
        <v>5318</v>
      </c>
      <c r="AP48" s="11" t="s">
        <v>5318</v>
      </c>
      <c r="AQ48" s="11" t="s">
        <v>5318</v>
      </c>
    </row>
    <row r="49" spans="1:43" ht="63" customHeight="1" x14ac:dyDescent="0.2">
      <c r="A49" s="10">
        <v>519</v>
      </c>
      <c r="B49" s="11" t="s">
        <v>6647</v>
      </c>
      <c r="C49" s="11" t="s">
        <v>185</v>
      </c>
      <c r="D49" s="11">
        <v>2022</v>
      </c>
      <c r="E49" s="11" t="s">
        <v>5318</v>
      </c>
      <c r="F49" s="11">
        <v>275</v>
      </c>
      <c r="G49" s="11">
        <v>4</v>
      </c>
      <c r="H49" s="11" t="s">
        <v>6533</v>
      </c>
      <c r="I49" s="11" t="s">
        <v>6516</v>
      </c>
      <c r="J49" s="11" t="s">
        <v>6648</v>
      </c>
      <c r="K49" s="11" t="s">
        <v>187</v>
      </c>
      <c r="L49" s="11" t="s">
        <v>5101</v>
      </c>
      <c r="M49" s="11">
        <v>0</v>
      </c>
      <c r="N49" s="9" t="s">
        <v>5044</v>
      </c>
      <c r="O49" s="9" t="s">
        <v>5044</v>
      </c>
      <c r="P49" s="11">
        <v>0</v>
      </c>
      <c r="Q49" s="11">
        <v>0</v>
      </c>
      <c r="R49" s="11">
        <v>0</v>
      </c>
      <c r="S49" s="11">
        <v>7</v>
      </c>
      <c r="T49" s="11">
        <v>4</v>
      </c>
      <c r="U49" s="11">
        <v>362</v>
      </c>
      <c r="V49" s="11">
        <v>0</v>
      </c>
      <c r="W49" s="11">
        <v>1</v>
      </c>
      <c r="X49" s="11">
        <v>0</v>
      </c>
      <c r="Y49" s="11">
        <v>0</v>
      </c>
      <c r="Z49" s="11">
        <v>0</v>
      </c>
      <c r="AA49" s="11">
        <v>0</v>
      </c>
      <c r="AB49" s="11">
        <v>1</v>
      </c>
      <c r="AC49" s="11">
        <v>1</v>
      </c>
      <c r="AD49" s="11" t="s">
        <v>5044</v>
      </c>
      <c r="AE49" s="11" t="s">
        <v>5044</v>
      </c>
      <c r="AF49" s="11" t="s">
        <v>5044</v>
      </c>
      <c r="AG49" s="11">
        <v>2</v>
      </c>
      <c r="AH49" s="11">
        <v>1</v>
      </c>
      <c r="AI49" s="11">
        <v>2</v>
      </c>
      <c r="AJ49" s="11" t="s">
        <v>5044</v>
      </c>
      <c r="AK49" s="11" t="s">
        <v>5318</v>
      </c>
      <c r="AL49" s="11">
        <v>1</v>
      </c>
      <c r="AM49" s="11">
        <v>0</v>
      </c>
      <c r="AN49" s="11" t="s">
        <v>5318</v>
      </c>
      <c r="AO49" s="11" t="s">
        <v>5318</v>
      </c>
      <c r="AP49" s="11" t="s">
        <v>5318</v>
      </c>
      <c r="AQ49" s="11" t="s">
        <v>5318</v>
      </c>
    </row>
    <row r="50" spans="1:43" ht="63" customHeight="1" x14ac:dyDescent="0.2">
      <c r="A50" s="10">
        <v>539</v>
      </c>
      <c r="B50" s="11" t="s">
        <v>6649</v>
      </c>
      <c r="C50" s="11" t="s">
        <v>188</v>
      </c>
      <c r="D50" s="11">
        <v>2017</v>
      </c>
      <c r="E50" s="11" t="s">
        <v>5318</v>
      </c>
      <c r="F50" s="11">
        <v>7</v>
      </c>
      <c r="G50" s="11">
        <v>1</v>
      </c>
      <c r="H50" s="11" t="s">
        <v>6645</v>
      </c>
      <c r="I50" s="11" t="s">
        <v>6516</v>
      </c>
      <c r="J50" s="11" t="s">
        <v>6650</v>
      </c>
      <c r="K50" s="11" t="s">
        <v>189</v>
      </c>
      <c r="L50" s="12" t="s">
        <v>5104</v>
      </c>
      <c r="M50" s="11">
        <v>0</v>
      </c>
      <c r="N50" s="9" t="s">
        <v>5044</v>
      </c>
      <c r="O50" s="9" t="s">
        <v>5044</v>
      </c>
      <c r="P50" s="11">
        <v>0</v>
      </c>
      <c r="Q50" s="11">
        <v>0</v>
      </c>
      <c r="R50" s="11">
        <v>0</v>
      </c>
      <c r="S50" s="11">
        <v>1</v>
      </c>
      <c r="T50" s="11">
        <v>4</v>
      </c>
      <c r="U50" s="11">
        <v>140</v>
      </c>
      <c r="V50" s="11">
        <v>0</v>
      </c>
      <c r="W50" s="11">
        <v>1</v>
      </c>
      <c r="X50" s="11">
        <v>0</v>
      </c>
      <c r="Y50" s="11">
        <v>0</v>
      </c>
      <c r="Z50" s="11">
        <v>0</v>
      </c>
      <c r="AA50" s="11">
        <v>0</v>
      </c>
      <c r="AB50" s="11">
        <v>1</v>
      </c>
      <c r="AC50" s="11">
        <v>1</v>
      </c>
      <c r="AD50" s="11" t="s">
        <v>5044</v>
      </c>
      <c r="AE50" s="11" t="s">
        <v>5044</v>
      </c>
      <c r="AF50" s="11" t="s">
        <v>5044</v>
      </c>
      <c r="AG50" s="11">
        <v>1</v>
      </c>
      <c r="AH50" s="11">
        <v>0</v>
      </c>
      <c r="AI50" s="11">
        <v>0</v>
      </c>
      <c r="AJ50" s="11" t="s">
        <v>5044</v>
      </c>
      <c r="AK50" s="11" t="s">
        <v>5318</v>
      </c>
      <c r="AL50" s="11" t="s">
        <v>5041</v>
      </c>
      <c r="AM50" s="11">
        <v>0</v>
      </c>
      <c r="AN50" s="11" t="s">
        <v>5105</v>
      </c>
      <c r="AO50" s="11" t="s">
        <v>5318</v>
      </c>
      <c r="AP50" s="11" t="s">
        <v>5318</v>
      </c>
      <c r="AQ50" s="11" t="s">
        <v>5318</v>
      </c>
    </row>
    <row r="51" spans="1:43" ht="63" customHeight="1" x14ac:dyDescent="0.2">
      <c r="A51" s="10">
        <v>545</v>
      </c>
      <c r="B51" s="11" t="s">
        <v>6651</v>
      </c>
      <c r="C51" s="11" t="s">
        <v>190</v>
      </c>
      <c r="D51" s="11">
        <v>2022</v>
      </c>
      <c r="E51" s="11" t="s">
        <v>5318</v>
      </c>
      <c r="F51" s="11">
        <v>49</v>
      </c>
      <c r="G51" s="11" t="s">
        <v>5318</v>
      </c>
      <c r="H51" s="11" t="s">
        <v>6652</v>
      </c>
      <c r="I51" s="11" t="s">
        <v>6516</v>
      </c>
      <c r="J51" s="11" t="s">
        <v>6653</v>
      </c>
      <c r="K51" s="11" t="s">
        <v>192</v>
      </c>
      <c r="L51" s="11" t="s">
        <v>5106</v>
      </c>
      <c r="M51" s="11">
        <v>0</v>
      </c>
      <c r="N51" s="9" t="s">
        <v>5044</v>
      </c>
      <c r="O51" s="9" t="s">
        <v>5044</v>
      </c>
      <c r="P51" s="11">
        <v>0</v>
      </c>
      <c r="Q51" s="11">
        <v>0</v>
      </c>
      <c r="R51" s="11">
        <v>0</v>
      </c>
      <c r="S51" s="11">
        <v>1</v>
      </c>
      <c r="T51" s="11">
        <v>4</v>
      </c>
      <c r="U51" s="11">
        <v>105</v>
      </c>
      <c r="V51" s="11">
        <v>0</v>
      </c>
      <c r="W51" s="11">
        <v>1</v>
      </c>
      <c r="X51" s="11">
        <v>0</v>
      </c>
      <c r="Y51" s="11">
        <v>0</v>
      </c>
      <c r="Z51" s="11">
        <v>0</v>
      </c>
      <c r="AA51" s="11">
        <v>0</v>
      </c>
      <c r="AB51" s="11">
        <v>1</v>
      </c>
      <c r="AC51" s="11">
        <v>1</v>
      </c>
      <c r="AD51" s="11" t="s">
        <v>5044</v>
      </c>
      <c r="AE51" s="11" t="s">
        <v>5044</v>
      </c>
      <c r="AF51" s="11" t="s">
        <v>5044</v>
      </c>
      <c r="AG51" s="11">
        <v>1</v>
      </c>
      <c r="AH51" s="11">
        <v>0</v>
      </c>
      <c r="AI51" s="11">
        <v>0</v>
      </c>
      <c r="AJ51" s="11" t="s">
        <v>5044</v>
      </c>
      <c r="AK51" s="11" t="s">
        <v>5318</v>
      </c>
      <c r="AL51" s="11">
        <v>1</v>
      </c>
      <c r="AM51" s="11">
        <v>0</v>
      </c>
      <c r="AN51" s="11" t="s">
        <v>5318</v>
      </c>
      <c r="AO51" s="11" t="s">
        <v>5318</v>
      </c>
      <c r="AP51" s="11" t="s">
        <v>5318</v>
      </c>
      <c r="AQ51" s="11" t="s">
        <v>5318</v>
      </c>
    </row>
    <row r="52" spans="1:43" ht="63" customHeight="1" x14ac:dyDescent="0.2">
      <c r="A52" s="10">
        <v>547</v>
      </c>
      <c r="B52" s="11" t="s">
        <v>6654</v>
      </c>
      <c r="C52" s="11" t="s">
        <v>193</v>
      </c>
      <c r="D52" s="11">
        <v>2022</v>
      </c>
      <c r="E52" s="11" t="s">
        <v>5318</v>
      </c>
      <c r="F52" s="11">
        <v>41</v>
      </c>
      <c r="G52" s="11">
        <v>6</v>
      </c>
      <c r="H52" s="11" t="s">
        <v>6592</v>
      </c>
      <c r="I52" s="11" t="s">
        <v>6516</v>
      </c>
      <c r="J52" s="11" t="s">
        <v>6655</v>
      </c>
      <c r="K52" s="11" t="s">
        <v>195</v>
      </c>
      <c r="L52" s="11" t="s">
        <v>5107</v>
      </c>
      <c r="M52" s="11">
        <v>0</v>
      </c>
      <c r="N52" s="9" t="s">
        <v>5044</v>
      </c>
      <c r="O52" s="9" t="s">
        <v>5044</v>
      </c>
      <c r="P52" s="11">
        <v>0</v>
      </c>
      <c r="Q52" s="11">
        <v>0</v>
      </c>
      <c r="R52" s="11">
        <v>0</v>
      </c>
      <c r="S52" s="11">
        <v>1</v>
      </c>
      <c r="T52" s="11">
        <v>4</v>
      </c>
      <c r="U52" s="11">
        <v>123</v>
      </c>
      <c r="V52" s="11">
        <v>1</v>
      </c>
      <c r="W52" s="11">
        <v>0</v>
      </c>
      <c r="X52" s="11">
        <v>0</v>
      </c>
      <c r="Y52" s="11">
        <v>0</v>
      </c>
      <c r="Z52" s="11">
        <v>0</v>
      </c>
      <c r="AA52" s="11">
        <v>0</v>
      </c>
      <c r="AB52" s="11">
        <v>1</v>
      </c>
      <c r="AC52" s="11">
        <v>1</v>
      </c>
      <c r="AD52" s="11">
        <v>2</v>
      </c>
      <c r="AE52" s="11">
        <v>2</v>
      </c>
      <c r="AF52" s="11">
        <v>2</v>
      </c>
      <c r="AG52" s="11" t="s">
        <v>5044</v>
      </c>
      <c r="AH52" s="11" t="s">
        <v>5044</v>
      </c>
      <c r="AI52" s="11" t="s">
        <v>5044</v>
      </c>
      <c r="AJ52" s="11" t="s">
        <v>5044</v>
      </c>
      <c r="AK52" s="11" t="s">
        <v>5318</v>
      </c>
      <c r="AL52" s="11" t="s">
        <v>5041</v>
      </c>
      <c r="AM52" s="11">
        <v>0</v>
      </c>
      <c r="AN52" s="11" t="s">
        <v>5105</v>
      </c>
      <c r="AO52" s="11" t="s">
        <v>5318</v>
      </c>
      <c r="AP52" s="11" t="s">
        <v>5318</v>
      </c>
      <c r="AQ52" s="11" t="s">
        <v>5318</v>
      </c>
    </row>
    <row r="53" spans="1:43" ht="63" customHeight="1" x14ac:dyDescent="0.2">
      <c r="A53" s="10">
        <v>563</v>
      </c>
      <c r="B53" s="11" t="s">
        <v>6656</v>
      </c>
      <c r="C53" s="11" t="s">
        <v>196</v>
      </c>
      <c r="D53" s="11">
        <v>2017</v>
      </c>
      <c r="E53" s="11" t="s">
        <v>5318</v>
      </c>
      <c r="F53" s="11">
        <v>23</v>
      </c>
      <c r="G53" s="11">
        <v>34</v>
      </c>
      <c r="H53" s="11" t="s">
        <v>6657</v>
      </c>
      <c r="I53" s="11" t="s">
        <v>6516</v>
      </c>
      <c r="J53" s="11" t="s">
        <v>6658</v>
      </c>
      <c r="K53" s="11" t="s">
        <v>199</v>
      </c>
      <c r="L53" s="12" t="s">
        <v>5108</v>
      </c>
      <c r="M53" s="11">
        <v>0</v>
      </c>
      <c r="N53" s="9" t="s">
        <v>5044</v>
      </c>
      <c r="O53" s="9" t="s">
        <v>5044</v>
      </c>
      <c r="P53" s="11">
        <v>0</v>
      </c>
      <c r="Q53" s="11">
        <v>0</v>
      </c>
      <c r="R53" s="11">
        <v>0</v>
      </c>
      <c r="S53" s="11">
        <v>1</v>
      </c>
      <c r="T53" s="11">
        <v>4</v>
      </c>
      <c r="U53" s="11">
        <v>158</v>
      </c>
      <c r="V53" s="11">
        <v>0</v>
      </c>
      <c r="W53" s="11">
        <v>1</v>
      </c>
      <c r="X53" s="11">
        <v>0</v>
      </c>
      <c r="Y53" s="11">
        <v>0</v>
      </c>
      <c r="Z53" s="11">
        <v>0</v>
      </c>
      <c r="AA53" s="11">
        <v>0</v>
      </c>
      <c r="AB53" s="11">
        <v>0</v>
      </c>
      <c r="AC53" s="11">
        <v>1</v>
      </c>
      <c r="AD53" s="11" t="s">
        <v>5044</v>
      </c>
      <c r="AE53" s="11" t="s">
        <v>5044</v>
      </c>
      <c r="AF53" s="11" t="s">
        <v>5044</v>
      </c>
      <c r="AG53" s="11">
        <v>2</v>
      </c>
      <c r="AH53" s="11">
        <v>3</v>
      </c>
      <c r="AI53" s="11">
        <v>0</v>
      </c>
      <c r="AJ53" s="11" t="s">
        <v>5044</v>
      </c>
      <c r="AK53" s="11" t="s">
        <v>5318</v>
      </c>
      <c r="AL53" s="11" t="s">
        <v>5041</v>
      </c>
      <c r="AM53" s="11">
        <v>0</v>
      </c>
      <c r="AN53" s="11" t="s">
        <v>5105</v>
      </c>
      <c r="AO53" s="11" t="s">
        <v>5318</v>
      </c>
      <c r="AP53" s="11" t="s">
        <v>5318</v>
      </c>
      <c r="AQ53" s="11" t="s">
        <v>5318</v>
      </c>
    </row>
    <row r="54" spans="1:43" ht="63" customHeight="1" x14ac:dyDescent="0.2">
      <c r="A54" s="10">
        <v>569</v>
      </c>
      <c r="B54" s="11" t="s">
        <v>6659</v>
      </c>
      <c r="C54" s="11" t="s">
        <v>200</v>
      </c>
      <c r="D54" s="11">
        <v>2021</v>
      </c>
      <c r="E54" s="11" t="s">
        <v>5318</v>
      </c>
      <c r="F54" s="11">
        <v>133</v>
      </c>
      <c r="G54" s="11">
        <v>4</v>
      </c>
      <c r="H54" s="11" t="s">
        <v>6660</v>
      </c>
      <c r="I54" s="11" t="s">
        <v>6516</v>
      </c>
      <c r="J54" s="11" t="s">
        <v>6661</v>
      </c>
      <c r="K54" s="11" t="s">
        <v>203</v>
      </c>
      <c r="L54" s="12" t="s">
        <v>5109</v>
      </c>
      <c r="M54" s="11">
        <v>0</v>
      </c>
      <c r="N54" s="9" t="s">
        <v>5044</v>
      </c>
      <c r="O54" s="9" t="s">
        <v>5044</v>
      </c>
      <c r="P54" s="11">
        <v>1</v>
      </c>
      <c r="Q54" s="11">
        <v>0</v>
      </c>
      <c r="R54" s="11">
        <v>0</v>
      </c>
      <c r="S54" s="11">
        <v>9</v>
      </c>
      <c r="T54" s="11">
        <v>5</v>
      </c>
      <c r="U54" s="11">
        <v>72</v>
      </c>
      <c r="V54" s="11">
        <v>0</v>
      </c>
      <c r="W54" s="11">
        <v>1</v>
      </c>
      <c r="X54" s="11">
        <v>0</v>
      </c>
      <c r="Y54" s="11">
        <v>0</v>
      </c>
      <c r="Z54" s="11">
        <v>0</v>
      </c>
      <c r="AA54" s="11">
        <v>0</v>
      </c>
      <c r="AB54" s="11">
        <v>1</v>
      </c>
      <c r="AC54" s="11">
        <v>1</v>
      </c>
      <c r="AD54" s="11" t="s">
        <v>5044</v>
      </c>
      <c r="AE54" s="11" t="s">
        <v>5044</v>
      </c>
      <c r="AF54" s="11" t="s">
        <v>5044</v>
      </c>
      <c r="AG54" s="11">
        <v>1</v>
      </c>
      <c r="AH54" s="11">
        <v>0</v>
      </c>
      <c r="AI54" s="11">
        <v>0</v>
      </c>
      <c r="AJ54" s="11" t="s">
        <v>5044</v>
      </c>
      <c r="AK54" s="11" t="s">
        <v>5318</v>
      </c>
      <c r="AL54" s="11">
        <v>0</v>
      </c>
      <c r="AM54" s="11">
        <v>0</v>
      </c>
      <c r="AN54" s="11" t="s">
        <v>5318</v>
      </c>
      <c r="AO54" s="11" t="s">
        <v>5318</v>
      </c>
      <c r="AP54" s="11" t="s">
        <v>5318</v>
      </c>
      <c r="AQ54" s="11" t="s">
        <v>5318</v>
      </c>
    </row>
    <row r="55" spans="1:43" ht="63" customHeight="1" x14ac:dyDescent="0.2">
      <c r="A55" s="10">
        <v>585</v>
      </c>
      <c r="B55" s="11" t="s">
        <v>6665</v>
      </c>
      <c r="C55" s="11" t="s">
        <v>206</v>
      </c>
      <c r="D55" s="11">
        <v>2023</v>
      </c>
      <c r="E55" s="11" t="s">
        <v>5318</v>
      </c>
      <c r="F55" s="11">
        <v>37</v>
      </c>
      <c r="G55" s="11">
        <v>8</v>
      </c>
      <c r="H55" s="11" t="s">
        <v>6624</v>
      </c>
      <c r="I55" s="11" t="s">
        <v>6516</v>
      </c>
      <c r="J55" s="11" t="s">
        <v>6666</v>
      </c>
      <c r="K55" s="11" t="s">
        <v>207</v>
      </c>
      <c r="L55" s="11" t="s">
        <v>5110</v>
      </c>
      <c r="M55" s="11">
        <v>0</v>
      </c>
      <c r="N55" s="9" t="s">
        <v>5044</v>
      </c>
      <c r="O55" s="9" t="s">
        <v>5044</v>
      </c>
      <c r="P55" s="11">
        <v>0</v>
      </c>
      <c r="Q55" s="11">
        <v>0</v>
      </c>
      <c r="R55" s="11">
        <v>0</v>
      </c>
      <c r="S55" s="11">
        <v>1</v>
      </c>
      <c r="T55" s="11">
        <v>4</v>
      </c>
      <c r="U55" s="11">
        <v>30</v>
      </c>
      <c r="V55" s="11">
        <v>1</v>
      </c>
      <c r="W55" s="11">
        <v>0</v>
      </c>
      <c r="X55" s="11">
        <v>0</v>
      </c>
      <c r="Y55" s="11">
        <v>0</v>
      </c>
      <c r="Z55" s="11">
        <v>0</v>
      </c>
      <c r="AA55" s="11">
        <v>0</v>
      </c>
      <c r="AB55" s="11">
        <v>1</v>
      </c>
      <c r="AC55" s="11">
        <v>1</v>
      </c>
      <c r="AD55" s="11">
        <v>2</v>
      </c>
      <c r="AE55" s="11">
        <v>3</v>
      </c>
      <c r="AF55" s="11">
        <v>0</v>
      </c>
      <c r="AG55" s="22" t="s">
        <v>5044</v>
      </c>
      <c r="AH55" s="11" t="s">
        <v>5044</v>
      </c>
      <c r="AI55" s="11" t="s">
        <v>5044</v>
      </c>
      <c r="AJ55" s="11" t="s">
        <v>5044</v>
      </c>
      <c r="AK55" s="11" t="s">
        <v>5318</v>
      </c>
      <c r="AL55" s="11">
        <v>0</v>
      </c>
      <c r="AM55" s="11">
        <v>0</v>
      </c>
      <c r="AN55" s="11" t="s">
        <v>5318</v>
      </c>
      <c r="AO55" s="11" t="s">
        <v>5318</v>
      </c>
      <c r="AP55" s="11" t="s">
        <v>5318</v>
      </c>
      <c r="AQ55" s="11" t="s">
        <v>5318</v>
      </c>
    </row>
    <row r="56" spans="1:43" ht="63" customHeight="1" x14ac:dyDescent="0.2">
      <c r="A56" s="10">
        <v>607</v>
      </c>
      <c r="B56" s="11" t="s">
        <v>6667</v>
      </c>
      <c r="C56" s="11" t="s">
        <v>208</v>
      </c>
      <c r="D56" s="11">
        <v>2015</v>
      </c>
      <c r="E56" s="11" t="s">
        <v>5318</v>
      </c>
      <c r="F56" s="11">
        <v>32</v>
      </c>
      <c r="G56" s="11">
        <v>5</v>
      </c>
      <c r="H56" s="11" t="s">
        <v>6632</v>
      </c>
      <c r="I56" s="11" t="s">
        <v>6516</v>
      </c>
      <c r="J56" s="11" t="s">
        <v>6668</v>
      </c>
      <c r="K56" s="11" t="s">
        <v>209</v>
      </c>
      <c r="L56" s="11" t="s">
        <v>5111</v>
      </c>
      <c r="M56" s="11">
        <v>0</v>
      </c>
      <c r="N56" s="9" t="s">
        <v>5044</v>
      </c>
      <c r="O56" s="9" t="s">
        <v>5044</v>
      </c>
      <c r="P56" s="11">
        <v>0</v>
      </c>
      <c r="Q56" s="11">
        <v>0</v>
      </c>
      <c r="R56" s="11">
        <v>0</v>
      </c>
      <c r="S56" s="11">
        <v>1</v>
      </c>
      <c r="T56" s="11">
        <v>4</v>
      </c>
      <c r="U56" s="11">
        <v>63</v>
      </c>
      <c r="V56" s="11">
        <v>1</v>
      </c>
      <c r="W56" s="11">
        <v>0</v>
      </c>
      <c r="X56" s="11">
        <v>0</v>
      </c>
      <c r="Y56" s="11">
        <v>0</v>
      </c>
      <c r="Z56" s="11">
        <v>0</v>
      </c>
      <c r="AA56" s="11">
        <v>0</v>
      </c>
      <c r="AB56" s="11">
        <v>1</v>
      </c>
      <c r="AC56" s="11">
        <v>1</v>
      </c>
      <c r="AD56" s="11">
        <v>1</v>
      </c>
      <c r="AE56" s="11">
        <v>0</v>
      </c>
      <c r="AF56" s="11">
        <v>0</v>
      </c>
      <c r="AG56" s="11" t="s">
        <v>5044</v>
      </c>
      <c r="AH56" s="11" t="s">
        <v>5044</v>
      </c>
      <c r="AI56" s="11" t="s">
        <v>5044</v>
      </c>
      <c r="AJ56" s="11" t="s">
        <v>5044</v>
      </c>
      <c r="AK56" s="11" t="s">
        <v>5318</v>
      </c>
      <c r="AL56" s="11">
        <v>1</v>
      </c>
      <c r="AM56" s="11">
        <v>0</v>
      </c>
      <c r="AN56" s="11" t="s">
        <v>5318</v>
      </c>
      <c r="AO56" s="11" t="s">
        <v>5318</v>
      </c>
      <c r="AP56" s="11" t="s">
        <v>5318</v>
      </c>
      <c r="AQ56" s="11" t="s">
        <v>5318</v>
      </c>
    </row>
    <row r="57" spans="1:43" ht="63" customHeight="1" x14ac:dyDescent="0.2">
      <c r="A57" s="10">
        <v>612</v>
      </c>
      <c r="B57" s="11" t="s">
        <v>6669</v>
      </c>
      <c r="C57" s="11" t="s">
        <v>210</v>
      </c>
      <c r="D57" s="11">
        <v>2018</v>
      </c>
      <c r="E57" s="11" t="s">
        <v>5318</v>
      </c>
      <c r="F57" s="11">
        <v>2</v>
      </c>
      <c r="G57" s="11">
        <v>6</v>
      </c>
      <c r="H57" s="11" t="s">
        <v>6670</v>
      </c>
      <c r="I57" s="11" t="s">
        <v>6516</v>
      </c>
      <c r="J57" s="11" t="s">
        <v>6671</v>
      </c>
      <c r="K57" s="11" t="s">
        <v>212</v>
      </c>
      <c r="L57" s="11" t="s">
        <v>5112</v>
      </c>
      <c r="M57" s="11">
        <v>0</v>
      </c>
      <c r="N57" s="9" t="s">
        <v>5044</v>
      </c>
      <c r="O57" s="9" t="s">
        <v>5044</v>
      </c>
      <c r="P57" s="11">
        <v>0</v>
      </c>
      <c r="Q57" s="11">
        <v>0</v>
      </c>
      <c r="R57" s="11">
        <v>0</v>
      </c>
      <c r="S57" s="11">
        <v>1</v>
      </c>
      <c r="T57" s="11">
        <v>4</v>
      </c>
      <c r="U57" s="11">
        <v>89</v>
      </c>
      <c r="V57" s="11">
        <v>0</v>
      </c>
      <c r="W57" s="11">
        <v>1</v>
      </c>
      <c r="X57" s="11">
        <v>0</v>
      </c>
      <c r="Y57" s="11">
        <v>0</v>
      </c>
      <c r="Z57" s="11">
        <v>0</v>
      </c>
      <c r="AA57" s="11">
        <v>0</v>
      </c>
      <c r="AB57" s="11">
        <v>1</v>
      </c>
      <c r="AC57" s="11">
        <v>1</v>
      </c>
      <c r="AD57" s="11" t="s">
        <v>5044</v>
      </c>
      <c r="AE57" s="11" t="s">
        <v>5044</v>
      </c>
      <c r="AF57" s="11" t="s">
        <v>5044</v>
      </c>
      <c r="AG57" s="11">
        <v>2</v>
      </c>
      <c r="AH57" s="11">
        <v>1</v>
      </c>
      <c r="AI57" s="11">
        <v>2</v>
      </c>
      <c r="AJ57" s="11" t="s">
        <v>5044</v>
      </c>
      <c r="AK57" s="11" t="s">
        <v>5318</v>
      </c>
      <c r="AL57" s="11">
        <v>1</v>
      </c>
      <c r="AM57" s="11">
        <v>0</v>
      </c>
      <c r="AN57" s="11" t="s">
        <v>5318</v>
      </c>
      <c r="AO57" s="11" t="s">
        <v>5318</v>
      </c>
      <c r="AP57" s="11" t="s">
        <v>5318</v>
      </c>
      <c r="AQ57" s="11" t="s">
        <v>5318</v>
      </c>
    </row>
    <row r="58" spans="1:43" ht="63" customHeight="1" x14ac:dyDescent="0.2">
      <c r="A58" s="10">
        <v>636</v>
      </c>
      <c r="B58" s="11" t="s">
        <v>6672</v>
      </c>
      <c r="C58" s="11" t="s">
        <v>213</v>
      </c>
      <c r="D58" s="11">
        <v>2020</v>
      </c>
      <c r="E58" s="11" t="s">
        <v>5318</v>
      </c>
      <c r="F58" s="11">
        <v>13</v>
      </c>
      <c r="G58" s="11" t="s">
        <v>5318</v>
      </c>
      <c r="H58" s="11" t="s">
        <v>6673</v>
      </c>
      <c r="I58" s="11" t="s">
        <v>6516</v>
      </c>
      <c r="J58" s="11" t="s">
        <v>6674</v>
      </c>
      <c r="K58" s="11" t="s">
        <v>214</v>
      </c>
      <c r="L58" s="11" t="s">
        <v>5113</v>
      </c>
      <c r="M58" s="11">
        <v>0</v>
      </c>
      <c r="N58" s="9" t="s">
        <v>5044</v>
      </c>
      <c r="O58" s="9" t="s">
        <v>5044</v>
      </c>
      <c r="P58" s="11">
        <v>0</v>
      </c>
      <c r="Q58" s="11">
        <v>0</v>
      </c>
      <c r="R58" s="11">
        <v>0</v>
      </c>
      <c r="S58" s="11">
        <v>1</v>
      </c>
      <c r="T58" s="11">
        <v>4</v>
      </c>
      <c r="U58" s="11">
        <v>60</v>
      </c>
      <c r="V58" s="11">
        <v>0</v>
      </c>
      <c r="W58" s="11">
        <v>1</v>
      </c>
      <c r="X58" s="11">
        <v>0</v>
      </c>
      <c r="Y58" s="11">
        <v>0</v>
      </c>
      <c r="Z58" s="11">
        <v>0</v>
      </c>
      <c r="AA58" s="11">
        <v>0</v>
      </c>
      <c r="AB58" s="11">
        <v>1</v>
      </c>
      <c r="AC58" s="11">
        <v>1</v>
      </c>
      <c r="AD58" s="11" t="s">
        <v>5044</v>
      </c>
      <c r="AE58" s="11" t="s">
        <v>5044</v>
      </c>
      <c r="AF58" s="11" t="s">
        <v>5044</v>
      </c>
      <c r="AG58" s="11">
        <v>2</v>
      </c>
      <c r="AH58" s="11">
        <v>1</v>
      </c>
      <c r="AI58" s="11">
        <v>2</v>
      </c>
      <c r="AJ58" s="11" t="s">
        <v>5044</v>
      </c>
      <c r="AK58" s="11" t="s">
        <v>5318</v>
      </c>
      <c r="AL58" s="11">
        <v>0</v>
      </c>
      <c r="AM58" s="11">
        <v>0</v>
      </c>
      <c r="AN58" s="11" t="s">
        <v>5318</v>
      </c>
      <c r="AO58" s="11" t="s">
        <v>5318</v>
      </c>
      <c r="AP58" s="11" t="s">
        <v>5318</v>
      </c>
      <c r="AQ58" s="11" t="s">
        <v>5318</v>
      </c>
    </row>
    <row r="59" spans="1:43" ht="63" customHeight="1" x14ac:dyDescent="0.2">
      <c r="A59" s="10">
        <v>646</v>
      </c>
      <c r="B59" s="11" t="s">
        <v>6675</v>
      </c>
      <c r="C59" s="11" t="s">
        <v>215</v>
      </c>
      <c r="D59" s="11">
        <v>2021</v>
      </c>
      <c r="E59" s="11" t="s">
        <v>5318</v>
      </c>
      <c r="F59" s="11">
        <v>156</v>
      </c>
      <c r="G59" s="11">
        <v>5</v>
      </c>
      <c r="H59" s="11" t="s">
        <v>6676</v>
      </c>
      <c r="I59" s="11" t="s">
        <v>6516</v>
      </c>
      <c r="J59" s="11" t="s">
        <v>6677</v>
      </c>
      <c r="K59" s="11" t="s">
        <v>218</v>
      </c>
      <c r="L59" s="11" t="s">
        <v>5114</v>
      </c>
      <c r="M59" s="11">
        <v>0</v>
      </c>
      <c r="N59" s="9" t="s">
        <v>5044</v>
      </c>
      <c r="O59" s="9" t="s">
        <v>5044</v>
      </c>
      <c r="P59" s="11">
        <v>0</v>
      </c>
      <c r="Q59" s="11">
        <v>0</v>
      </c>
      <c r="R59" s="11">
        <v>0</v>
      </c>
      <c r="S59" s="11">
        <v>1</v>
      </c>
      <c r="T59" s="11">
        <v>4</v>
      </c>
      <c r="U59" s="11">
        <v>318</v>
      </c>
      <c r="V59" s="11">
        <v>0</v>
      </c>
      <c r="W59" s="11">
        <v>1</v>
      </c>
      <c r="X59" s="11">
        <v>0</v>
      </c>
      <c r="Y59" s="11">
        <v>0</v>
      </c>
      <c r="Z59" s="11">
        <v>0</v>
      </c>
      <c r="AA59" s="11">
        <v>0</v>
      </c>
      <c r="AB59" s="11">
        <v>1</v>
      </c>
      <c r="AC59" s="11">
        <v>0</v>
      </c>
      <c r="AD59" s="11" t="s">
        <v>5044</v>
      </c>
      <c r="AE59" s="11" t="s">
        <v>5044</v>
      </c>
      <c r="AF59" s="11" t="s">
        <v>5044</v>
      </c>
      <c r="AG59" s="11">
        <v>0</v>
      </c>
      <c r="AH59" s="11" t="s">
        <v>5044</v>
      </c>
      <c r="AI59" s="11" t="s">
        <v>5044</v>
      </c>
      <c r="AJ59" s="11" t="s">
        <v>5044</v>
      </c>
      <c r="AK59" s="11" t="s">
        <v>5318</v>
      </c>
      <c r="AL59" s="11">
        <v>1</v>
      </c>
      <c r="AM59" s="11">
        <v>0</v>
      </c>
      <c r="AN59" s="11" t="s">
        <v>5318</v>
      </c>
      <c r="AO59" s="11" t="s">
        <v>5318</v>
      </c>
      <c r="AP59" s="11" t="s">
        <v>5318</v>
      </c>
      <c r="AQ59" s="11" t="s">
        <v>5318</v>
      </c>
    </row>
    <row r="60" spans="1:43" ht="63" customHeight="1" x14ac:dyDescent="0.2">
      <c r="A60" s="10">
        <v>666</v>
      </c>
      <c r="B60" s="11" t="s">
        <v>6680</v>
      </c>
      <c r="C60" s="11" t="s">
        <v>222</v>
      </c>
      <c r="D60" s="11">
        <v>2021</v>
      </c>
      <c r="E60" s="11" t="s">
        <v>5318</v>
      </c>
      <c r="F60" s="11">
        <v>135</v>
      </c>
      <c r="G60" s="11">
        <v>3</v>
      </c>
      <c r="H60" s="11" t="s">
        <v>6302</v>
      </c>
      <c r="I60" s="11" t="s">
        <v>6516</v>
      </c>
      <c r="J60" s="11" t="s">
        <v>6681</v>
      </c>
      <c r="K60" s="11" t="s">
        <v>225</v>
      </c>
      <c r="L60" s="11" t="s">
        <v>5115</v>
      </c>
      <c r="M60" s="11">
        <v>0</v>
      </c>
      <c r="N60" s="9" t="s">
        <v>5044</v>
      </c>
      <c r="O60" s="9" t="s">
        <v>5044</v>
      </c>
      <c r="P60" s="11">
        <v>0</v>
      </c>
      <c r="Q60" s="11">
        <v>0</v>
      </c>
      <c r="R60" s="11">
        <v>0</v>
      </c>
      <c r="S60" s="11" t="s">
        <v>5192</v>
      </c>
      <c r="T60" s="11">
        <v>2</v>
      </c>
      <c r="U60" s="11">
        <v>400</v>
      </c>
      <c r="V60" s="11">
        <v>0</v>
      </c>
      <c r="W60" s="11">
        <v>1</v>
      </c>
      <c r="X60" s="11">
        <v>0</v>
      </c>
      <c r="Y60" s="11">
        <v>0</v>
      </c>
      <c r="Z60" s="11">
        <v>0</v>
      </c>
      <c r="AA60" s="11">
        <v>0</v>
      </c>
      <c r="AB60" s="11">
        <v>1</v>
      </c>
      <c r="AC60" s="11">
        <v>0</v>
      </c>
      <c r="AD60" s="11" t="s">
        <v>5044</v>
      </c>
      <c r="AE60" s="11" t="s">
        <v>5044</v>
      </c>
      <c r="AF60" s="11" t="s">
        <v>5044</v>
      </c>
      <c r="AG60" s="11">
        <v>0</v>
      </c>
      <c r="AH60" s="11" t="s">
        <v>5044</v>
      </c>
      <c r="AI60" s="11" t="s">
        <v>5044</v>
      </c>
      <c r="AJ60" s="11" t="s">
        <v>5044</v>
      </c>
      <c r="AK60" s="11" t="s">
        <v>5318</v>
      </c>
      <c r="AL60" s="11">
        <v>0</v>
      </c>
      <c r="AM60" s="11">
        <v>0</v>
      </c>
      <c r="AN60" s="11" t="s">
        <v>5318</v>
      </c>
      <c r="AO60" s="11" t="s">
        <v>5318</v>
      </c>
      <c r="AP60" s="11" t="s">
        <v>5318</v>
      </c>
      <c r="AQ60" s="11" t="s">
        <v>5318</v>
      </c>
    </row>
    <row r="61" spans="1:43" ht="63" customHeight="1" x14ac:dyDescent="0.2">
      <c r="A61" s="10">
        <v>675</v>
      </c>
      <c r="B61" s="11" t="s">
        <v>6682</v>
      </c>
      <c r="C61" s="11" t="s">
        <v>226</v>
      </c>
      <c r="D61" s="11">
        <v>2016</v>
      </c>
      <c r="E61" s="11" t="s">
        <v>5318</v>
      </c>
      <c r="F61" s="11">
        <v>17</v>
      </c>
      <c r="G61" s="11">
        <v>1</v>
      </c>
      <c r="H61" s="11" t="s">
        <v>6538</v>
      </c>
      <c r="I61" s="11" t="s">
        <v>6516</v>
      </c>
      <c r="J61" s="11" t="s">
        <v>6683</v>
      </c>
      <c r="K61" s="11" t="s">
        <v>227</v>
      </c>
      <c r="L61" s="11" t="s">
        <v>5116</v>
      </c>
      <c r="M61" s="11">
        <v>1</v>
      </c>
      <c r="N61" s="11">
        <v>0</v>
      </c>
      <c r="O61" s="9" t="s">
        <v>5044</v>
      </c>
      <c r="P61" s="11">
        <v>0</v>
      </c>
      <c r="Q61" s="11">
        <v>0</v>
      </c>
      <c r="R61" s="11">
        <v>0</v>
      </c>
      <c r="S61" s="11">
        <v>1</v>
      </c>
      <c r="T61" s="11">
        <v>4</v>
      </c>
      <c r="U61" s="11">
        <v>134</v>
      </c>
      <c r="V61" s="11">
        <v>0</v>
      </c>
      <c r="W61" s="11">
        <v>1</v>
      </c>
      <c r="X61" s="11">
        <v>0</v>
      </c>
      <c r="Y61" s="11">
        <v>0</v>
      </c>
      <c r="Z61" s="11">
        <v>0</v>
      </c>
      <c r="AA61" s="11">
        <v>0</v>
      </c>
      <c r="AB61" s="11">
        <v>1</v>
      </c>
      <c r="AC61" s="11" t="s">
        <v>5044</v>
      </c>
      <c r="AD61" s="11" t="s">
        <v>5044</v>
      </c>
      <c r="AE61" s="11" t="s">
        <v>5044</v>
      </c>
      <c r="AF61" s="11" t="s">
        <v>5044</v>
      </c>
      <c r="AG61" s="11" t="s">
        <v>5044</v>
      </c>
      <c r="AH61" s="11" t="s">
        <v>5044</v>
      </c>
      <c r="AI61" s="11" t="s">
        <v>5044</v>
      </c>
      <c r="AJ61" s="11" t="s">
        <v>5044</v>
      </c>
      <c r="AK61" s="11" t="s">
        <v>5318</v>
      </c>
      <c r="AL61" s="11" t="s">
        <v>5041</v>
      </c>
      <c r="AM61" s="11">
        <v>0</v>
      </c>
      <c r="AN61" s="11" t="s">
        <v>5318</v>
      </c>
      <c r="AO61" s="11" t="s">
        <v>5318</v>
      </c>
      <c r="AP61" s="11" t="s">
        <v>5318</v>
      </c>
      <c r="AQ61" s="11" t="s">
        <v>5318</v>
      </c>
    </row>
    <row r="62" spans="1:43" ht="63" customHeight="1" x14ac:dyDescent="0.2">
      <c r="A62" s="10">
        <v>680</v>
      </c>
      <c r="B62" s="11" t="s">
        <v>6684</v>
      </c>
      <c r="C62" s="11" t="s">
        <v>228</v>
      </c>
      <c r="D62" s="11">
        <v>2023</v>
      </c>
      <c r="E62" s="11" t="s">
        <v>5318</v>
      </c>
      <c r="F62" s="11">
        <v>37</v>
      </c>
      <c r="G62" s="11">
        <v>1</v>
      </c>
      <c r="H62" s="11" t="s">
        <v>6624</v>
      </c>
      <c r="I62" s="11" t="s">
        <v>6516</v>
      </c>
      <c r="J62" s="11" t="s">
        <v>6685</v>
      </c>
      <c r="K62" s="11" t="s">
        <v>229</v>
      </c>
      <c r="L62" s="12" t="s">
        <v>5117</v>
      </c>
      <c r="M62" s="11">
        <v>0</v>
      </c>
      <c r="N62" s="9" t="s">
        <v>5044</v>
      </c>
      <c r="O62" s="9" t="s">
        <v>5044</v>
      </c>
      <c r="P62" s="11">
        <v>0</v>
      </c>
      <c r="Q62" s="11">
        <v>0</v>
      </c>
      <c r="R62" s="11">
        <v>0</v>
      </c>
      <c r="S62" s="11">
        <v>1</v>
      </c>
      <c r="T62" s="11">
        <v>4</v>
      </c>
      <c r="U62" s="11">
        <v>60</v>
      </c>
      <c r="V62" s="11">
        <v>0</v>
      </c>
      <c r="W62" s="11">
        <v>1</v>
      </c>
      <c r="X62" s="11">
        <v>0</v>
      </c>
      <c r="Y62" s="11">
        <v>0</v>
      </c>
      <c r="Z62" s="11">
        <v>0</v>
      </c>
      <c r="AA62" s="11">
        <v>0</v>
      </c>
      <c r="AB62" s="11">
        <v>1</v>
      </c>
      <c r="AC62" s="11">
        <v>1</v>
      </c>
      <c r="AD62" s="11" t="s">
        <v>5044</v>
      </c>
      <c r="AE62" s="11" t="s">
        <v>5044</v>
      </c>
      <c r="AF62" s="11" t="s">
        <v>5044</v>
      </c>
      <c r="AG62" s="11">
        <v>2</v>
      </c>
      <c r="AH62" s="11">
        <v>3</v>
      </c>
      <c r="AI62" s="11">
        <v>0</v>
      </c>
      <c r="AJ62" s="11" t="s">
        <v>5044</v>
      </c>
      <c r="AK62" s="11" t="s">
        <v>5318</v>
      </c>
      <c r="AL62" s="11">
        <v>1</v>
      </c>
      <c r="AM62" s="11">
        <v>0</v>
      </c>
      <c r="AN62" s="11" t="s">
        <v>5318</v>
      </c>
      <c r="AO62" s="11" t="s">
        <v>5318</v>
      </c>
      <c r="AP62" s="11" t="s">
        <v>5318</v>
      </c>
      <c r="AQ62" s="11" t="s">
        <v>5318</v>
      </c>
    </row>
    <row r="63" spans="1:43" ht="63" customHeight="1" x14ac:dyDescent="0.2">
      <c r="A63" s="10">
        <v>689</v>
      </c>
      <c r="B63" s="11" t="s">
        <v>6686</v>
      </c>
      <c r="C63" s="11" t="s">
        <v>230</v>
      </c>
      <c r="D63" s="11">
        <v>2021</v>
      </c>
      <c r="E63" s="11" t="s">
        <v>5318</v>
      </c>
      <c r="F63" s="11">
        <v>22</v>
      </c>
      <c r="G63" s="11">
        <v>3</v>
      </c>
      <c r="H63" s="11" t="s">
        <v>6687</v>
      </c>
      <c r="I63" s="11" t="s">
        <v>6516</v>
      </c>
      <c r="J63" s="11" t="s">
        <v>6688</v>
      </c>
      <c r="K63" s="11" t="s">
        <v>232</v>
      </c>
      <c r="L63" s="11" t="s">
        <v>5118</v>
      </c>
      <c r="M63" s="11">
        <v>0</v>
      </c>
      <c r="N63" s="9" t="s">
        <v>5044</v>
      </c>
      <c r="O63" s="9" t="s">
        <v>5044</v>
      </c>
      <c r="P63" s="11">
        <v>0</v>
      </c>
      <c r="Q63" s="11">
        <v>0</v>
      </c>
      <c r="R63" s="11">
        <v>0</v>
      </c>
      <c r="S63" s="11">
        <v>1</v>
      </c>
      <c r="T63" s="11">
        <v>4</v>
      </c>
      <c r="U63" s="11">
        <v>1072</v>
      </c>
      <c r="V63" s="11">
        <v>0</v>
      </c>
      <c r="W63" s="11">
        <v>1</v>
      </c>
      <c r="X63" s="11">
        <v>0</v>
      </c>
      <c r="Y63" s="11">
        <v>0</v>
      </c>
      <c r="Z63" s="11">
        <v>0</v>
      </c>
      <c r="AA63" s="11">
        <v>0</v>
      </c>
      <c r="AB63" s="11">
        <v>1</v>
      </c>
      <c r="AC63" s="11">
        <v>1</v>
      </c>
      <c r="AD63" s="11" t="s">
        <v>5044</v>
      </c>
      <c r="AE63" s="11" t="s">
        <v>5044</v>
      </c>
      <c r="AF63" s="11" t="s">
        <v>5044</v>
      </c>
      <c r="AG63" s="11">
        <v>2</v>
      </c>
      <c r="AH63" s="11">
        <v>2</v>
      </c>
      <c r="AI63" s="11">
        <v>2</v>
      </c>
      <c r="AJ63" s="11" t="s">
        <v>5044</v>
      </c>
      <c r="AK63" s="11" t="s">
        <v>5318</v>
      </c>
      <c r="AL63" s="11" t="s">
        <v>5041</v>
      </c>
      <c r="AM63" s="11">
        <v>0</v>
      </c>
      <c r="AN63" s="11" t="s">
        <v>5318</v>
      </c>
      <c r="AO63" s="11" t="s">
        <v>5318</v>
      </c>
      <c r="AP63" s="11" t="s">
        <v>5318</v>
      </c>
      <c r="AQ63" s="11" t="s">
        <v>5318</v>
      </c>
    </row>
    <row r="64" spans="1:43" ht="63" customHeight="1" x14ac:dyDescent="0.2">
      <c r="A64" s="10">
        <v>714</v>
      </c>
      <c r="B64" s="11" t="s">
        <v>6689</v>
      </c>
      <c r="C64" s="11" t="s">
        <v>233</v>
      </c>
      <c r="D64" s="11">
        <v>2023</v>
      </c>
      <c r="E64" s="11" t="s">
        <v>5318</v>
      </c>
      <c r="F64" s="11">
        <v>86</v>
      </c>
      <c r="G64" s="11" t="s">
        <v>5318</v>
      </c>
      <c r="H64" s="11" t="s">
        <v>6579</v>
      </c>
      <c r="I64" s="11" t="s">
        <v>6516</v>
      </c>
      <c r="J64" s="11" t="s">
        <v>6690</v>
      </c>
      <c r="K64" s="11" t="s">
        <v>235</v>
      </c>
      <c r="L64" s="11" t="s">
        <v>5119</v>
      </c>
      <c r="M64" s="11">
        <v>0</v>
      </c>
      <c r="N64" s="9" t="s">
        <v>5044</v>
      </c>
      <c r="O64" s="9" t="s">
        <v>5044</v>
      </c>
      <c r="P64" s="11">
        <v>0</v>
      </c>
      <c r="Q64" s="11">
        <v>0</v>
      </c>
      <c r="R64" s="11">
        <v>0</v>
      </c>
      <c r="S64" s="11">
        <v>1</v>
      </c>
      <c r="T64" s="11">
        <v>4</v>
      </c>
      <c r="U64" s="11">
        <v>620</v>
      </c>
      <c r="V64" s="11">
        <v>0</v>
      </c>
      <c r="W64" s="11">
        <v>1</v>
      </c>
      <c r="X64" s="11">
        <v>0</v>
      </c>
      <c r="Y64" s="11">
        <v>0</v>
      </c>
      <c r="Z64" s="11">
        <v>0</v>
      </c>
      <c r="AA64" s="11">
        <v>0</v>
      </c>
      <c r="AB64" s="11">
        <v>1</v>
      </c>
      <c r="AC64" s="11">
        <v>0</v>
      </c>
      <c r="AD64" s="11" t="s">
        <v>5044</v>
      </c>
      <c r="AE64" s="11" t="s">
        <v>5044</v>
      </c>
      <c r="AF64" s="11" t="s">
        <v>5044</v>
      </c>
      <c r="AG64" s="11">
        <v>0</v>
      </c>
      <c r="AH64" s="11" t="s">
        <v>5044</v>
      </c>
      <c r="AI64" s="11" t="s">
        <v>5044</v>
      </c>
      <c r="AJ64" s="11" t="s">
        <v>5044</v>
      </c>
      <c r="AK64" s="11" t="s">
        <v>5318</v>
      </c>
      <c r="AL64" s="11">
        <v>0</v>
      </c>
      <c r="AM64" s="11">
        <v>0</v>
      </c>
      <c r="AN64" s="11" t="s">
        <v>5318</v>
      </c>
      <c r="AO64" s="11" t="s">
        <v>5318</v>
      </c>
      <c r="AP64" s="11" t="s">
        <v>5318</v>
      </c>
      <c r="AQ64" s="11" t="s">
        <v>5318</v>
      </c>
    </row>
    <row r="65" spans="1:43" ht="63" customHeight="1" x14ac:dyDescent="0.2">
      <c r="A65" s="10">
        <v>725</v>
      </c>
      <c r="B65" s="11" t="s">
        <v>6691</v>
      </c>
      <c r="C65" s="11" t="s">
        <v>236</v>
      </c>
      <c r="D65" s="11">
        <v>2014</v>
      </c>
      <c r="E65" s="11" t="s">
        <v>5318</v>
      </c>
      <c r="F65" s="11">
        <v>28</v>
      </c>
      <c r="G65" s="11">
        <v>3</v>
      </c>
      <c r="H65" s="11" t="s">
        <v>6692</v>
      </c>
      <c r="I65" s="11" t="s">
        <v>6516</v>
      </c>
      <c r="J65" s="11" t="s">
        <v>6693</v>
      </c>
      <c r="K65" s="11" t="s">
        <v>239</v>
      </c>
      <c r="L65" s="11" t="s">
        <v>5044</v>
      </c>
      <c r="M65" s="11">
        <v>0</v>
      </c>
      <c r="N65" s="9" t="s">
        <v>5044</v>
      </c>
      <c r="O65" s="9" t="s">
        <v>5044</v>
      </c>
      <c r="P65" s="11">
        <v>0</v>
      </c>
      <c r="Q65" s="11">
        <v>0</v>
      </c>
      <c r="R65" s="11">
        <v>0</v>
      </c>
      <c r="S65" s="11">
        <v>3</v>
      </c>
      <c r="T65" s="11">
        <v>4</v>
      </c>
      <c r="U65" s="11">
        <v>90</v>
      </c>
      <c r="V65" s="11">
        <v>0</v>
      </c>
      <c r="W65" s="11">
        <v>1</v>
      </c>
      <c r="X65" s="11">
        <v>0</v>
      </c>
      <c r="Y65" s="11">
        <v>0</v>
      </c>
      <c r="Z65" s="11">
        <v>0</v>
      </c>
      <c r="AA65" s="11">
        <v>0</v>
      </c>
      <c r="AB65" s="11">
        <v>1</v>
      </c>
      <c r="AC65" s="11">
        <v>1</v>
      </c>
      <c r="AD65" s="11" t="s">
        <v>5044</v>
      </c>
      <c r="AE65" s="11" t="s">
        <v>5044</v>
      </c>
      <c r="AF65" s="11" t="s">
        <v>5044</v>
      </c>
      <c r="AG65" s="11">
        <v>2</v>
      </c>
      <c r="AH65" s="11">
        <v>3</v>
      </c>
      <c r="AI65" s="11">
        <v>0</v>
      </c>
      <c r="AJ65" s="11" t="s">
        <v>5044</v>
      </c>
      <c r="AK65" s="11" t="s">
        <v>5318</v>
      </c>
      <c r="AL65" s="11" t="s">
        <v>5041</v>
      </c>
      <c r="AM65" s="11">
        <v>0</v>
      </c>
      <c r="AN65" s="11" t="s">
        <v>5105</v>
      </c>
      <c r="AO65" s="11" t="s">
        <v>5318</v>
      </c>
      <c r="AP65" s="11" t="s">
        <v>5318</v>
      </c>
      <c r="AQ65" s="11" t="s">
        <v>5318</v>
      </c>
    </row>
    <row r="66" spans="1:43" ht="63" customHeight="1" x14ac:dyDescent="0.2">
      <c r="A66" s="10">
        <v>746</v>
      </c>
      <c r="B66" s="11" t="s">
        <v>6694</v>
      </c>
      <c r="C66" s="11" t="s">
        <v>240</v>
      </c>
      <c r="D66" s="11">
        <v>2020</v>
      </c>
      <c r="E66" s="11" t="s">
        <v>5318</v>
      </c>
      <c r="F66" s="11">
        <v>6</v>
      </c>
      <c r="G66" s="11">
        <v>2</v>
      </c>
      <c r="H66" s="11" t="s">
        <v>6695</v>
      </c>
      <c r="I66" s="11" t="s">
        <v>6516</v>
      </c>
      <c r="J66" s="11" t="s">
        <v>6696</v>
      </c>
      <c r="K66" s="11" t="s">
        <v>242</v>
      </c>
      <c r="L66" s="11" t="s">
        <v>5120</v>
      </c>
      <c r="M66" s="11">
        <v>0</v>
      </c>
      <c r="N66" s="9" t="s">
        <v>5044</v>
      </c>
      <c r="O66" s="9" t="s">
        <v>5044</v>
      </c>
      <c r="P66" s="11">
        <v>0</v>
      </c>
      <c r="Q66" s="11">
        <v>0</v>
      </c>
      <c r="R66" s="11">
        <v>0</v>
      </c>
      <c r="S66" s="11">
        <v>1</v>
      </c>
      <c r="T66" s="11">
        <v>4</v>
      </c>
      <c r="U66" s="11">
        <v>240</v>
      </c>
      <c r="V66" s="11">
        <v>0</v>
      </c>
      <c r="W66" s="11">
        <v>1</v>
      </c>
      <c r="X66" s="11">
        <v>0</v>
      </c>
      <c r="Y66" s="11">
        <v>0</v>
      </c>
      <c r="Z66" s="11">
        <v>0</v>
      </c>
      <c r="AA66" s="11">
        <v>0</v>
      </c>
      <c r="AB66" s="11">
        <v>1</v>
      </c>
      <c r="AC66" s="11">
        <v>1</v>
      </c>
      <c r="AD66" s="11" t="s">
        <v>5044</v>
      </c>
      <c r="AE66" s="11" t="s">
        <v>5044</v>
      </c>
      <c r="AF66" s="11" t="s">
        <v>5044</v>
      </c>
      <c r="AG66" s="11">
        <v>2</v>
      </c>
      <c r="AH66" s="11">
        <v>3</v>
      </c>
      <c r="AI66" s="11">
        <v>0</v>
      </c>
      <c r="AJ66" s="11" t="s">
        <v>5044</v>
      </c>
      <c r="AK66" s="11" t="s">
        <v>5318</v>
      </c>
      <c r="AL66" s="11">
        <v>0</v>
      </c>
      <c r="AM66" s="11">
        <v>0</v>
      </c>
      <c r="AN66" s="11" t="s">
        <v>5318</v>
      </c>
      <c r="AO66" s="11" t="s">
        <v>5318</v>
      </c>
      <c r="AP66" s="11" t="s">
        <v>5318</v>
      </c>
      <c r="AQ66" s="11" t="s">
        <v>5318</v>
      </c>
    </row>
    <row r="67" spans="1:43" ht="63" customHeight="1" x14ac:dyDescent="0.2">
      <c r="A67" s="10">
        <v>762</v>
      </c>
      <c r="B67" s="11" t="s">
        <v>6697</v>
      </c>
      <c r="C67" s="11" t="s">
        <v>243</v>
      </c>
      <c r="D67" s="11">
        <v>2014</v>
      </c>
      <c r="E67" s="11" t="s">
        <v>5318</v>
      </c>
      <c r="F67" s="11">
        <v>120</v>
      </c>
      <c r="G67" s="11">
        <v>2</v>
      </c>
      <c r="H67" s="11" t="s">
        <v>6302</v>
      </c>
      <c r="I67" s="11" t="s">
        <v>6516</v>
      </c>
      <c r="J67" s="11" t="s">
        <v>6698</v>
      </c>
      <c r="K67" s="11" t="s">
        <v>244</v>
      </c>
      <c r="L67" s="11" t="s">
        <v>5121</v>
      </c>
      <c r="M67" s="11">
        <v>0</v>
      </c>
      <c r="N67" s="9" t="s">
        <v>5044</v>
      </c>
      <c r="O67" s="9" t="s">
        <v>5044</v>
      </c>
      <c r="P67" s="11">
        <v>0</v>
      </c>
      <c r="Q67" s="11">
        <v>0</v>
      </c>
      <c r="R67" s="11">
        <v>0</v>
      </c>
      <c r="S67" s="11">
        <v>3</v>
      </c>
      <c r="T67" s="11">
        <v>1</v>
      </c>
      <c r="U67" s="11">
        <v>167</v>
      </c>
      <c r="V67" s="11">
        <v>1</v>
      </c>
      <c r="W67" s="11">
        <v>1</v>
      </c>
      <c r="X67" s="11">
        <v>0</v>
      </c>
      <c r="Y67" s="11">
        <v>0</v>
      </c>
      <c r="Z67" s="11">
        <v>0</v>
      </c>
      <c r="AA67" s="11">
        <v>0</v>
      </c>
      <c r="AB67" s="11">
        <v>1</v>
      </c>
      <c r="AC67" s="11">
        <v>1</v>
      </c>
      <c r="AD67" s="11">
        <v>2</v>
      </c>
      <c r="AE67" s="11">
        <v>2</v>
      </c>
      <c r="AF67" s="11">
        <v>2</v>
      </c>
      <c r="AG67" s="11">
        <v>1</v>
      </c>
      <c r="AH67" s="11">
        <v>0</v>
      </c>
      <c r="AI67" s="11">
        <v>0</v>
      </c>
      <c r="AJ67" s="11" t="s">
        <v>5044</v>
      </c>
      <c r="AK67" s="11" t="s">
        <v>5318</v>
      </c>
      <c r="AL67" s="11">
        <v>1</v>
      </c>
      <c r="AM67" s="11">
        <v>0</v>
      </c>
      <c r="AN67" s="11" t="s">
        <v>5318</v>
      </c>
      <c r="AO67" s="11" t="s">
        <v>5318</v>
      </c>
      <c r="AP67" s="11" t="s">
        <v>5318</v>
      </c>
      <c r="AQ67" s="11" t="s">
        <v>5318</v>
      </c>
    </row>
    <row r="68" spans="1:43" ht="63" customHeight="1" x14ac:dyDescent="0.2">
      <c r="A68" s="10">
        <v>779</v>
      </c>
      <c r="B68" s="11" t="s">
        <v>6699</v>
      </c>
      <c r="C68" s="11" t="s">
        <v>245</v>
      </c>
      <c r="D68" s="11">
        <v>2015</v>
      </c>
      <c r="E68" s="11" t="s">
        <v>5318</v>
      </c>
      <c r="F68" s="11">
        <v>49</v>
      </c>
      <c r="G68" s="11">
        <v>6</v>
      </c>
      <c r="H68" s="11" t="s">
        <v>6700</v>
      </c>
      <c r="I68" s="11" t="s">
        <v>6516</v>
      </c>
      <c r="J68" s="11" t="s">
        <v>6701</v>
      </c>
      <c r="K68" s="11" t="s">
        <v>246</v>
      </c>
      <c r="L68" s="12" t="s">
        <v>5122</v>
      </c>
      <c r="M68" s="11">
        <v>0</v>
      </c>
      <c r="N68" s="9" t="s">
        <v>5044</v>
      </c>
      <c r="O68" s="9" t="s">
        <v>5044</v>
      </c>
      <c r="P68" s="11">
        <v>0</v>
      </c>
      <c r="Q68" s="11">
        <v>0</v>
      </c>
      <c r="R68" s="11">
        <v>0</v>
      </c>
      <c r="S68" s="11">
        <v>1</v>
      </c>
      <c r="T68" s="11">
        <v>4</v>
      </c>
      <c r="U68" s="11">
        <v>85</v>
      </c>
      <c r="V68" s="11">
        <v>0</v>
      </c>
      <c r="W68" s="11">
        <v>1</v>
      </c>
      <c r="X68" s="11">
        <v>0</v>
      </c>
      <c r="Y68" s="11">
        <v>0</v>
      </c>
      <c r="Z68" s="11">
        <v>0</v>
      </c>
      <c r="AA68" s="11">
        <v>0</v>
      </c>
      <c r="AB68" s="11">
        <v>0</v>
      </c>
      <c r="AC68" s="11">
        <v>1</v>
      </c>
      <c r="AD68" s="11" t="s">
        <v>5044</v>
      </c>
      <c r="AE68" s="11" t="s">
        <v>5044</v>
      </c>
      <c r="AF68" s="11" t="s">
        <v>5044</v>
      </c>
      <c r="AG68" s="11">
        <v>2</v>
      </c>
      <c r="AH68" s="11">
        <v>3</v>
      </c>
      <c r="AI68" s="11">
        <v>0</v>
      </c>
      <c r="AJ68" s="11" t="s">
        <v>5044</v>
      </c>
      <c r="AK68" s="11" t="s">
        <v>5318</v>
      </c>
      <c r="AL68" s="11">
        <v>0</v>
      </c>
      <c r="AM68" s="11">
        <v>0</v>
      </c>
      <c r="AN68" s="11" t="s">
        <v>5318</v>
      </c>
      <c r="AO68" s="11" t="s">
        <v>5318</v>
      </c>
      <c r="AP68" s="11" t="s">
        <v>5318</v>
      </c>
      <c r="AQ68" s="11" t="s">
        <v>5318</v>
      </c>
    </row>
    <row r="69" spans="1:43" ht="63" customHeight="1" x14ac:dyDescent="0.2">
      <c r="A69" s="10">
        <v>781</v>
      </c>
      <c r="B69" s="11" t="s">
        <v>6702</v>
      </c>
      <c r="C69" s="11" t="s">
        <v>247</v>
      </c>
      <c r="D69" s="11">
        <v>2023</v>
      </c>
      <c r="E69" s="11" t="s">
        <v>5318</v>
      </c>
      <c r="F69" s="11">
        <v>13</v>
      </c>
      <c r="G69" s="11">
        <v>2</v>
      </c>
      <c r="H69" s="11" t="s">
        <v>6519</v>
      </c>
      <c r="I69" s="11" t="s">
        <v>6516</v>
      </c>
      <c r="J69" s="11" t="s">
        <v>6703</v>
      </c>
      <c r="K69" s="11" t="s">
        <v>248</v>
      </c>
      <c r="L69" s="11" t="s">
        <v>5123</v>
      </c>
      <c r="M69" s="11">
        <v>1</v>
      </c>
      <c r="N69" s="11">
        <v>0</v>
      </c>
      <c r="O69" s="9" t="s">
        <v>5044</v>
      </c>
      <c r="P69" s="11">
        <v>0</v>
      </c>
      <c r="Q69" s="11">
        <v>0</v>
      </c>
      <c r="R69" s="11">
        <v>0</v>
      </c>
      <c r="S69" s="11">
        <v>7</v>
      </c>
      <c r="T69" s="11">
        <v>4</v>
      </c>
      <c r="U69" s="11">
        <v>92</v>
      </c>
      <c r="V69" s="11">
        <v>0</v>
      </c>
      <c r="W69" s="11">
        <v>1</v>
      </c>
      <c r="X69" s="11">
        <v>0</v>
      </c>
      <c r="Y69" s="11">
        <v>0</v>
      </c>
      <c r="Z69" s="11">
        <v>0</v>
      </c>
      <c r="AA69" s="11">
        <v>0</v>
      </c>
      <c r="AB69" s="11">
        <v>1</v>
      </c>
      <c r="AC69" s="11" t="s">
        <v>5044</v>
      </c>
      <c r="AD69" s="11" t="s">
        <v>5044</v>
      </c>
      <c r="AE69" s="11" t="s">
        <v>5044</v>
      </c>
      <c r="AF69" s="11" t="s">
        <v>5044</v>
      </c>
      <c r="AG69" s="11" t="s">
        <v>5044</v>
      </c>
      <c r="AH69" s="11" t="s">
        <v>5044</v>
      </c>
      <c r="AI69" s="11" t="s">
        <v>5044</v>
      </c>
      <c r="AJ69" s="11" t="s">
        <v>5044</v>
      </c>
      <c r="AK69" s="11" t="s">
        <v>5318</v>
      </c>
      <c r="AL69" s="11" t="s">
        <v>5041</v>
      </c>
      <c r="AM69" s="11">
        <v>0</v>
      </c>
      <c r="AN69" s="11" t="s">
        <v>5318</v>
      </c>
      <c r="AO69" s="11" t="s">
        <v>5318</v>
      </c>
      <c r="AP69" s="11" t="s">
        <v>5318</v>
      </c>
      <c r="AQ69" s="11" t="s">
        <v>5318</v>
      </c>
    </row>
    <row r="70" spans="1:43" ht="63" customHeight="1" x14ac:dyDescent="0.2">
      <c r="A70" s="10">
        <v>811</v>
      </c>
      <c r="B70" s="11" t="s">
        <v>6704</v>
      </c>
      <c r="C70" s="11" t="s">
        <v>249</v>
      </c>
      <c r="D70" s="11">
        <v>2020</v>
      </c>
      <c r="E70" s="11" t="s">
        <v>5318</v>
      </c>
      <c r="F70" s="11">
        <v>122</v>
      </c>
      <c r="G70" s="11">
        <v>6</v>
      </c>
      <c r="H70" s="11" t="s">
        <v>6705</v>
      </c>
      <c r="I70" s="11" t="s">
        <v>6516</v>
      </c>
      <c r="J70" s="11" t="s">
        <v>6706</v>
      </c>
      <c r="K70" s="11" t="s">
        <v>252</v>
      </c>
      <c r="L70" s="11" t="s">
        <v>5044</v>
      </c>
      <c r="M70" s="11">
        <v>0</v>
      </c>
      <c r="N70" s="9" t="s">
        <v>5044</v>
      </c>
      <c r="O70" s="9" t="s">
        <v>5044</v>
      </c>
      <c r="P70" s="11">
        <v>0</v>
      </c>
      <c r="Q70" s="11">
        <v>0</v>
      </c>
      <c r="R70" s="11">
        <v>0</v>
      </c>
      <c r="S70" s="11">
        <v>1</v>
      </c>
      <c r="T70" s="11">
        <v>2</v>
      </c>
      <c r="U70" s="11">
        <v>76</v>
      </c>
      <c r="V70" s="11">
        <v>0</v>
      </c>
      <c r="W70" s="11">
        <v>1</v>
      </c>
      <c r="X70" s="11">
        <v>0</v>
      </c>
      <c r="Y70" s="11">
        <v>0</v>
      </c>
      <c r="Z70" s="11">
        <v>0</v>
      </c>
      <c r="AA70" s="11">
        <v>0</v>
      </c>
      <c r="AB70" s="11">
        <v>1</v>
      </c>
      <c r="AC70" s="11">
        <v>1</v>
      </c>
      <c r="AD70" s="11" t="s">
        <v>5044</v>
      </c>
      <c r="AE70" s="11" t="s">
        <v>5044</v>
      </c>
      <c r="AF70" s="11" t="s">
        <v>5044</v>
      </c>
      <c r="AG70" s="11">
        <v>2</v>
      </c>
      <c r="AH70" s="11">
        <v>1</v>
      </c>
      <c r="AI70" s="11">
        <v>2</v>
      </c>
      <c r="AJ70" s="11" t="s">
        <v>5044</v>
      </c>
      <c r="AK70" s="11" t="s">
        <v>5318</v>
      </c>
      <c r="AL70" s="11">
        <v>0</v>
      </c>
      <c r="AM70" s="11">
        <v>0</v>
      </c>
      <c r="AN70" s="11" t="s">
        <v>5318</v>
      </c>
      <c r="AO70" s="11" t="s">
        <v>5318</v>
      </c>
      <c r="AP70" s="11" t="s">
        <v>5318</v>
      </c>
      <c r="AQ70" s="11" t="s">
        <v>5318</v>
      </c>
    </row>
    <row r="71" spans="1:43" ht="63" customHeight="1" x14ac:dyDescent="0.2">
      <c r="A71" s="10">
        <v>818</v>
      </c>
      <c r="B71" s="11" t="s">
        <v>6707</v>
      </c>
      <c r="C71" s="11" t="s">
        <v>253</v>
      </c>
      <c r="D71" s="11">
        <v>2020</v>
      </c>
      <c r="E71" s="11" t="s">
        <v>5318</v>
      </c>
      <c r="F71" s="11">
        <v>24</v>
      </c>
      <c r="G71" s="11">
        <v>41</v>
      </c>
      <c r="H71" s="11" t="s">
        <v>6708</v>
      </c>
      <c r="I71" s="11" t="s">
        <v>6516</v>
      </c>
      <c r="J71" s="11" t="s">
        <v>6709</v>
      </c>
      <c r="K71" s="11" t="s">
        <v>256</v>
      </c>
      <c r="L71" s="11" t="s">
        <v>5124</v>
      </c>
      <c r="M71" s="11">
        <v>0</v>
      </c>
      <c r="N71" s="9" t="s">
        <v>5044</v>
      </c>
      <c r="O71" s="9" t="s">
        <v>5044</v>
      </c>
      <c r="P71" s="11">
        <v>0</v>
      </c>
      <c r="Q71" s="11">
        <v>0</v>
      </c>
      <c r="R71" s="11">
        <v>0</v>
      </c>
      <c r="S71" s="11">
        <v>3</v>
      </c>
      <c r="T71" s="11">
        <v>1</v>
      </c>
      <c r="U71" s="11">
        <v>410</v>
      </c>
      <c r="V71" s="11">
        <v>0</v>
      </c>
      <c r="W71" s="11">
        <v>1</v>
      </c>
      <c r="X71" s="11">
        <v>0</v>
      </c>
      <c r="Y71" s="11">
        <v>0</v>
      </c>
      <c r="Z71" s="11">
        <v>0</v>
      </c>
      <c r="AA71" s="11">
        <v>0</v>
      </c>
      <c r="AB71" s="11">
        <v>1</v>
      </c>
      <c r="AC71" s="11">
        <v>1</v>
      </c>
      <c r="AD71" s="11" t="s">
        <v>5044</v>
      </c>
      <c r="AE71" s="11" t="s">
        <v>5044</v>
      </c>
      <c r="AF71" s="11" t="s">
        <v>5044</v>
      </c>
      <c r="AG71" s="11">
        <v>1</v>
      </c>
      <c r="AH71" s="11">
        <v>0</v>
      </c>
      <c r="AI71" s="11">
        <v>0</v>
      </c>
      <c r="AJ71" s="11" t="s">
        <v>5044</v>
      </c>
      <c r="AK71" s="11" t="s">
        <v>5318</v>
      </c>
      <c r="AL71" s="11">
        <v>0</v>
      </c>
      <c r="AM71" s="11">
        <v>0</v>
      </c>
      <c r="AN71" s="11" t="s">
        <v>5318</v>
      </c>
      <c r="AO71" s="11" t="s">
        <v>5318</v>
      </c>
      <c r="AP71" s="11" t="s">
        <v>5318</v>
      </c>
      <c r="AQ71" s="11" t="s">
        <v>5318</v>
      </c>
    </row>
    <row r="72" spans="1:43" ht="63" customHeight="1" x14ac:dyDescent="0.2">
      <c r="A72" s="10">
        <v>828</v>
      </c>
      <c r="B72" s="11" t="s">
        <v>6710</v>
      </c>
      <c r="C72" s="11" t="s">
        <v>257</v>
      </c>
      <c r="D72" s="11">
        <v>2015</v>
      </c>
      <c r="E72" s="11" t="s">
        <v>5318</v>
      </c>
      <c r="F72" s="11">
        <v>22</v>
      </c>
      <c r="G72" s="11">
        <v>6</v>
      </c>
      <c r="H72" s="11" t="s">
        <v>6621</v>
      </c>
      <c r="I72" s="11" t="s">
        <v>6516</v>
      </c>
      <c r="J72" s="11" t="s">
        <v>6711</v>
      </c>
      <c r="K72" s="11" t="s">
        <v>258</v>
      </c>
      <c r="L72" s="11" t="s">
        <v>5044</v>
      </c>
      <c r="M72" s="11">
        <v>0</v>
      </c>
      <c r="N72" s="9" t="s">
        <v>5044</v>
      </c>
      <c r="O72" s="9" t="s">
        <v>5044</v>
      </c>
      <c r="P72" s="11">
        <v>0</v>
      </c>
      <c r="Q72" s="11">
        <v>0</v>
      </c>
      <c r="R72" s="11">
        <v>0</v>
      </c>
      <c r="S72" s="11">
        <v>1</v>
      </c>
      <c r="T72" s="11">
        <v>4</v>
      </c>
      <c r="U72" s="11">
        <v>110</v>
      </c>
      <c r="V72" s="11">
        <v>0</v>
      </c>
      <c r="W72" s="11">
        <v>1</v>
      </c>
      <c r="X72" s="11">
        <v>0</v>
      </c>
      <c r="Y72" s="11">
        <v>0</v>
      </c>
      <c r="Z72" s="11">
        <v>0</v>
      </c>
      <c r="AA72" s="11">
        <v>0</v>
      </c>
      <c r="AB72" s="11">
        <v>1</v>
      </c>
      <c r="AC72" s="11">
        <v>1</v>
      </c>
      <c r="AD72" s="11" t="s">
        <v>5044</v>
      </c>
      <c r="AE72" s="11" t="s">
        <v>5044</v>
      </c>
      <c r="AF72" s="11" t="s">
        <v>5044</v>
      </c>
      <c r="AG72" s="11">
        <v>1</v>
      </c>
      <c r="AH72" s="11">
        <v>0</v>
      </c>
      <c r="AI72" s="11">
        <v>0</v>
      </c>
      <c r="AJ72" s="11" t="s">
        <v>5044</v>
      </c>
      <c r="AK72" s="11" t="s">
        <v>5318</v>
      </c>
      <c r="AL72" s="11" t="s">
        <v>5041</v>
      </c>
      <c r="AM72" s="11">
        <v>0</v>
      </c>
      <c r="AN72" s="11" t="s">
        <v>5105</v>
      </c>
      <c r="AO72" s="11" t="s">
        <v>5318</v>
      </c>
      <c r="AP72" s="11" t="s">
        <v>5318</v>
      </c>
      <c r="AQ72" s="11" t="s">
        <v>5318</v>
      </c>
    </row>
    <row r="73" spans="1:43" ht="63" customHeight="1" x14ac:dyDescent="0.2">
      <c r="A73" s="10">
        <v>833</v>
      </c>
      <c r="B73" s="11" t="s">
        <v>6712</v>
      </c>
      <c r="C73" s="11" t="s">
        <v>259</v>
      </c>
      <c r="D73" s="11">
        <v>2017</v>
      </c>
      <c r="E73" s="11" t="s">
        <v>5318</v>
      </c>
      <c r="F73" s="11">
        <v>104</v>
      </c>
      <c r="G73" s="11">
        <v>5</v>
      </c>
      <c r="H73" s="11" t="s">
        <v>6530</v>
      </c>
      <c r="I73" s="11" t="s">
        <v>6516</v>
      </c>
      <c r="J73" s="11" t="s">
        <v>6713</v>
      </c>
      <c r="K73" s="11" t="s">
        <v>261</v>
      </c>
      <c r="L73" s="11" t="s">
        <v>5125</v>
      </c>
      <c r="M73" s="11">
        <v>0</v>
      </c>
      <c r="N73" s="9" t="s">
        <v>5044</v>
      </c>
      <c r="O73" s="9" t="s">
        <v>5044</v>
      </c>
      <c r="P73" s="11">
        <v>0</v>
      </c>
      <c r="Q73" s="11">
        <v>0</v>
      </c>
      <c r="R73" s="11">
        <v>0</v>
      </c>
      <c r="S73" s="11">
        <v>1</v>
      </c>
      <c r="T73" s="11">
        <v>1</v>
      </c>
      <c r="U73" s="11">
        <v>24</v>
      </c>
      <c r="V73" s="11">
        <v>0</v>
      </c>
      <c r="W73" s="11">
        <v>1</v>
      </c>
      <c r="X73" s="11">
        <v>0</v>
      </c>
      <c r="Y73" s="11">
        <v>0</v>
      </c>
      <c r="Z73" s="11">
        <v>0</v>
      </c>
      <c r="AA73" s="11">
        <v>0</v>
      </c>
      <c r="AB73" s="11">
        <v>1</v>
      </c>
      <c r="AC73" s="11">
        <v>1</v>
      </c>
      <c r="AD73" s="11" t="s">
        <v>5044</v>
      </c>
      <c r="AE73" s="11" t="s">
        <v>5044</v>
      </c>
      <c r="AF73" s="11" t="s">
        <v>5044</v>
      </c>
      <c r="AG73" s="11">
        <v>2</v>
      </c>
      <c r="AH73" s="11">
        <v>3</v>
      </c>
      <c r="AI73" s="11">
        <v>0</v>
      </c>
      <c r="AJ73" s="11" t="s">
        <v>5044</v>
      </c>
      <c r="AK73" s="11" t="s">
        <v>5318</v>
      </c>
      <c r="AL73" s="11">
        <v>0</v>
      </c>
      <c r="AM73" s="11">
        <v>0</v>
      </c>
      <c r="AN73" s="11" t="s">
        <v>5318</v>
      </c>
      <c r="AO73" s="11" t="s">
        <v>5318</v>
      </c>
      <c r="AP73" s="11" t="s">
        <v>5318</v>
      </c>
      <c r="AQ73" s="11" t="s">
        <v>5318</v>
      </c>
    </row>
    <row r="74" spans="1:43" ht="63" customHeight="1" x14ac:dyDescent="0.2">
      <c r="A74" s="10">
        <v>841</v>
      </c>
      <c r="B74" s="11" t="s">
        <v>6718</v>
      </c>
      <c r="C74" s="11" t="s">
        <v>263</v>
      </c>
      <c r="D74" s="11">
        <v>2017</v>
      </c>
      <c r="E74" s="11" t="s">
        <v>5318</v>
      </c>
      <c r="F74" s="11">
        <v>7</v>
      </c>
      <c r="G74" s="11">
        <v>6</v>
      </c>
      <c r="H74" s="11" t="s">
        <v>6519</v>
      </c>
      <c r="I74" s="11" t="s">
        <v>6516</v>
      </c>
      <c r="J74" s="11" t="s">
        <v>6719</v>
      </c>
      <c r="K74" s="11" t="s">
        <v>264</v>
      </c>
      <c r="L74" s="11" t="s">
        <v>5127</v>
      </c>
      <c r="M74" s="11">
        <v>1</v>
      </c>
      <c r="N74" s="11">
        <v>0</v>
      </c>
      <c r="O74" s="9" t="s">
        <v>5044</v>
      </c>
      <c r="P74" s="11">
        <v>0</v>
      </c>
      <c r="Q74" s="11">
        <v>0</v>
      </c>
      <c r="R74" s="11">
        <v>0</v>
      </c>
      <c r="S74" s="11">
        <v>1</v>
      </c>
      <c r="T74" s="11">
        <v>2</v>
      </c>
      <c r="U74" s="11">
        <v>50</v>
      </c>
      <c r="V74" s="11">
        <v>0</v>
      </c>
      <c r="W74" s="11">
        <v>1</v>
      </c>
      <c r="X74" s="11">
        <v>0</v>
      </c>
      <c r="Y74" s="11">
        <v>0</v>
      </c>
      <c r="Z74" s="11">
        <v>0</v>
      </c>
      <c r="AA74" s="11">
        <v>0</v>
      </c>
      <c r="AB74" s="11">
        <v>1</v>
      </c>
      <c r="AC74" s="11" t="s">
        <v>5044</v>
      </c>
      <c r="AD74" s="11" t="s">
        <v>5044</v>
      </c>
      <c r="AE74" s="11" t="s">
        <v>5044</v>
      </c>
      <c r="AF74" s="11" t="s">
        <v>5044</v>
      </c>
      <c r="AG74" s="11" t="s">
        <v>5044</v>
      </c>
      <c r="AH74" s="11" t="s">
        <v>5044</v>
      </c>
      <c r="AI74" s="11" t="s">
        <v>5044</v>
      </c>
      <c r="AJ74" s="11" t="s">
        <v>5044</v>
      </c>
      <c r="AK74" s="11" t="s">
        <v>5318</v>
      </c>
      <c r="AL74" s="11" t="s">
        <v>5041</v>
      </c>
      <c r="AM74" s="11">
        <v>0</v>
      </c>
      <c r="AN74" s="11" t="s">
        <v>5318</v>
      </c>
      <c r="AO74" s="11" t="s">
        <v>5318</v>
      </c>
      <c r="AP74" s="11" t="s">
        <v>5318</v>
      </c>
      <c r="AQ74" s="11" t="s">
        <v>5318</v>
      </c>
    </row>
    <row r="75" spans="1:43" ht="63" customHeight="1" x14ac:dyDescent="0.2">
      <c r="A75" s="10">
        <v>850</v>
      </c>
      <c r="B75" s="11" t="s">
        <v>6720</v>
      </c>
      <c r="C75" s="11" t="s">
        <v>265</v>
      </c>
      <c r="D75" s="11">
        <v>2020</v>
      </c>
      <c r="E75" s="11" t="s">
        <v>5318</v>
      </c>
      <c r="F75" s="11">
        <v>34</v>
      </c>
      <c r="G75" s="11">
        <v>7</v>
      </c>
      <c r="H75" s="11" t="s">
        <v>6624</v>
      </c>
      <c r="I75" s="11" t="s">
        <v>6516</v>
      </c>
      <c r="J75" s="11" t="s">
        <v>6721</v>
      </c>
      <c r="K75" s="11" t="s">
        <v>266</v>
      </c>
      <c r="L75" s="12" t="s">
        <v>5128</v>
      </c>
      <c r="M75" s="11">
        <v>0</v>
      </c>
      <c r="N75" s="9" t="s">
        <v>5044</v>
      </c>
      <c r="O75" s="9" t="s">
        <v>5044</v>
      </c>
      <c r="P75" s="11">
        <v>0</v>
      </c>
      <c r="Q75" s="11">
        <v>0</v>
      </c>
      <c r="R75" s="11">
        <v>0</v>
      </c>
      <c r="S75" s="11">
        <v>1</v>
      </c>
      <c r="T75" s="11">
        <v>2</v>
      </c>
      <c r="U75" s="11">
        <v>64</v>
      </c>
      <c r="V75" s="11">
        <v>0</v>
      </c>
      <c r="W75" s="11">
        <v>1</v>
      </c>
      <c r="X75" s="11">
        <v>0</v>
      </c>
      <c r="Y75" s="11">
        <v>0</v>
      </c>
      <c r="Z75" s="11">
        <v>0</v>
      </c>
      <c r="AA75" s="11">
        <v>0</v>
      </c>
      <c r="AB75" s="11">
        <v>1</v>
      </c>
      <c r="AC75" s="11">
        <v>1</v>
      </c>
      <c r="AD75" s="11" t="s">
        <v>5044</v>
      </c>
      <c r="AE75" s="11" t="s">
        <v>5044</v>
      </c>
      <c r="AF75" s="11" t="s">
        <v>5044</v>
      </c>
      <c r="AG75" s="11">
        <v>2</v>
      </c>
      <c r="AH75" s="11">
        <v>2</v>
      </c>
      <c r="AI75" s="11">
        <v>2</v>
      </c>
      <c r="AJ75" s="11" t="s">
        <v>5044</v>
      </c>
      <c r="AK75" s="11" t="s">
        <v>5318</v>
      </c>
      <c r="AL75" s="11">
        <v>1</v>
      </c>
      <c r="AM75" s="11">
        <v>0</v>
      </c>
      <c r="AN75" s="11" t="s">
        <v>5318</v>
      </c>
      <c r="AO75" s="11" t="s">
        <v>5318</v>
      </c>
      <c r="AP75" s="11" t="s">
        <v>5318</v>
      </c>
      <c r="AQ75" s="11" t="s">
        <v>5318</v>
      </c>
    </row>
    <row r="76" spans="1:43" ht="63" customHeight="1" x14ac:dyDescent="0.2">
      <c r="A76" s="10">
        <v>853</v>
      </c>
      <c r="B76" s="11" t="s">
        <v>6722</v>
      </c>
      <c r="C76" s="11" t="s">
        <v>267</v>
      </c>
      <c r="D76" s="11">
        <v>2015</v>
      </c>
      <c r="E76" s="11" t="s">
        <v>5318</v>
      </c>
      <c r="F76" s="11">
        <v>102</v>
      </c>
      <c r="G76" s="11">
        <v>6</v>
      </c>
      <c r="H76" s="11" t="s">
        <v>6530</v>
      </c>
      <c r="I76" s="11" t="s">
        <v>6516</v>
      </c>
      <c r="J76" s="11" t="s">
        <v>6723</v>
      </c>
      <c r="K76" s="11" t="s">
        <v>268</v>
      </c>
      <c r="L76" s="11" t="s">
        <v>5129</v>
      </c>
      <c r="M76" s="11">
        <v>0</v>
      </c>
      <c r="N76" s="9" t="s">
        <v>5044</v>
      </c>
      <c r="O76" s="9" t="s">
        <v>5044</v>
      </c>
      <c r="P76" s="11">
        <v>0</v>
      </c>
      <c r="Q76" s="11">
        <v>0</v>
      </c>
      <c r="R76" s="11">
        <v>0</v>
      </c>
      <c r="S76" s="11">
        <v>1</v>
      </c>
      <c r="T76" s="11">
        <v>1</v>
      </c>
      <c r="U76" s="11">
        <v>40</v>
      </c>
      <c r="V76" s="11">
        <v>0</v>
      </c>
      <c r="W76" s="11">
        <v>1</v>
      </c>
      <c r="X76" s="11">
        <v>0</v>
      </c>
      <c r="Y76" s="11">
        <v>0</v>
      </c>
      <c r="Z76" s="11">
        <v>0</v>
      </c>
      <c r="AA76" s="11">
        <v>0</v>
      </c>
      <c r="AB76" s="11">
        <v>1</v>
      </c>
      <c r="AC76" s="11">
        <v>1</v>
      </c>
      <c r="AD76" s="11" t="s">
        <v>5044</v>
      </c>
      <c r="AE76" s="11" t="s">
        <v>5044</v>
      </c>
      <c r="AF76" s="11" t="s">
        <v>5044</v>
      </c>
      <c r="AG76" s="11">
        <v>1</v>
      </c>
      <c r="AH76" s="11">
        <v>0</v>
      </c>
      <c r="AI76" s="11">
        <v>0</v>
      </c>
      <c r="AJ76" s="11" t="s">
        <v>5044</v>
      </c>
      <c r="AK76" s="11" t="s">
        <v>5318</v>
      </c>
      <c r="AL76" s="11">
        <v>1</v>
      </c>
      <c r="AM76" s="11">
        <v>0</v>
      </c>
      <c r="AN76" s="11" t="s">
        <v>5318</v>
      </c>
      <c r="AO76" s="11" t="s">
        <v>5318</v>
      </c>
      <c r="AP76" s="11" t="s">
        <v>5318</v>
      </c>
      <c r="AQ76" s="11" t="s">
        <v>5318</v>
      </c>
    </row>
    <row r="77" spans="1:43" ht="63" customHeight="1" x14ac:dyDescent="0.2">
      <c r="A77" s="10">
        <v>858</v>
      </c>
      <c r="B77" s="11" t="s">
        <v>6724</v>
      </c>
      <c r="C77" s="11" t="s">
        <v>269</v>
      </c>
      <c r="D77" s="11">
        <v>2019</v>
      </c>
      <c r="E77" s="11" t="s">
        <v>5318</v>
      </c>
      <c r="F77" s="11">
        <v>23</v>
      </c>
      <c r="G77" s="11">
        <v>6</v>
      </c>
      <c r="H77" s="11" t="s">
        <v>6725</v>
      </c>
      <c r="I77" s="11" t="s">
        <v>6516</v>
      </c>
      <c r="J77" s="11" t="s">
        <v>6726</v>
      </c>
      <c r="K77" s="11" t="s">
        <v>271</v>
      </c>
      <c r="L77" s="16" t="s">
        <v>5130</v>
      </c>
      <c r="M77" s="11">
        <v>0</v>
      </c>
      <c r="N77" s="9" t="s">
        <v>5044</v>
      </c>
      <c r="O77" s="9" t="s">
        <v>5044</v>
      </c>
      <c r="P77" s="11">
        <v>0</v>
      </c>
      <c r="Q77" s="11">
        <v>0</v>
      </c>
      <c r="R77" s="11">
        <v>0</v>
      </c>
      <c r="S77" s="11">
        <v>1</v>
      </c>
      <c r="T77" s="11">
        <v>1</v>
      </c>
      <c r="U77" s="11">
        <v>132</v>
      </c>
      <c r="V77" s="11">
        <v>0</v>
      </c>
      <c r="W77" s="11">
        <v>1</v>
      </c>
      <c r="X77" s="11">
        <v>0</v>
      </c>
      <c r="Y77" s="11">
        <v>0</v>
      </c>
      <c r="Z77" s="11">
        <v>0</v>
      </c>
      <c r="AA77" s="11">
        <v>0</v>
      </c>
      <c r="AB77" s="11">
        <v>1</v>
      </c>
      <c r="AC77" s="11">
        <v>1</v>
      </c>
      <c r="AD77" s="11" t="s">
        <v>5044</v>
      </c>
      <c r="AE77" s="11" t="s">
        <v>5044</v>
      </c>
      <c r="AF77" s="11" t="s">
        <v>5044</v>
      </c>
      <c r="AG77" s="11">
        <v>2</v>
      </c>
      <c r="AH77" s="11">
        <v>3</v>
      </c>
      <c r="AI77" s="11">
        <v>0</v>
      </c>
      <c r="AJ77" s="11" t="s">
        <v>5044</v>
      </c>
      <c r="AK77" s="11" t="s">
        <v>5318</v>
      </c>
      <c r="AL77" s="11">
        <v>1</v>
      </c>
      <c r="AM77" s="11">
        <v>0</v>
      </c>
      <c r="AN77" s="11" t="s">
        <v>5318</v>
      </c>
      <c r="AO77" s="11" t="s">
        <v>5318</v>
      </c>
      <c r="AP77" s="11" t="s">
        <v>5318</v>
      </c>
      <c r="AQ77" s="11" t="s">
        <v>5318</v>
      </c>
    </row>
    <row r="78" spans="1:43" ht="63" customHeight="1" x14ac:dyDescent="0.2">
      <c r="A78" s="10">
        <v>865</v>
      </c>
      <c r="B78" s="11" t="s">
        <v>6731</v>
      </c>
      <c r="C78" s="11" t="s">
        <v>275</v>
      </c>
      <c r="D78" s="11">
        <v>2022</v>
      </c>
      <c r="E78" s="11" t="s">
        <v>5318</v>
      </c>
      <c r="F78" s="11">
        <v>12</v>
      </c>
      <c r="G78" s="11">
        <v>11</v>
      </c>
      <c r="H78" s="11" t="s">
        <v>6519</v>
      </c>
      <c r="I78" s="11" t="s">
        <v>6516</v>
      </c>
      <c r="J78" s="11" t="s">
        <v>6732</v>
      </c>
      <c r="K78" s="11" t="s">
        <v>276</v>
      </c>
      <c r="L78" s="11" t="s">
        <v>5132</v>
      </c>
      <c r="M78" s="11">
        <v>1</v>
      </c>
      <c r="N78" s="11">
        <v>0</v>
      </c>
      <c r="O78" s="9" t="s">
        <v>5044</v>
      </c>
      <c r="P78" s="11">
        <v>0</v>
      </c>
      <c r="Q78" s="11">
        <v>0</v>
      </c>
      <c r="R78" s="11">
        <v>0</v>
      </c>
      <c r="S78" s="11">
        <v>1</v>
      </c>
      <c r="T78" s="11">
        <v>1</v>
      </c>
      <c r="U78" s="11">
        <v>222</v>
      </c>
      <c r="V78" s="11">
        <v>0</v>
      </c>
      <c r="W78" s="11">
        <v>1</v>
      </c>
      <c r="X78" s="11">
        <v>0</v>
      </c>
      <c r="Y78" s="11">
        <v>0</v>
      </c>
      <c r="Z78" s="11">
        <v>0</v>
      </c>
      <c r="AA78" s="11">
        <v>0</v>
      </c>
      <c r="AB78" s="11">
        <v>1</v>
      </c>
      <c r="AC78" s="11" t="s">
        <v>5044</v>
      </c>
      <c r="AD78" s="11" t="s">
        <v>5044</v>
      </c>
      <c r="AE78" s="11" t="s">
        <v>5044</v>
      </c>
      <c r="AF78" s="11" t="s">
        <v>5044</v>
      </c>
      <c r="AG78" s="11" t="s">
        <v>5044</v>
      </c>
      <c r="AH78" s="11" t="s">
        <v>5044</v>
      </c>
      <c r="AI78" s="11" t="s">
        <v>5044</v>
      </c>
      <c r="AJ78" s="11" t="s">
        <v>5044</v>
      </c>
      <c r="AK78" s="11" t="s">
        <v>5318</v>
      </c>
      <c r="AL78" s="11" t="s">
        <v>5041</v>
      </c>
      <c r="AM78" s="11">
        <v>0</v>
      </c>
      <c r="AN78" s="11" t="s">
        <v>5318</v>
      </c>
      <c r="AO78" s="11" t="s">
        <v>5318</v>
      </c>
      <c r="AP78" s="11" t="s">
        <v>5318</v>
      </c>
      <c r="AQ78" s="11" t="s">
        <v>5318</v>
      </c>
    </row>
    <row r="79" spans="1:43" ht="63" customHeight="1" x14ac:dyDescent="0.2">
      <c r="A79" s="10">
        <v>874</v>
      </c>
      <c r="B79" s="11" t="s">
        <v>6733</v>
      </c>
      <c r="C79" s="11" t="s">
        <v>277</v>
      </c>
      <c r="D79" s="11">
        <v>2022</v>
      </c>
      <c r="E79" s="11" t="s">
        <v>5318</v>
      </c>
      <c r="F79" s="11">
        <v>49</v>
      </c>
      <c r="G79" s="11">
        <v>5</v>
      </c>
      <c r="H79" s="11" t="s">
        <v>6734</v>
      </c>
      <c r="I79" s="11" t="s">
        <v>6516</v>
      </c>
      <c r="J79" s="11" t="s">
        <v>6735</v>
      </c>
      <c r="K79" s="11" t="s">
        <v>278</v>
      </c>
      <c r="L79" s="12" t="s">
        <v>5133</v>
      </c>
      <c r="M79" s="11">
        <v>0</v>
      </c>
      <c r="N79" s="9" t="s">
        <v>5044</v>
      </c>
      <c r="O79" s="9" t="s">
        <v>5044</v>
      </c>
      <c r="P79" s="11">
        <v>0</v>
      </c>
      <c r="Q79" s="11">
        <v>0</v>
      </c>
      <c r="R79" s="11">
        <v>0</v>
      </c>
      <c r="S79" s="11">
        <v>3</v>
      </c>
      <c r="T79" s="11">
        <v>1</v>
      </c>
      <c r="U79" s="11">
        <v>113</v>
      </c>
      <c r="V79" s="11">
        <v>0</v>
      </c>
      <c r="W79" s="11">
        <v>1</v>
      </c>
      <c r="X79" s="11">
        <v>0</v>
      </c>
      <c r="Y79" s="11">
        <v>0</v>
      </c>
      <c r="Z79" s="11">
        <v>0</v>
      </c>
      <c r="AA79" s="11">
        <v>0</v>
      </c>
      <c r="AB79" s="11">
        <v>1</v>
      </c>
      <c r="AC79" s="11">
        <v>1</v>
      </c>
      <c r="AD79" s="11" t="s">
        <v>5044</v>
      </c>
      <c r="AE79" s="11" t="s">
        <v>5044</v>
      </c>
      <c r="AF79" s="11" t="s">
        <v>5044</v>
      </c>
      <c r="AG79" s="11">
        <v>2</v>
      </c>
      <c r="AH79" s="11">
        <v>3</v>
      </c>
      <c r="AI79" s="11">
        <v>0</v>
      </c>
      <c r="AJ79" s="11" t="s">
        <v>5044</v>
      </c>
      <c r="AK79" s="11" t="s">
        <v>5318</v>
      </c>
      <c r="AL79" s="11">
        <v>0</v>
      </c>
      <c r="AM79" s="11">
        <v>0</v>
      </c>
      <c r="AN79" s="11" t="s">
        <v>5318</v>
      </c>
      <c r="AO79" s="11" t="s">
        <v>5318</v>
      </c>
      <c r="AP79" s="11" t="s">
        <v>5318</v>
      </c>
      <c r="AQ79" s="11" t="s">
        <v>5318</v>
      </c>
    </row>
    <row r="80" spans="1:43" ht="63" customHeight="1" x14ac:dyDescent="0.2">
      <c r="A80" s="10">
        <v>875</v>
      </c>
      <c r="B80" s="11" t="s">
        <v>6736</v>
      </c>
      <c r="C80" s="11" t="s">
        <v>279</v>
      </c>
      <c r="D80" s="11">
        <v>2023</v>
      </c>
      <c r="E80" s="11" t="s">
        <v>5318</v>
      </c>
      <c r="F80" s="11">
        <v>50</v>
      </c>
      <c r="G80" s="11">
        <v>9</v>
      </c>
      <c r="H80" s="11" t="s">
        <v>6734</v>
      </c>
      <c r="I80" s="11" t="s">
        <v>6516</v>
      </c>
      <c r="J80" s="11" t="s">
        <v>6737</v>
      </c>
      <c r="K80" s="11" t="s">
        <v>281</v>
      </c>
      <c r="L80" s="12" t="s">
        <v>5134</v>
      </c>
      <c r="M80" s="11">
        <v>0</v>
      </c>
      <c r="N80" s="9" t="s">
        <v>5044</v>
      </c>
      <c r="O80" s="9" t="s">
        <v>5044</v>
      </c>
      <c r="P80" s="11">
        <v>0</v>
      </c>
      <c r="Q80" s="11">
        <v>0</v>
      </c>
      <c r="R80" s="11">
        <v>0</v>
      </c>
      <c r="S80" s="11">
        <v>3</v>
      </c>
      <c r="T80" s="11">
        <v>1</v>
      </c>
      <c r="U80" s="11">
        <v>138</v>
      </c>
      <c r="V80" s="11">
        <v>0</v>
      </c>
      <c r="W80" s="11">
        <v>1</v>
      </c>
      <c r="X80" s="11">
        <v>0</v>
      </c>
      <c r="Y80" s="11">
        <v>0</v>
      </c>
      <c r="Z80" s="11">
        <v>0</v>
      </c>
      <c r="AA80" s="11">
        <v>0</v>
      </c>
      <c r="AB80" s="11">
        <v>1</v>
      </c>
      <c r="AC80" s="11">
        <v>1</v>
      </c>
      <c r="AD80" s="11" t="s">
        <v>5044</v>
      </c>
      <c r="AE80" s="11" t="s">
        <v>5044</v>
      </c>
      <c r="AF80" s="11" t="s">
        <v>5044</v>
      </c>
      <c r="AG80" s="11">
        <v>2</v>
      </c>
      <c r="AH80" s="11">
        <v>3</v>
      </c>
      <c r="AI80" s="11">
        <v>0</v>
      </c>
      <c r="AJ80" s="11" t="s">
        <v>5044</v>
      </c>
      <c r="AK80" s="11" t="s">
        <v>5318</v>
      </c>
      <c r="AL80" s="11">
        <v>0</v>
      </c>
      <c r="AM80" s="11">
        <v>0</v>
      </c>
      <c r="AN80" s="11" t="s">
        <v>5318</v>
      </c>
      <c r="AO80" s="11" t="s">
        <v>5318</v>
      </c>
      <c r="AP80" s="11" t="s">
        <v>5318</v>
      </c>
      <c r="AQ80" s="11" t="s">
        <v>6488</v>
      </c>
    </row>
    <row r="81" spans="1:43" ht="63" customHeight="1" x14ac:dyDescent="0.2">
      <c r="A81" s="10">
        <v>885</v>
      </c>
      <c r="B81" s="11" t="s">
        <v>6738</v>
      </c>
      <c r="C81" s="11" t="s">
        <v>282</v>
      </c>
      <c r="D81" s="11">
        <v>2019</v>
      </c>
      <c r="E81" s="11" t="s">
        <v>5318</v>
      </c>
      <c r="F81" s="11">
        <v>11</v>
      </c>
      <c r="G81" s="11">
        <v>8</v>
      </c>
      <c r="H81" s="11" t="s">
        <v>6739</v>
      </c>
      <c r="I81" s="11" t="s">
        <v>6516</v>
      </c>
      <c r="J81" s="11" t="s">
        <v>6740</v>
      </c>
      <c r="K81" s="11" t="s">
        <v>284</v>
      </c>
      <c r="L81" s="12" t="s">
        <v>5135</v>
      </c>
      <c r="M81" s="11">
        <v>0</v>
      </c>
      <c r="N81" s="9" t="s">
        <v>5044</v>
      </c>
      <c r="O81" s="9" t="s">
        <v>5044</v>
      </c>
      <c r="P81" s="11">
        <v>0</v>
      </c>
      <c r="Q81" s="11">
        <v>0</v>
      </c>
      <c r="R81" s="11">
        <v>0</v>
      </c>
      <c r="S81" s="11">
        <v>1</v>
      </c>
      <c r="T81" s="11">
        <v>1</v>
      </c>
      <c r="U81" s="11">
        <v>364</v>
      </c>
      <c r="V81" s="11">
        <v>0</v>
      </c>
      <c r="W81" s="11">
        <v>1</v>
      </c>
      <c r="X81" s="11">
        <v>0</v>
      </c>
      <c r="Y81" s="11">
        <v>0</v>
      </c>
      <c r="Z81" s="11">
        <v>0</v>
      </c>
      <c r="AA81" s="11">
        <v>0</v>
      </c>
      <c r="AB81" s="11">
        <v>1</v>
      </c>
      <c r="AC81" s="11">
        <v>1</v>
      </c>
      <c r="AD81" s="11" t="s">
        <v>5044</v>
      </c>
      <c r="AE81" s="11" t="s">
        <v>5044</v>
      </c>
      <c r="AF81" s="11" t="s">
        <v>5044</v>
      </c>
      <c r="AG81" s="11">
        <v>2</v>
      </c>
      <c r="AH81" s="11">
        <v>3</v>
      </c>
      <c r="AI81" s="11">
        <v>0</v>
      </c>
      <c r="AJ81" s="11" t="s">
        <v>5044</v>
      </c>
      <c r="AK81" s="11" t="s">
        <v>5318</v>
      </c>
      <c r="AL81" s="11" t="s">
        <v>5041</v>
      </c>
      <c r="AM81" s="11">
        <v>0</v>
      </c>
      <c r="AN81" s="11" t="s">
        <v>5105</v>
      </c>
      <c r="AO81" s="11" t="s">
        <v>5318</v>
      </c>
      <c r="AP81" s="11" t="s">
        <v>5318</v>
      </c>
      <c r="AQ81" s="11" t="s">
        <v>5318</v>
      </c>
    </row>
    <row r="82" spans="1:43" ht="63" customHeight="1" x14ac:dyDescent="0.2">
      <c r="A82" s="10">
        <v>892</v>
      </c>
      <c r="B82" s="11" t="s">
        <v>6741</v>
      </c>
      <c r="C82" s="11" t="s">
        <v>285</v>
      </c>
      <c r="D82" s="11">
        <v>2012</v>
      </c>
      <c r="E82" s="11" t="s">
        <v>5318</v>
      </c>
      <c r="F82" s="11">
        <v>19</v>
      </c>
      <c r="G82" s="11">
        <v>2</v>
      </c>
      <c r="H82" s="11" t="s">
        <v>6742</v>
      </c>
      <c r="I82" s="11" t="s">
        <v>6516</v>
      </c>
      <c r="J82" s="11" t="s">
        <v>6743</v>
      </c>
      <c r="K82" s="11" t="s">
        <v>287</v>
      </c>
      <c r="L82" s="12" t="s">
        <v>5136</v>
      </c>
      <c r="M82" s="11">
        <v>0</v>
      </c>
      <c r="N82" s="9" t="s">
        <v>5044</v>
      </c>
      <c r="O82" s="9" t="s">
        <v>5044</v>
      </c>
      <c r="P82" s="11">
        <v>0</v>
      </c>
      <c r="Q82" s="11">
        <v>0</v>
      </c>
      <c r="R82" s="11">
        <v>0</v>
      </c>
      <c r="S82" s="11">
        <v>1</v>
      </c>
      <c r="T82" s="11">
        <v>1</v>
      </c>
      <c r="U82" s="11">
        <v>32</v>
      </c>
      <c r="V82" s="11">
        <v>0</v>
      </c>
      <c r="W82" s="11">
        <v>1</v>
      </c>
      <c r="X82" s="11">
        <v>0</v>
      </c>
      <c r="Y82" s="11">
        <v>0</v>
      </c>
      <c r="Z82" s="11">
        <v>0</v>
      </c>
      <c r="AA82" s="11">
        <v>0</v>
      </c>
      <c r="AB82" s="11">
        <v>1</v>
      </c>
      <c r="AC82" s="11">
        <v>1</v>
      </c>
      <c r="AD82" s="11" t="s">
        <v>5044</v>
      </c>
      <c r="AE82" s="11" t="s">
        <v>5044</v>
      </c>
      <c r="AF82" s="11" t="s">
        <v>5044</v>
      </c>
      <c r="AG82" s="11">
        <v>1</v>
      </c>
      <c r="AH82" s="11">
        <v>0</v>
      </c>
      <c r="AI82" s="11">
        <v>0</v>
      </c>
      <c r="AJ82" s="11" t="s">
        <v>5044</v>
      </c>
      <c r="AK82" s="11" t="s">
        <v>5318</v>
      </c>
      <c r="AL82" s="11">
        <v>0</v>
      </c>
      <c r="AM82" s="11">
        <v>0</v>
      </c>
      <c r="AN82" s="11" t="s">
        <v>5318</v>
      </c>
      <c r="AO82" s="11" t="s">
        <v>5318</v>
      </c>
      <c r="AP82" s="11" t="s">
        <v>5318</v>
      </c>
      <c r="AQ82" s="11" t="s">
        <v>5318</v>
      </c>
    </row>
    <row r="83" spans="1:43" ht="63" customHeight="1" x14ac:dyDescent="0.2">
      <c r="A83" s="10">
        <v>912</v>
      </c>
      <c r="B83" s="11" t="s">
        <v>6744</v>
      </c>
      <c r="C83" s="11" t="s">
        <v>288</v>
      </c>
      <c r="D83" s="11">
        <v>2023</v>
      </c>
      <c r="E83" s="11" t="s">
        <v>5318</v>
      </c>
      <c r="F83" s="11">
        <v>47</v>
      </c>
      <c r="G83" s="11">
        <v>2</v>
      </c>
      <c r="H83" s="11" t="s">
        <v>6745</v>
      </c>
      <c r="I83" s="11" t="s">
        <v>6516</v>
      </c>
      <c r="J83" s="11" t="s">
        <v>6746</v>
      </c>
      <c r="K83" s="11" t="s">
        <v>291</v>
      </c>
      <c r="L83" s="16" t="s">
        <v>5137</v>
      </c>
      <c r="M83" s="11">
        <v>0</v>
      </c>
      <c r="N83" s="9" t="s">
        <v>5044</v>
      </c>
      <c r="O83" s="9" t="s">
        <v>5044</v>
      </c>
      <c r="P83" s="11">
        <v>0</v>
      </c>
      <c r="Q83" s="11">
        <v>0</v>
      </c>
      <c r="R83" s="11">
        <v>0</v>
      </c>
      <c r="S83" s="11">
        <v>1</v>
      </c>
      <c r="T83" s="11">
        <v>1</v>
      </c>
      <c r="U83" s="11">
        <v>144</v>
      </c>
      <c r="V83" s="11">
        <v>0</v>
      </c>
      <c r="W83" s="11">
        <v>1</v>
      </c>
      <c r="X83" s="11">
        <v>0</v>
      </c>
      <c r="Y83" s="11">
        <v>0</v>
      </c>
      <c r="Z83" s="11">
        <v>1</v>
      </c>
      <c r="AA83" s="11">
        <v>0</v>
      </c>
      <c r="AB83" s="11">
        <v>1</v>
      </c>
      <c r="AC83" s="11">
        <v>1</v>
      </c>
      <c r="AD83" s="11" t="s">
        <v>5044</v>
      </c>
      <c r="AE83" s="11" t="s">
        <v>5044</v>
      </c>
      <c r="AF83" s="11" t="s">
        <v>5044</v>
      </c>
      <c r="AG83" s="11">
        <v>1</v>
      </c>
      <c r="AH83" s="11">
        <v>0</v>
      </c>
      <c r="AI83" s="11">
        <v>0</v>
      </c>
      <c r="AJ83" s="11">
        <v>1</v>
      </c>
      <c r="AK83" s="11" t="s">
        <v>5138</v>
      </c>
      <c r="AL83" s="11">
        <v>0</v>
      </c>
      <c r="AM83" s="11">
        <v>0</v>
      </c>
      <c r="AN83" s="11" t="s">
        <v>5318</v>
      </c>
      <c r="AO83" s="11" t="s">
        <v>5318</v>
      </c>
      <c r="AP83" s="11" t="s">
        <v>5318</v>
      </c>
      <c r="AQ83" s="11" t="s">
        <v>5318</v>
      </c>
    </row>
    <row r="84" spans="1:43" ht="63" customHeight="1" x14ac:dyDescent="0.2">
      <c r="A84" s="10">
        <v>916</v>
      </c>
      <c r="B84" s="11" t="s">
        <v>6748</v>
      </c>
      <c r="C84" s="11" t="s">
        <v>295</v>
      </c>
      <c r="D84" s="11">
        <v>2021</v>
      </c>
      <c r="E84" s="11" t="s">
        <v>5318</v>
      </c>
      <c r="F84" s="11">
        <v>23</v>
      </c>
      <c r="G84" s="11">
        <v>4</v>
      </c>
      <c r="H84" s="11" t="s">
        <v>6749</v>
      </c>
      <c r="I84" s="11" t="s">
        <v>6516</v>
      </c>
      <c r="J84" s="11" t="s">
        <v>6750</v>
      </c>
      <c r="K84" s="11" t="s">
        <v>297</v>
      </c>
      <c r="L84" s="11" t="s">
        <v>5140</v>
      </c>
      <c r="M84" s="11">
        <v>1</v>
      </c>
      <c r="N84" s="11">
        <v>0</v>
      </c>
      <c r="O84" s="9" t="s">
        <v>5044</v>
      </c>
      <c r="P84" s="11">
        <v>0</v>
      </c>
      <c r="Q84" s="11">
        <v>0</v>
      </c>
      <c r="R84" s="11">
        <v>0</v>
      </c>
      <c r="S84" s="11">
        <v>1</v>
      </c>
      <c r="T84" s="11">
        <v>1</v>
      </c>
      <c r="U84" s="11">
        <v>840</v>
      </c>
      <c r="V84" s="11">
        <v>0</v>
      </c>
      <c r="W84" s="11">
        <v>1</v>
      </c>
      <c r="X84" s="11">
        <v>0</v>
      </c>
      <c r="Y84" s="11">
        <v>0</v>
      </c>
      <c r="Z84" s="11">
        <v>0</v>
      </c>
      <c r="AA84" s="11">
        <v>0</v>
      </c>
      <c r="AB84" s="11">
        <v>1</v>
      </c>
      <c r="AC84" s="11" t="s">
        <v>5044</v>
      </c>
      <c r="AD84" s="11" t="s">
        <v>5044</v>
      </c>
      <c r="AE84" s="11" t="s">
        <v>5044</v>
      </c>
      <c r="AF84" s="11" t="s">
        <v>5044</v>
      </c>
      <c r="AG84" s="11" t="s">
        <v>5044</v>
      </c>
      <c r="AH84" s="11" t="s">
        <v>5044</v>
      </c>
      <c r="AI84" s="11" t="s">
        <v>5044</v>
      </c>
      <c r="AJ84" s="11" t="s">
        <v>5044</v>
      </c>
      <c r="AK84" s="11" t="s">
        <v>5318</v>
      </c>
      <c r="AL84" s="11" t="s">
        <v>5041</v>
      </c>
      <c r="AM84" s="11">
        <v>0</v>
      </c>
      <c r="AN84" s="11" t="s">
        <v>5318</v>
      </c>
      <c r="AO84" s="11" t="s">
        <v>5318</v>
      </c>
      <c r="AP84" s="11" t="s">
        <v>5318</v>
      </c>
      <c r="AQ84" s="11" t="s">
        <v>5318</v>
      </c>
    </row>
    <row r="85" spans="1:43" ht="63" customHeight="1" x14ac:dyDescent="0.2">
      <c r="A85" s="10">
        <v>921</v>
      </c>
      <c r="B85" s="11" t="s">
        <v>6751</v>
      </c>
      <c r="C85" s="11" t="s">
        <v>298</v>
      </c>
      <c r="D85" s="11">
        <v>2019</v>
      </c>
      <c r="E85" s="11" t="s">
        <v>5318</v>
      </c>
      <c r="F85" s="11">
        <v>14</v>
      </c>
      <c r="G85" s="11">
        <v>1</v>
      </c>
      <c r="H85" s="11" t="s">
        <v>6752</v>
      </c>
      <c r="I85" s="11" t="s">
        <v>6516</v>
      </c>
      <c r="J85" s="11" t="s">
        <v>6753</v>
      </c>
      <c r="K85" s="11" t="s">
        <v>301</v>
      </c>
      <c r="L85" s="12" t="s">
        <v>5141</v>
      </c>
      <c r="M85" s="11">
        <v>1</v>
      </c>
      <c r="N85" s="11">
        <v>0</v>
      </c>
      <c r="O85" s="9" t="s">
        <v>5044</v>
      </c>
      <c r="P85" s="11">
        <v>0</v>
      </c>
      <c r="Q85" s="11">
        <v>0</v>
      </c>
      <c r="R85" s="11">
        <v>0</v>
      </c>
      <c r="S85" s="11">
        <v>6</v>
      </c>
      <c r="T85" s="11">
        <v>1</v>
      </c>
      <c r="U85" s="11">
        <v>180</v>
      </c>
      <c r="V85" s="11">
        <v>0</v>
      </c>
      <c r="W85" s="11">
        <v>1</v>
      </c>
      <c r="X85" s="11">
        <v>0</v>
      </c>
      <c r="Y85" s="11">
        <v>0</v>
      </c>
      <c r="Z85" s="11">
        <v>0</v>
      </c>
      <c r="AA85" s="11">
        <v>0</v>
      </c>
      <c r="AB85" s="11">
        <v>1</v>
      </c>
      <c r="AC85" s="11" t="s">
        <v>5044</v>
      </c>
      <c r="AD85" s="11" t="s">
        <v>5044</v>
      </c>
      <c r="AE85" s="11" t="s">
        <v>5044</v>
      </c>
      <c r="AF85" s="11" t="s">
        <v>5044</v>
      </c>
      <c r="AG85" s="11" t="s">
        <v>5044</v>
      </c>
      <c r="AH85" s="11" t="s">
        <v>5044</v>
      </c>
      <c r="AI85" s="11" t="s">
        <v>5044</v>
      </c>
      <c r="AJ85" s="11" t="s">
        <v>5044</v>
      </c>
      <c r="AK85" s="11" t="s">
        <v>5318</v>
      </c>
      <c r="AL85" s="11" t="s">
        <v>5041</v>
      </c>
      <c r="AM85" s="11">
        <v>0</v>
      </c>
      <c r="AN85" s="11" t="s">
        <v>5318</v>
      </c>
      <c r="AO85" s="11" t="s">
        <v>5318</v>
      </c>
      <c r="AP85" s="11" t="s">
        <v>5318</v>
      </c>
      <c r="AQ85" s="11" t="s">
        <v>5318</v>
      </c>
    </row>
    <row r="86" spans="1:43" ht="63" customHeight="1" x14ac:dyDescent="0.2">
      <c r="A86" s="10">
        <v>942</v>
      </c>
      <c r="B86" s="11" t="s">
        <v>6758</v>
      </c>
      <c r="C86" s="11" t="s">
        <v>306</v>
      </c>
      <c r="D86" s="11">
        <v>2015</v>
      </c>
      <c r="E86" s="11" t="s">
        <v>5318</v>
      </c>
      <c r="F86" s="11">
        <v>95</v>
      </c>
      <c r="G86" s="11">
        <v>4</v>
      </c>
      <c r="H86" s="11" t="s">
        <v>6759</v>
      </c>
      <c r="I86" s="11" t="s">
        <v>6516</v>
      </c>
      <c r="J86" s="11" t="s">
        <v>6760</v>
      </c>
      <c r="K86" s="11" t="s">
        <v>308</v>
      </c>
      <c r="L86" s="11" t="s">
        <v>5044</v>
      </c>
      <c r="M86" s="11">
        <v>0</v>
      </c>
      <c r="N86" s="9" t="s">
        <v>5044</v>
      </c>
      <c r="O86" s="9" t="s">
        <v>5044</v>
      </c>
      <c r="P86" s="11">
        <v>0</v>
      </c>
      <c r="Q86" s="11">
        <v>0</v>
      </c>
      <c r="R86" s="11">
        <v>0</v>
      </c>
      <c r="S86" s="11">
        <v>3</v>
      </c>
      <c r="T86" s="11">
        <v>1</v>
      </c>
      <c r="U86" s="11">
        <v>162</v>
      </c>
      <c r="V86" s="11">
        <v>0</v>
      </c>
      <c r="W86" s="11">
        <v>1</v>
      </c>
      <c r="X86" s="11">
        <v>0</v>
      </c>
      <c r="Y86" s="11">
        <v>0</v>
      </c>
      <c r="Z86" s="11">
        <v>0</v>
      </c>
      <c r="AA86" s="11">
        <v>0</v>
      </c>
      <c r="AB86" s="11">
        <v>1</v>
      </c>
      <c r="AC86" s="11">
        <v>1</v>
      </c>
      <c r="AD86" s="11" t="s">
        <v>5044</v>
      </c>
      <c r="AE86" s="11" t="s">
        <v>5044</v>
      </c>
      <c r="AF86" s="11" t="s">
        <v>5044</v>
      </c>
      <c r="AG86" s="11">
        <v>2</v>
      </c>
      <c r="AH86" s="11">
        <v>2</v>
      </c>
      <c r="AI86" s="11">
        <v>2</v>
      </c>
      <c r="AJ86" s="11" t="s">
        <v>5044</v>
      </c>
      <c r="AK86" s="11" t="s">
        <v>5318</v>
      </c>
      <c r="AL86" s="11" t="s">
        <v>5041</v>
      </c>
      <c r="AM86" s="11">
        <v>0</v>
      </c>
      <c r="AN86" s="11" t="s">
        <v>5105</v>
      </c>
      <c r="AO86" s="11" t="s">
        <v>5318</v>
      </c>
      <c r="AP86" s="11" t="s">
        <v>5318</v>
      </c>
      <c r="AQ86" s="11" t="s">
        <v>5318</v>
      </c>
    </row>
    <row r="87" spans="1:43" ht="63" customHeight="1" x14ac:dyDescent="0.2">
      <c r="A87" s="10">
        <v>966</v>
      </c>
      <c r="B87" s="11" t="s">
        <v>6764</v>
      </c>
      <c r="C87" s="11" t="s">
        <v>311</v>
      </c>
      <c r="D87" s="11">
        <v>2021</v>
      </c>
      <c r="E87" s="11" t="s">
        <v>5318</v>
      </c>
      <c r="F87" s="11">
        <v>108</v>
      </c>
      <c r="G87" s="11">
        <v>3</v>
      </c>
      <c r="H87" s="11" t="s">
        <v>6530</v>
      </c>
      <c r="I87" s="11" t="s">
        <v>6516</v>
      </c>
      <c r="J87" s="11" t="s">
        <v>6765</v>
      </c>
      <c r="K87" s="11" t="s">
        <v>313</v>
      </c>
      <c r="L87" s="11" t="s">
        <v>5144</v>
      </c>
      <c r="M87" s="11">
        <v>0</v>
      </c>
      <c r="N87" s="9" t="s">
        <v>5044</v>
      </c>
      <c r="O87" s="9" t="s">
        <v>5044</v>
      </c>
      <c r="P87" s="11">
        <v>0</v>
      </c>
      <c r="Q87" s="11">
        <v>0</v>
      </c>
      <c r="R87" s="11">
        <v>0</v>
      </c>
      <c r="S87" s="11">
        <v>1</v>
      </c>
      <c r="T87" s="11">
        <v>1</v>
      </c>
      <c r="U87" s="11">
        <v>107</v>
      </c>
      <c r="V87" s="11">
        <v>0</v>
      </c>
      <c r="W87" s="11">
        <v>1</v>
      </c>
      <c r="X87" s="11">
        <v>0</v>
      </c>
      <c r="Y87" s="11">
        <v>0</v>
      </c>
      <c r="Z87" s="11">
        <v>0</v>
      </c>
      <c r="AA87" s="11">
        <v>0</v>
      </c>
      <c r="AB87" s="11">
        <v>1</v>
      </c>
      <c r="AC87" s="11">
        <v>1</v>
      </c>
      <c r="AD87" s="11" t="s">
        <v>5044</v>
      </c>
      <c r="AE87" s="11" t="s">
        <v>5044</v>
      </c>
      <c r="AF87" s="11" t="s">
        <v>5044</v>
      </c>
      <c r="AG87" s="11">
        <v>1</v>
      </c>
      <c r="AH87" s="11">
        <v>0</v>
      </c>
      <c r="AI87" s="11">
        <v>0</v>
      </c>
      <c r="AJ87" s="11" t="s">
        <v>5044</v>
      </c>
      <c r="AK87" s="11" t="s">
        <v>5318</v>
      </c>
      <c r="AL87" s="11">
        <v>0</v>
      </c>
      <c r="AM87" s="11">
        <v>0</v>
      </c>
      <c r="AN87" s="11" t="s">
        <v>5318</v>
      </c>
      <c r="AO87" s="11" t="s">
        <v>5318</v>
      </c>
      <c r="AP87" s="11" t="s">
        <v>5318</v>
      </c>
      <c r="AQ87" s="11" t="s">
        <v>5318</v>
      </c>
    </row>
    <row r="88" spans="1:43" ht="63" customHeight="1" x14ac:dyDescent="0.2">
      <c r="A88" s="10">
        <v>984</v>
      </c>
      <c r="B88" s="11" t="s">
        <v>6766</v>
      </c>
      <c r="C88" s="11" t="s">
        <v>314</v>
      </c>
      <c r="D88" s="11">
        <v>2021</v>
      </c>
      <c r="E88" s="11" t="s">
        <v>5318</v>
      </c>
      <c r="F88" s="11">
        <v>22</v>
      </c>
      <c r="G88" s="11">
        <v>1</v>
      </c>
      <c r="H88" s="11" t="s">
        <v>6538</v>
      </c>
      <c r="I88" s="11" t="s">
        <v>6516</v>
      </c>
      <c r="J88" s="11" t="s">
        <v>6767</v>
      </c>
      <c r="K88" s="11" t="s">
        <v>315</v>
      </c>
      <c r="L88" s="11" t="s">
        <v>5145</v>
      </c>
      <c r="M88" s="11">
        <v>1</v>
      </c>
      <c r="N88" s="11">
        <v>0</v>
      </c>
      <c r="O88" s="9" t="s">
        <v>5044</v>
      </c>
      <c r="P88" s="11">
        <v>0</v>
      </c>
      <c r="Q88" s="11">
        <v>0</v>
      </c>
      <c r="R88" s="11">
        <v>0</v>
      </c>
      <c r="S88" s="11">
        <v>1</v>
      </c>
      <c r="T88" s="11">
        <v>1</v>
      </c>
      <c r="U88" s="11">
        <v>404</v>
      </c>
      <c r="V88" s="11">
        <v>0</v>
      </c>
      <c r="W88" s="11">
        <v>1</v>
      </c>
      <c r="X88" s="11">
        <v>0</v>
      </c>
      <c r="Y88" s="11">
        <v>0</v>
      </c>
      <c r="Z88" s="11">
        <v>0</v>
      </c>
      <c r="AA88" s="11">
        <v>0</v>
      </c>
      <c r="AB88" s="11">
        <v>1</v>
      </c>
      <c r="AC88" s="11" t="s">
        <v>5044</v>
      </c>
      <c r="AD88" s="11" t="s">
        <v>5044</v>
      </c>
      <c r="AE88" s="11" t="s">
        <v>5044</v>
      </c>
      <c r="AF88" s="11" t="s">
        <v>5044</v>
      </c>
      <c r="AG88" s="11" t="s">
        <v>5044</v>
      </c>
      <c r="AH88" s="11" t="s">
        <v>5044</v>
      </c>
      <c r="AI88" s="11" t="s">
        <v>5044</v>
      </c>
      <c r="AJ88" s="11" t="s">
        <v>5044</v>
      </c>
      <c r="AK88" s="11" t="s">
        <v>5318</v>
      </c>
      <c r="AL88" s="11" t="s">
        <v>5041</v>
      </c>
      <c r="AM88" s="11">
        <v>0</v>
      </c>
      <c r="AN88" s="11" t="s">
        <v>5318</v>
      </c>
      <c r="AO88" s="11" t="s">
        <v>5318</v>
      </c>
      <c r="AP88" s="11" t="s">
        <v>5318</v>
      </c>
      <c r="AQ88" s="11" t="s">
        <v>5318</v>
      </c>
    </row>
    <row r="89" spans="1:43" ht="63" customHeight="1" x14ac:dyDescent="0.2">
      <c r="A89" s="10">
        <v>991</v>
      </c>
      <c r="B89" s="11" t="s">
        <v>6768</v>
      </c>
      <c r="C89" s="11" t="s">
        <v>316</v>
      </c>
      <c r="D89" s="11">
        <v>2019</v>
      </c>
      <c r="E89" s="11" t="s">
        <v>5318</v>
      </c>
      <c r="F89" s="11">
        <v>45</v>
      </c>
      <c r="G89" s="11" t="s">
        <v>5318</v>
      </c>
      <c r="H89" s="11" t="s">
        <v>6769</v>
      </c>
      <c r="I89" s="11" t="s">
        <v>6516</v>
      </c>
      <c r="J89" s="11" t="s">
        <v>6770</v>
      </c>
      <c r="K89" s="11" t="s">
        <v>317</v>
      </c>
      <c r="L89" s="11" t="s">
        <v>5044</v>
      </c>
      <c r="M89" s="11">
        <v>0</v>
      </c>
      <c r="N89" s="9" t="s">
        <v>5044</v>
      </c>
      <c r="O89" s="9" t="s">
        <v>5044</v>
      </c>
      <c r="P89" s="11">
        <v>0</v>
      </c>
      <c r="Q89" s="11">
        <v>0</v>
      </c>
      <c r="R89" s="11">
        <v>0</v>
      </c>
      <c r="S89" s="11">
        <v>1</v>
      </c>
      <c r="T89" s="11">
        <v>5</v>
      </c>
      <c r="U89" s="11">
        <v>50</v>
      </c>
      <c r="V89" s="11">
        <v>0</v>
      </c>
      <c r="W89" s="11">
        <v>1</v>
      </c>
      <c r="X89" s="11">
        <v>0</v>
      </c>
      <c r="Y89" s="11">
        <v>0</v>
      </c>
      <c r="Z89" s="11">
        <v>0</v>
      </c>
      <c r="AA89" s="11">
        <v>0</v>
      </c>
      <c r="AB89" s="11">
        <v>1</v>
      </c>
      <c r="AC89" s="11">
        <v>1</v>
      </c>
      <c r="AD89" s="11" t="s">
        <v>5044</v>
      </c>
      <c r="AE89" s="11" t="s">
        <v>5044</v>
      </c>
      <c r="AF89" s="11" t="s">
        <v>5044</v>
      </c>
      <c r="AG89" s="11">
        <v>2</v>
      </c>
      <c r="AH89" s="11">
        <v>3</v>
      </c>
      <c r="AI89" s="11">
        <v>0</v>
      </c>
      <c r="AJ89" s="11" t="s">
        <v>5044</v>
      </c>
      <c r="AK89" s="11">
        <v>1</v>
      </c>
      <c r="AL89" s="11">
        <v>0</v>
      </c>
      <c r="AM89" s="11">
        <v>0</v>
      </c>
      <c r="AN89" s="11" t="s">
        <v>5318</v>
      </c>
      <c r="AO89" s="11" t="s">
        <v>5318</v>
      </c>
      <c r="AP89" s="11" t="s">
        <v>5318</v>
      </c>
      <c r="AQ89" s="11" t="s">
        <v>5318</v>
      </c>
    </row>
    <row r="90" spans="1:43" ht="63" customHeight="1" x14ac:dyDescent="0.2">
      <c r="A90" s="10">
        <v>992</v>
      </c>
      <c r="B90" s="11" t="s">
        <v>6771</v>
      </c>
      <c r="C90" s="11" t="s">
        <v>318</v>
      </c>
      <c r="D90" s="11">
        <v>2017</v>
      </c>
      <c r="E90" s="11" t="s">
        <v>5318</v>
      </c>
      <c r="F90" s="11">
        <v>12</v>
      </c>
      <c r="G90" s="11">
        <v>9</v>
      </c>
      <c r="H90" s="11" t="s">
        <v>6772</v>
      </c>
      <c r="I90" s="11" t="s">
        <v>6516</v>
      </c>
      <c r="J90" s="11" t="s">
        <v>6773</v>
      </c>
      <c r="K90" s="11" t="s">
        <v>320</v>
      </c>
      <c r="L90" s="11" t="s">
        <v>5044</v>
      </c>
      <c r="M90" s="11">
        <v>0</v>
      </c>
      <c r="N90" s="9" t="s">
        <v>5044</v>
      </c>
      <c r="O90" s="9" t="s">
        <v>5044</v>
      </c>
      <c r="P90" s="11">
        <v>0</v>
      </c>
      <c r="Q90" s="11">
        <v>0</v>
      </c>
      <c r="R90" s="11">
        <v>0</v>
      </c>
      <c r="S90" s="11">
        <v>1</v>
      </c>
      <c r="T90" s="11">
        <v>5</v>
      </c>
      <c r="U90" s="11">
        <v>52</v>
      </c>
      <c r="V90" s="11">
        <v>0</v>
      </c>
      <c r="W90" s="11">
        <v>1</v>
      </c>
      <c r="X90" s="11">
        <v>0</v>
      </c>
      <c r="Y90" s="11">
        <v>0</v>
      </c>
      <c r="Z90" s="11">
        <v>0</v>
      </c>
      <c r="AA90" s="11">
        <v>0</v>
      </c>
      <c r="AB90" s="11">
        <v>1</v>
      </c>
      <c r="AC90" s="11">
        <v>1</v>
      </c>
      <c r="AD90" s="11" t="s">
        <v>5044</v>
      </c>
      <c r="AE90" s="11" t="s">
        <v>5044</v>
      </c>
      <c r="AF90" s="11" t="s">
        <v>5044</v>
      </c>
      <c r="AG90" s="11">
        <v>2</v>
      </c>
      <c r="AH90" s="11">
        <v>3</v>
      </c>
      <c r="AI90" s="11">
        <v>0</v>
      </c>
      <c r="AJ90" s="11" t="s">
        <v>5044</v>
      </c>
      <c r="AK90" s="11">
        <v>1</v>
      </c>
      <c r="AL90" s="11">
        <v>1</v>
      </c>
      <c r="AM90" s="11">
        <v>0</v>
      </c>
      <c r="AN90" s="11" t="s">
        <v>5318</v>
      </c>
      <c r="AO90" s="11" t="s">
        <v>5318</v>
      </c>
      <c r="AP90" s="11" t="s">
        <v>5318</v>
      </c>
      <c r="AQ90" s="11" t="s">
        <v>5318</v>
      </c>
    </row>
    <row r="91" spans="1:43" ht="63" customHeight="1" x14ac:dyDescent="0.2">
      <c r="A91" s="10">
        <v>994</v>
      </c>
      <c r="B91" s="11" t="s">
        <v>6774</v>
      </c>
      <c r="C91" s="11" t="s">
        <v>321</v>
      </c>
      <c r="D91" s="11">
        <v>2017</v>
      </c>
      <c r="E91" s="11" t="s">
        <v>5318</v>
      </c>
      <c r="F91" s="11">
        <v>119</v>
      </c>
      <c r="G91" s="11">
        <v>4</v>
      </c>
      <c r="H91" s="11" t="s">
        <v>6454</v>
      </c>
      <c r="I91" s="11" t="s">
        <v>6516</v>
      </c>
      <c r="J91" s="11" t="s">
        <v>6775</v>
      </c>
      <c r="K91" s="11" t="s">
        <v>323</v>
      </c>
      <c r="L91" s="11" t="s">
        <v>5146</v>
      </c>
      <c r="M91" s="11">
        <v>0</v>
      </c>
      <c r="N91" s="9" t="s">
        <v>5044</v>
      </c>
      <c r="O91" s="9" t="s">
        <v>5044</v>
      </c>
      <c r="P91" s="11">
        <v>0</v>
      </c>
      <c r="Q91" s="11">
        <v>0</v>
      </c>
      <c r="R91" s="11">
        <v>0</v>
      </c>
      <c r="S91" s="11">
        <v>2</v>
      </c>
      <c r="T91" s="11">
        <v>5</v>
      </c>
      <c r="U91" s="11">
        <v>50</v>
      </c>
      <c r="V91" s="11">
        <v>0</v>
      </c>
      <c r="W91" s="11">
        <v>1</v>
      </c>
      <c r="X91" s="11">
        <v>0</v>
      </c>
      <c r="Y91" s="11">
        <v>0</v>
      </c>
      <c r="Z91" s="11">
        <v>0</v>
      </c>
      <c r="AA91" s="11">
        <v>0</v>
      </c>
      <c r="AB91" s="11">
        <v>1</v>
      </c>
      <c r="AC91" s="11">
        <v>1</v>
      </c>
      <c r="AD91" s="11" t="s">
        <v>5044</v>
      </c>
      <c r="AE91" s="11" t="s">
        <v>5044</v>
      </c>
      <c r="AF91" s="11" t="s">
        <v>5044</v>
      </c>
      <c r="AG91" s="11">
        <v>1</v>
      </c>
      <c r="AH91" s="11">
        <v>0</v>
      </c>
      <c r="AI91" s="11">
        <v>0</v>
      </c>
      <c r="AJ91" s="11" t="s">
        <v>5044</v>
      </c>
      <c r="AK91" s="11"/>
      <c r="AL91" s="11">
        <v>1</v>
      </c>
      <c r="AM91" s="11">
        <v>0</v>
      </c>
      <c r="AN91" s="11" t="s">
        <v>5318</v>
      </c>
      <c r="AO91" s="11" t="s">
        <v>5318</v>
      </c>
      <c r="AP91" s="11" t="s">
        <v>5318</v>
      </c>
      <c r="AQ91" s="11" t="s">
        <v>5318</v>
      </c>
    </row>
    <row r="92" spans="1:43" ht="63" customHeight="1" x14ac:dyDescent="0.2">
      <c r="A92" s="10">
        <v>996</v>
      </c>
      <c r="B92" s="11" t="s">
        <v>6776</v>
      </c>
      <c r="C92" s="11" t="s">
        <v>324</v>
      </c>
      <c r="D92" s="11">
        <v>2016</v>
      </c>
      <c r="E92" s="11" t="s">
        <v>5318</v>
      </c>
      <c r="F92" s="11">
        <v>30</v>
      </c>
      <c r="G92" s="11">
        <v>5</v>
      </c>
      <c r="H92" s="11" t="s">
        <v>6777</v>
      </c>
      <c r="I92" s="11" t="s">
        <v>6516</v>
      </c>
      <c r="J92" s="11" t="s">
        <v>6778</v>
      </c>
      <c r="K92" s="11" t="s">
        <v>327</v>
      </c>
      <c r="L92" s="12" t="s">
        <v>5147</v>
      </c>
      <c r="M92" s="11">
        <v>0</v>
      </c>
      <c r="N92" s="9" t="s">
        <v>5044</v>
      </c>
      <c r="O92" s="9" t="s">
        <v>5044</v>
      </c>
      <c r="P92" s="11">
        <v>1</v>
      </c>
      <c r="Q92" s="11">
        <v>0</v>
      </c>
      <c r="R92" s="11">
        <v>0</v>
      </c>
      <c r="S92" s="11">
        <v>2</v>
      </c>
      <c r="T92" s="11">
        <v>5</v>
      </c>
      <c r="U92" s="11">
        <v>60</v>
      </c>
      <c r="V92" s="11">
        <v>0</v>
      </c>
      <c r="W92" s="11">
        <v>1</v>
      </c>
      <c r="X92" s="11">
        <v>0</v>
      </c>
      <c r="Y92" s="11">
        <v>0</v>
      </c>
      <c r="Z92" s="11">
        <v>0</v>
      </c>
      <c r="AA92" s="11">
        <v>0</v>
      </c>
      <c r="AB92" s="11">
        <v>1</v>
      </c>
      <c r="AC92" s="11">
        <v>1</v>
      </c>
      <c r="AD92" s="11" t="s">
        <v>5044</v>
      </c>
      <c r="AE92" s="11" t="s">
        <v>5044</v>
      </c>
      <c r="AF92" s="11" t="s">
        <v>5044</v>
      </c>
      <c r="AG92" s="11">
        <v>2</v>
      </c>
      <c r="AH92" s="11">
        <v>3</v>
      </c>
      <c r="AI92" s="11">
        <v>0</v>
      </c>
      <c r="AJ92" s="11" t="s">
        <v>5044</v>
      </c>
      <c r="AK92" s="11">
        <v>1</v>
      </c>
      <c r="AL92" s="11">
        <v>0</v>
      </c>
      <c r="AM92" s="11">
        <v>0</v>
      </c>
      <c r="AN92" s="11" t="s">
        <v>5318</v>
      </c>
      <c r="AO92" s="11" t="s">
        <v>5318</v>
      </c>
      <c r="AP92" s="11" t="s">
        <v>5318</v>
      </c>
      <c r="AQ92" s="11" t="s">
        <v>5318</v>
      </c>
    </row>
    <row r="93" spans="1:43" ht="63" customHeight="1" x14ac:dyDescent="0.2">
      <c r="A93" s="10">
        <v>1005</v>
      </c>
      <c r="B93" s="11" t="s">
        <v>6779</v>
      </c>
      <c r="C93" s="11" t="s">
        <v>328</v>
      </c>
      <c r="D93" s="11">
        <v>2019</v>
      </c>
      <c r="E93" s="11" t="s">
        <v>5318</v>
      </c>
      <c r="F93" s="11">
        <v>37</v>
      </c>
      <c r="G93" s="11">
        <v>24</v>
      </c>
      <c r="H93" s="11" t="s">
        <v>6449</v>
      </c>
      <c r="I93" s="11" t="s">
        <v>6516</v>
      </c>
      <c r="J93" s="11" t="s">
        <v>6780</v>
      </c>
      <c r="K93" s="11" t="s">
        <v>330</v>
      </c>
      <c r="L93" s="11" t="s">
        <v>5044</v>
      </c>
      <c r="M93" s="11">
        <v>0</v>
      </c>
      <c r="N93" s="9" t="s">
        <v>5044</v>
      </c>
      <c r="O93" s="9" t="s">
        <v>5044</v>
      </c>
      <c r="P93" s="11">
        <v>0</v>
      </c>
      <c r="Q93" s="11">
        <v>0</v>
      </c>
      <c r="R93" s="11">
        <v>0</v>
      </c>
      <c r="S93" s="11">
        <v>1</v>
      </c>
      <c r="T93" s="11">
        <v>4</v>
      </c>
      <c r="U93" s="11">
        <v>164</v>
      </c>
      <c r="V93" s="11">
        <v>0</v>
      </c>
      <c r="W93" s="11">
        <v>1</v>
      </c>
      <c r="X93" s="11">
        <v>0</v>
      </c>
      <c r="Y93" s="11">
        <v>0</v>
      </c>
      <c r="Z93" s="11">
        <v>0</v>
      </c>
      <c r="AA93" s="11">
        <v>0</v>
      </c>
      <c r="AB93" s="11">
        <v>1</v>
      </c>
      <c r="AC93" s="11">
        <v>1</v>
      </c>
      <c r="AD93" s="11" t="s">
        <v>5044</v>
      </c>
      <c r="AE93" s="11" t="s">
        <v>5044</v>
      </c>
      <c r="AF93" s="11" t="s">
        <v>5044</v>
      </c>
      <c r="AG93" s="11">
        <v>2</v>
      </c>
      <c r="AH93" s="11">
        <v>3</v>
      </c>
      <c r="AI93" s="11">
        <v>2</v>
      </c>
      <c r="AJ93" s="11" t="s">
        <v>5044</v>
      </c>
      <c r="AK93" s="11">
        <v>1</v>
      </c>
      <c r="AL93" s="11">
        <v>1</v>
      </c>
      <c r="AM93" s="11">
        <v>0</v>
      </c>
      <c r="AN93" s="11" t="s">
        <v>5318</v>
      </c>
      <c r="AO93" s="11" t="s">
        <v>5318</v>
      </c>
      <c r="AP93" s="11" t="s">
        <v>5318</v>
      </c>
      <c r="AQ93" s="11" t="s">
        <v>5318</v>
      </c>
    </row>
    <row r="94" spans="1:43" ht="63" customHeight="1" x14ac:dyDescent="0.2">
      <c r="A94" s="10">
        <v>1008</v>
      </c>
      <c r="B94" s="11" t="s">
        <v>6781</v>
      </c>
      <c r="C94" s="11" t="s">
        <v>331</v>
      </c>
      <c r="D94" s="11">
        <v>2019</v>
      </c>
      <c r="E94" s="11" t="s">
        <v>5318</v>
      </c>
      <c r="F94" s="11">
        <v>154</v>
      </c>
      <c r="G94" s="11">
        <v>7</v>
      </c>
      <c r="H94" s="11" t="s">
        <v>6676</v>
      </c>
      <c r="I94" s="11" t="s">
        <v>6516</v>
      </c>
      <c r="J94" s="11" t="s">
        <v>6782</v>
      </c>
      <c r="K94" s="11" t="s">
        <v>333</v>
      </c>
      <c r="L94" s="16" t="s">
        <v>5388</v>
      </c>
      <c r="M94" s="11">
        <v>0</v>
      </c>
      <c r="N94" s="9" t="s">
        <v>5044</v>
      </c>
      <c r="O94" s="9" t="s">
        <v>5044</v>
      </c>
      <c r="P94" s="11">
        <v>0</v>
      </c>
      <c r="Q94" s="11">
        <v>0</v>
      </c>
      <c r="R94" s="11">
        <v>0</v>
      </c>
      <c r="S94" s="11">
        <v>7</v>
      </c>
      <c r="T94" s="11">
        <v>4</v>
      </c>
      <c r="U94" s="11">
        <v>86</v>
      </c>
      <c r="V94" s="11">
        <v>0</v>
      </c>
      <c r="W94" s="11">
        <v>1</v>
      </c>
      <c r="X94" s="11">
        <v>0</v>
      </c>
      <c r="Y94" s="11">
        <v>0</v>
      </c>
      <c r="Z94" s="11">
        <v>0</v>
      </c>
      <c r="AA94" s="11">
        <v>0</v>
      </c>
      <c r="AB94" s="11">
        <v>1</v>
      </c>
      <c r="AC94" s="11">
        <v>0</v>
      </c>
      <c r="AD94" s="11" t="s">
        <v>5044</v>
      </c>
      <c r="AE94" s="11" t="s">
        <v>5044</v>
      </c>
      <c r="AF94" s="11" t="s">
        <v>5044</v>
      </c>
      <c r="AG94" s="11">
        <v>0</v>
      </c>
      <c r="AH94" s="11" t="s">
        <v>5044</v>
      </c>
      <c r="AI94" s="11" t="s">
        <v>5044</v>
      </c>
      <c r="AJ94" s="11" t="s">
        <v>5044</v>
      </c>
      <c r="AK94" s="11" t="s">
        <v>5318</v>
      </c>
      <c r="AL94" s="11">
        <v>1</v>
      </c>
      <c r="AM94" s="11">
        <v>0</v>
      </c>
      <c r="AN94" s="11" t="s">
        <v>5318</v>
      </c>
      <c r="AO94" s="11" t="s">
        <v>5318</v>
      </c>
      <c r="AP94" s="11" t="s">
        <v>5318</v>
      </c>
      <c r="AQ94" s="11" t="s">
        <v>5318</v>
      </c>
    </row>
    <row r="95" spans="1:43" ht="63" customHeight="1" x14ac:dyDescent="0.2">
      <c r="A95" s="10">
        <v>1018</v>
      </c>
      <c r="B95" s="11" t="s">
        <v>6783</v>
      </c>
      <c r="C95" s="11" t="s">
        <v>334</v>
      </c>
      <c r="D95" s="11">
        <v>2021</v>
      </c>
      <c r="E95" s="11" t="s">
        <v>5318</v>
      </c>
      <c r="F95" s="11">
        <v>274</v>
      </c>
      <c r="G95" s="11">
        <v>6</v>
      </c>
      <c r="H95" s="11" t="s">
        <v>6533</v>
      </c>
      <c r="I95" s="11" t="s">
        <v>6516</v>
      </c>
      <c r="J95" s="11" t="s">
        <v>6784</v>
      </c>
      <c r="K95" s="11" t="s">
        <v>336</v>
      </c>
      <c r="L95" s="16" t="s">
        <v>5389</v>
      </c>
      <c r="M95" s="11">
        <v>0</v>
      </c>
      <c r="N95" s="9" t="s">
        <v>5044</v>
      </c>
      <c r="O95" s="9" t="s">
        <v>5044</v>
      </c>
      <c r="P95" s="11">
        <v>0</v>
      </c>
      <c r="Q95" s="11">
        <v>0</v>
      </c>
      <c r="R95" s="11">
        <v>0</v>
      </c>
      <c r="S95" s="11">
        <v>1</v>
      </c>
      <c r="T95" s="11">
        <v>4</v>
      </c>
      <c r="U95" s="11">
        <v>253</v>
      </c>
      <c r="V95" s="11">
        <v>0</v>
      </c>
      <c r="W95" s="11">
        <v>1</v>
      </c>
      <c r="X95" s="11">
        <v>0</v>
      </c>
      <c r="Y95" s="11">
        <v>0</v>
      </c>
      <c r="Z95" s="11">
        <v>0</v>
      </c>
      <c r="AA95" s="11">
        <v>0</v>
      </c>
      <c r="AB95" s="11">
        <v>0</v>
      </c>
      <c r="AC95" s="11">
        <v>1</v>
      </c>
      <c r="AD95" s="11" t="s">
        <v>5044</v>
      </c>
      <c r="AE95" s="11" t="s">
        <v>5044</v>
      </c>
      <c r="AF95" s="11" t="s">
        <v>5044</v>
      </c>
      <c r="AG95" s="11">
        <v>2</v>
      </c>
      <c r="AH95" s="11">
        <v>3</v>
      </c>
      <c r="AI95" s="11">
        <v>0</v>
      </c>
      <c r="AJ95" s="11" t="s">
        <v>5044</v>
      </c>
      <c r="AK95" s="11">
        <v>1</v>
      </c>
      <c r="AL95" s="11">
        <v>1</v>
      </c>
      <c r="AM95" s="11">
        <v>0</v>
      </c>
      <c r="AN95" s="11" t="s">
        <v>5318</v>
      </c>
      <c r="AO95" s="11" t="s">
        <v>5318</v>
      </c>
      <c r="AP95" s="11" t="s">
        <v>5318</v>
      </c>
      <c r="AQ95" s="11" t="s">
        <v>5318</v>
      </c>
    </row>
    <row r="96" spans="1:43" ht="63" customHeight="1" x14ac:dyDescent="0.2">
      <c r="A96" s="10">
        <v>1020</v>
      </c>
      <c r="B96" s="11" t="s">
        <v>6785</v>
      </c>
      <c r="C96" s="11" t="s">
        <v>337</v>
      </c>
      <c r="D96" s="11">
        <v>2019</v>
      </c>
      <c r="E96" s="11" t="s">
        <v>5318</v>
      </c>
      <c r="F96" s="11">
        <v>75</v>
      </c>
      <c r="G96" s="11">
        <v>4</v>
      </c>
      <c r="H96" s="11" t="s">
        <v>6515</v>
      </c>
      <c r="I96" s="11" t="s">
        <v>6516</v>
      </c>
      <c r="J96" s="11" t="s">
        <v>6786</v>
      </c>
      <c r="K96" s="11" t="s">
        <v>339</v>
      </c>
      <c r="L96" s="11" t="s">
        <v>5044</v>
      </c>
      <c r="M96" s="11">
        <v>0</v>
      </c>
      <c r="N96" s="9" t="s">
        <v>5044</v>
      </c>
      <c r="O96" s="9" t="s">
        <v>5044</v>
      </c>
      <c r="P96" s="11">
        <v>0</v>
      </c>
      <c r="Q96" s="11">
        <v>0</v>
      </c>
      <c r="R96" s="11">
        <v>0</v>
      </c>
      <c r="S96" s="11">
        <v>3</v>
      </c>
      <c r="T96" s="11">
        <v>1</v>
      </c>
      <c r="U96" s="11">
        <v>234</v>
      </c>
      <c r="V96" s="11">
        <v>0</v>
      </c>
      <c r="W96" s="11">
        <v>1</v>
      </c>
      <c r="X96" s="11">
        <v>0</v>
      </c>
      <c r="Y96" s="11">
        <v>0</v>
      </c>
      <c r="Z96" s="11">
        <v>0</v>
      </c>
      <c r="AA96" s="11">
        <v>0</v>
      </c>
      <c r="AB96" s="11">
        <v>1</v>
      </c>
      <c r="AC96" s="11">
        <v>1</v>
      </c>
      <c r="AD96" s="11" t="s">
        <v>5044</v>
      </c>
      <c r="AE96" s="11" t="s">
        <v>5044</v>
      </c>
      <c r="AF96" s="11" t="s">
        <v>5044</v>
      </c>
      <c r="AG96" s="11">
        <v>1</v>
      </c>
      <c r="AH96" s="11">
        <v>0</v>
      </c>
      <c r="AI96" s="11">
        <v>0</v>
      </c>
      <c r="AJ96" s="11" t="s">
        <v>5044</v>
      </c>
      <c r="AK96" s="11" t="s">
        <v>5318</v>
      </c>
      <c r="AL96" s="11">
        <v>2</v>
      </c>
      <c r="AM96" s="11">
        <v>0</v>
      </c>
      <c r="AN96" s="11" t="s">
        <v>5318</v>
      </c>
      <c r="AO96" s="11" t="s">
        <v>5318</v>
      </c>
      <c r="AP96" s="11" t="s">
        <v>5318</v>
      </c>
      <c r="AQ96" s="11" t="s">
        <v>5318</v>
      </c>
    </row>
    <row r="97" spans="1:43" ht="63" customHeight="1" x14ac:dyDescent="0.2">
      <c r="A97" s="10">
        <v>1044</v>
      </c>
      <c r="B97" s="11" t="s">
        <v>6787</v>
      </c>
      <c r="C97" s="11" t="s">
        <v>340</v>
      </c>
      <c r="D97" s="11">
        <v>2010</v>
      </c>
      <c r="E97" s="11" t="s">
        <v>5318</v>
      </c>
      <c r="F97" s="11">
        <v>24</v>
      </c>
      <c r="G97" s="11">
        <v>6</v>
      </c>
      <c r="H97" s="11" t="s">
        <v>6624</v>
      </c>
      <c r="I97" s="11" t="s">
        <v>6516</v>
      </c>
      <c r="J97" s="11" t="s">
        <v>6788</v>
      </c>
      <c r="K97" s="11" t="s">
        <v>342</v>
      </c>
      <c r="L97" s="16" t="s">
        <v>5390</v>
      </c>
      <c r="M97" s="11">
        <v>0</v>
      </c>
      <c r="N97" s="9" t="s">
        <v>5044</v>
      </c>
      <c r="O97" s="9" t="s">
        <v>5044</v>
      </c>
      <c r="P97" s="11">
        <v>0</v>
      </c>
      <c r="Q97" s="11">
        <v>0</v>
      </c>
      <c r="R97" s="11">
        <v>0</v>
      </c>
      <c r="S97" s="11">
        <v>1</v>
      </c>
      <c r="T97" s="11">
        <v>2</v>
      </c>
      <c r="U97" s="11">
        <v>199</v>
      </c>
      <c r="V97" s="11">
        <v>0</v>
      </c>
      <c r="W97" s="11">
        <v>1</v>
      </c>
      <c r="X97" s="11">
        <v>0</v>
      </c>
      <c r="Y97" s="11">
        <v>0</v>
      </c>
      <c r="Z97" s="11">
        <v>0</v>
      </c>
      <c r="AA97" s="11">
        <v>0</v>
      </c>
      <c r="AB97" s="11">
        <v>1</v>
      </c>
      <c r="AC97" s="11">
        <v>1</v>
      </c>
      <c r="AD97" s="11" t="s">
        <v>5044</v>
      </c>
      <c r="AE97" s="11" t="s">
        <v>5044</v>
      </c>
      <c r="AF97" s="11" t="s">
        <v>5044</v>
      </c>
      <c r="AG97" s="11">
        <v>1</v>
      </c>
      <c r="AH97" s="11">
        <v>0</v>
      </c>
      <c r="AI97" s="11">
        <v>0</v>
      </c>
      <c r="AJ97" s="11" t="s">
        <v>5044</v>
      </c>
      <c r="AK97" s="11" t="s">
        <v>5318</v>
      </c>
      <c r="AL97" s="11">
        <v>0</v>
      </c>
      <c r="AM97" s="11">
        <v>0</v>
      </c>
      <c r="AN97" s="11" t="s">
        <v>5318</v>
      </c>
      <c r="AO97" s="11" t="s">
        <v>5318</v>
      </c>
      <c r="AP97" s="11" t="s">
        <v>5318</v>
      </c>
      <c r="AQ97" s="11" t="s">
        <v>5318</v>
      </c>
    </row>
    <row r="98" spans="1:43" ht="63" customHeight="1" x14ac:dyDescent="0.2">
      <c r="A98" s="10">
        <v>1056</v>
      </c>
      <c r="B98" s="11" t="s">
        <v>6789</v>
      </c>
      <c r="C98" s="11" t="s">
        <v>343</v>
      </c>
      <c r="D98" s="11">
        <v>2019</v>
      </c>
      <c r="E98" s="11" t="s">
        <v>5318</v>
      </c>
      <c r="F98" s="11">
        <v>33</v>
      </c>
      <c r="G98" s="11">
        <v>1</v>
      </c>
      <c r="H98" s="11" t="s">
        <v>6624</v>
      </c>
      <c r="I98" s="11" t="s">
        <v>6516</v>
      </c>
      <c r="J98" s="11" t="s">
        <v>6790</v>
      </c>
      <c r="K98" s="11" t="s">
        <v>344</v>
      </c>
      <c r="L98" s="16" t="s">
        <v>5391</v>
      </c>
      <c r="M98" s="11">
        <v>0</v>
      </c>
      <c r="N98" s="9" t="s">
        <v>5044</v>
      </c>
      <c r="O98" s="9" t="s">
        <v>5044</v>
      </c>
      <c r="P98" s="11">
        <v>0</v>
      </c>
      <c r="Q98" s="11">
        <v>0</v>
      </c>
      <c r="R98" s="11">
        <v>0</v>
      </c>
      <c r="S98" s="11">
        <v>1</v>
      </c>
      <c r="T98" s="11">
        <v>4</v>
      </c>
      <c r="U98" s="11">
        <v>446</v>
      </c>
      <c r="V98" s="11">
        <v>1</v>
      </c>
      <c r="W98" s="11">
        <v>0</v>
      </c>
      <c r="X98" s="11">
        <v>0</v>
      </c>
      <c r="Y98" s="11">
        <v>0</v>
      </c>
      <c r="Z98" s="11">
        <v>0</v>
      </c>
      <c r="AA98" s="11">
        <v>0</v>
      </c>
      <c r="AB98" s="11">
        <v>1</v>
      </c>
      <c r="AC98" s="11">
        <v>1</v>
      </c>
      <c r="AD98" s="11">
        <v>1</v>
      </c>
      <c r="AE98" s="11">
        <v>0</v>
      </c>
      <c r="AF98" s="11">
        <v>0</v>
      </c>
      <c r="AG98" s="11" t="s">
        <v>5044</v>
      </c>
      <c r="AH98" s="11" t="s">
        <v>5044</v>
      </c>
      <c r="AI98" s="11" t="s">
        <v>5044</v>
      </c>
      <c r="AJ98" s="11" t="s">
        <v>5044</v>
      </c>
      <c r="AK98" s="11" t="s">
        <v>5318</v>
      </c>
      <c r="AL98" s="11">
        <v>1</v>
      </c>
      <c r="AM98" s="11">
        <v>0</v>
      </c>
      <c r="AN98" s="11" t="s">
        <v>5318</v>
      </c>
      <c r="AO98" s="11" t="s">
        <v>5318</v>
      </c>
      <c r="AP98" s="11" t="s">
        <v>5318</v>
      </c>
      <c r="AQ98" s="11" t="s">
        <v>5318</v>
      </c>
    </row>
    <row r="99" spans="1:43" ht="63" customHeight="1" x14ac:dyDescent="0.2">
      <c r="A99" s="10">
        <v>1058</v>
      </c>
      <c r="B99" s="11" t="s">
        <v>6791</v>
      </c>
      <c r="C99" s="11" t="s">
        <v>345</v>
      </c>
      <c r="D99" s="11">
        <v>2018</v>
      </c>
      <c r="E99" s="11" t="s">
        <v>5318</v>
      </c>
      <c r="F99" s="11">
        <v>24</v>
      </c>
      <c r="G99" s="11">
        <v>9</v>
      </c>
      <c r="H99" s="11" t="s">
        <v>6550</v>
      </c>
      <c r="I99" s="11" t="s">
        <v>6516</v>
      </c>
      <c r="J99" s="11" t="s">
        <v>6792</v>
      </c>
      <c r="K99" s="11" t="s">
        <v>346</v>
      </c>
      <c r="L99" s="12" t="s">
        <v>5392</v>
      </c>
      <c r="M99" s="11">
        <v>0</v>
      </c>
      <c r="N99" s="9" t="s">
        <v>5044</v>
      </c>
      <c r="O99" s="9" t="s">
        <v>5044</v>
      </c>
      <c r="P99" s="11">
        <v>0</v>
      </c>
      <c r="Q99" s="11">
        <v>0</v>
      </c>
      <c r="R99" s="11">
        <v>0</v>
      </c>
      <c r="S99" s="11">
        <v>1</v>
      </c>
      <c r="T99" s="11">
        <v>4</v>
      </c>
      <c r="U99" s="11">
        <v>280</v>
      </c>
      <c r="V99" s="11">
        <v>0</v>
      </c>
      <c r="W99" s="11">
        <v>1</v>
      </c>
      <c r="X99" s="11">
        <v>0</v>
      </c>
      <c r="Y99" s="11">
        <v>0</v>
      </c>
      <c r="Z99" s="11">
        <v>0</v>
      </c>
      <c r="AA99" s="11">
        <v>0</v>
      </c>
      <c r="AB99" s="11">
        <v>1</v>
      </c>
      <c r="AC99" s="11">
        <v>1</v>
      </c>
      <c r="AD99" s="11" t="s">
        <v>5044</v>
      </c>
      <c r="AE99" s="11" t="s">
        <v>5044</v>
      </c>
      <c r="AF99" s="11" t="s">
        <v>5044</v>
      </c>
      <c r="AG99" s="11">
        <v>1</v>
      </c>
      <c r="AH99" s="11">
        <v>0</v>
      </c>
      <c r="AI99" s="11">
        <v>0</v>
      </c>
      <c r="AJ99" s="11" t="s">
        <v>5044</v>
      </c>
      <c r="AK99" s="11" t="s">
        <v>5318</v>
      </c>
      <c r="AL99" s="11">
        <v>1</v>
      </c>
      <c r="AM99" s="11">
        <v>0</v>
      </c>
      <c r="AN99" s="11" t="s">
        <v>5318</v>
      </c>
      <c r="AO99" s="11" t="s">
        <v>5318</v>
      </c>
      <c r="AP99" s="11" t="s">
        <v>5318</v>
      </c>
      <c r="AQ99" s="11" t="s">
        <v>5318</v>
      </c>
    </row>
    <row r="100" spans="1:43" ht="63" customHeight="1" x14ac:dyDescent="0.2">
      <c r="A100" s="10">
        <v>1065</v>
      </c>
      <c r="B100" s="11" t="s">
        <v>6793</v>
      </c>
      <c r="C100" s="11" t="s">
        <v>347</v>
      </c>
      <c r="D100" s="11">
        <v>2017</v>
      </c>
      <c r="E100" s="11" t="s">
        <v>5318</v>
      </c>
      <c r="F100" s="11">
        <v>17</v>
      </c>
      <c r="G100" s="11">
        <v>1</v>
      </c>
      <c r="H100" s="11" t="s">
        <v>6794</v>
      </c>
      <c r="I100" s="11" t="s">
        <v>6516</v>
      </c>
      <c r="J100" s="11" t="s">
        <v>6795</v>
      </c>
      <c r="K100" s="11" t="s">
        <v>349</v>
      </c>
      <c r="L100" s="12" t="s">
        <v>5393</v>
      </c>
      <c r="M100" s="11">
        <v>0</v>
      </c>
      <c r="N100" s="9" t="s">
        <v>5044</v>
      </c>
      <c r="O100" s="9" t="s">
        <v>5044</v>
      </c>
      <c r="P100" s="11">
        <v>0</v>
      </c>
      <c r="Q100" s="11">
        <v>0</v>
      </c>
      <c r="R100" s="11">
        <v>0</v>
      </c>
      <c r="S100" s="11">
        <v>3</v>
      </c>
      <c r="T100" s="11">
        <v>4</v>
      </c>
      <c r="U100" s="11">
        <v>150</v>
      </c>
      <c r="V100" s="11">
        <v>0</v>
      </c>
      <c r="W100" s="11">
        <v>1</v>
      </c>
      <c r="X100" s="11">
        <v>0</v>
      </c>
      <c r="Y100" s="11">
        <v>0</v>
      </c>
      <c r="Z100" s="11">
        <v>0</v>
      </c>
      <c r="AA100" s="11">
        <v>0</v>
      </c>
      <c r="AB100" s="11">
        <v>1</v>
      </c>
      <c r="AC100" s="11">
        <v>1</v>
      </c>
      <c r="AD100" s="11" t="s">
        <v>5044</v>
      </c>
      <c r="AE100" s="11" t="s">
        <v>5044</v>
      </c>
      <c r="AF100" s="11" t="s">
        <v>5044</v>
      </c>
      <c r="AG100" s="11">
        <v>2</v>
      </c>
      <c r="AH100" s="11">
        <v>3</v>
      </c>
      <c r="AI100" s="11">
        <v>0</v>
      </c>
      <c r="AJ100" s="11" t="s">
        <v>5044</v>
      </c>
      <c r="AK100" s="11">
        <v>1</v>
      </c>
      <c r="AL100" s="11">
        <v>1</v>
      </c>
      <c r="AM100" s="11">
        <v>0</v>
      </c>
      <c r="AN100" s="11" t="s">
        <v>5318</v>
      </c>
      <c r="AO100" s="11" t="s">
        <v>5318</v>
      </c>
      <c r="AP100" s="11" t="s">
        <v>5318</v>
      </c>
      <c r="AQ100" s="11" t="s">
        <v>5318</v>
      </c>
    </row>
    <row r="101" spans="1:43" ht="63" customHeight="1" x14ac:dyDescent="0.2">
      <c r="A101" s="10">
        <v>1067</v>
      </c>
      <c r="B101" s="11" t="s">
        <v>6796</v>
      </c>
      <c r="C101" s="11" t="s">
        <v>350</v>
      </c>
      <c r="D101" s="11">
        <v>2023</v>
      </c>
      <c r="E101" s="11" t="s">
        <v>5318</v>
      </c>
      <c r="F101" s="11">
        <v>158</v>
      </c>
      <c r="G101" s="11">
        <v>1</v>
      </c>
      <c r="H101" s="11" t="s">
        <v>6676</v>
      </c>
      <c r="I101" s="11" t="s">
        <v>6516</v>
      </c>
      <c r="J101" s="11" t="s">
        <v>6797</v>
      </c>
      <c r="K101" s="11" t="s">
        <v>352</v>
      </c>
      <c r="L101" s="12" t="s">
        <v>5042</v>
      </c>
      <c r="M101" s="11">
        <v>0</v>
      </c>
      <c r="N101" s="9" t="s">
        <v>5044</v>
      </c>
      <c r="O101" s="9" t="s">
        <v>5044</v>
      </c>
      <c r="P101" s="11">
        <v>0</v>
      </c>
      <c r="Q101" s="11">
        <v>0</v>
      </c>
      <c r="R101" s="11">
        <v>0</v>
      </c>
      <c r="S101" s="11" t="s">
        <v>7666</v>
      </c>
      <c r="T101" s="11">
        <v>4</v>
      </c>
      <c r="U101" s="11">
        <v>249</v>
      </c>
      <c r="V101" s="11">
        <v>0</v>
      </c>
      <c r="W101" s="11">
        <v>1</v>
      </c>
      <c r="X101" s="11">
        <v>0</v>
      </c>
      <c r="Y101" s="11">
        <v>0</v>
      </c>
      <c r="Z101" s="11">
        <v>0</v>
      </c>
      <c r="AA101" s="11">
        <v>0</v>
      </c>
      <c r="AB101" s="11">
        <v>1</v>
      </c>
      <c r="AC101" s="11">
        <v>0</v>
      </c>
      <c r="AD101" s="11" t="s">
        <v>5044</v>
      </c>
      <c r="AE101" s="11" t="s">
        <v>5044</v>
      </c>
      <c r="AF101" s="11" t="s">
        <v>5044</v>
      </c>
      <c r="AG101" s="11">
        <v>0</v>
      </c>
      <c r="AH101" s="11" t="s">
        <v>5044</v>
      </c>
      <c r="AI101" s="11" t="s">
        <v>5044</v>
      </c>
      <c r="AJ101" s="11" t="s">
        <v>5044</v>
      </c>
      <c r="AK101" s="11" t="s">
        <v>5318</v>
      </c>
      <c r="AL101" s="11">
        <v>1</v>
      </c>
      <c r="AM101" s="11">
        <v>0</v>
      </c>
      <c r="AN101" s="11" t="s">
        <v>5318</v>
      </c>
      <c r="AO101" s="11" t="s">
        <v>5318</v>
      </c>
      <c r="AP101" s="11" t="s">
        <v>5318</v>
      </c>
      <c r="AQ101" s="11" t="s">
        <v>5318</v>
      </c>
    </row>
    <row r="102" spans="1:43" ht="63" customHeight="1" x14ac:dyDescent="0.2">
      <c r="A102" s="10">
        <v>1080</v>
      </c>
      <c r="B102" s="11" t="s">
        <v>6798</v>
      </c>
      <c r="C102" s="11" t="s">
        <v>353</v>
      </c>
      <c r="D102" s="11">
        <v>2019</v>
      </c>
      <c r="E102" s="11" t="s">
        <v>5318</v>
      </c>
      <c r="F102" s="11">
        <v>33</v>
      </c>
      <c r="G102" s="11">
        <v>3</v>
      </c>
      <c r="H102" s="11" t="s">
        <v>6624</v>
      </c>
      <c r="I102" s="11" t="s">
        <v>6516</v>
      </c>
      <c r="J102" s="11" t="s">
        <v>6799</v>
      </c>
      <c r="K102" s="11" t="s">
        <v>354</v>
      </c>
      <c r="L102" s="12" t="s">
        <v>5394</v>
      </c>
      <c r="M102" s="11">
        <v>0</v>
      </c>
      <c r="N102" s="9" t="s">
        <v>5044</v>
      </c>
      <c r="O102" s="9" t="s">
        <v>5044</v>
      </c>
      <c r="P102" s="11">
        <v>0</v>
      </c>
      <c r="Q102" s="11">
        <v>0</v>
      </c>
      <c r="R102" s="11">
        <v>0</v>
      </c>
      <c r="S102" s="11">
        <v>1</v>
      </c>
      <c r="T102" s="11">
        <v>4</v>
      </c>
      <c r="U102" s="11">
        <v>198</v>
      </c>
      <c r="V102" s="11">
        <v>1</v>
      </c>
      <c r="W102" s="11">
        <v>0</v>
      </c>
      <c r="X102" s="11">
        <v>0</v>
      </c>
      <c r="Y102" s="11">
        <v>0</v>
      </c>
      <c r="Z102" s="11">
        <v>0</v>
      </c>
      <c r="AA102" s="11">
        <v>0</v>
      </c>
      <c r="AB102" s="11">
        <v>1</v>
      </c>
      <c r="AC102" s="11">
        <v>1</v>
      </c>
      <c r="AD102" s="11">
        <v>1</v>
      </c>
      <c r="AE102" s="11">
        <v>0</v>
      </c>
      <c r="AF102" s="11">
        <v>0</v>
      </c>
      <c r="AG102" s="11" t="s">
        <v>5044</v>
      </c>
      <c r="AH102" s="11" t="s">
        <v>5044</v>
      </c>
      <c r="AI102" s="11" t="s">
        <v>5044</v>
      </c>
      <c r="AJ102" s="11" t="s">
        <v>5044</v>
      </c>
      <c r="AK102" s="11" t="s">
        <v>5318</v>
      </c>
      <c r="AL102" s="11">
        <v>0</v>
      </c>
      <c r="AM102" s="11">
        <v>0</v>
      </c>
      <c r="AN102" s="11" t="s">
        <v>5318</v>
      </c>
      <c r="AO102" s="11" t="s">
        <v>5318</v>
      </c>
      <c r="AP102" s="11" t="s">
        <v>5318</v>
      </c>
      <c r="AQ102" s="11" t="s">
        <v>5318</v>
      </c>
    </row>
    <row r="103" spans="1:43" ht="63" customHeight="1" x14ac:dyDescent="0.2">
      <c r="A103" s="10">
        <v>1089</v>
      </c>
      <c r="B103" s="11" t="s">
        <v>6800</v>
      </c>
      <c r="C103" s="11" t="s">
        <v>355</v>
      </c>
      <c r="D103" s="11">
        <v>2021</v>
      </c>
      <c r="E103" s="11" t="s">
        <v>5318</v>
      </c>
      <c r="F103" s="11">
        <v>31</v>
      </c>
      <c r="G103" s="11">
        <v>10</v>
      </c>
      <c r="H103" s="11" t="s">
        <v>6801</v>
      </c>
      <c r="I103" s="11" t="s">
        <v>6516</v>
      </c>
      <c r="J103" s="11" t="s">
        <v>6802</v>
      </c>
      <c r="K103" s="11" t="s">
        <v>358</v>
      </c>
      <c r="L103" s="12" t="s">
        <v>5395</v>
      </c>
      <c r="M103" s="11">
        <v>0</v>
      </c>
      <c r="N103" s="9" t="s">
        <v>5044</v>
      </c>
      <c r="O103" s="9" t="s">
        <v>5044</v>
      </c>
      <c r="P103" s="11">
        <v>0</v>
      </c>
      <c r="Q103" s="11">
        <v>0</v>
      </c>
      <c r="R103" s="11">
        <v>0</v>
      </c>
      <c r="S103" s="11">
        <v>9</v>
      </c>
      <c r="T103" s="11">
        <v>4</v>
      </c>
      <c r="U103" s="11">
        <v>80</v>
      </c>
      <c r="V103" s="11">
        <v>0</v>
      </c>
      <c r="W103" s="11">
        <v>1</v>
      </c>
      <c r="X103" s="11">
        <v>0</v>
      </c>
      <c r="Y103" s="11">
        <v>0</v>
      </c>
      <c r="Z103" s="11">
        <v>0</v>
      </c>
      <c r="AA103" s="11">
        <v>0</v>
      </c>
      <c r="AB103" s="11">
        <v>1</v>
      </c>
      <c r="AC103" s="11">
        <v>1</v>
      </c>
      <c r="AD103" s="11" t="s">
        <v>5044</v>
      </c>
      <c r="AE103" s="11" t="s">
        <v>5044</v>
      </c>
      <c r="AF103" s="11" t="s">
        <v>5044</v>
      </c>
      <c r="AG103" s="11">
        <v>2</v>
      </c>
      <c r="AH103" s="11">
        <v>3</v>
      </c>
      <c r="AI103" s="11">
        <v>0</v>
      </c>
      <c r="AJ103" s="11" t="s">
        <v>5044</v>
      </c>
      <c r="AK103" s="11">
        <v>1</v>
      </c>
      <c r="AL103" s="11">
        <v>0</v>
      </c>
      <c r="AM103" s="11">
        <v>0</v>
      </c>
      <c r="AN103" s="11" t="s">
        <v>5318</v>
      </c>
      <c r="AO103" s="11" t="s">
        <v>5318</v>
      </c>
      <c r="AP103" s="11" t="s">
        <v>5318</v>
      </c>
      <c r="AQ103" s="11" t="s">
        <v>5318</v>
      </c>
    </row>
    <row r="104" spans="1:43" ht="63" customHeight="1" x14ac:dyDescent="0.2">
      <c r="A104" s="10">
        <v>1120</v>
      </c>
      <c r="B104" s="11" t="s">
        <v>6803</v>
      </c>
      <c r="C104" s="11" t="s">
        <v>359</v>
      </c>
      <c r="D104" s="11">
        <v>2018</v>
      </c>
      <c r="E104" s="11" t="s">
        <v>5318</v>
      </c>
      <c r="F104" s="11">
        <v>27</v>
      </c>
      <c r="G104" s="11">
        <v>5</v>
      </c>
      <c r="H104" s="11" t="s">
        <v>6804</v>
      </c>
      <c r="I104" s="11" t="s">
        <v>6516</v>
      </c>
      <c r="J104" s="11" t="s">
        <v>6805</v>
      </c>
      <c r="K104" s="11" t="s">
        <v>360</v>
      </c>
      <c r="L104" s="12" t="s">
        <v>5396</v>
      </c>
      <c r="M104" s="11">
        <v>0</v>
      </c>
      <c r="N104" s="9" t="s">
        <v>5044</v>
      </c>
      <c r="O104" s="9" t="s">
        <v>5044</v>
      </c>
      <c r="P104" s="11">
        <v>0</v>
      </c>
      <c r="Q104" s="11">
        <v>0</v>
      </c>
      <c r="R104" s="11">
        <v>0</v>
      </c>
      <c r="S104" s="11">
        <v>3</v>
      </c>
      <c r="T104" s="11">
        <v>4</v>
      </c>
      <c r="U104" s="11">
        <v>60</v>
      </c>
      <c r="V104" s="11">
        <v>0</v>
      </c>
      <c r="W104" s="11">
        <v>1</v>
      </c>
      <c r="X104" s="11">
        <v>0</v>
      </c>
      <c r="Y104" s="11">
        <v>0</v>
      </c>
      <c r="Z104" s="11">
        <v>0</v>
      </c>
      <c r="AA104" s="11">
        <v>0</v>
      </c>
      <c r="AB104" s="11">
        <v>1</v>
      </c>
      <c r="AC104" s="11">
        <v>1</v>
      </c>
      <c r="AD104" s="11" t="s">
        <v>5044</v>
      </c>
      <c r="AE104" s="11" t="s">
        <v>5044</v>
      </c>
      <c r="AF104" s="11" t="s">
        <v>5044</v>
      </c>
      <c r="AG104" s="11">
        <v>1</v>
      </c>
      <c r="AH104" s="11">
        <v>0</v>
      </c>
      <c r="AI104" s="11">
        <v>0</v>
      </c>
      <c r="AJ104" s="11" t="s">
        <v>5044</v>
      </c>
      <c r="AK104" s="11" t="s">
        <v>5318</v>
      </c>
      <c r="AL104" s="11">
        <v>1</v>
      </c>
      <c r="AM104" s="11">
        <v>0</v>
      </c>
      <c r="AN104" s="11" t="s">
        <v>5318</v>
      </c>
      <c r="AO104" s="11" t="s">
        <v>5318</v>
      </c>
      <c r="AP104" s="11" t="s">
        <v>5318</v>
      </c>
      <c r="AQ104" s="11" t="s">
        <v>5318</v>
      </c>
    </row>
    <row r="105" spans="1:43" ht="63" customHeight="1" x14ac:dyDescent="0.2">
      <c r="A105" s="10">
        <v>1121</v>
      </c>
      <c r="B105" s="11" t="s">
        <v>6806</v>
      </c>
      <c r="C105" s="11" t="s">
        <v>361</v>
      </c>
      <c r="D105" s="11">
        <v>2021</v>
      </c>
      <c r="E105" s="11" t="s">
        <v>5318</v>
      </c>
      <c r="F105" s="11">
        <v>6</v>
      </c>
      <c r="G105" s="11">
        <v>6</v>
      </c>
      <c r="H105" s="11" t="s">
        <v>6807</v>
      </c>
      <c r="I105" s="11" t="s">
        <v>6516</v>
      </c>
      <c r="J105" s="11" t="s">
        <v>6808</v>
      </c>
      <c r="K105" s="11" t="s">
        <v>363</v>
      </c>
      <c r="L105" s="16" t="s">
        <v>5075</v>
      </c>
      <c r="M105" s="11">
        <v>0</v>
      </c>
      <c r="N105" s="9" t="s">
        <v>5044</v>
      </c>
      <c r="O105" s="9" t="s">
        <v>5044</v>
      </c>
      <c r="P105" s="11">
        <v>0</v>
      </c>
      <c r="Q105" s="11">
        <v>0</v>
      </c>
      <c r="R105" s="11">
        <v>0</v>
      </c>
      <c r="S105" s="11">
        <v>1</v>
      </c>
      <c r="T105" s="11">
        <v>4</v>
      </c>
      <c r="U105" s="11">
        <v>656</v>
      </c>
      <c r="V105" s="11">
        <v>0</v>
      </c>
      <c r="W105" s="11">
        <v>1</v>
      </c>
      <c r="X105" s="11">
        <v>0</v>
      </c>
      <c r="Y105" s="11">
        <v>0</v>
      </c>
      <c r="Z105" s="11">
        <v>1</v>
      </c>
      <c r="AA105" s="11">
        <v>0</v>
      </c>
      <c r="AB105" s="11">
        <v>1</v>
      </c>
      <c r="AC105" s="11">
        <v>1</v>
      </c>
      <c r="AD105" s="11" t="s">
        <v>5044</v>
      </c>
      <c r="AE105" s="11" t="s">
        <v>5044</v>
      </c>
      <c r="AF105" s="11" t="s">
        <v>5044</v>
      </c>
      <c r="AG105" s="11">
        <v>2</v>
      </c>
      <c r="AH105" s="11">
        <v>1</v>
      </c>
      <c r="AI105" s="11">
        <v>2</v>
      </c>
      <c r="AJ105" s="11">
        <v>0</v>
      </c>
      <c r="AK105" s="11" t="s">
        <v>5318</v>
      </c>
      <c r="AL105" s="11">
        <v>1</v>
      </c>
      <c r="AM105" s="11">
        <v>0</v>
      </c>
      <c r="AN105" s="11" t="s">
        <v>5318</v>
      </c>
      <c r="AO105" s="11" t="s">
        <v>5318</v>
      </c>
      <c r="AP105" s="11" t="s">
        <v>5318</v>
      </c>
      <c r="AQ105" s="11" t="s">
        <v>5318</v>
      </c>
    </row>
    <row r="106" spans="1:43" ht="63" customHeight="1" x14ac:dyDescent="0.2">
      <c r="A106" s="10">
        <v>1123</v>
      </c>
      <c r="B106" s="11" t="s">
        <v>6809</v>
      </c>
      <c r="C106" s="11" t="s">
        <v>364</v>
      </c>
      <c r="D106" s="11">
        <v>2022</v>
      </c>
      <c r="E106" s="11" t="s">
        <v>5318</v>
      </c>
      <c r="F106" s="11">
        <v>36</v>
      </c>
      <c r="G106" s="11">
        <v>1</v>
      </c>
      <c r="H106" s="11" t="s">
        <v>6810</v>
      </c>
      <c r="I106" s="11" t="s">
        <v>6516</v>
      </c>
      <c r="J106" s="11" t="s">
        <v>6811</v>
      </c>
      <c r="K106" s="11" t="s">
        <v>366</v>
      </c>
      <c r="L106" s="16" t="s">
        <v>5397</v>
      </c>
      <c r="M106" s="11">
        <v>0</v>
      </c>
      <c r="N106" s="9" t="s">
        <v>5044</v>
      </c>
      <c r="O106" s="9" t="s">
        <v>5044</v>
      </c>
      <c r="P106" s="11">
        <v>0</v>
      </c>
      <c r="Q106" s="11">
        <v>0</v>
      </c>
      <c r="R106" s="11">
        <v>0</v>
      </c>
      <c r="S106" s="11">
        <v>9</v>
      </c>
      <c r="T106" s="11">
        <v>4</v>
      </c>
      <c r="U106" s="11">
        <v>354</v>
      </c>
      <c r="V106" s="11">
        <v>0</v>
      </c>
      <c r="W106" s="11">
        <v>1</v>
      </c>
      <c r="X106" s="11">
        <v>0</v>
      </c>
      <c r="Y106" s="11">
        <v>0</v>
      </c>
      <c r="Z106" s="11">
        <v>0</v>
      </c>
      <c r="AA106" s="11">
        <v>0</v>
      </c>
      <c r="AB106" s="11">
        <v>1</v>
      </c>
      <c r="AC106" s="11">
        <v>1</v>
      </c>
      <c r="AD106" s="11" t="s">
        <v>5044</v>
      </c>
      <c r="AE106" s="11" t="s">
        <v>5044</v>
      </c>
      <c r="AF106" s="11" t="s">
        <v>5044</v>
      </c>
      <c r="AG106" s="11">
        <v>0</v>
      </c>
      <c r="AH106" s="11" t="s">
        <v>5044</v>
      </c>
      <c r="AI106" s="11" t="s">
        <v>5044</v>
      </c>
      <c r="AJ106" s="11" t="s">
        <v>5044</v>
      </c>
      <c r="AK106" s="11" t="s">
        <v>5318</v>
      </c>
      <c r="AL106" s="11">
        <v>1</v>
      </c>
      <c r="AM106" s="11">
        <v>0</v>
      </c>
      <c r="AN106" s="11" t="s">
        <v>5318</v>
      </c>
      <c r="AO106" s="11" t="s">
        <v>5318</v>
      </c>
      <c r="AP106" s="11" t="s">
        <v>5318</v>
      </c>
      <c r="AQ106" s="11" t="s">
        <v>5318</v>
      </c>
    </row>
    <row r="107" spans="1:43" ht="63" customHeight="1" x14ac:dyDescent="0.2">
      <c r="A107" s="10">
        <v>1135</v>
      </c>
      <c r="B107" s="11" t="s">
        <v>6812</v>
      </c>
      <c r="C107" s="11" t="s">
        <v>367</v>
      </c>
      <c r="D107" s="11">
        <v>2021</v>
      </c>
      <c r="E107" s="11" t="s">
        <v>5318</v>
      </c>
      <c r="F107" s="11">
        <v>13</v>
      </c>
      <c r="G107" s="11" t="s">
        <v>5318</v>
      </c>
      <c r="H107" s="11" t="s">
        <v>6813</v>
      </c>
      <c r="I107" s="11" t="s">
        <v>6516</v>
      </c>
      <c r="J107" s="11" t="s">
        <v>6814</v>
      </c>
      <c r="K107" s="11" t="s">
        <v>368</v>
      </c>
      <c r="L107" s="12" t="s">
        <v>5398</v>
      </c>
      <c r="M107" s="11">
        <v>1</v>
      </c>
      <c r="N107" s="11">
        <v>0</v>
      </c>
      <c r="O107" s="9" t="s">
        <v>5044</v>
      </c>
      <c r="P107" s="11">
        <v>0</v>
      </c>
      <c r="Q107" s="11">
        <v>0</v>
      </c>
      <c r="R107" s="11">
        <v>0</v>
      </c>
      <c r="S107" s="11">
        <v>1</v>
      </c>
      <c r="T107" s="11">
        <v>4</v>
      </c>
      <c r="U107" s="11">
        <v>292</v>
      </c>
      <c r="V107" s="11">
        <v>0</v>
      </c>
      <c r="W107" s="11">
        <v>1</v>
      </c>
      <c r="X107" s="11">
        <v>0</v>
      </c>
      <c r="Y107" s="11">
        <v>0</v>
      </c>
      <c r="Z107" s="11">
        <v>0</v>
      </c>
      <c r="AA107" s="11">
        <v>0</v>
      </c>
      <c r="AB107" s="11">
        <v>1</v>
      </c>
      <c r="AC107" s="11" t="s">
        <v>5044</v>
      </c>
      <c r="AD107" s="11" t="s">
        <v>5044</v>
      </c>
      <c r="AE107" s="11" t="s">
        <v>5044</v>
      </c>
      <c r="AF107" s="11" t="s">
        <v>5044</v>
      </c>
      <c r="AG107" s="11" t="s">
        <v>5044</v>
      </c>
      <c r="AH107" s="11" t="s">
        <v>5044</v>
      </c>
      <c r="AI107" s="11" t="s">
        <v>5044</v>
      </c>
      <c r="AJ107" s="11" t="s">
        <v>5044</v>
      </c>
      <c r="AK107" s="11" t="s">
        <v>5318</v>
      </c>
      <c r="AL107" s="11" t="s">
        <v>5044</v>
      </c>
      <c r="AM107" s="11">
        <v>0</v>
      </c>
      <c r="AN107" s="11" t="s">
        <v>5318</v>
      </c>
      <c r="AO107" s="11" t="s">
        <v>5318</v>
      </c>
      <c r="AP107" s="11" t="s">
        <v>5318</v>
      </c>
      <c r="AQ107" s="11" t="s">
        <v>5318</v>
      </c>
    </row>
    <row r="108" spans="1:43" ht="63" customHeight="1" x14ac:dyDescent="0.2">
      <c r="A108" s="10">
        <v>1140</v>
      </c>
      <c r="B108" s="11" t="s">
        <v>6815</v>
      </c>
      <c r="C108" s="11" t="s">
        <v>369</v>
      </c>
      <c r="D108" s="11">
        <v>2020</v>
      </c>
      <c r="E108" s="11" t="s">
        <v>5318</v>
      </c>
      <c r="F108" s="11">
        <v>10</v>
      </c>
      <c r="G108" s="11">
        <v>8</v>
      </c>
      <c r="H108" s="11" t="s">
        <v>6519</v>
      </c>
      <c r="I108" s="11" t="s">
        <v>6516</v>
      </c>
      <c r="J108" s="11" t="s">
        <v>6816</v>
      </c>
      <c r="K108" s="11" t="s">
        <v>370</v>
      </c>
      <c r="L108" s="12" t="s">
        <v>5399</v>
      </c>
      <c r="M108" s="11">
        <v>1</v>
      </c>
      <c r="N108" s="11">
        <v>0</v>
      </c>
      <c r="O108" s="9" t="s">
        <v>5044</v>
      </c>
      <c r="P108" s="11">
        <v>0</v>
      </c>
      <c r="Q108" s="11">
        <v>0</v>
      </c>
      <c r="R108" s="11">
        <v>0</v>
      </c>
      <c r="S108" s="11">
        <v>9</v>
      </c>
      <c r="T108" s="11">
        <v>4</v>
      </c>
      <c r="U108" s="11">
        <v>146</v>
      </c>
      <c r="V108" s="11">
        <v>0</v>
      </c>
      <c r="W108" s="11">
        <v>1</v>
      </c>
      <c r="X108" s="11">
        <v>0</v>
      </c>
      <c r="Y108" s="11">
        <v>0</v>
      </c>
      <c r="Z108" s="11">
        <v>0</v>
      </c>
      <c r="AA108" s="11">
        <v>0</v>
      </c>
      <c r="AB108" s="11">
        <v>1</v>
      </c>
      <c r="AC108" s="11" t="s">
        <v>5044</v>
      </c>
      <c r="AD108" s="11" t="s">
        <v>5044</v>
      </c>
      <c r="AE108" s="11" t="s">
        <v>5044</v>
      </c>
      <c r="AF108" s="11" t="s">
        <v>5044</v>
      </c>
      <c r="AG108" s="11" t="s">
        <v>5044</v>
      </c>
      <c r="AH108" s="11" t="s">
        <v>5044</v>
      </c>
      <c r="AI108" s="11" t="s">
        <v>5044</v>
      </c>
      <c r="AJ108" s="11" t="s">
        <v>5044</v>
      </c>
      <c r="AK108" s="11" t="s">
        <v>5318</v>
      </c>
      <c r="AL108" s="11" t="s">
        <v>5044</v>
      </c>
      <c r="AM108" s="11">
        <v>0</v>
      </c>
      <c r="AN108" s="11" t="s">
        <v>5318</v>
      </c>
      <c r="AO108" s="11" t="s">
        <v>5318</v>
      </c>
      <c r="AP108" s="11" t="s">
        <v>5318</v>
      </c>
      <c r="AQ108" s="11" t="s">
        <v>5318</v>
      </c>
    </row>
    <row r="109" spans="1:43" ht="63" customHeight="1" x14ac:dyDescent="0.2">
      <c r="A109" s="10">
        <v>1155</v>
      </c>
      <c r="B109" s="11" t="s">
        <v>6817</v>
      </c>
      <c r="C109" s="11" t="s">
        <v>371</v>
      </c>
      <c r="D109" s="11">
        <v>2022</v>
      </c>
      <c r="E109" s="11" t="s">
        <v>5318</v>
      </c>
      <c r="F109" s="11">
        <v>46</v>
      </c>
      <c r="G109" s="11">
        <v>11</v>
      </c>
      <c r="H109" s="11" t="s">
        <v>6745</v>
      </c>
      <c r="I109" s="11" t="s">
        <v>6516</v>
      </c>
      <c r="J109" s="11" t="s">
        <v>6818</v>
      </c>
      <c r="K109" s="11" t="s">
        <v>373</v>
      </c>
      <c r="L109" s="16" t="s">
        <v>5400</v>
      </c>
      <c r="M109" s="11">
        <v>0</v>
      </c>
      <c r="N109" s="9" t="s">
        <v>5044</v>
      </c>
      <c r="O109" s="9" t="s">
        <v>5044</v>
      </c>
      <c r="P109" s="11">
        <v>0</v>
      </c>
      <c r="Q109" s="11">
        <v>0</v>
      </c>
      <c r="R109" s="11">
        <v>0</v>
      </c>
      <c r="S109" s="11">
        <v>1</v>
      </c>
      <c r="T109" s="11">
        <v>4</v>
      </c>
      <c r="U109" s="11">
        <v>168</v>
      </c>
      <c r="V109" s="11">
        <v>0</v>
      </c>
      <c r="W109" s="11">
        <v>1</v>
      </c>
      <c r="X109" s="11">
        <v>0</v>
      </c>
      <c r="Y109" s="11">
        <v>0</v>
      </c>
      <c r="Z109" s="11">
        <v>1</v>
      </c>
      <c r="AA109" s="11">
        <v>0</v>
      </c>
      <c r="AB109" s="11">
        <v>1</v>
      </c>
      <c r="AC109" s="11">
        <v>1</v>
      </c>
      <c r="AD109" s="11" t="s">
        <v>5044</v>
      </c>
      <c r="AE109" s="11" t="s">
        <v>5044</v>
      </c>
      <c r="AF109" s="11" t="s">
        <v>5044</v>
      </c>
      <c r="AG109" s="11">
        <v>1</v>
      </c>
      <c r="AH109" s="11">
        <v>0</v>
      </c>
      <c r="AI109" s="11">
        <v>0</v>
      </c>
      <c r="AJ109" s="11">
        <v>0</v>
      </c>
      <c r="AK109" s="11" t="s">
        <v>5318</v>
      </c>
      <c r="AL109" s="11">
        <v>1</v>
      </c>
      <c r="AM109" s="11">
        <v>0</v>
      </c>
      <c r="AN109" s="11" t="s">
        <v>5318</v>
      </c>
      <c r="AO109" s="11" t="s">
        <v>5318</v>
      </c>
      <c r="AP109" s="11" t="s">
        <v>5318</v>
      </c>
      <c r="AQ109" s="11" t="s">
        <v>5318</v>
      </c>
    </row>
    <row r="110" spans="1:43" ht="63" customHeight="1" x14ac:dyDescent="0.2">
      <c r="A110" s="10">
        <v>1157</v>
      </c>
      <c r="B110" s="11" t="s">
        <v>6819</v>
      </c>
      <c r="C110" s="11" t="s">
        <v>374</v>
      </c>
      <c r="D110" s="11">
        <v>2011</v>
      </c>
      <c r="E110" s="11" t="s">
        <v>377</v>
      </c>
      <c r="F110" s="11">
        <v>17</v>
      </c>
      <c r="G110" s="11">
        <v>5</v>
      </c>
      <c r="H110" s="11" t="s">
        <v>6657</v>
      </c>
      <c r="I110" s="11" t="s">
        <v>6516</v>
      </c>
      <c r="J110" s="11" t="s">
        <v>6820</v>
      </c>
      <c r="K110" s="11" t="s">
        <v>376</v>
      </c>
      <c r="L110" s="11" t="s">
        <v>5044</v>
      </c>
      <c r="M110" s="11">
        <v>0</v>
      </c>
      <c r="N110" s="9" t="s">
        <v>5044</v>
      </c>
      <c r="O110" s="9" t="s">
        <v>5044</v>
      </c>
      <c r="P110" s="11">
        <v>0</v>
      </c>
      <c r="Q110" s="11">
        <v>0</v>
      </c>
      <c r="R110" s="11">
        <v>0</v>
      </c>
      <c r="S110" s="11">
        <v>1</v>
      </c>
      <c r="T110" s="11">
        <v>4</v>
      </c>
      <c r="U110" s="11">
        <v>230</v>
      </c>
      <c r="V110" s="11">
        <v>0</v>
      </c>
      <c r="W110" s="11">
        <v>1</v>
      </c>
      <c r="X110" s="11">
        <v>0</v>
      </c>
      <c r="Y110" s="11">
        <v>0</v>
      </c>
      <c r="Z110" s="11">
        <v>0</v>
      </c>
      <c r="AA110" s="11">
        <v>0</v>
      </c>
      <c r="AB110" s="11">
        <v>1</v>
      </c>
      <c r="AC110" s="11">
        <v>0</v>
      </c>
      <c r="AD110" s="11" t="s">
        <v>5044</v>
      </c>
      <c r="AE110" s="11" t="s">
        <v>5044</v>
      </c>
      <c r="AF110" s="11" t="s">
        <v>5044</v>
      </c>
      <c r="AG110" s="11">
        <v>0</v>
      </c>
      <c r="AH110" s="11" t="s">
        <v>5044</v>
      </c>
      <c r="AI110" s="11" t="s">
        <v>5044</v>
      </c>
      <c r="AJ110" s="11" t="s">
        <v>5044</v>
      </c>
      <c r="AK110" s="11" t="s">
        <v>5318</v>
      </c>
      <c r="AL110" s="11">
        <v>1</v>
      </c>
      <c r="AM110" s="11">
        <v>0</v>
      </c>
      <c r="AN110" s="11" t="s">
        <v>5318</v>
      </c>
      <c r="AO110" s="11" t="s">
        <v>5318</v>
      </c>
      <c r="AP110" s="11" t="s">
        <v>5318</v>
      </c>
      <c r="AQ110" s="11" t="s">
        <v>5318</v>
      </c>
    </row>
    <row r="111" spans="1:43" ht="63" customHeight="1" x14ac:dyDescent="0.2">
      <c r="A111" s="10">
        <v>1158</v>
      </c>
      <c r="B111" s="11" t="s">
        <v>6821</v>
      </c>
      <c r="C111" s="11" t="s">
        <v>378</v>
      </c>
      <c r="D111" s="11">
        <v>2016</v>
      </c>
      <c r="E111" s="11" t="s">
        <v>5318</v>
      </c>
      <c r="F111" s="11">
        <v>113</v>
      </c>
      <c r="G111" s="11">
        <v>4</v>
      </c>
      <c r="H111" s="11" t="s">
        <v>6705</v>
      </c>
      <c r="I111" s="11" t="s">
        <v>6516</v>
      </c>
      <c r="J111" s="11" t="s">
        <v>6822</v>
      </c>
      <c r="K111" s="11" t="s">
        <v>380</v>
      </c>
      <c r="L111" s="11" t="s">
        <v>5044</v>
      </c>
      <c r="M111" s="11">
        <v>0</v>
      </c>
      <c r="N111" s="9" t="s">
        <v>5044</v>
      </c>
      <c r="O111" s="9" t="s">
        <v>5044</v>
      </c>
      <c r="P111" s="11">
        <v>0</v>
      </c>
      <c r="Q111" s="11">
        <v>0</v>
      </c>
      <c r="R111" s="11">
        <v>0</v>
      </c>
      <c r="S111" s="11">
        <v>1</v>
      </c>
      <c r="T111" s="11">
        <v>4</v>
      </c>
      <c r="U111" s="11">
        <v>311</v>
      </c>
      <c r="V111" s="11">
        <v>0</v>
      </c>
      <c r="W111" s="11">
        <v>1</v>
      </c>
      <c r="X111" s="11">
        <v>0</v>
      </c>
      <c r="Y111" s="11">
        <v>0</v>
      </c>
      <c r="Z111" s="11">
        <v>0</v>
      </c>
      <c r="AA111" s="11">
        <v>0</v>
      </c>
      <c r="AB111" s="11">
        <v>1</v>
      </c>
      <c r="AC111" s="11">
        <v>1</v>
      </c>
      <c r="AD111" s="11" t="s">
        <v>5044</v>
      </c>
      <c r="AE111" s="11" t="s">
        <v>5044</v>
      </c>
      <c r="AF111" s="11" t="s">
        <v>5044</v>
      </c>
      <c r="AG111" s="11">
        <v>2</v>
      </c>
      <c r="AH111" s="11">
        <v>3</v>
      </c>
      <c r="AI111" s="11">
        <v>0</v>
      </c>
      <c r="AJ111" s="11" t="s">
        <v>5044</v>
      </c>
      <c r="AK111" s="11">
        <v>1</v>
      </c>
      <c r="AL111" s="11" t="s">
        <v>5044</v>
      </c>
      <c r="AM111" s="11">
        <v>0</v>
      </c>
      <c r="AN111" s="11" t="s">
        <v>5105</v>
      </c>
      <c r="AO111" s="11" t="s">
        <v>5318</v>
      </c>
      <c r="AP111" s="11" t="s">
        <v>5318</v>
      </c>
      <c r="AQ111" s="11" t="s">
        <v>5318</v>
      </c>
    </row>
    <row r="112" spans="1:43" ht="63" customHeight="1" x14ac:dyDescent="0.2">
      <c r="A112" s="10">
        <v>1162</v>
      </c>
      <c r="B112" s="11" t="s">
        <v>6823</v>
      </c>
      <c r="C112" s="11" t="s">
        <v>381</v>
      </c>
      <c r="D112" s="11">
        <v>2022</v>
      </c>
      <c r="E112" s="11" t="s">
        <v>5318</v>
      </c>
      <c r="F112" s="11">
        <v>34</v>
      </c>
      <c r="G112" s="11">
        <v>2</v>
      </c>
      <c r="H112" s="11" t="s">
        <v>6824</v>
      </c>
      <c r="I112" s="11" t="s">
        <v>6516</v>
      </c>
      <c r="J112" s="11" t="s">
        <v>6825</v>
      </c>
      <c r="K112" s="11" t="s">
        <v>382</v>
      </c>
      <c r="L112" s="12" t="s">
        <v>5401</v>
      </c>
      <c r="M112" s="11">
        <v>0</v>
      </c>
      <c r="N112" s="9" t="s">
        <v>5044</v>
      </c>
      <c r="O112" s="9" t="s">
        <v>5044</v>
      </c>
      <c r="P112" s="11">
        <v>0</v>
      </c>
      <c r="Q112" s="11">
        <v>0</v>
      </c>
      <c r="R112" s="11">
        <v>0</v>
      </c>
      <c r="S112" s="11">
        <v>9</v>
      </c>
      <c r="T112" s="11">
        <v>4</v>
      </c>
      <c r="U112" s="11">
        <v>1560</v>
      </c>
      <c r="V112" s="11">
        <v>0</v>
      </c>
      <c r="W112" s="11">
        <v>1</v>
      </c>
      <c r="X112" s="11">
        <v>0</v>
      </c>
      <c r="Y112" s="11">
        <v>0</v>
      </c>
      <c r="Z112" s="11">
        <v>0</v>
      </c>
      <c r="AA112" s="11">
        <v>0</v>
      </c>
      <c r="AB112" s="11">
        <v>1</v>
      </c>
      <c r="AC112" s="11">
        <v>1</v>
      </c>
      <c r="AD112" s="11" t="s">
        <v>5044</v>
      </c>
      <c r="AE112" s="11" t="s">
        <v>5044</v>
      </c>
      <c r="AF112" s="11" t="s">
        <v>5044</v>
      </c>
      <c r="AG112" s="11">
        <v>2</v>
      </c>
      <c r="AH112" s="11">
        <v>1</v>
      </c>
      <c r="AI112" s="11">
        <v>1</v>
      </c>
      <c r="AJ112" s="11" t="s">
        <v>5044</v>
      </c>
      <c r="AK112" s="11" t="s">
        <v>5318</v>
      </c>
      <c r="AL112" s="11">
        <v>0</v>
      </c>
      <c r="AM112" s="11">
        <v>0</v>
      </c>
      <c r="AN112" s="11" t="s">
        <v>5318</v>
      </c>
      <c r="AO112" s="11" t="s">
        <v>5318</v>
      </c>
      <c r="AP112" s="11" t="s">
        <v>5318</v>
      </c>
      <c r="AQ112" s="11" t="s">
        <v>5318</v>
      </c>
    </row>
    <row r="113" spans="1:43" ht="63" customHeight="1" x14ac:dyDescent="0.2">
      <c r="A113" s="10">
        <v>1167</v>
      </c>
      <c r="B113" s="11" t="s">
        <v>6826</v>
      </c>
      <c r="C113" s="11" t="s">
        <v>383</v>
      </c>
      <c r="D113" s="11">
        <v>2011</v>
      </c>
      <c r="E113" s="11" t="s">
        <v>5318</v>
      </c>
      <c r="F113" s="11">
        <v>39</v>
      </c>
      <c r="G113" s="11">
        <v>4</v>
      </c>
      <c r="H113" s="11" t="s">
        <v>6827</v>
      </c>
      <c r="I113" s="11" t="s">
        <v>6828</v>
      </c>
      <c r="J113" s="11" t="s">
        <v>6829</v>
      </c>
      <c r="K113" s="11" t="s">
        <v>387</v>
      </c>
      <c r="L113" s="11" t="s">
        <v>5044</v>
      </c>
      <c r="M113" s="11">
        <v>0</v>
      </c>
      <c r="N113" s="9" t="s">
        <v>5044</v>
      </c>
      <c r="O113" s="9" t="s">
        <v>5044</v>
      </c>
      <c r="P113" s="11">
        <v>0</v>
      </c>
      <c r="Q113" s="11">
        <v>0</v>
      </c>
      <c r="R113" s="11">
        <v>0</v>
      </c>
      <c r="S113" s="11">
        <v>3</v>
      </c>
      <c r="T113" s="11">
        <v>4</v>
      </c>
      <c r="U113" s="11">
        <v>99</v>
      </c>
      <c r="V113" s="11">
        <v>0</v>
      </c>
      <c r="W113" s="11">
        <v>1</v>
      </c>
      <c r="X113" s="11">
        <v>0</v>
      </c>
      <c r="Y113" s="11">
        <v>0</v>
      </c>
      <c r="Z113" s="11">
        <v>0</v>
      </c>
      <c r="AA113" s="11">
        <v>0</v>
      </c>
      <c r="AB113" s="11">
        <v>1</v>
      </c>
      <c r="AC113" s="11">
        <v>1</v>
      </c>
      <c r="AD113" s="11" t="s">
        <v>5044</v>
      </c>
      <c r="AE113" s="11" t="s">
        <v>5044</v>
      </c>
      <c r="AF113" s="11" t="s">
        <v>5044</v>
      </c>
      <c r="AG113" s="11">
        <v>1</v>
      </c>
      <c r="AH113" s="11">
        <v>0</v>
      </c>
      <c r="AI113" s="11">
        <v>0</v>
      </c>
      <c r="AJ113" s="11" t="s">
        <v>5044</v>
      </c>
      <c r="AK113" s="11" t="s">
        <v>5318</v>
      </c>
      <c r="AL113" s="11">
        <v>0</v>
      </c>
      <c r="AM113" s="11">
        <v>0</v>
      </c>
      <c r="AN113" s="11" t="s">
        <v>5318</v>
      </c>
      <c r="AO113" s="11" t="s">
        <v>5318</v>
      </c>
      <c r="AP113" s="11" t="s">
        <v>5318</v>
      </c>
      <c r="AQ113" s="11" t="s">
        <v>5318</v>
      </c>
    </row>
    <row r="114" spans="1:43" ht="63" customHeight="1" x14ac:dyDescent="0.2">
      <c r="A114" s="10">
        <v>1202</v>
      </c>
      <c r="B114" s="11" t="s">
        <v>6830</v>
      </c>
      <c r="C114" s="11" t="s">
        <v>388</v>
      </c>
      <c r="D114" s="11">
        <v>2013</v>
      </c>
      <c r="E114" s="11" t="s">
        <v>5318</v>
      </c>
      <c r="F114" s="11">
        <v>121</v>
      </c>
      <c r="G114" s="11">
        <v>5</v>
      </c>
      <c r="H114" s="11" t="s">
        <v>6831</v>
      </c>
      <c r="I114" s="11" t="s">
        <v>6516</v>
      </c>
      <c r="J114" s="11" t="s">
        <v>6832</v>
      </c>
      <c r="K114" s="11" t="s">
        <v>391</v>
      </c>
      <c r="L114" s="16" t="s">
        <v>5402</v>
      </c>
      <c r="M114" s="11">
        <v>0</v>
      </c>
      <c r="N114" s="9" t="s">
        <v>5044</v>
      </c>
      <c r="O114" s="9" t="s">
        <v>5044</v>
      </c>
      <c r="P114" s="11">
        <v>0</v>
      </c>
      <c r="Q114" s="11">
        <v>0</v>
      </c>
      <c r="R114" s="11">
        <v>0</v>
      </c>
      <c r="S114" s="11">
        <v>3</v>
      </c>
      <c r="T114" s="11">
        <v>2</v>
      </c>
      <c r="U114" s="11">
        <v>597</v>
      </c>
      <c r="V114" s="11">
        <v>0</v>
      </c>
      <c r="W114" s="11">
        <v>1</v>
      </c>
      <c r="X114" s="11">
        <v>0</v>
      </c>
      <c r="Y114" s="11">
        <v>0</v>
      </c>
      <c r="Z114" s="11">
        <v>0</v>
      </c>
      <c r="AA114" s="11">
        <v>0</v>
      </c>
      <c r="AB114" s="11">
        <v>1</v>
      </c>
      <c r="AC114" s="11">
        <v>0</v>
      </c>
      <c r="AD114" s="11" t="s">
        <v>5044</v>
      </c>
      <c r="AE114" s="11" t="s">
        <v>5044</v>
      </c>
      <c r="AF114" s="11" t="s">
        <v>5044</v>
      </c>
      <c r="AG114" s="11">
        <v>0</v>
      </c>
      <c r="AH114" s="11" t="s">
        <v>5044</v>
      </c>
      <c r="AI114" s="11" t="s">
        <v>5044</v>
      </c>
      <c r="AJ114" s="11" t="s">
        <v>5044</v>
      </c>
      <c r="AK114" s="11" t="s">
        <v>5318</v>
      </c>
      <c r="AL114" s="11">
        <v>0</v>
      </c>
      <c r="AM114" s="11">
        <v>0</v>
      </c>
      <c r="AN114" s="11" t="s">
        <v>5318</v>
      </c>
      <c r="AO114" s="11" t="s">
        <v>5318</v>
      </c>
      <c r="AP114" s="11" t="s">
        <v>5318</v>
      </c>
      <c r="AQ114" s="11" t="s">
        <v>5318</v>
      </c>
    </row>
    <row r="115" spans="1:43" ht="63" customHeight="1" x14ac:dyDescent="0.2">
      <c r="A115" s="10">
        <v>1214</v>
      </c>
      <c r="B115" s="11" t="s">
        <v>6833</v>
      </c>
      <c r="C115" s="11" t="s">
        <v>392</v>
      </c>
      <c r="D115" s="11">
        <v>2019</v>
      </c>
      <c r="E115" s="11" t="s">
        <v>5318</v>
      </c>
      <c r="F115" s="11">
        <v>19</v>
      </c>
      <c r="G115" s="11">
        <v>1</v>
      </c>
      <c r="H115" s="11" t="s">
        <v>6595</v>
      </c>
      <c r="I115" s="11" t="s">
        <v>6516</v>
      </c>
      <c r="J115" s="11" t="s">
        <v>6834</v>
      </c>
      <c r="K115" s="11" t="s">
        <v>393</v>
      </c>
      <c r="L115" s="16" t="s">
        <v>5403</v>
      </c>
      <c r="M115" s="11">
        <v>1</v>
      </c>
      <c r="N115" s="11">
        <v>0</v>
      </c>
      <c r="O115" s="9" t="s">
        <v>5044</v>
      </c>
      <c r="P115" s="11">
        <v>0</v>
      </c>
      <c r="Q115" s="11">
        <v>0</v>
      </c>
      <c r="R115" s="11">
        <v>0</v>
      </c>
      <c r="S115" s="11" t="s">
        <v>5708</v>
      </c>
      <c r="T115" s="11">
        <v>1</v>
      </c>
      <c r="U115" s="11">
        <v>215</v>
      </c>
      <c r="V115" s="11">
        <v>0</v>
      </c>
      <c r="W115" s="11">
        <v>1</v>
      </c>
      <c r="X115" s="11">
        <v>0</v>
      </c>
      <c r="Y115" s="11">
        <v>0</v>
      </c>
      <c r="Z115" s="11">
        <v>0</v>
      </c>
      <c r="AA115" s="11">
        <v>0</v>
      </c>
      <c r="AB115" s="11">
        <v>1</v>
      </c>
      <c r="AC115" s="11" t="s">
        <v>5044</v>
      </c>
      <c r="AD115" s="11" t="s">
        <v>5044</v>
      </c>
      <c r="AE115" s="11" t="s">
        <v>5044</v>
      </c>
      <c r="AF115" s="11" t="s">
        <v>5044</v>
      </c>
      <c r="AG115" s="11" t="s">
        <v>5044</v>
      </c>
      <c r="AH115" s="11" t="s">
        <v>5044</v>
      </c>
      <c r="AI115" s="11" t="s">
        <v>5044</v>
      </c>
      <c r="AJ115" s="11" t="s">
        <v>5044</v>
      </c>
      <c r="AK115" s="11" t="s">
        <v>5318</v>
      </c>
      <c r="AL115" s="11" t="s">
        <v>5044</v>
      </c>
      <c r="AM115" s="11">
        <v>0</v>
      </c>
      <c r="AN115" s="11" t="s">
        <v>5318</v>
      </c>
      <c r="AO115" s="11" t="s">
        <v>5318</v>
      </c>
      <c r="AP115" s="11" t="s">
        <v>5318</v>
      </c>
      <c r="AQ115" s="11" t="s">
        <v>5318</v>
      </c>
    </row>
    <row r="116" spans="1:43" ht="63" customHeight="1" x14ac:dyDescent="0.2">
      <c r="A116" s="10">
        <v>1219</v>
      </c>
      <c r="B116" s="11" t="s">
        <v>6835</v>
      </c>
      <c r="C116" s="11" t="s">
        <v>394</v>
      </c>
      <c r="D116" s="11">
        <v>2018</v>
      </c>
      <c r="E116" s="11" t="s">
        <v>5318</v>
      </c>
      <c r="F116" s="11">
        <v>30</v>
      </c>
      <c r="G116" s="11">
        <v>9</v>
      </c>
      <c r="H116" s="11" t="s">
        <v>6836</v>
      </c>
      <c r="I116" s="11" t="s">
        <v>6516</v>
      </c>
      <c r="J116" s="11" t="s">
        <v>6837</v>
      </c>
      <c r="K116" s="11" t="s">
        <v>5318</v>
      </c>
      <c r="L116" s="12" t="s">
        <v>5404</v>
      </c>
      <c r="M116" s="11">
        <v>0</v>
      </c>
      <c r="N116" s="9" t="s">
        <v>5044</v>
      </c>
      <c r="O116" s="9" t="s">
        <v>5044</v>
      </c>
      <c r="P116" s="11">
        <v>0</v>
      </c>
      <c r="Q116" s="11">
        <v>0</v>
      </c>
      <c r="R116" s="11">
        <v>0</v>
      </c>
      <c r="S116" s="11">
        <v>1</v>
      </c>
      <c r="T116" s="11">
        <v>4</v>
      </c>
      <c r="U116" s="11">
        <v>61</v>
      </c>
      <c r="V116" s="11">
        <v>0</v>
      </c>
      <c r="W116" s="11">
        <v>1</v>
      </c>
      <c r="X116" s="11">
        <v>0</v>
      </c>
      <c r="Y116" s="11">
        <v>0</v>
      </c>
      <c r="Z116" s="11">
        <v>0</v>
      </c>
      <c r="AA116" s="11">
        <v>0</v>
      </c>
      <c r="AB116" s="11">
        <v>1</v>
      </c>
      <c r="AC116" s="11">
        <v>1</v>
      </c>
      <c r="AD116" s="11" t="s">
        <v>5044</v>
      </c>
      <c r="AE116" s="11" t="s">
        <v>5044</v>
      </c>
      <c r="AF116" s="11" t="s">
        <v>5044</v>
      </c>
      <c r="AG116" s="11">
        <v>2</v>
      </c>
      <c r="AH116" s="11">
        <v>1</v>
      </c>
      <c r="AI116" s="11">
        <v>2</v>
      </c>
      <c r="AJ116" s="11" t="s">
        <v>5044</v>
      </c>
      <c r="AK116" s="11" t="s">
        <v>5318</v>
      </c>
      <c r="AL116" s="11">
        <v>0</v>
      </c>
      <c r="AM116" s="11">
        <v>0</v>
      </c>
      <c r="AN116" s="11" t="s">
        <v>5318</v>
      </c>
      <c r="AO116" s="11" t="s">
        <v>5318</v>
      </c>
      <c r="AP116" s="11" t="s">
        <v>5318</v>
      </c>
      <c r="AQ116" s="11" t="s">
        <v>5318</v>
      </c>
    </row>
    <row r="117" spans="1:43" ht="63" customHeight="1" x14ac:dyDescent="0.2">
      <c r="A117" s="10">
        <v>1252</v>
      </c>
      <c r="B117" s="11" t="s">
        <v>6838</v>
      </c>
      <c r="C117" s="11" t="s">
        <v>395</v>
      </c>
      <c r="D117" s="11">
        <v>2021</v>
      </c>
      <c r="E117" s="11" t="s">
        <v>5318</v>
      </c>
      <c r="F117" s="11">
        <v>5</v>
      </c>
      <c r="G117" s="11">
        <v>3</v>
      </c>
      <c r="H117" s="11" t="s">
        <v>6839</v>
      </c>
      <c r="I117" s="11" t="s">
        <v>6516</v>
      </c>
      <c r="J117" s="11" t="s">
        <v>6840</v>
      </c>
      <c r="K117" s="11" t="s">
        <v>397</v>
      </c>
      <c r="L117" s="12" t="s">
        <v>5405</v>
      </c>
      <c r="M117" s="11">
        <v>1</v>
      </c>
      <c r="N117" s="11">
        <v>0</v>
      </c>
      <c r="O117" s="9" t="s">
        <v>5044</v>
      </c>
      <c r="P117" s="11">
        <v>0</v>
      </c>
      <c r="Q117" s="11">
        <v>0</v>
      </c>
      <c r="R117" s="11">
        <v>0</v>
      </c>
      <c r="S117" s="11">
        <v>1</v>
      </c>
      <c r="T117" s="11">
        <v>1</v>
      </c>
      <c r="U117" s="11">
        <v>364</v>
      </c>
      <c r="V117" s="11">
        <v>0</v>
      </c>
      <c r="W117" s="11">
        <v>1</v>
      </c>
      <c r="X117" s="11">
        <v>0</v>
      </c>
      <c r="Y117" s="11">
        <v>0</v>
      </c>
      <c r="Z117" s="11">
        <v>0</v>
      </c>
      <c r="AA117" s="11">
        <v>0</v>
      </c>
      <c r="AB117" s="11">
        <v>1</v>
      </c>
      <c r="AC117" s="11" t="s">
        <v>5044</v>
      </c>
      <c r="AD117" s="11" t="s">
        <v>5044</v>
      </c>
      <c r="AE117" s="11" t="s">
        <v>5044</v>
      </c>
      <c r="AF117" s="11" t="s">
        <v>5044</v>
      </c>
      <c r="AG117" s="11" t="s">
        <v>5044</v>
      </c>
      <c r="AH117" s="11" t="s">
        <v>5044</v>
      </c>
      <c r="AI117" s="11" t="s">
        <v>5044</v>
      </c>
      <c r="AJ117" s="11" t="s">
        <v>5044</v>
      </c>
      <c r="AK117" s="11" t="s">
        <v>5318</v>
      </c>
      <c r="AL117" s="11" t="s">
        <v>5044</v>
      </c>
      <c r="AM117" s="11">
        <v>0</v>
      </c>
      <c r="AN117" s="11" t="s">
        <v>5318</v>
      </c>
      <c r="AO117" s="11" t="s">
        <v>5318</v>
      </c>
      <c r="AP117" s="11" t="s">
        <v>5318</v>
      </c>
      <c r="AQ117" s="11" t="s">
        <v>5318</v>
      </c>
    </row>
    <row r="118" spans="1:43" ht="63" customHeight="1" x14ac:dyDescent="0.2">
      <c r="A118" s="10">
        <v>1273</v>
      </c>
      <c r="B118" s="28" t="s">
        <v>6841</v>
      </c>
      <c r="C118" s="11" t="s">
        <v>398</v>
      </c>
      <c r="D118" s="11">
        <v>2023</v>
      </c>
      <c r="E118" s="11" t="s">
        <v>5318</v>
      </c>
      <c r="F118" s="11">
        <v>66</v>
      </c>
      <c r="G118" s="11">
        <v>2</v>
      </c>
      <c r="H118" s="11" t="s">
        <v>6598</v>
      </c>
      <c r="I118" s="11" t="s">
        <v>6516</v>
      </c>
      <c r="J118" s="11" t="s">
        <v>6842</v>
      </c>
      <c r="K118" s="11" t="s">
        <v>400</v>
      </c>
      <c r="L118" s="12" t="s">
        <v>5406</v>
      </c>
      <c r="M118" s="11">
        <v>0</v>
      </c>
      <c r="N118" s="9" t="s">
        <v>5044</v>
      </c>
      <c r="O118" s="9" t="s">
        <v>5044</v>
      </c>
      <c r="P118" s="11">
        <v>0</v>
      </c>
      <c r="Q118" s="11">
        <v>0</v>
      </c>
      <c r="R118" s="11">
        <v>0</v>
      </c>
      <c r="S118" s="11">
        <v>1</v>
      </c>
      <c r="T118" s="11">
        <v>2</v>
      </c>
      <c r="U118" s="11">
        <v>22</v>
      </c>
      <c r="V118" s="11">
        <v>0</v>
      </c>
      <c r="W118" s="11">
        <v>1</v>
      </c>
      <c r="X118" s="11">
        <v>0</v>
      </c>
      <c r="Y118" s="11">
        <v>1</v>
      </c>
      <c r="Z118" s="11">
        <v>0</v>
      </c>
      <c r="AA118" s="11">
        <v>0</v>
      </c>
      <c r="AB118" s="11">
        <v>1</v>
      </c>
      <c r="AC118" s="11">
        <v>1</v>
      </c>
      <c r="AD118" s="11" t="s">
        <v>5044</v>
      </c>
      <c r="AE118" s="11" t="s">
        <v>5044</v>
      </c>
      <c r="AF118" s="11" t="s">
        <v>5044</v>
      </c>
      <c r="AG118" s="11">
        <v>2</v>
      </c>
      <c r="AH118" s="11">
        <v>1</v>
      </c>
      <c r="AI118" s="11">
        <v>2</v>
      </c>
      <c r="AJ118" s="11">
        <v>0</v>
      </c>
      <c r="AK118" s="11" t="s">
        <v>5318</v>
      </c>
      <c r="AL118" s="11">
        <v>1</v>
      </c>
      <c r="AM118" s="11">
        <v>0</v>
      </c>
      <c r="AN118" s="11" t="s">
        <v>5318</v>
      </c>
      <c r="AO118" s="11" t="s">
        <v>5318</v>
      </c>
      <c r="AP118" s="11" t="s">
        <v>5318</v>
      </c>
      <c r="AQ118" s="11" t="s">
        <v>5318</v>
      </c>
    </row>
    <row r="119" spans="1:43" ht="63" customHeight="1" x14ac:dyDescent="0.2">
      <c r="A119" s="10">
        <v>1282</v>
      </c>
      <c r="B119" s="11" t="s">
        <v>6843</v>
      </c>
      <c r="C119" s="11" t="s">
        <v>401</v>
      </c>
      <c r="D119" s="11">
        <v>2023</v>
      </c>
      <c r="E119" s="11" t="s">
        <v>5318</v>
      </c>
      <c r="F119" s="11">
        <v>13</v>
      </c>
      <c r="G119" s="11">
        <v>7</v>
      </c>
      <c r="H119" s="11" t="s">
        <v>6519</v>
      </c>
      <c r="I119" s="11" t="s">
        <v>6516</v>
      </c>
      <c r="J119" s="11" t="s">
        <v>6844</v>
      </c>
      <c r="K119" s="11" t="s">
        <v>402</v>
      </c>
      <c r="L119" s="12" t="s">
        <v>5407</v>
      </c>
      <c r="M119" s="11">
        <v>1</v>
      </c>
      <c r="N119" s="11">
        <v>0</v>
      </c>
      <c r="O119" s="9" t="s">
        <v>5044</v>
      </c>
      <c r="P119" s="11">
        <v>0</v>
      </c>
      <c r="Q119" s="11">
        <v>0</v>
      </c>
      <c r="R119" s="11">
        <v>0</v>
      </c>
      <c r="S119" s="11">
        <v>5</v>
      </c>
      <c r="T119" s="11">
        <v>1</v>
      </c>
      <c r="U119" s="11">
        <v>200</v>
      </c>
      <c r="V119" s="11">
        <v>0</v>
      </c>
      <c r="W119" s="11">
        <v>1</v>
      </c>
      <c r="X119" s="11">
        <v>0</v>
      </c>
      <c r="Y119" s="11">
        <v>0</v>
      </c>
      <c r="Z119" s="11">
        <v>0</v>
      </c>
      <c r="AA119" s="11">
        <v>0</v>
      </c>
      <c r="AB119" s="11">
        <v>1</v>
      </c>
      <c r="AC119" s="11" t="s">
        <v>5044</v>
      </c>
      <c r="AD119" s="11" t="s">
        <v>5044</v>
      </c>
      <c r="AE119" s="11" t="s">
        <v>5044</v>
      </c>
      <c r="AF119" s="11" t="s">
        <v>5044</v>
      </c>
      <c r="AG119" s="11" t="s">
        <v>5044</v>
      </c>
      <c r="AH119" s="11" t="s">
        <v>5044</v>
      </c>
      <c r="AI119" s="11" t="s">
        <v>5044</v>
      </c>
      <c r="AJ119" s="11" t="s">
        <v>5044</v>
      </c>
      <c r="AK119" s="11" t="s">
        <v>5318</v>
      </c>
      <c r="AL119" s="11" t="s">
        <v>5044</v>
      </c>
      <c r="AM119" s="11">
        <v>0</v>
      </c>
      <c r="AN119" s="11" t="s">
        <v>5318</v>
      </c>
      <c r="AO119" s="11" t="s">
        <v>5318</v>
      </c>
      <c r="AP119" s="11" t="s">
        <v>5318</v>
      </c>
      <c r="AQ119" s="11" t="s">
        <v>5318</v>
      </c>
    </row>
    <row r="120" spans="1:43" ht="63" customHeight="1" x14ac:dyDescent="0.2">
      <c r="A120" s="10">
        <v>1284</v>
      </c>
      <c r="B120" s="11" t="s">
        <v>6845</v>
      </c>
      <c r="C120" s="11" t="s">
        <v>403</v>
      </c>
      <c r="D120" s="11">
        <v>2022</v>
      </c>
      <c r="E120" s="11" t="s">
        <v>305</v>
      </c>
      <c r="F120" s="11">
        <v>23</v>
      </c>
      <c r="G120" s="11">
        <v>1</v>
      </c>
      <c r="H120" s="11" t="s">
        <v>6538</v>
      </c>
      <c r="I120" s="11" t="s">
        <v>6516</v>
      </c>
      <c r="J120" s="11" t="s">
        <v>6846</v>
      </c>
      <c r="K120" s="11" t="s">
        <v>404</v>
      </c>
      <c r="L120" s="12" t="s">
        <v>5408</v>
      </c>
      <c r="M120" s="11">
        <v>1</v>
      </c>
      <c r="N120" s="11">
        <v>0</v>
      </c>
      <c r="O120" s="9" t="s">
        <v>5044</v>
      </c>
      <c r="P120" s="11">
        <v>0</v>
      </c>
      <c r="Q120" s="11">
        <v>0</v>
      </c>
      <c r="R120" s="11">
        <v>0</v>
      </c>
      <c r="S120" s="11">
        <v>1</v>
      </c>
      <c r="T120" s="11">
        <v>1</v>
      </c>
      <c r="U120" s="11">
        <v>282</v>
      </c>
      <c r="V120" s="11">
        <v>1</v>
      </c>
      <c r="W120" s="11">
        <v>1</v>
      </c>
      <c r="X120" s="11">
        <v>0</v>
      </c>
      <c r="Y120" s="11">
        <v>0</v>
      </c>
      <c r="Z120" s="11">
        <v>0</v>
      </c>
      <c r="AA120" s="11">
        <v>0</v>
      </c>
      <c r="AB120" s="11">
        <v>1</v>
      </c>
      <c r="AC120" s="11" t="s">
        <v>5044</v>
      </c>
      <c r="AD120" s="11" t="s">
        <v>5044</v>
      </c>
      <c r="AE120" s="11" t="s">
        <v>5044</v>
      </c>
      <c r="AF120" s="11" t="s">
        <v>5044</v>
      </c>
      <c r="AG120" s="11" t="s">
        <v>5044</v>
      </c>
      <c r="AH120" s="11" t="s">
        <v>5044</v>
      </c>
      <c r="AI120" s="11" t="s">
        <v>5044</v>
      </c>
      <c r="AJ120" s="11" t="s">
        <v>5044</v>
      </c>
      <c r="AK120" s="11" t="s">
        <v>5318</v>
      </c>
      <c r="AL120" s="11" t="s">
        <v>5044</v>
      </c>
      <c r="AM120" s="11">
        <v>0</v>
      </c>
      <c r="AN120" s="11" t="s">
        <v>5318</v>
      </c>
      <c r="AO120" s="11" t="s">
        <v>5318</v>
      </c>
      <c r="AP120" s="11" t="s">
        <v>5318</v>
      </c>
      <c r="AQ120" s="11" t="s">
        <v>5318</v>
      </c>
    </row>
    <row r="121" spans="1:43" ht="63" customHeight="1" x14ac:dyDescent="0.2">
      <c r="A121" s="10">
        <v>1298</v>
      </c>
      <c r="B121" s="11" t="s">
        <v>6847</v>
      </c>
      <c r="C121" s="11" t="s">
        <v>405</v>
      </c>
      <c r="D121" s="11">
        <v>2015</v>
      </c>
      <c r="E121" s="11" t="s">
        <v>407</v>
      </c>
      <c r="F121" s="11">
        <v>39</v>
      </c>
      <c r="G121" s="11">
        <v>4</v>
      </c>
      <c r="H121" s="11" t="s">
        <v>6848</v>
      </c>
      <c r="I121" s="11" t="s">
        <v>6516</v>
      </c>
      <c r="J121" s="11" t="s">
        <v>6849</v>
      </c>
      <c r="K121" s="11" t="s">
        <v>406</v>
      </c>
      <c r="L121" s="11" t="s">
        <v>5044</v>
      </c>
      <c r="M121" s="11">
        <v>0</v>
      </c>
      <c r="N121" s="9" t="s">
        <v>5044</v>
      </c>
      <c r="O121" s="9" t="s">
        <v>5044</v>
      </c>
      <c r="P121" s="11">
        <v>0</v>
      </c>
      <c r="Q121" s="11">
        <v>0</v>
      </c>
      <c r="R121" s="11">
        <v>0</v>
      </c>
      <c r="S121" s="11">
        <v>3</v>
      </c>
      <c r="T121" s="11">
        <v>3</v>
      </c>
      <c r="U121" s="11">
        <v>55</v>
      </c>
      <c r="V121" s="11">
        <v>0</v>
      </c>
      <c r="W121" s="11">
        <v>1</v>
      </c>
      <c r="X121" s="11">
        <v>0</v>
      </c>
      <c r="Y121" s="11">
        <v>0</v>
      </c>
      <c r="Z121" s="11">
        <v>0</v>
      </c>
      <c r="AA121" s="11">
        <v>0</v>
      </c>
      <c r="AB121" s="11">
        <v>1</v>
      </c>
      <c r="AC121" s="11">
        <v>1</v>
      </c>
      <c r="AD121" s="11" t="s">
        <v>5044</v>
      </c>
      <c r="AE121" s="11" t="s">
        <v>5044</v>
      </c>
      <c r="AF121" s="11" t="s">
        <v>5044</v>
      </c>
      <c r="AG121" s="11">
        <v>1</v>
      </c>
      <c r="AH121" s="11">
        <v>0</v>
      </c>
      <c r="AI121" s="11">
        <v>0</v>
      </c>
      <c r="AJ121" s="11" t="s">
        <v>5044</v>
      </c>
      <c r="AK121" s="11" t="s">
        <v>5318</v>
      </c>
      <c r="AL121" s="11" t="s">
        <v>5044</v>
      </c>
      <c r="AM121" s="11">
        <v>0</v>
      </c>
      <c r="AN121" s="11" t="s">
        <v>5105</v>
      </c>
      <c r="AO121" s="11" t="s">
        <v>5318</v>
      </c>
      <c r="AP121" s="11" t="s">
        <v>5318</v>
      </c>
      <c r="AQ121" s="11" t="s">
        <v>5318</v>
      </c>
    </row>
    <row r="122" spans="1:43" ht="63" customHeight="1" x14ac:dyDescent="0.2">
      <c r="A122" s="10">
        <v>1340</v>
      </c>
      <c r="B122" s="11" t="s">
        <v>6850</v>
      </c>
      <c r="C122" s="11" t="s">
        <v>408</v>
      </c>
      <c r="D122" s="11">
        <v>2020</v>
      </c>
      <c r="E122" s="11" t="s">
        <v>305</v>
      </c>
      <c r="F122" s="11">
        <v>21</v>
      </c>
      <c r="G122" s="11">
        <v>1</v>
      </c>
      <c r="H122" s="11" t="s">
        <v>6538</v>
      </c>
      <c r="I122" s="11" t="s">
        <v>6516</v>
      </c>
      <c r="J122" s="11" t="s">
        <v>6851</v>
      </c>
      <c r="K122" s="11" t="s">
        <v>409</v>
      </c>
      <c r="L122" s="16" t="s">
        <v>5410</v>
      </c>
      <c r="M122" s="11">
        <v>1</v>
      </c>
      <c r="N122" s="11">
        <v>0</v>
      </c>
      <c r="O122" s="9" t="s">
        <v>5044</v>
      </c>
      <c r="P122" s="11">
        <v>0</v>
      </c>
      <c r="Q122" s="11">
        <v>0</v>
      </c>
      <c r="R122" s="11">
        <v>0</v>
      </c>
      <c r="S122" s="11">
        <v>3</v>
      </c>
      <c r="T122" s="11">
        <v>1</v>
      </c>
      <c r="U122" s="11">
        <v>100</v>
      </c>
      <c r="V122" s="11">
        <v>0</v>
      </c>
      <c r="W122" s="11">
        <v>1</v>
      </c>
      <c r="X122" s="11">
        <v>0</v>
      </c>
      <c r="Y122" s="11">
        <v>0</v>
      </c>
      <c r="Z122" s="11">
        <v>0</v>
      </c>
      <c r="AA122" s="11">
        <v>0</v>
      </c>
      <c r="AB122" s="11">
        <v>1</v>
      </c>
      <c r="AC122" s="11" t="s">
        <v>5044</v>
      </c>
      <c r="AD122" s="11" t="s">
        <v>5044</v>
      </c>
      <c r="AE122" s="11" t="s">
        <v>5044</v>
      </c>
      <c r="AF122" s="11" t="s">
        <v>5044</v>
      </c>
      <c r="AG122" s="11" t="s">
        <v>5044</v>
      </c>
      <c r="AH122" s="11" t="s">
        <v>5044</v>
      </c>
      <c r="AI122" s="11" t="s">
        <v>5044</v>
      </c>
      <c r="AJ122" s="11" t="s">
        <v>5044</v>
      </c>
      <c r="AK122" s="11" t="s">
        <v>5318</v>
      </c>
      <c r="AL122" s="11" t="s">
        <v>5044</v>
      </c>
      <c r="AM122" s="11">
        <v>0</v>
      </c>
      <c r="AN122" s="11" t="s">
        <v>5318</v>
      </c>
      <c r="AO122" s="11" t="s">
        <v>5318</v>
      </c>
      <c r="AP122" s="11" t="s">
        <v>5318</v>
      </c>
      <c r="AQ122" s="11" t="s">
        <v>5318</v>
      </c>
    </row>
    <row r="123" spans="1:43" ht="63" customHeight="1" x14ac:dyDescent="0.2">
      <c r="A123" s="10">
        <v>1349</v>
      </c>
      <c r="B123" s="11" t="s">
        <v>6852</v>
      </c>
      <c r="C123" s="11" t="s">
        <v>410</v>
      </c>
      <c r="D123" s="11">
        <v>2022</v>
      </c>
      <c r="E123" s="11" t="s">
        <v>5318</v>
      </c>
      <c r="F123" s="11">
        <v>5</v>
      </c>
      <c r="G123" s="11">
        <v>2</v>
      </c>
      <c r="H123" s="11" t="s">
        <v>6612</v>
      </c>
      <c r="I123" s="11" t="s">
        <v>6516</v>
      </c>
      <c r="J123" s="11" t="s">
        <v>6853</v>
      </c>
      <c r="K123" s="11" t="s">
        <v>411</v>
      </c>
      <c r="L123" s="16" t="s">
        <v>5411</v>
      </c>
      <c r="M123" s="11">
        <v>0</v>
      </c>
      <c r="N123" s="9" t="s">
        <v>5044</v>
      </c>
      <c r="O123" s="9" t="s">
        <v>5044</v>
      </c>
      <c r="P123" s="11">
        <v>0</v>
      </c>
      <c r="Q123" s="11">
        <v>0</v>
      </c>
      <c r="R123" s="11">
        <v>0</v>
      </c>
      <c r="S123" s="11">
        <v>3</v>
      </c>
      <c r="T123" s="11">
        <v>2</v>
      </c>
      <c r="U123" s="11">
        <v>302</v>
      </c>
      <c r="V123" s="11">
        <v>0</v>
      </c>
      <c r="W123" s="11">
        <v>1</v>
      </c>
      <c r="X123" s="11">
        <v>0</v>
      </c>
      <c r="Y123" s="11">
        <v>0</v>
      </c>
      <c r="Z123" s="11">
        <v>0</v>
      </c>
      <c r="AA123" s="11">
        <v>0</v>
      </c>
      <c r="AB123" s="11">
        <v>1</v>
      </c>
      <c r="AC123" s="11">
        <v>1</v>
      </c>
      <c r="AD123" s="11" t="s">
        <v>5044</v>
      </c>
      <c r="AE123" s="11" t="s">
        <v>5044</v>
      </c>
      <c r="AF123" s="11" t="s">
        <v>5044</v>
      </c>
      <c r="AG123" s="11">
        <v>2</v>
      </c>
      <c r="AH123" s="11">
        <v>2</v>
      </c>
      <c r="AI123" s="11">
        <v>2</v>
      </c>
      <c r="AJ123" s="11" t="s">
        <v>5044</v>
      </c>
      <c r="AK123" s="11" t="s">
        <v>5318</v>
      </c>
      <c r="AL123" s="11" t="s">
        <v>5044</v>
      </c>
      <c r="AM123" s="11">
        <v>0</v>
      </c>
      <c r="AN123" s="11" t="s">
        <v>5105</v>
      </c>
      <c r="AO123" s="11" t="s">
        <v>5318</v>
      </c>
      <c r="AP123" s="11" t="s">
        <v>5318</v>
      </c>
      <c r="AQ123" s="11" t="s">
        <v>5318</v>
      </c>
    </row>
    <row r="124" spans="1:43" ht="63" customHeight="1" x14ac:dyDescent="0.2">
      <c r="A124" s="10">
        <v>1352</v>
      </c>
      <c r="B124" s="11" t="s">
        <v>6854</v>
      </c>
      <c r="C124" s="11" t="s">
        <v>412</v>
      </c>
      <c r="D124" s="11">
        <v>2018</v>
      </c>
      <c r="E124" s="11" t="s">
        <v>5318</v>
      </c>
      <c r="F124" s="11">
        <v>33</v>
      </c>
      <c r="G124" s="11">
        <v>10</v>
      </c>
      <c r="H124" s="11" t="s">
        <v>6855</v>
      </c>
      <c r="I124" s="11" t="s">
        <v>6516</v>
      </c>
      <c r="J124" s="11" t="s">
        <v>6856</v>
      </c>
      <c r="K124" s="11" t="s">
        <v>414</v>
      </c>
      <c r="L124" s="16" t="s">
        <v>5412</v>
      </c>
      <c r="M124" s="11">
        <v>0</v>
      </c>
      <c r="N124" s="9" t="s">
        <v>5044</v>
      </c>
      <c r="O124" s="9" t="s">
        <v>5044</v>
      </c>
      <c r="P124" s="11">
        <v>0</v>
      </c>
      <c r="Q124" s="11">
        <v>0</v>
      </c>
      <c r="R124" s="11">
        <v>0</v>
      </c>
      <c r="S124" s="11">
        <v>1</v>
      </c>
      <c r="T124" s="11">
        <v>1</v>
      </c>
      <c r="U124" s="11">
        <v>377</v>
      </c>
      <c r="V124" s="11">
        <v>1</v>
      </c>
      <c r="W124" s="11">
        <v>0</v>
      </c>
      <c r="X124" s="11">
        <v>0</v>
      </c>
      <c r="Y124" s="11">
        <v>0</v>
      </c>
      <c r="Z124" s="11">
        <v>0</v>
      </c>
      <c r="AA124" s="11">
        <v>0</v>
      </c>
      <c r="AB124" s="11">
        <v>1</v>
      </c>
      <c r="AC124" s="11">
        <v>1</v>
      </c>
      <c r="AD124" s="11">
        <v>2</v>
      </c>
      <c r="AE124" s="11">
        <v>3</v>
      </c>
      <c r="AF124" s="11">
        <v>0</v>
      </c>
      <c r="AG124" s="11" t="s">
        <v>5044</v>
      </c>
      <c r="AH124" s="11" t="s">
        <v>5044</v>
      </c>
      <c r="AI124" s="11" t="s">
        <v>5044</v>
      </c>
      <c r="AJ124" s="11" t="s">
        <v>5044</v>
      </c>
      <c r="AK124" s="11">
        <v>1</v>
      </c>
      <c r="AL124" s="11">
        <v>0</v>
      </c>
      <c r="AM124" s="11">
        <v>0</v>
      </c>
      <c r="AN124" s="11" t="s">
        <v>5318</v>
      </c>
      <c r="AO124" s="11" t="s">
        <v>5318</v>
      </c>
      <c r="AP124" s="11" t="s">
        <v>5318</v>
      </c>
      <c r="AQ124" s="11" t="s">
        <v>5318</v>
      </c>
    </row>
    <row r="125" spans="1:43" ht="63" customHeight="1" x14ac:dyDescent="0.2">
      <c r="A125" s="10">
        <v>1354</v>
      </c>
      <c r="B125" s="11" t="s">
        <v>6857</v>
      </c>
      <c r="C125" s="11" t="s">
        <v>415</v>
      </c>
      <c r="D125" s="11">
        <v>2018</v>
      </c>
      <c r="E125" s="11" t="s">
        <v>5318</v>
      </c>
      <c r="F125" s="11">
        <v>61</v>
      </c>
      <c r="G125" s="11">
        <v>9</v>
      </c>
      <c r="H125" s="11" t="s">
        <v>6598</v>
      </c>
      <c r="I125" s="11" t="s">
        <v>6516</v>
      </c>
      <c r="J125" s="11" t="s">
        <v>6858</v>
      </c>
      <c r="K125" s="11" t="s">
        <v>417</v>
      </c>
      <c r="L125" s="12" t="s">
        <v>5413</v>
      </c>
      <c r="M125" s="11">
        <v>0</v>
      </c>
      <c r="N125" s="9" t="s">
        <v>5044</v>
      </c>
      <c r="O125" s="9" t="s">
        <v>5044</v>
      </c>
      <c r="P125" s="11">
        <v>0</v>
      </c>
      <c r="Q125" s="11">
        <v>0</v>
      </c>
      <c r="R125" s="11">
        <v>0</v>
      </c>
      <c r="S125" s="11">
        <v>1</v>
      </c>
      <c r="T125" s="11">
        <v>1</v>
      </c>
      <c r="U125" s="11">
        <v>40</v>
      </c>
      <c r="V125" s="11">
        <v>0</v>
      </c>
      <c r="W125" s="11">
        <v>1</v>
      </c>
      <c r="X125" s="11">
        <v>0</v>
      </c>
      <c r="Y125" s="11">
        <v>0</v>
      </c>
      <c r="Z125" s="11">
        <v>0</v>
      </c>
      <c r="AA125" s="11">
        <v>0</v>
      </c>
      <c r="AB125" s="11">
        <v>1</v>
      </c>
      <c r="AC125" s="11">
        <v>0</v>
      </c>
      <c r="AD125" s="11" t="s">
        <v>5044</v>
      </c>
      <c r="AE125" s="11" t="s">
        <v>5044</v>
      </c>
      <c r="AF125" s="11" t="s">
        <v>5044</v>
      </c>
      <c r="AG125" s="11">
        <v>0</v>
      </c>
      <c r="AH125" s="11" t="s">
        <v>5044</v>
      </c>
      <c r="AI125" s="11" t="s">
        <v>5044</v>
      </c>
      <c r="AJ125" s="11" t="s">
        <v>5044</v>
      </c>
      <c r="AK125" s="11" t="s">
        <v>5318</v>
      </c>
      <c r="AL125" s="11">
        <v>0</v>
      </c>
      <c r="AM125" s="11">
        <v>0</v>
      </c>
      <c r="AN125" s="11" t="s">
        <v>5318</v>
      </c>
      <c r="AO125" s="11" t="s">
        <v>5318</v>
      </c>
      <c r="AP125" s="11" t="s">
        <v>5318</v>
      </c>
      <c r="AQ125" s="11" t="s">
        <v>5318</v>
      </c>
    </row>
    <row r="126" spans="1:43" ht="63" customHeight="1" x14ac:dyDescent="0.2">
      <c r="A126" s="10">
        <v>1372</v>
      </c>
      <c r="B126" s="11" t="s">
        <v>6859</v>
      </c>
      <c r="C126" s="11" t="s">
        <v>418</v>
      </c>
      <c r="D126" s="11">
        <v>2015</v>
      </c>
      <c r="E126" s="11" t="s">
        <v>5318</v>
      </c>
      <c r="F126" s="11">
        <v>262</v>
      </c>
      <c r="G126" s="11">
        <v>1</v>
      </c>
      <c r="H126" s="11" t="s">
        <v>6533</v>
      </c>
      <c r="I126" s="11" t="s">
        <v>6516</v>
      </c>
      <c r="J126" s="11" t="s">
        <v>6860</v>
      </c>
      <c r="K126" s="11" t="s">
        <v>420</v>
      </c>
      <c r="L126" s="12" t="s">
        <v>5414</v>
      </c>
      <c r="M126" s="11">
        <v>0</v>
      </c>
      <c r="N126" s="9" t="s">
        <v>5044</v>
      </c>
      <c r="O126" s="9" t="s">
        <v>5044</v>
      </c>
      <c r="P126" s="11">
        <v>0</v>
      </c>
      <c r="Q126" s="11">
        <v>0</v>
      </c>
      <c r="R126" s="11">
        <v>0</v>
      </c>
      <c r="S126" s="11">
        <v>1</v>
      </c>
      <c r="T126" s="11">
        <v>5</v>
      </c>
      <c r="U126" s="11">
        <v>80</v>
      </c>
      <c r="V126" s="11">
        <v>0</v>
      </c>
      <c r="W126" s="11">
        <v>1</v>
      </c>
      <c r="X126" s="11">
        <v>0</v>
      </c>
      <c r="Y126" s="11">
        <v>0</v>
      </c>
      <c r="Z126" s="11">
        <v>0</v>
      </c>
      <c r="AA126" s="11">
        <v>0</v>
      </c>
      <c r="AB126" s="11">
        <v>1</v>
      </c>
      <c r="AC126" s="11">
        <v>1</v>
      </c>
      <c r="AD126" s="11" t="s">
        <v>5044</v>
      </c>
      <c r="AE126" s="11" t="s">
        <v>5044</v>
      </c>
      <c r="AF126" s="11" t="s">
        <v>5044</v>
      </c>
      <c r="AG126" s="11">
        <v>2</v>
      </c>
      <c r="AH126" s="11">
        <v>3</v>
      </c>
      <c r="AI126" s="11">
        <v>0</v>
      </c>
      <c r="AJ126" s="11" t="s">
        <v>5044</v>
      </c>
      <c r="AK126" s="11">
        <v>1</v>
      </c>
      <c r="AL126" s="11">
        <v>0</v>
      </c>
      <c r="AM126" s="11">
        <v>0</v>
      </c>
      <c r="AN126" s="11" t="s">
        <v>5318</v>
      </c>
      <c r="AO126" s="11" t="s">
        <v>5318</v>
      </c>
      <c r="AP126" s="11" t="s">
        <v>5318</v>
      </c>
      <c r="AQ126" s="11" t="s">
        <v>5318</v>
      </c>
    </row>
    <row r="127" spans="1:43" ht="63" customHeight="1" x14ac:dyDescent="0.2">
      <c r="A127" s="10">
        <v>1384</v>
      </c>
      <c r="B127" s="11" t="s">
        <v>6861</v>
      </c>
      <c r="C127" s="11" t="s">
        <v>421</v>
      </c>
      <c r="D127" s="11">
        <v>2018</v>
      </c>
      <c r="E127" s="11" t="s">
        <v>5318</v>
      </c>
      <c r="F127" s="11">
        <v>24</v>
      </c>
      <c r="G127" s="11">
        <v>7</v>
      </c>
      <c r="H127" s="11" t="s">
        <v>6862</v>
      </c>
      <c r="I127" s="11" t="s">
        <v>6516</v>
      </c>
      <c r="J127" s="11" t="s">
        <v>6863</v>
      </c>
      <c r="K127" s="11" t="s">
        <v>423</v>
      </c>
      <c r="L127" s="12" t="s">
        <v>5415</v>
      </c>
      <c r="M127" s="11">
        <v>0</v>
      </c>
      <c r="N127" s="9" t="s">
        <v>5044</v>
      </c>
      <c r="O127" s="9" t="s">
        <v>5044</v>
      </c>
      <c r="P127" s="11">
        <v>0</v>
      </c>
      <c r="Q127" s="11">
        <v>0</v>
      </c>
      <c r="R127" s="11">
        <v>0</v>
      </c>
      <c r="S127" s="11">
        <v>2</v>
      </c>
      <c r="T127" s="11">
        <v>4</v>
      </c>
      <c r="U127" s="11">
        <v>86</v>
      </c>
      <c r="V127" s="11">
        <v>0</v>
      </c>
      <c r="W127" s="11">
        <v>1</v>
      </c>
      <c r="X127" s="11">
        <v>0</v>
      </c>
      <c r="Y127" s="11">
        <v>0</v>
      </c>
      <c r="Z127" s="11">
        <v>0</v>
      </c>
      <c r="AA127" s="11">
        <v>0</v>
      </c>
      <c r="AB127" s="11">
        <v>1</v>
      </c>
      <c r="AC127" s="11">
        <v>1</v>
      </c>
      <c r="AD127" s="11" t="s">
        <v>5044</v>
      </c>
      <c r="AE127" s="11" t="s">
        <v>5044</v>
      </c>
      <c r="AF127" s="11" t="s">
        <v>5044</v>
      </c>
      <c r="AG127" s="11">
        <v>1</v>
      </c>
      <c r="AH127" s="11">
        <v>0</v>
      </c>
      <c r="AI127" s="11">
        <v>0</v>
      </c>
      <c r="AJ127" s="11" t="s">
        <v>5044</v>
      </c>
      <c r="AK127" s="11" t="s">
        <v>5318</v>
      </c>
      <c r="AL127" s="11">
        <v>1</v>
      </c>
      <c r="AM127" s="11">
        <v>0</v>
      </c>
      <c r="AN127" s="11" t="s">
        <v>5318</v>
      </c>
      <c r="AO127" s="11" t="s">
        <v>5318</v>
      </c>
      <c r="AP127" s="11" t="s">
        <v>5318</v>
      </c>
      <c r="AQ127" s="11" t="s">
        <v>5318</v>
      </c>
    </row>
    <row r="128" spans="1:43" ht="63" customHeight="1" x14ac:dyDescent="0.2">
      <c r="A128" s="10">
        <v>1399</v>
      </c>
      <c r="B128" s="11" t="s">
        <v>6864</v>
      </c>
      <c r="C128" s="11" t="s">
        <v>424</v>
      </c>
      <c r="D128" s="11">
        <v>2021</v>
      </c>
      <c r="E128" s="11" t="s">
        <v>5318</v>
      </c>
      <c r="F128" s="11">
        <v>5</v>
      </c>
      <c r="G128" s="11">
        <v>2</v>
      </c>
      <c r="H128" s="11" t="s">
        <v>6839</v>
      </c>
      <c r="I128" s="11" t="s">
        <v>6516</v>
      </c>
      <c r="J128" s="11" t="s">
        <v>6865</v>
      </c>
      <c r="K128" s="11" t="s">
        <v>425</v>
      </c>
      <c r="L128" s="16" t="s">
        <v>5416</v>
      </c>
      <c r="M128" s="11">
        <v>0</v>
      </c>
      <c r="N128" s="9" t="s">
        <v>5044</v>
      </c>
      <c r="O128" s="9" t="s">
        <v>5044</v>
      </c>
      <c r="P128" s="11">
        <v>0</v>
      </c>
      <c r="Q128" s="11">
        <v>0</v>
      </c>
      <c r="R128" s="11">
        <v>0</v>
      </c>
      <c r="S128" s="11">
        <v>9</v>
      </c>
      <c r="T128" s="11">
        <v>1</v>
      </c>
      <c r="U128" s="11">
        <v>92</v>
      </c>
      <c r="V128" s="11">
        <v>0</v>
      </c>
      <c r="W128" s="11">
        <v>1</v>
      </c>
      <c r="X128" s="11">
        <v>0</v>
      </c>
      <c r="Y128" s="11">
        <v>0</v>
      </c>
      <c r="Z128" s="11">
        <v>1</v>
      </c>
      <c r="AA128" s="11">
        <v>0</v>
      </c>
      <c r="AB128" s="11">
        <v>1</v>
      </c>
      <c r="AC128" s="11">
        <v>1</v>
      </c>
      <c r="AD128" s="11" t="s">
        <v>5044</v>
      </c>
      <c r="AE128" s="11" t="s">
        <v>5044</v>
      </c>
      <c r="AF128" s="11" t="s">
        <v>5044</v>
      </c>
      <c r="AG128" s="11">
        <v>2</v>
      </c>
      <c r="AH128" s="11">
        <v>1</v>
      </c>
      <c r="AI128" s="11">
        <v>2</v>
      </c>
      <c r="AJ128" s="11">
        <v>0</v>
      </c>
      <c r="AK128" s="11" t="s">
        <v>5318</v>
      </c>
      <c r="AL128" s="11">
        <v>0</v>
      </c>
      <c r="AM128" s="11">
        <v>0</v>
      </c>
      <c r="AN128" s="11" t="s">
        <v>5318</v>
      </c>
      <c r="AO128" s="11" t="s">
        <v>5318</v>
      </c>
      <c r="AP128" s="11" t="s">
        <v>5318</v>
      </c>
      <c r="AQ128" s="11" t="s">
        <v>5318</v>
      </c>
    </row>
    <row r="129" spans="1:43" ht="63" customHeight="1" x14ac:dyDescent="0.2">
      <c r="A129" s="10">
        <v>1407</v>
      </c>
      <c r="B129" s="11" t="s">
        <v>6866</v>
      </c>
      <c r="C129" s="11" t="s">
        <v>426</v>
      </c>
      <c r="D129" s="11">
        <v>2022</v>
      </c>
      <c r="E129" s="11" t="s">
        <v>5318</v>
      </c>
      <c r="F129" s="11">
        <v>24</v>
      </c>
      <c r="G129" s="11">
        <v>9</v>
      </c>
      <c r="H129" s="11" t="s">
        <v>6867</v>
      </c>
      <c r="I129" s="11" t="s">
        <v>6516</v>
      </c>
      <c r="J129" s="11" t="s">
        <v>6868</v>
      </c>
      <c r="K129" s="11" t="s">
        <v>428</v>
      </c>
      <c r="L129" s="12" t="s">
        <v>5418</v>
      </c>
      <c r="M129" s="11">
        <v>0</v>
      </c>
      <c r="N129" s="9" t="s">
        <v>5044</v>
      </c>
      <c r="O129" s="9" t="s">
        <v>5044</v>
      </c>
      <c r="P129" s="11">
        <v>0</v>
      </c>
      <c r="Q129" s="11">
        <v>0</v>
      </c>
      <c r="R129" s="11">
        <v>0</v>
      </c>
      <c r="S129" s="11">
        <v>1</v>
      </c>
      <c r="T129" s="11">
        <v>1</v>
      </c>
      <c r="U129" s="11">
        <v>88</v>
      </c>
      <c r="V129" s="11">
        <v>0</v>
      </c>
      <c r="W129" s="11">
        <v>1</v>
      </c>
      <c r="X129" s="11">
        <v>0</v>
      </c>
      <c r="Y129" s="11">
        <v>0</v>
      </c>
      <c r="Z129" s="11">
        <v>0</v>
      </c>
      <c r="AA129" s="11">
        <v>0</v>
      </c>
      <c r="AB129" s="11">
        <v>1</v>
      </c>
      <c r="AC129" s="11">
        <v>1</v>
      </c>
      <c r="AD129" s="11" t="s">
        <v>5044</v>
      </c>
      <c r="AE129" s="11" t="s">
        <v>5044</v>
      </c>
      <c r="AF129" s="11" t="s">
        <v>5044</v>
      </c>
      <c r="AG129" s="11">
        <v>2</v>
      </c>
      <c r="AH129" s="11">
        <v>3</v>
      </c>
      <c r="AI129" s="11">
        <v>0</v>
      </c>
      <c r="AJ129" s="11" t="s">
        <v>5044</v>
      </c>
      <c r="AK129" s="11">
        <v>1</v>
      </c>
      <c r="AL129" s="11">
        <v>0</v>
      </c>
      <c r="AM129" s="11">
        <v>0</v>
      </c>
      <c r="AN129" s="11" t="s">
        <v>5318</v>
      </c>
      <c r="AO129" s="11" t="s">
        <v>5318</v>
      </c>
      <c r="AP129" s="11" t="s">
        <v>5318</v>
      </c>
      <c r="AQ129" s="11" t="s">
        <v>5318</v>
      </c>
    </row>
    <row r="130" spans="1:43" ht="63" customHeight="1" x14ac:dyDescent="0.2">
      <c r="A130" s="10">
        <v>1410</v>
      </c>
      <c r="B130" s="11" t="s">
        <v>6870</v>
      </c>
      <c r="C130" s="11" t="s">
        <v>429</v>
      </c>
      <c r="D130" s="11">
        <v>2021</v>
      </c>
      <c r="E130" s="11" t="s">
        <v>5318</v>
      </c>
      <c r="F130" s="11">
        <v>108</v>
      </c>
      <c r="G130" s="11">
        <v>7</v>
      </c>
      <c r="H130" s="11" t="s">
        <v>6530</v>
      </c>
      <c r="I130" s="11" t="s">
        <v>6516</v>
      </c>
      <c r="J130" s="11" t="s">
        <v>6871</v>
      </c>
      <c r="K130" s="11" t="s">
        <v>430</v>
      </c>
      <c r="L130" s="12" t="s">
        <v>5419</v>
      </c>
      <c r="M130" s="11">
        <v>0</v>
      </c>
      <c r="N130" s="9" t="s">
        <v>5044</v>
      </c>
      <c r="O130" s="9" t="s">
        <v>5044</v>
      </c>
      <c r="P130" s="11">
        <v>0</v>
      </c>
      <c r="Q130" s="11">
        <v>0</v>
      </c>
      <c r="R130" s="11">
        <v>0</v>
      </c>
      <c r="S130" s="11" t="s">
        <v>7670</v>
      </c>
      <c r="T130" s="11">
        <v>1</v>
      </c>
      <c r="U130" s="11">
        <v>120</v>
      </c>
      <c r="V130" s="11">
        <v>0</v>
      </c>
      <c r="W130" s="11">
        <v>1</v>
      </c>
      <c r="X130" s="11">
        <v>0</v>
      </c>
      <c r="Y130" s="11">
        <v>0</v>
      </c>
      <c r="Z130" s="11">
        <v>0</v>
      </c>
      <c r="AA130" s="11">
        <v>0</v>
      </c>
      <c r="AB130" s="11">
        <v>1</v>
      </c>
      <c r="AC130" s="11">
        <v>1</v>
      </c>
      <c r="AD130" s="11" t="s">
        <v>5044</v>
      </c>
      <c r="AE130" s="11" t="s">
        <v>5044</v>
      </c>
      <c r="AF130" s="11" t="s">
        <v>5044</v>
      </c>
      <c r="AG130" s="11">
        <v>2</v>
      </c>
      <c r="AH130" s="11">
        <v>1</v>
      </c>
      <c r="AI130" s="11">
        <v>1</v>
      </c>
      <c r="AJ130" s="11" t="s">
        <v>5044</v>
      </c>
      <c r="AK130" s="11" t="s">
        <v>5318</v>
      </c>
      <c r="AL130" s="11">
        <v>0</v>
      </c>
      <c r="AM130" s="11">
        <v>0</v>
      </c>
      <c r="AN130" s="11" t="s">
        <v>5318</v>
      </c>
      <c r="AO130" s="11" t="s">
        <v>5318</v>
      </c>
      <c r="AP130" s="11" t="s">
        <v>5318</v>
      </c>
      <c r="AQ130" s="11" t="s">
        <v>5318</v>
      </c>
    </row>
    <row r="131" spans="1:43" ht="63" customHeight="1" x14ac:dyDescent="0.2">
      <c r="A131" s="10">
        <v>1431</v>
      </c>
      <c r="B131" s="11" t="s">
        <v>6874</v>
      </c>
      <c r="C131" s="11" t="s">
        <v>433</v>
      </c>
      <c r="D131" s="11">
        <v>2022</v>
      </c>
      <c r="E131" s="11" t="s">
        <v>5318</v>
      </c>
      <c r="F131" s="11">
        <v>12</v>
      </c>
      <c r="G131" s="11">
        <v>11</v>
      </c>
      <c r="H131" s="11" t="s">
        <v>6519</v>
      </c>
      <c r="I131" s="11" t="s">
        <v>6516</v>
      </c>
      <c r="J131" s="11" t="s">
        <v>6875</v>
      </c>
      <c r="K131" s="11" t="s">
        <v>434</v>
      </c>
      <c r="L131" s="16" t="s">
        <v>5421</v>
      </c>
      <c r="M131" s="11">
        <v>1</v>
      </c>
      <c r="N131" s="11">
        <v>0</v>
      </c>
      <c r="O131" s="9" t="s">
        <v>5044</v>
      </c>
      <c r="P131" s="11">
        <v>0</v>
      </c>
      <c r="Q131" s="11">
        <v>0</v>
      </c>
      <c r="R131" s="11">
        <v>0</v>
      </c>
      <c r="S131" s="11">
        <v>1</v>
      </c>
      <c r="T131" s="11">
        <v>1</v>
      </c>
      <c r="U131" s="11">
        <v>298</v>
      </c>
      <c r="V131" s="11">
        <v>0</v>
      </c>
      <c r="W131" s="11">
        <v>1</v>
      </c>
      <c r="X131" s="11">
        <v>0</v>
      </c>
      <c r="Y131" s="11">
        <v>0</v>
      </c>
      <c r="Z131" s="11">
        <v>0</v>
      </c>
      <c r="AA131" s="11">
        <v>0</v>
      </c>
      <c r="AB131" s="11">
        <v>1</v>
      </c>
      <c r="AC131" s="11" t="s">
        <v>5044</v>
      </c>
      <c r="AD131" s="11" t="s">
        <v>5044</v>
      </c>
      <c r="AE131" s="11" t="s">
        <v>5044</v>
      </c>
      <c r="AF131" s="11" t="s">
        <v>5044</v>
      </c>
      <c r="AG131" s="11" t="s">
        <v>5044</v>
      </c>
      <c r="AH131" s="11" t="s">
        <v>5044</v>
      </c>
      <c r="AI131" s="11" t="s">
        <v>5044</v>
      </c>
      <c r="AJ131" s="11" t="s">
        <v>5044</v>
      </c>
      <c r="AK131" s="11" t="s">
        <v>5318</v>
      </c>
      <c r="AL131" s="11" t="s">
        <v>5044</v>
      </c>
      <c r="AM131" s="11">
        <v>0</v>
      </c>
      <c r="AN131" s="11" t="s">
        <v>5318</v>
      </c>
      <c r="AO131" s="11" t="s">
        <v>5318</v>
      </c>
      <c r="AP131" s="11" t="s">
        <v>5318</v>
      </c>
      <c r="AQ131" s="11" t="s">
        <v>5318</v>
      </c>
    </row>
    <row r="132" spans="1:43" ht="63" customHeight="1" x14ac:dyDescent="0.2">
      <c r="A132" s="10">
        <v>1436</v>
      </c>
      <c r="B132" s="11" t="s">
        <v>6876</v>
      </c>
      <c r="C132" s="11" t="s">
        <v>435</v>
      </c>
      <c r="D132" s="11">
        <v>2023</v>
      </c>
      <c r="E132" s="11" t="s">
        <v>5318</v>
      </c>
      <c r="F132" s="11">
        <v>151</v>
      </c>
      <c r="G132" s="11">
        <v>3</v>
      </c>
      <c r="H132" s="11" t="s">
        <v>6877</v>
      </c>
      <c r="I132" s="11" t="s">
        <v>6878</v>
      </c>
      <c r="J132" s="11" t="s">
        <v>6879</v>
      </c>
      <c r="K132" s="11" t="s">
        <v>438</v>
      </c>
      <c r="L132" s="11" t="s">
        <v>5044</v>
      </c>
      <c r="M132" s="11">
        <v>0</v>
      </c>
      <c r="N132" s="9" t="s">
        <v>5044</v>
      </c>
      <c r="O132" s="9" t="s">
        <v>5044</v>
      </c>
      <c r="P132" s="11">
        <v>0</v>
      </c>
      <c r="Q132" s="11">
        <v>0</v>
      </c>
      <c r="R132" s="11">
        <v>0</v>
      </c>
      <c r="S132" s="11" t="s">
        <v>7671</v>
      </c>
      <c r="T132" s="11">
        <v>1</v>
      </c>
      <c r="U132" s="11">
        <v>88</v>
      </c>
      <c r="V132" s="11">
        <v>0</v>
      </c>
      <c r="W132" s="11">
        <v>1</v>
      </c>
      <c r="X132" s="11">
        <v>0</v>
      </c>
      <c r="Y132" s="11">
        <v>0</v>
      </c>
      <c r="Z132" s="11">
        <v>0</v>
      </c>
      <c r="AA132" s="11">
        <v>0</v>
      </c>
      <c r="AB132" s="11">
        <v>1</v>
      </c>
      <c r="AC132" s="11">
        <v>1</v>
      </c>
      <c r="AD132" s="11" t="s">
        <v>5044</v>
      </c>
      <c r="AE132" s="11" t="s">
        <v>5044</v>
      </c>
      <c r="AF132" s="11" t="s">
        <v>5044</v>
      </c>
      <c r="AG132" s="11">
        <v>2</v>
      </c>
      <c r="AH132" s="11">
        <v>3</v>
      </c>
      <c r="AI132" s="11">
        <v>0</v>
      </c>
      <c r="AJ132" s="11" t="s">
        <v>5044</v>
      </c>
      <c r="AK132" s="11">
        <v>1</v>
      </c>
      <c r="AL132" s="11">
        <v>0</v>
      </c>
      <c r="AM132" s="11">
        <v>0</v>
      </c>
      <c r="AN132" s="11" t="s">
        <v>5318</v>
      </c>
      <c r="AO132" s="11" t="s">
        <v>5318</v>
      </c>
      <c r="AP132" s="11" t="s">
        <v>5318</v>
      </c>
      <c r="AQ132" s="11" t="s">
        <v>5318</v>
      </c>
    </row>
    <row r="133" spans="1:43" ht="63" customHeight="1" x14ac:dyDescent="0.2">
      <c r="A133" s="10">
        <v>1469</v>
      </c>
      <c r="B133" s="11" t="s">
        <v>6882</v>
      </c>
      <c r="C133" s="11" t="s">
        <v>441</v>
      </c>
      <c r="D133" s="11">
        <v>2021</v>
      </c>
      <c r="E133" s="11" t="s">
        <v>5318</v>
      </c>
      <c r="F133" s="11">
        <v>24</v>
      </c>
      <c r="G133" s="11">
        <v>1</v>
      </c>
      <c r="H133" s="11" t="s">
        <v>6883</v>
      </c>
      <c r="I133" s="11" t="s">
        <v>6516</v>
      </c>
      <c r="J133" s="11" t="s">
        <v>6884</v>
      </c>
      <c r="K133" s="11" t="s">
        <v>443</v>
      </c>
      <c r="L133" s="11" t="s">
        <v>5044</v>
      </c>
      <c r="M133" s="11">
        <v>0</v>
      </c>
      <c r="N133" s="9" t="s">
        <v>5044</v>
      </c>
      <c r="O133" s="9" t="s">
        <v>5044</v>
      </c>
      <c r="P133" s="11">
        <v>0</v>
      </c>
      <c r="Q133" s="11">
        <v>0</v>
      </c>
      <c r="R133" s="11">
        <v>0</v>
      </c>
      <c r="S133" s="11">
        <v>1</v>
      </c>
      <c r="T133" s="11">
        <v>1</v>
      </c>
      <c r="U133" s="11">
        <v>110</v>
      </c>
      <c r="V133" s="11">
        <v>0</v>
      </c>
      <c r="W133" s="11">
        <v>1</v>
      </c>
      <c r="X133" s="11">
        <v>0</v>
      </c>
      <c r="Y133" s="11">
        <v>0</v>
      </c>
      <c r="Z133" s="11">
        <v>1</v>
      </c>
      <c r="AA133" s="11">
        <v>0</v>
      </c>
      <c r="AB133" s="11">
        <v>1</v>
      </c>
      <c r="AC133" s="11">
        <v>1</v>
      </c>
      <c r="AD133" s="11" t="s">
        <v>5044</v>
      </c>
      <c r="AE133" s="11" t="s">
        <v>5044</v>
      </c>
      <c r="AF133" s="11" t="s">
        <v>5044</v>
      </c>
      <c r="AG133" s="11">
        <v>2</v>
      </c>
      <c r="AH133" s="11">
        <v>3</v>
      </c>
      <c r="AI133" s="11">
        <v>0</v>
      </c>
      <c r="AJ133" s="11">
        <v>0</v>
      </c>
      <c r="AK133" s="11">
        <v>1</v>
      </c>
      <c r="AL133" s="11">
        <v>1</v>
      </c>
      <c r="AM133" s="11">
        <v>0</v>
      </c>
      <c r="AN133" s="11" t="s">
        <v>5318</v>
      </c>
      <c r="AO133" s="11" t="s">
        <v>5318</v>
      </c>
      <c r="AP133" s="11" t="s">
        <v>5318</v>
      </c>
      <c r="AQ133" s="11" t="s">
        <v>5318</v>
      </c>
    </row>
    <row r="134" spans="1:43" ht="63" customHeight="1" x14ac:dyDescent="0.2">
      <c r="A134" s="10">
        <v>1474</v>
      </c>
      <c r="B134" s="11" t="s">
        <v>6885</v>
      </c>
      <c r="C134" s="11" t="s">
        <v>444</v>
      </c>
      <c r="D134" s="11">
        <v>2021</v>
      </c>
      <c r="E134" s="11" t="s">
        <v>5318</v>
      </c>
      <c r="F134" s="11">
        <v>39</v>
      </c>
      <c r="G134" s="11">
        <v>9</v>
      </c>
      <c r="H134" s="11" t="s">
        <v>6449</v>
      </c>
      <c r="I134" s="11" t="s">
        <v>6516</v>
      </c>
      <c r="J134" s="11" t="s">
        <v>6886</v>
      </c>
      <c r="K134" s="11" t="s">
        <v>445</v>
      </c>
      <c r="L134" s="16" t="s">
        <v>5423</v>
      </c>
      <c r="M134" s="11">
        <v>0</v>
      </c>
      <c r="N134" s="9" t="s">
        <v>5044</v>
      </c>
      <c r="O134" s="9" t="s">
        <v>5044</v>
      </c>
      <c r="P134" s="11">
        <v>0</v>
      </c>
      <c r="Q134" s="11">
        <v>0</v>
      </c>
      <c r="R134" s="11">
        <v>0</v>
      </c>
      <c r="S134" s="11">
        <v>1</v>
      </c>
      <c r="T134" s="11">
        <v>1</v>
      </c>
      <c r="U134" s="11">
        <v>227</v>
      </c>
      <c r="V134" s="11">
        <v>0</v>
      </c>
      <c r="W134" s="11">
        <v>1</v>
      </c>
      <c r="X134" s="11">
        <v>0</v>
      </c>
      <c r="Y134" s="11">
        <v>0</v>
      </c>
      <c r="Z134" s="11">
        <v>0</v>
      </c>
      <c r="AA134" s="11">
        <v>0</v>
      </c>
      <c r="AB134" s="11">
        <v>1</v>
      </c>
      <c r="AC134" s="11">
        <v>1</v>
      </c>
      <c r="AD134" s="11" t="s">
        <v>5044</v>
      </c>
      <c r="AE134" s="11" t="s">
        <v>5044</v>
      </c>
      <c r="AF134" s="11" t="s">
        <v>5044</v>
      </c>
      <c r="AG134" s="11">
        <v>1</v>
      </c>
      <c r="AH134" s="11">
        <v>0</v>
      </c>
      <c r="AI134" s="11">
        <v>0</v>
      </c>
      <c r="AJ134" s="11" t="s">
        <v>5044</v>
      </c>
      <c r="AK134" s="11" t="s">
        <v>5318</v>
      </c>
      <c r="AL134" s="11">
        <v>0</v>
      </c>
      <c r="AM134" s="11">
        <v>0</v>
      </c>
      <c r="AN134" s="11" t="s">
        <v>5318</v>
      </c>
      <c r="AO134" s="11" t="s">
        <v>5318</v>
      </c>
      <c r="AP134" s="11" t="s">
        <v>5318</v>
      </c>
      <c r="AQ134" s="11" t="s">
        <v>5318</v>
      </c>
    </row>
    <row r="135" spans="1:43" ht="63" customHeight="1" x14ac:dyDescent="0.2">
      <c r="A135" s="10">
        <v>1475</v>
      </c>
      <c r="B135" s="11" t="s">
        <v>6887</v>
      </c>
      <c r="C135" s="11" t="s">
        <v>446</v>
      </c>
      <c r="D135" s="11">
        <v>2020</v>
      </c>
      <c r="E135" s="11" t="s">
        <v>5318</v>
      </c>
      <c r="F135" s="11">
        <v>147</v>
      </c>
      <c r="G135" s="11" t="s">
        <v>5318</v>
      </c>
      <c r="H135" s="11" t="s">
        <v>6888</v>
      </c>
      <c r="I135" s="11" t="s">
        <v>6516</v>
      </c>
      <c r="J135" s="11" t="s">
        <v>6889</v>
      </c>
      <c r="K135" s="11" t="s">
        <v>447</v>
      </c>
      <c r="L135" s="12" t="s">
        <v>5424</v>
      </c>
      <c r="M135" s="11">
        <v>0</v>
      </c>
      <c r="N135" s="9" t="s">
        <v>5044</v>
      </c>
      <c r="O135" s="9" t="s">
        <v>5044</v>
      </c>
      <c r="P135" s="11">
        <v>0</v>
      </c>
      <c r="Q135" s="11">
        <v>0</v>
      </c>
      <c r="R135" s="11">
        <v>0</v>
      </c>
      <c r="S135" s="11">
        <v>1</v>
      </c>
      <c r="T135" s="11">
        <v>1</v>
      </c>
      <c r="U135" s="11">
        <v>920</v>
      </c>
      <c r="V135" s="11">
        <v>0</v>
      </c>
      <c r="W135" s="11">
        <v>1</v>
      </c>
      <c r="X135" s="11">
        <v>0</v>
      </c>
      <c r="Y135" s="11">
        <v>0</v>
      </c>
      <c r="Z135" s="11">
        <v>0</v>
      </c>
      <c r="AA135" s="11">
        <v>0</v>
      </c>
      <c r="AB135" s="11">
        <v>1</v>
      </c>
      <c r="AC135" s="11">
        <v>1</v>
      </c>
      <c r="AD135" s="11" t="s">
        <v>5044</v>
      </c>
      <c r="AE135" s="11" t="s">
        <v>5044</v>
      </c>
      <c r="AF135" s="11" t="s">
        <v>5044</v>
      </c>
      <c r="AG135" s="11">
        <v>2</v>
      </c>
      <c r="AH135" s="11">
        <v>3</v>
      </c>
      <c r="AI135" s="11">
        <v>0</v>
      </c>
      <c r="AJ135" s="11" t="s">
        <v>5044</v>
      </c>
      <c r="AK135" s="11">
        <v>1</v>
      </c>
      <c r="AL135" s="11" t="s">
        <v>5044</v>
      </c>
      <c r="AM135" s="11">
        <v>0</v>
      </c>
      <c r="AN135" s="11" t="s">
        <v>5105</v>
      </c>
      <c r="AO135" s="11" t="s">
        <v>5318</v>
      </c>
      <c r="AP135" s="11" t="s">
        <v>5318</v>
      </c>
      <c r="AQ135" s="11" t="s">
        <v>5318</v>
      </c>
    </row>
    <row r="136" spans="1:43" ht="63" customHeight="1" x14ac:dyDescent="0.2">
      <c r="A136" s="10">
        <v>1493</v>
      </c>
      <c r="B136" s="11" t="s">
        <v>6890</v>
      </c>
      <c r="C136" s="11" t="s">
        <v>448</v>
      </c>
      <c r="D136" s="11">
        <v>2022</v>
      </c>
      <c r="E136" s="11" t="s">
        <v>451</v>
      </c>
      <c r="F136" s="11">
        <v>171</v>
      </c>
      <c r="G136" s="11">
        <v>6</v>
      </c>
      <c r="H136" s="11" t="s">
        <v>6553</v>
      </c>
      <c r="I136" s="11" t="s">
        <v>6516</v>
      </c>
      <c r="J136" s="11" t="s">
        <v>6891</v>
      </c>
      <c r="K136" s="11" t="s">
        <v>450</v>
      </c>
      <c r="L136" s="12" t="s">
        <v>5425</v>
      </c>
      <c r="M136" s="11">
        <v>0</v>
      </c>
      <c r="N136" s="9" t="s">
        <v>5044</v>
      </c>
      <c r="O136" s="9" t="s">
        <v>5044</v>
      </c>
      <c r="P136" s="11">
        <v>0</v>
      </c>
      <c r="Q136" s="11">
        <v>0</v>
      </c>
      <c r="R136" s="11">
        <v>1</v>
      </c>
      <c r="S136" s="11">
        <v>1</v>
      </c>
      <c r="T136" s="11">
        <v>1</v>
      </c>
      <c r="U136" s="11">
        <v>252</v>
      </c>
      <c r="V136" s="11">
        <v>0</v>
      </c>
      <c r="W136" s="11">
        <v>1</v>
      </c>
      <c r="X136" s="11">
        <v>0</v>
      </c>
      <c r="Y136" s="11">
        <v>0</v>
      </c>
      <c r="Z136" s="11">
        <v>0</v>
      </c>
      <c r="AA136" s="11">
        <v>0</v>
      </c>
      <c r="AB136" s="11">
        <v>1</v>
      </c>
      <c r="AC136" s="11">
        <v>1</v>
      </c>
      <c r="AD136" s="11" t="s">
        <v>5044</v>
      </c>
      <c r="AE136" s="11" t="s">
        <v>5044</v>
      </c>
      <c r="AF136" s="11" t="s">
        <v>5044</v>
      </c>
      <c r="AG136" s="11">
        <v>2</v>
      </c>
      <c r="AH136" s="11">
        <v>1</v>
      </c>
      <c r="AI136" s="11">
        <v>2</v>
      </c>
      <c r="AJ136" s="11" t="s">
        <v>5044</v>
      </c>
      <c r="AK136" s="11" t="s">
        <v>5318</v>
      </c>
      <c r="AL136" s="11">
        <v>1</v>
      </c>
      <c r="AM136" s="11">
        <v>0</v>
      </c>
      <c r="AN136" s="11" t="s">
        <v>6297</v>
      </c>
      <c r="AO136" s="11" t="s">
        <v>5318</v>
      </c>
      <c r="AP136" s="11" t="s">
        <v>5318</v>
      </c>
      <c r="AQ136" s="11" t="s">
        <v>5318</v>
      </c>
    </row>
    <row r="137" spans="1:43" ht="63" customHeight="1" x14ac:dyDescent="0.2">
      <c r="A137" s="10">
        <v>1494</v>
      </c>
      <c r="B137" s="11" t="s">
        <v>6892</v>
      </c>
      <c r="C137" s="11" t="s">
        <v>452</v>
      </c>
      <c r="D137" s="11">
        <v>2020</v>
      </c>
      <c r="E137" s="11" t="s">
        <v>5318</v>
      </c>
      <c r="F137" s="11">
        <v>13</v>
      </c>
      <c r="G137" s="11" t="s">
        <v>5318</v>
      </c>
      <c r="H137" s="11" t="s">
        <v>6893</v>
      </c>
      <c r="I137" s="11" t="s">
        <v>6516</v>
      </c>
      <c r="J137" s="11" t="s">
        <v>6894</v>
      </c>
      <c r="K137" s="11" t="s">
        <v>454</v>
      </c>
      <c r="L137" s="12" t="s">
        <v>5426</v>
      </c>
      <c r="M137" s="11">
        <v>0</v>
      </c>
      <c r="N137" s="9" t="s">
        <v>5044</v>
      </c>
      <c r="O137" s="9" t="s">
        <v>5044</v>
      </c>
      <c r="P137" s="11">
        <v>0</v>
      </c>
      <c r="Q137" s="11">
        <v>0</v>
      </c>
      <c r="R137" s="11">
        <v>0</v>
      </c>
      <c r="S137" s="11">
        <v>9</v>
      </c>
      <c r="T137" s="11">
        <v>1</v>
      </c>
      <c r="U137" s="11">
        <v>55</v>
      </c>
      <c r="V137" s="11">
        <v>0</v>
      </c>
      <c r="W137" s="11">
        <v>1</v>
      </c>
      <c r="X137" s="11">
        <v>0</v>
      </c>
      <c r="Y137" s="11">
        <v>0</v>
      </c>
      <c r="Z137" s="11">
        <v>0</v>
      </c>
      <c r="AA137" s="11">
        <v>0</v>
      </c>
      <c r="AB137" s="11">
        <v>1</v>
      </c>
      <c r="AC137" s="11">
        <v>1</v>
      </c>
      <c r="AD137" s="11" t="s">
        <v>5044</v>
      </c>
      <c r="AE137" s="11" t="s">
        <v>5044</v>
      </c>
      <c r="AF137" s="11" t="s">
        <v>5044</v>
      </c>
      <c r="AG137" s="11">
        <v>2</v>
      </c>
      <c r="AH137" s="11">
        <v>3</v>
      </c>
      <c r="AI137" s="11">
        <v>0</v>
      </c>
      <c r="AJ137" s="11" t="s">
        <v>5044</v>
      </c>
      <c r="AK137" s="11" t="s">
        <v>5318</v>
      </c>
      <c r="AL137" s="11">
        <v>0</v>
      </c>
      <c r="AM137" s="11">
        <v>0</v>
      </c>
      <c r="AN137" s="11" t="s">
        <v>5318</v>
      </c>
      <c r="AO137" s="11" t="s">
        <v>5318</v>
      </c>
      <c r="AP137" s="11" t="s">
        <v>5318</v>
      </c>
      <c r="AQ137" s="11" t="s">
        <v>5318</v>
      </c>
    </row>
    <row r="138" spans="1:43" ht="63" customHeight="1" x14ac:dyDescent="0.2">
      <c r="A138" s="10">
        <v>1495</v>
      </c>
      <c r="B138" s="11" t="s">
        <v>6895</v>
      </c>
      <c r="C138" s="11" t="s">
        <v>455</v>
      </c>
      <c r="D138" s="11">
        <v>2015</v>
      </c>
      <c r="E138" s="11" t="s">
        <v>5318</v>
      </c>
      <c r="F138" s="11">
        <v>102</v>
      </c>
      <c r="G138" s="11">
        <v>3</v>
      </c>
      <c r="H138" s="11" t="s">
        <v>6530</v>
      </c>
      <c r="I138" s="11" t="s">
        <v>6516</v>
      </c>
      <c r="J138" s="11" t="s">
        <v>6896</v>
      </c>
      <c r="K138" s="11" t="s">
        <v>456</v>
      </c>
      <c r="L138" s="12" t="s">
        <v>5427</v>
      </c>
      <c r="M138" s="11">
        <v>0</v>
      </c>
      <c r="N138" s="9" t="s">
        <v>5044</v>
      </c>
      <c r="O138" s="9" t="s">
        <v>5044</v>
      </c>
      <c r="P138" s="11">
        <v>0</v>
      </c>
      <c r="Q138" s="11">
        <v>0</v>
      </c>
      <c r="R138" s="11">
        <v>0</v>
      </c>
      <c r="S138" s="11">
        <v>1</v>
      </c>
      <c r="T138" s="11">
        <v>1</v>
      </c>
      <c r="U138" s="11">
        <v>120</v>
      </c>
      <c r="V138" s="11">
        <v>0</v>
      </c>
      <c r="W138" s="11">
        <v>1</v>
      </c>
      <c r="X138" s="11">
        <v>0</v>
      </c>
      <c r="Y138" s="11">
        <v>0</v>
      </c>
      <c r="Z138" s="11">
        <v>0</v>
      </c>
      <c r="AA138" s="11">
        <v>0</v>
      </c>
      <c r="AB138" s="11">
        <v>1</v>
      </c>
      <c r="AC138" s="11">
        <v>1</v>
      </c>
      <c r="AD138" s="11" t="s">
        <v>5044</v>
      </c>
      <c r="AE138" s="11" t="s">
        <v>5044</v>
      </c>
      <c r="AF138" s="11" t="s">
        <v>5044</v>
      </c>
      <c r="AG138" s="11">
        <v>1</v>
      </c>
      <c r="AH138" s="11">
        <v>0</v>
      </c>
      <c r="AI138" s="11">
        <v>0</v>
      </c>
      <c r="AJ138" s="11" t="s">
        <v>5044</v>
      </c>
      <c r="AK138" s="11" t="s">
        <v>5318</v>
      </c>
      <c r="AL138" s="11">
        <v>1</v>
      </c>
      <c r="AM138" s="11">
        <v>0</v>
      </c>
      <c r="AN138" s="11" t="s">
        <v>5318</v>
      </c>
      <c r="AO138" s="11" t="s">
        <v>5318</v>
      </c>
      <c r="AP138" s="11" t="s">
        <v>5318</v>
      </c>
      <c r="AQ138" s="11" t="s">
        <v>5318</v>
      </c>
    </row>
    <row r="139" spans="1:43" ht="63" customHeight="1" x14ac:dyDescent="0.2">
      <c r="A139" s="10">
        <v>1502</v>
      </c>
      <c r="B139" s="11" t="s">
        <v>6897</v>
      </c>
      <c r="C139" s="11" t="s">
        <v>457</v>
      </c>
      <c r="D139" s="11">
        <v>2011</v>
      </c>
      <c r="E139" s="11" t="s">
        <v>5318</v>
      </c>
      <c r="F139" s="11">
        <v>55</v>
      </c>
      <c r="G139" s="11">
        <v>2</v>
      </c>
      <c r="H139" s="11" t="s">
        <v>6898</v>
      </c>
      <c r="I139" s="11" t="s">
        <v>6516</v>
      </c>
      <c r="J139" s="11" t="s">
        <v>6899</v>
      </c>
      <c r="K139" s="11" t="s">
        <v>460</v>
      </c>
      <c r="L139" s="12" t="s">
        <v>5428</v>
      </c>
      <c r="M139" s="11">
        <v>0</v>
      </c>
      <c r="N139" s="9" t="s">
        <v>5044</v>
      </c>
      <c r="O139" s="9" t="s">
        <v>5044</v>
      </c>
      <c r="P139" s="11">
        <v>0</v>
      </c>
      <c r="Q139" s="11">
        <v>0</v>
      </c>
      <c r="R139" s="11">
        <v>0</v>
      </c>
      <c r="S139" s="11">
        <v>1</v>
      </c>
      <c r="T139" s="11">
        <v>1</v>
      </c>
      <c r="U139" s="11">
        <v>20</v>
      </c>
      <c r="V139" s="11">
        <v>0</v>
      </c>
      <c r="W139" s="11">
        <v>1</v>
      </c>
      <c r="X139" s="11">
        <v>0</v>
      </c>
      <c r="Y139" s="11">
        <v>0</v>
      </c>
      <c r="Z139" s="11">
        <v>0</v>
      </c>
      <c r="AA139" s="11">
        <v>0</v>
      </c>
      <c r="AB139" s="11">
        <v>1</v>
      </c>
      <c r="AC139" s="11">
        <v>1</v>
      </c>
      <c r="AD139" s="11" t="s">
        <v>5044</v>
      </c>
      <c r="AE139" s="11" t="s">
        <v>5044</v>
      </c>
      <c r="AF139" s="11" t="s">
        <v>5044</v>
      </c>
      <c r="AG139" s="11">
        <v>2</v>
      </c>
      <c r="AH139" s="11">
        <v>2</v>
      </c>
      <c r="AI139" s="11">
        <v>2</v>
      </c>
      <c r="AJ139" s="11" t="s">
        <v>5044</v>
      </c>
      <c r="AK139" s="11" t="s">
        <v>5318</v>
      </c>
      <c r="AL139" s="11">
        <v>0</v>
      </c>
      <c r="AM139" s="11">
        <v>0</v>
      </c>
      <c r="AN139" s="11" t="s">
        <v>5318</v>
      </c>
      <c r="AO139" s="11" t="s">
        <v>5318</v>
      </c>
      <c r="AP139" s="11" t="s">
        <v>5318</v>
      </c>
      <c r="AQ139" s="11" t="s">
        <v>5318</v>
      </c>
    </row>
    <row r="140" spans="1:43" ht="63" customHeight="1" x14ac:dyDescent="0.2">
      <c r="A140" s="10">
        <v>1505</v>
      </c>
      <c r="B140" s="11" t="s">
        <v>6900</v>
      </c>
      <c r="C140" s="11" t="s">
        <v>461</v>
      </c>
      <c r="D140" s="11">
        <v>2023</v>
      </c>
      <c r="E140" s="11" t="s">
        <v>5318</v>
      </c>
      <c r="F140" s="11">
        <v>37</v>
      </c>
      <c r="G140" s="11">
        <v>6</v>
      </c>
      <c r="H140" s="11" t="s">
        <v>6624</v>
      </c>
      <c r="I140" s="11" t="s">
        <v>6516</v>
      </c>
      <c r="J140" s="11" t="s">
        <v>6901</v>
      </c>
      <c r="K140" s="11" t="s">
        <v>462</v>
      </c>
      <c r="L140" s="12" t="s">
        <v>5429</v>
      </c>
      <c r="M140" s="11">
        <v>0</v>
      </c>
      <c r="N140" s="9" t="s">
        <v>5044</v>
      </c>
      <c r="O140" s="9" t="s">
        <v>5044</v>
      </c>
      <c r="P140" s="11">
        <v>0</v>
      </c>
      <c r="Q140" s="11">
        <v>0</v>
      </c>
      <c r="R140" s="11">
        <v>0</v>
      </c>
      <c r="S140" s="11">
        <v>1</v>
      </c>
      <c r="T140" s="11">
        <v>1</v>
      </c>
      <c r="U140" s="11">
        <v>294</v>
      </c>
      <c r="V140" s="11">
        <v>0</v>
      </c>
      <c r="W140" s="11">
        <v>1</v>
      </c>
      <c r="X140" s="11">
        <v>0</v>
      </c>
      <c r="Y140" s="11">
        <v>0</v>
      </c>
      <c r="Z140" s="11">
        <v>0</v>
      </c>
      <c r="AA140" s="11">
        <v>0</v>
      </c>
      <c r="AB140" s="11">
        <v>0</v>
      </c>
      <c r="AC140" s="11">
        <v>1</v>
      </c>
      <c r="AD140" s="11" t="s">
        <v>5044</v>
      </c>
      <c r="AE140" s="11" t="s">
        <v>5044</v>
      </c>
      <c r="AF140" s="11" t="s">
        <v>5044</v>
      </c>
      <c r="AG140" s="11">
        <v>1</v>
      </c>
      <c r="AH140" s="11">
        <v>0</v>
      </c>
      <c r="AI140" s="11">
        <v>0</v>
      </c>
      <c r="AJ140" s="11" t="s">
        <v>5044</v>
      </c>
      <c r="AK140" s="11" t="s">
        <v>5318</v>
      </c>
      <c r="AL140" s="11">
        <v>1</v>
      </c>
      <c r="AM140" s="11">
        <v>0</v>
      </c>
      <c r="AN140" s="11" t="s">
        <v>5318</v>
      </c>
      <c r="AO140" s="11" t="s">
        <v>5318</v>
      </c>
      <c r="AP140" s="11" t="s">
        <v>5318</v>
      </c>
      <c r="AQ140" s="11" t="s">
        <v>5318</v>
      </c>
    </row>
    <row r="141" spans="1:43" ht="63" customHeight="1" x14ac:dyDescent="0.2">
      <c r="A141" s="10">
        <v>1511</v>
      </c>
      <c r="B141" s="11" t="s">
        <v>6902</v>
      </c>
      <c r="C141" s="11" t="s">
        <v>463</v>
      </c>
      <c r="D141" s="11">
        <v>2017</v>
      </c>
      <c r="E141" s="11" t="s">
        <v>5318</v>
      </c>
      <c r="F141" s="11">
        <v>2</v>
      </c>
      <c r="G141" s="11">
        <v>1</v>
      </c>
      <c r="H141" s="11" t="s">
        <v>6807</v>
      </c>
      <c r="I141" s="11" t="s">
        <v>6516</v>
      </c>
      <c r="J141" s="11" t="s">
        <v>6903</v>
      </c>
      <c r="K141" s="11" t="s">
        <v>464</v>
      </c>
      <c r="L141" s="12" t="s">
        <v>5430</v>
      </c>
      <c r="M141" s="11">
        <v>0</v>
      </c>
      <c r="N141" s="9" t="s">
        <v>5044</v>
      </c>
      <c r="O141" s="9" t="s">
        <v>5044</v>
      </c>
      <c r="P141" s="11">
        <v>0</v>
      </c>
      <c r="Q141" s="11">
        <v>0</v>
      </c>
      <c r="R141" s="11">
        <v>0</v>
      </c>
      <c r="S141" s="11">
        <v>1</v>
      </c>
      <c r="T141" s="11">
        <v>1</v>
      </c>
      <c r="U141" s="11">
        <v>109</v>
      </c>
      <c r="V141" s="11">
        <v>0</v>
      </c>
      <c r="W141" s="11">
        <v>1</v>
      </c>
      <c r="X141" s="11">
        <v>0</v>
      </c>
      <c r="Y141" s="11">
        <v>0</v>
      </c>
      <c r="Z141" s="11">
        <v>0</v>
      </c>
      <c r="AA141" s="11">
        <v>0</v>
      </c>
      <c r="AB141" s="11">
        <v>1</v>
      </c>
      <c r="AC141" s="11">
        <v>1</v>
      </c>
      <c r="AD141" s="11" t="s">
        <v>5044</v>
      </c>
      <c r="AE141" s="11" t="s">
        <v>5044</v>
      </c>
      <c r="AF141" s="11" t="s">
        <v>5044</v>
      </c>
      <c r="AG141" s="11">
        <v>2</v>
      </c>
      <c r="AH141" s="11">
        <v>3</v>
      </c>
      <c r="AI141" s="11">
        <v>0</v>
      </c>
      <c r="AJ141" s="11" t="s">
        <v>5044</v>
      </c>
      <c r="AK141" s="11">
        <v>1</v>
      </c>
      <c r="AL141" s="11">
        <v>1</v>
      </c>
      <c r="AM141" s="11">
        <v>0</v>
      </c>
      <c r="AN141" s="11" t="s">
        <v>5463</v>
      </c>
      <c r="AO141" s="11" t="s">
        <v>5318</v>
      </c>
      <c r="AP141" s="11" t="s">
        <v>5318</v>
      </c>
      <c r="AQ141" s="11" t="s">
        <v>5318</v>
      </c>
    </row>
    <row r="142" spans="1:43" ht="63" customHeight="1" x14ac:dyDescent="0.2">
      <c r="A142" s="10">
        <v>1521</v>
      </c>
      <c r="B142" s="11" t="s">
        <v>6904</v>
      </c>
      <c r="C142" s="11" t="s">
        <v>465</v>
      </c>
      <c r="D142" s="11">
        <v>2011</v>
      </c>
      <c r="E142" s="11" t="s">
        <v>468</v>
      </c>
      <c r="F142" s="11">
        <v>141</v>
      </c>
      <c r="G142" s="11">
        <v>3</v>
      </c>
      <c r="H142" s="11" t="s">
        <v>6905</v>
      </c>
      <c r="I142" s="11" t="s">
        <v>6516</v>
      </c>
      <c r="J142" s="11" t="s">
        <v>6906</v>
      </c>
      <c r="K142" s="11" t="s">
        <v>467</v>
      </c>
      <c r="L142" s="11" t="s">
        <v>5044</v>
      </c>
      <c r="M142" s="11">
        <v>0</v>
      </c>
      <c r="N142" s="9" t="s">
        <v>5044</v>
      </c>
      <c r="O142" s="9" t="s">
        <v>5044</v>
      </c>
      <c r="P142" s="11">
        <v>0</v>
      </c>
      <c r="Q142" s="11">
        <v>0</v>
      </c>
      <c r="R142" s="11">
        <v>0</v>
      </c>
      <c r="S142" s="11">
        <v>11</v>
      </c>
      <c r="T142" s="11">
        <v>1</v>
      </c>
      <c r="U142" s="11">
        <v>93</v>
      </c>
      <c r="V142" s="11">
        <v>0</v>
      </c>
      <c r="W142" s="11">
        <v>1</v>
      </c>
      <c r="X142" s="11">
        <v>0</v>
      </c>
      <c r="Y142" s="11">
        <v>0</v>
      </c>
      <c r="Z142" s="11">
        <v>0</v>
      </c>
      <c r="AA142" s="11">
        <v>0</v>
      </c>
      <c r="AB142" s="11">
        <v>0</v>
      </c>
      <c r="AC142" s="11">
        <v>1</v>
      </c>
      <c r="AD142" s="11" t="s">
        <v>5044</v>
      </c>
      <c r="AE142" s="11" t="s">
        <v>5044</v>
      </c>
      <c r="AF142" s="11" t="s">
        <v>5044</v>
      </c>
      <c r="AG142" s="11">
        <v>2</v>
      </c>
      <c r="AH142" s="11">
        <v>3</v>
      </c>
      <c r="AI142" s="11">
        <v>0</v>
      </c>
      <c r="AJ142" s="11" t="s">
        <v>5044</v>
      </c>
      <c r="AK142" s="11">
        <v>1</v>
      </c>
      <c r="AL142" s="11">
        <v>1</v>
      </c>
      <c r="AM142" s="11">
        <v>0</v>
      </c>
      <c r="AN142" s="11" t="s">
        <v>5318</v>
      </c>
      <c r="AO142" s="11" t="s">
        <v>5318</v>
      </c>
      <c r="AP142" s="11" t="s">
        <v>5318</v>
      </c>
      <c r="AQ142" s="11" t="s">
        <v>5318</v>
      </c>
    </row>
    <row r="143" spans="1:43" ht="63" customHeight="1" x14ac:dyDescent="0.2">
      <c r="A143" s="10">
        <v>1522</v>
      </c>
      <c r="B143" s="11" t="s">
        <v>6907</v>
      </c>
      <c r="C143" s="11" t="s">
        <v>469</v>
      </c>
      <c r="D143" s="11">
        <v>2022</v>
      </c>
      <c r="E143" s="11" t="s">
        <v>5318</v>
      </c>
      <c r="F143" s="11">
        <v>109</v>
      </c>
      <c r="G143" s="11">
        <v>3</v>
      </c>
      <c r="H143" s="11" t="s">
        <v>6530</v>
      </c>
      <c r="I143" s="11" t="s">
        <v>6516</v>
      </c>
      <c r="J143" s="11" t="s">
        <v>6908</v>
      </c>
      <c r="K143" s="11" t="s">
        <v>471</v>
      </c>
      <c r="L143" s="12" t="s">
        <v>5431</v>
      </c>
      <c r="M143" s="11">
        <v>0</v>
      </c>
      <c r="N143" s="9" t="s">
        <v>5044</v>
      </c>
      <c r="O143" s="9" t="s">
        <v>5044</v>
      </c>
      <c r="P143" s="11">
        <v>0</v>
      </c>
      <c r="Q143" s="11">
        <v>0</v>
      </c>
      <c r="R143" s="11">
        <v>0</v>
      </c>
      <c r="S143" s="11">
        <v>1</v>
      </c>
      <c r="T143" s="11">
        <v>1</v>
      </c>
      <c r="U143" s="11">
        <v>504</v>
      </c>
      <c r="V143" s="11">
        <v>0</v>
      </c>
      <c r="W143" s="11">
        <v>1</v>
      </c>
      <c r="X143" s="11">
        <v>0</v>
      </c>
      <c r="Y143" s="11">
        <v>0</v>
      </c>
      <c r="Z143" s="11">
        <v>0</v>
      </c>
      <c r="AA143" s="11">
        <v>0</v>
      </c>
      <c r="AB143" s="11">
        <v>1</v>
      </c>
      <c r="AC143" s="11">
        <v>1</v>
      </c>
      <c r="AD143" s="11" t="s">
        <v>5044</v>
      </c>
      <c r="AE143" s="11" t="s">
        <v>5044</v>
      </c>
      <c r="AF143" s="11" t="s">
        <v>5044</v>
      </c>
      <c r="AG143" s="11">
        <v>2</v>
      </c>
      <c r="AH143" s="11">
        <v>3</v>
      </c>
      <c r="AI143" s="11">
        <v>0</v>
      </c>
      <c r="AJ143" s="11" t="s">
        <v>5044</v>
      </c>
      <c r="AK143" s="11" t="s">
        <v>5318</v>
      </c>
      <c r="AL143" s="11">
        <v>1</v>
      </c>
      <c r="AM143" s="11">
        <v>0</v>
      </c>
      <c r="AN143" s="11" t="s">
        <v>5318</v>
      </c>
      <c r="AO143" s="11" t="s">
        <v>5318</v>
      </c>
      <c r="AP143" s="11" t="s">
        <v>5318</v>
      </c>
      <c r="AQ143" s="11" t="s">
        <v>5318</v>
      </c>
    </row>
    <row r="144" spans="1:43" ht="63" customHeight="1" x14ac:dyDescent="0.2">
      <c r="A144" s="10">
        <v>1544</v>
      </c>
      <c r="B144" s="11" t="s">
        <v>6909</v>
      </c>
      <c r="C144" s="11" t="s">
        <v>472</v>
      </c>
      <c r="D144" s="11">
        <v>2018</v>
      </c>
      <c r="E144" s="11" t="s">
        <v>5318</v>
      </c>
      <c r="F144" s="11">
        <v>36</v>
      </c>
      <c r="G144" s="11">
        <v>2</v>
      </c>
      <c r="H144" s="11" t="s">
        <v>6582</v>
      </c>
      <c r="I144" s="11" t="s">
        <v>6516</v>
      </c>
      <c r="J144" s="11" t="s">
        <v>6910</v>
      </c>
      <c r="K144" s="11" t="s">
        <v>473</v>
      </c>
      <c r="L144" s="11" t="s">
        <v>5044</v>
      </c>
      <c r="M144" s="11">
        <v>0</v>
      </c>
      <c r="N144" s="9" t="s">
        <v>5044</v>
      </c>
      <c r="O144" s="9" t="s">
        <v>5044</v>
      </c>
      <c r="P144" s="11">
        <v>0</v>
      </c>
      <c r="Q144" s="11">
        <v>0</v>
      </c>
      <c r="R144" s="11">
        <v>0</v>
      </c>
      <c r="S144" s="11">
        <v>3</v>
      </c>
      <c r="T144" s="11">
        <v>2</v>
      </c>
      <c r="U144" s="11">
        <v>120</v>
      </c>
      <c r="V144" s="11">
        <v>0</v>
      </c>
      <c r="W144" s="11">
        <v>1</v>
      </c>
      <c r="X144" s="11">
        <v>0</v>
      </c>
      <c r="Y144" s="11">
        <v>0</v>
      </c>
      <c r="Z144" s="11">
        <v>0</v>
      </c>
      <c r="AA144" s="11">
        <v>0</v>
      </c>
      <c r="AB144" s="11">
        <v>1</v>
      </c>
      <c r="AC144" s="11">
        <v>1</v>
      </c>
      <c r="AD144" s="11" t="s">
        <v>5044</v>
      </c>
      <c r="AE144" s="11" t="s">
        <v>5044</v>
      </c>
      <c r="AF144" s="11" t="s">
        <v>5044</v>
      </c>
      <c r="AG144" s="11">
        <v>2</v>
      </c>
      <c r="AH144" s="11">
        <v>2</v>
      </c>
      <c r="AI144" s="11">
        <v>1</v>
      </c>
      <c r="AJ144" s="11" t="s">
        <v>5044</v>
      </c>
      <c r="AK144" s="11" t="s">
        <v>5318</v>
      </c>
      <c r="AL144" s="11">
        <v>1</v>
      </c>
      <c r="AM144" s="11">
        <v>0</v>
      </c>
      <c r="AN144" s="11" t="s">
        <v>5318</v>
      </c>
      <c r="AO144" s="11" t="s">
        <v>5318</v>
      </c>
      <c r="AP144" s="11" t="s">
        <v>5318</v>
      </c>
      <c r="AQ144" s="11" t="s">
        <v>5318</v>
      </c>
    </row>
    <row r="145" spans="1:43" ht="63" customHeight="1" x14ac:dyDescent="0.2">
      <c r="A145" s="10">
        <v>1575</v>
      </c>
      <c r="B145" s="11" t="s">
        <v>6911</v>
      </c>
      <c r="C145" s="11" t="s">
        <v>474</v>
      </c>
      <c r="D145" s="11">
        <v>2021</v>
      </c>
      <c r="E145" s="11" t="s">
        <v>5318</v>
      </c>
      <c r="F145" s="11">
        <v>2</v>
      </c>
      <c r="G145" s="11" t="s">
        <v>5318</v>
      </c>
      <c r="H145" s="11" t="s">
        <v>6533</v>
      </c>
      <c r="I145" s="11" t="s">
        <v>6516</v>
      </c>
      <c r="J145" s="11" t="s">
        <v>6912</v>
      </c>
      <c r="K145" s="11" t="s">
        <v>475</v>
      </c>
      <c r="L145" s="11" t="s">
        <v>5044</v>
      </c>
      <c r="M145" s="11">
        <v>0</v>
      </c>
      <c r="N145" s="9" t="s">
        <v>5044</v>
      </c>
      <c r="O145" s="9" t="s">
        <v>5044</v>
      </c>
      <c r="P145" s="11">
        <v>0</v>
      </c>
      <c r="Q145" s="11">
        <v>0</v>
      </c>
      <c r="R145" s="11">
        <v>0</v>
      </c>
      <c r="S145" s="11">
        <v>1</v>
      </c>
      <c r="T145" s="11">
        <v>1</v>
      </c>
      <c r="U145" s="11">
        <v>360</v>
      </c>
      <c r="V145" s="11">
        <v>0</v>
      </c>
      <c r="W145" s="11">
        <v>1</v>
      </c>
      <c r="X145" s="11">
        <v>0</v>
      </c>
      <c r="Y145" s="11">
        <v>0</v>
      </c>
      <c r="Z145" s="11">
        <v>0</v>
      </c>
      <c r="AA145" s="11">
        <v>0</v>
      </c>
      <c r="AB145" s="11">
        <v>1</v>
      </c>
      <c r="AC145" s="11">
        <v>1</v>
      </c>
      <c r="AD145" s="11" t="s">
        <v>5044</v>
      </c>
      <c r="AE145" s="11" t="s">
        <v>5044</v>
      </c>
      <c r="AF145" s="11" t="s">
        <v>5044</v>
      </c>
      <c r="AG145" s="11">
        <v>2</v>
      </c>
      <c r="AH145" s="11">
        <v>2</v>
      </c>
      <c r="AI145" s="11">
        <v>2</v>
      </c>
      <c r="AJ145" s="11" t="s">
        <v>5044</v>
      </c>
      <c r="AK145" s="11" t="s">
        <v>5318</v>
      </c>
      <c r="AL145" s="11">
        <v>0</v>
      </c>
      <c r="AM145" s="11">
        <v>0</v>
      </c>
      <c r="AN145" s="11" t="s">
        <v>5318</v>
      </c>
      <c r="AO145" s="11" t="s">
        <v>5318</v>
      </c>
      <c r="AP145" s="11" t="s">
        <v>5318</v>
      </c>
      <c r="AQ145" s="11" t="s">
        <v>5318</v>
      </c>
    </row>
    <row r="146" spans="1:43" ht="63" customHeight="1" x14ac:dyDescent="0.2">
      <c r="A146" s="10">
        <v>1580</v>
      </c>
      <c r="B146" s="11" t="s">
        <v>6913</v>
      </c>
      <c r="C146" s="11" t="s">
        <v>476</v>
      </c>
      <c r="D146" s="11">
        <v>2016</v>
      </c>
      <c r="E146" s="11" t="s">
        <v>5318</v>
      </c>
      <c r="F146" s="11">
        <v>160</v>
      </c>
      <c r="G146" s="11">
        <v>1</v>
      </c>
      <c r="H146" s="11" t="s">
        <v>6553</v>
      </c>
      <c r="I146" s="11" t="s">
        <v>6516</v>
      </c>
      <c r="J146" s="11" t="s">
        <v>6914</v>
      </c>
      <c r="K146" s="11" t="s">
        <v>478</v>
      </c>
      <c r="L146" s="16" t="s">
        <v>5432</v>
      </c>
      <c r="M146" s="11">
        <v>0</v>
      </c>
      <c r="N146" s="9" t="s">
        <v>5044</v>
      </c>
      <c r="O146" s="9" t="s">
        <v>5044</v>
      </c>
      <c r="P146" s="11">
        <v>0</v>
      </c>
      <c r="Q146" s="11">
        <v>0</v>
      </c>
      <c r="R146" s="11">
        <v>0</v>
      </c>
      <c r="S146" s="11">
        <v>1</v>
      </c>
      <c r="T146" s="11">
        <v>4</v>
      </c>
      <c r="U146" s="11">
        <v>40</v>
      </c>
      <c r="V146" s="11">
        <v>0</v>
      </c>
      <c r="W146" s="11">
        <v>1</v>
      </c>
      <c r="X146" s="11">
        <v>0</v>
      </c>
      <c r="Y146" s="11">
        <v>0</v>
      </c>
      <c r="Z146" s="11">
        <v>0</v>
      </c>
      <c r="AA146" s="11">
        <v>0</v>
      </c>
      <c r="AB146" s="11">
        <v>1</v>
      </c>
      <c r="AC146" s="11">
        <v>1</v>
      </c>
      <c r="AD146" s="11" t="s">
        <v>5044</v>
      </c>
      <c r="AE146" s="11" t="s">
        <v>5044</v>
      </c>
      <c r="AF146" s="11" t="s">
        <v>5044</v>
      </c>
      <c r="AG146" s="11">
        <v>2</v>
      </c>
      <c r="AH146" s="11">
        <v>3</v>
      </c>
      <c r="AI146" s="11">
        <v>0</v>
      </c>
      <c r="AJ146" s="11" t="s">
        <v>5044</v>
      </c>
      <c r="AK146" s="11">
        <v>1</v>
      </c>
      <c r="AL146" s="11">
        <v>1</v>
      </c>
      <c r="AM146" s="11">
        <v>0</v>
      </c>
      <c r="AN146" s="11" t="s">
        <v>5318</v>
      </c>
      <c r="AO146" s="11" t="s">
        <v>5318</v>
      </c>
      <c r="AP146" s="11" t="s">
        <v>5318</v>
      </c>
      <c r="AQ146" s="11" t="s">
        <v>5318</v>
      </c>
    </row>
    <row r="147" spans="1:43" ht="63" customHeight="1" x14ac:dyDescent="0.2">
      <c r="A147" s="10">
        <v>1608</v>
      </c>
      <c r="B147" s="11" t="s">
        <v>6915</v>
      </c>
      <c r="C147" s="11" t="s">
        <v>479</v>
      </c>
      <c r="D147" s="11">
        <v>2017</v>
      </c>
      <c r="E147" s="11" t="s">
        <v>5318</v>
      </c>
      <c r="F147" s="11">
        <v>161</v>
      </c>
      <c r="G147" s="11">
        <v>6</v>
      </c>
      <c r="H147" s="11" t="s">
        <v>6553</v>
      </c>
      <c r="I147" s="11" t="s">
        <v>6516</v>
      </c>
      <c r="J147" s="11" t="s">
        <v>6916</v>
      </c>
      <c r="K147" s="11" t="s">
        <v>480</v>
      </c>
      <c r="L147" s="12" t="s">
        <v>5433</v>
      </c>
      <c r="M147" s="11">
        <v>0</v>
      </c>
      <c r="N147" s="9" t="s">
        <v>5044</v>
      </c>
      <c r="O147" s="9" t="s">
        <v>5044</v>
      </c>
      <c r="P147" s="11">
        <v>0</v>
      </c>
      <c r="Q147" s="11">
        <v>0</v>
      </c>
      <c r="R147" s="11">
        <v>0</v>
      </c>
      <c r="S147" s="11">
        <v>1</v>
      </c>
      <c r="T147" s="11">
        <v>4</v>
      </c>
      <c r="U147" s="11">
        <v>90</v>
      </c>
      <c r="V147" s="11">
        <v>0</v>
      </c>
      <c r="W147" s="11">
        <v>1</v>
      </c>
      <c r="X147" s="11">
        <v>0</v>
      </c>
      <c r="Y147" s="11">
        <v>0</v>
      </c>
      <c r="Z147" s="11">
        <v>0</v>
      </c>
      <c r="AA147" s="11">
        <v>0</v>
      </c>
      <c r="AB147" s="11">
        <v>1</v>
      </c>
      <c r="AC147" s="11">
        <v>1</v>
      </c>
      <c r="AD147" s="11" t="s">
        <v>5044</v>
      </c>
      <c r="AE147" s="11" t="s">
        <v>5044</v>
      </c>
      <c r="AF147" s="11" t="s">
        <v>5044</v>
      </c>
      <c r="AG147" s="11">
        <v>2</v>
      </c>
      <c r="AH147" s="11">
        <v>1</v>
      </c>
      <c r="AI147" s="11">
        <v>2</v>
      </c>
      <c r="AJ147" s="11" t="s">
        <v>5044</v>
      </c>
      <c r="AK147" s="11" t="s">
        <v>5318</v>
      </c>
      <c r="AL147" s="11">
        <v>2</v>
      </c>
      <c r="AM147" s="11">
        <v>0</v>
      </c>
      <c r="AN147" s="11" t="s">
        <v>5318</v>
      </c>
      <c r="AO147" s="11" t="s">
        <v>5318</v>
      </c>
      <c r="AP147" s="11" t="s">
        <v>5318</v>
      </c>
      <c r="AQ147" s="11" t="s">
        <v>5318</v>
      </c>
    </row>
    <row r="148" spans="1:43" ht="63" customHeight="1" x14ac:dyDescent="0.2">
      <c r="A148" s="10">
        <v>1614</v>
      </c>
      <c r="B148" s="11" t="s">
        <v>6917</v>
      </c>
      <c r="C148" s="11" t="s">
        <v>481</v>
      </c>
      <c r="D148" s="11">
        <v>2017</v>
      </c>
      <c r="E148" s="11" t="s">
        <v>5318</v>
      </c>
      <c r="F148" s="11">
        <v>104</v>
      </c>
      <c r="G148" s="11">
        <v>5</v>
      </c>
      <c r="H148" s="11" t="s">
        <v>6530</v>
      </c>
      <c r="I148" s="11" t="s">
        <v>6516</v>
      </c>
      <c r="J148" s="11" t="s">
        <v>6918</v>
      </c>
      <c r="K148" s="11" t="s">
        <v>482</v>
      </c>
      <c r="L148" s="12" t="s">
        <v>5434</v>
      </c>
      <c r="M148" s="11">
        <v>0</v>
      </c>
      <c r="N148" s="9" t="s">
        <v>5044</v>
      </c>
      <c r="O148" s="9" t="s">
        <v>5044</v>
      </c>
      <c r="P148" s="11">
        <v>0</v>
      </c>
      <c r="Q148" s="11">
        <v>0</v>
      </c>
      <c r="R148" s="11">
        <v>0</v>
      </c>
      <c r="S148" s="11">
        <v>1</v>
      </c>
      <c r="T148" s="11">
        <v>4</v>
      </c>
      <c r="U148" s="11">
        <v>80</v>
      </c>
      <c r="V148" s="11">
        <v>0</v>
      </c>
      <c r="W148" s="11">
        <v>1</v>
      </c>
      <c r="X148" s="11">
        <v>0</v>
      </c>
      <c r="Y148" s="11">
        <v>0</v>
      </c>
      <c r="Z148" s="11">
        <v>1</v>
      </c>
      <c r="AA148" s="11">
        <v>0</v>
      </c>
      <c r="AB148" s="11">
        <v>1</v>
      </c>
      <c r="AC148" s="11">
        <v>1</v>
      </c>
      <c r="AD148" s="11" t="s">
        <v>5044</v>
      </c>
      <c r="AE148" s="11" t="s">
        <v>5044</v>
      </c>
      <c r="AF148" s="11" t="s">
        <v>5044</v>
      </c>
      <c r="AG148" s="11">
        <v>2</v>
      </c>
      <c r="AH148" s="11">
        <v>3</v>
      </c>
      <c r="AI148" s="11">
        <v>0</v>
      </c>
      <c r="AJ148" s="11">
        <v>0</v>
      </c>
      <c r="AK148" s="11">
        <v>1</v>
      </c>
      <c r="AL148" s="11">
        <v>0</v>
      </c>
      <c r="AM148" s="11">
        <v>0</v>
      </c>
      <c r="AN148" s="11" t="s">
        <v>5318</v>
      </c>
      <c r="AO148" s="11" t="s">
        <v>5318</v>
      </c>
      <c r="AP148" s="11" t="s">
        <v>5318</v>
      </c>
      <c r="AQ148" s="11" t="s">
        <v>5318</v>
      </c>
    </row>
    <row r="149" spans="1:43" ht="63" customHeight="1" x14ac:dyDescent="0.2">
      <c r="A149" s="10">
        <v>1620</v>
      </c>
      <c r="B149" s="11" t="s">
        <v>6919</v>
      </c>
      <c r="C149" s="11" t="s">
        <v>483</v>
      </c>
      <c r="D149" s="11">
        <v>2020</v>
      </c>
      <c r="E149" s="11" t="s">
        <v>5318</v>
      </c>
      <c r="F149" s="11">
        <v>68</v>
      </c>
      <c r="G149" s="11">
        <v>3</v>
      </c>
      <c r="H149" s="11" t="s">
        <v>6920</v>
      </c>
      <c r="I149" s="11" t="s">
        <v>6516</v>
      </c>
      <c r="J149" s="11" t="s">
        <v>6921</v>
      </c>
      <c r="K149" s="11" t="s">
        <v>484</v>
      </c>
      <c r="L149" s="12" t="s">
        <v>5435</v>
      </c>
      <c r="M149" s="11">
        <v>0</v>
      </c>
      <c r="N149" s="9" t="s">
        <v>5044</v>
      </c>
      <c r="O149" s="9" t="s">
        <v>5044</v>
      </c>
      <c r="P149" s="11">
        <v>0</v>
      </c>
      <c r="Q149" s="11">
        <v>0</v>
      </c>
      <c r="R149" s="11">
        <v>0</v>
      </c>
      <c r="S149" s="11">
        <v>7</v>
      </c>
      <c r="T149" s="11">
        <v>4</v>
      </c>
      <c r="U149" s="11">
        <v>46</v>
      </c>
      <c r="V149" s="11">
        <v>0</v>
      </c>
      <c r="W149" s="11">
        <v>1</v>
      </c>
      <c r="X149" s="11">
        <v>0</v>
      </c>
      <c r="Y149" s="11">
        <v>0</v>
      </c>
      <c r="Z149" s="11">
        <v>0</v>
      </c>
      <c r="AA149" s="11">
        <v>0</v>
      </c>
      <c r="AB149" s="11">
        <v>1</v>
      </c>
      <c r="AC149" s="11">
        <v>1</v>
      </c>
      <c r="AD149" s="11" t="s">
        <v>5044</v>
      </c>
      <c r="AE149" s="11" t="s">
        <v>5044</v>
      </c>
      <c r="AF149" s="11" t="s">
        <v>5044</v>
      </c>
      <c r="AG149" s="11">
        <v>2</v>
      </c>
      <c r="AH149" s="11">
        <v>1</v>
      </c>
      <c r="AI149" s="11">
        <v>2</v>
      </c>
      <c r="AJ149" s="11" t="s">
        <v>5044</v>
      </c>
      <c r="AK149" s="11" t="s">
        <v>5318</v>
      </c>
      <c r="AL149" s="11">
        <v>0</v>
      </c>
      <c r="AM149" s="11">
        <v>0</v>
      </c>
      <c r="AN149" s="11" t="s">
        <v>5318</v>
      </c>
      <c r="AO149" s="11" t="s">
        <v>5318</v>
      </c>
      <c r="AP149" s="11" t="s">
        <v>5318</v>
      </c>
      <c r="AQ149" s="11" t="s">
        <v>5318</v>
      </c>
    </row>
    <row r="150" spans="1:43" ht="63" customHeight="1" x14ac:dyDescent="0.2">
      <c r="A150" s="10">
        <v>1633</v>
      </c>
      <c r="B150" s="11" t="s">
        <v>6922</v>
      </c>
      <c r="C150" s="11" t="s">
        <v>485</v>
      </c>
      <c r="D150" s="11">
        <v>2018</v>
      </c>
      <c r="E150" s="11" t="s">
        <v>5318</v>
      </c>
      <c r="F150" s="11">
        <v>218</v>
      </c>
      <c r="G150" s="11">
        <v>5</v>
      </c>
      <c r="H150" s="11" t="s">
        <v>6923</v>
      </c>
      <c r="I150" s="11" t="s">
        <v>6516</v>
      </c>
      <c r="J150" s="11" t="s">
        <v>6924</v>
      </c>
      <c r="K150" s="11" t="s">
        <v>487</v>
      </c>
      <c r="L150" s="16" t="s">
        <v>5436</v>
      </c>
      <c r="M150" s="11">
        <v>0</v>
      </c>
      <c r="N150" s="9" t="s">
        <v>5044</v>
      </c>
      <c r="O150" s="9" t="s">
        <v>5044</v>
      </c>
      <c r="P150" s="11">
        <v>0</v>
      </c>
      <c r="Q150" s="11">
        <v>0</v>
      </c>
      <c r="R150" s="11">
        <v>0</v>
      </c>
      <c r="S150" s="11">
        <v>5</v>
      </c>
      <c r="T150" s="11">
        <v>1</v>
      </c>
      <c r="U150" s="11">
        <v>1408</v>
      </c>
      <c r="V150" s="11">
        <v>0</v>
      </c>
      <c r="W150" s="11">
        <v>1</v>
      </c>
      <c r="X150" s="11">
        <v>0</v>
      </c>
      <c r="Y150" s="11">
        <v>0</v>
      </c>
      <c r="Z150" s="11">
        <v>0</v>
      </c>
      <c r="AA150" s="11">
        <v>0</v>
      </c>
      <c r="AB150" s="11">
        <v>1</v>
      </c>
      <c r="AC150" s="11">
        <v>0</v>
      </c>
      <c r="AD150" s="11" t="s">
        <v>5044</v>
      </c>
      <c r="AE150" s="11" t="s">
        <v>5044</v>
      </c>
      <c r="AF150" s="11" t="s">
        <v>5044</v>
      </c>
      <c r="AG150" s="11">
        <v>0</v>
      </c>
      <c r="AH150" s="11" t="s">
        <v>5044</v>
      </c>
      <c r="AI150" s="11" t="s">
        <v>5044</v>
      </c>
      <c r="AJ150" s="11" t="s">
        <v>5044</v>
      </c>
      <c r="AK150" s="11" t="s">
        <v>5318</v>
      </c>
      <c r="AL150" s="11">
        <v>1</v>
      </c>
      <c r="AM150" s="11">
        <v>0</v>
      </c>
      <c r="AN150" s="11" t="s">
        <v>5318</v>
      </c>
      <c r="AO150" s="11" t="s">
        <v>5318</v>
      </c>
      <c r="AP150" s="11" t="s">
        <v>5318</v>
      </c>
      <c r="AQ150" s="11" t="s">
        <v>5318</v>
      </c>
    </row>
    <row r="151" spans="1:43" ht="63" customHeight="1" x14ac:dyDescent="0.2">
      <c r="A151" s="10">
        <v>1642</v>
      </c>
      <c r="B151" s="11" t="s">
        <v>6925</v>
      </c>
      <c r="C151" s="11" t="s">
        <v>488</v>
      </c>
      <c r="D151" s="11">
        <v>2011</v>
      </c>
      <c r="E151" s="11" t="s">
        <v>5318</v>
      </c>
      <c r="F151" s="11">
        <v>78</v>
      </c>
      <c r="G151" s="11">
        <v>3</v>
      </c>
      <c r="H151" s="11" t="s">
        <v>6926</v>
      </c>
      <c r="I151" s="11" t="s">
        <v>6516</v>
      </c>
      <c r="J151" s="11" t="s">
        <v>6927</v>
      </c>
      <c r="K151" s="11" t="s">
        <v>491</v>
      </c>
      <c r="L151" s="11" t="s">
        <v>5044</v>
      </c>
      <c r="M151" s="11">
        <v>0</v>
      </c>
      <c r="N151" s="9" t="s">
        <v>5044</v>
      </c>
      <c r="O151" s="9" t="s">
        <v>5044</v>
      </c>
      <c r="P151" s="11">
        <v>0</v>
      </c>
      <c r="Q151" s="11">
        <v>0</v>
      </c>
      <c r="R151" s="11">
        <v>0</v>
      </c>
      <c r="S151" s="11">
        <v>10</v>
      </c>
      <c r="T151" s="11">
        <v>4</v>
      </c>
      <c r="U151" s="11">
        <v>131</v>
      </c>
      <c r="V151" s="11">
        <v>1</v>
      </c>
      <c r="W151" s="11">
        <v>0</v>
      </c>
      <c r="X151" s="11">
        <v>0</v>
      </c>
      <c r="Y151" s="11">
        <v>0</v>
      </c>
      <c r="Z151" s="11">
        <v>0</v>
      </c>
      <c r="AA151" s="11">
        <v>0</v>
      </c>
      <c r="AB151" s="11">
        <v>1</v>
      </c>
      <c r="AC151" s="11">
        <v>1</v>
      </c>
      <c r="AD151" s="11">
        <v>1</v>
      </c>
      <c r="AE151" s="11">
        <v>0</v>
      </c>
      <c r="AF151" s="11">
        <v>0</v>
      </c>
      <c r="AG151" s="11" t="s">
        <v>5044</v>
      </c>
      <c r="AH151" s="11" t="s">
        <v>5044</v>
      </c>
      <c r="AI151" s="11" t="s">
        <v>5044</v>
      </c>
      <c r="AJ151" s="11" t="s">
        <v>5044</v>
      </c>
      <c r="AK151" s="11" t="s">
        <v>5318</v>
      </c>
      <c r="AL151" s="11">
        <v>0</v>
      </c>
      <c r="AM151" s="11">
        <v>0</v>
      </c>
      <c r="AN151" s="11" t="s">
        <v>5318</v>
      </c>
      <c r="AO151" s="11" t="s">
        <v>5318</v>
      </c>
      <c r="AP151" s="11" t="s">
        <v>5318</v>
      </c>
      <c r="AQ151" s="11" t="s">
        <v>5318</v>
      </c>
    </row>
    <row r="152" spans="1:43" ht="63" customHeight="1" x14ac:dyDescent="0.2">
      <c r="A152" s="10">
        <v>1667</v>
      </c>
      <c r="B152" s="11" t="s">
        <v>6928</v>
      </c>
      <c r="C152" s="11" t="s">
        <v>492</v>
      </c>
      <c r="D152" s="11">
        <v>2020</v>
      </c>
      <c r="E152" s="11" t="s">
        <v>5318</v>
      </c>
      <c r="F152" s="11">
        <v>21</v>
      </c>
      <c r="G152" s="11">
        <v>1</v>
      </c>
      <c r="H152" s="11" t="s">
        <v>6538</v>
      </c>
      <c r="I152" s="11" t="s">
        <v>6516</v>
      </c>
      <c r="J152" s="11" t="s">
        <v>6929</v>
      </c>
      <c r="K152" s="11" t="s">
        <v>493</v>
      </c>
      <c r="L152" s="16" t="s">
        <v>5437</v>
      </c>
      <c r="M152" s="11">
        <v>1</v>
      </c>
      <c r="N152" s="11">
        <v>0</v>
      </c>
      <c r="O152" s="9" t="s">
        <v>5044</v>
      </c>
      <c r="P152" s="11">
        <v>0</v>
      </c>
      <c r="Q152" s="11">
        <v>0</v>
      </c>
      <c r="R152" s="11">
        <v>0</v>
      </c>
      <c r="S152" s="11">
        <v>1</v>
      </c>
      <c r="T152" s="11">
        <v>1</v>
      </c>
      <c r="U152" s="11">
        <v>62</v>
      </c>
      <c r="V152" s="11">
        <v>0</v>
      </c>
      <c r="W152" s="11">
        <v>0</v>
      </c>
      <c r="X152" s="11">
        <v>1</v>
      </c>
      <c r="Y152" s="11">
        <v>0</v>
      </c>
      <c r="Z152" s="11">
        <v>0</v>
      </c>
      <c r="AA152" s="11">
        <v>1</v>
      </c>
      <c r="AB152" s="11">
        <v>1</v>
      </c>
      <c r="AC152" s="11" t="s">
        <v>5044</v>
      </c>
      <c r="AD152" s="11" t="s">
        <v>5044</v>
      </c>
      <c r="AE152" s="11" t="s">
        <v>5044</v>
      </c>
      <c r="AF152" s="11" t="s">
        <v>5044</v>
      </c>
      <c r="AG152" s="11" t="s">
        <v>5044</v>
      </c>
      <c r="AH152" s="11" t="s">
        <v>5044</v>
      </c>
      <c r="AI152" s="11" t="s">
        <v>5044</v>
      </c>
      <c r="AJ152" s="11" t="s">
        <v>5044</v>
      </c>
      <c r="AK152" s="11" t="s">
        <v>5318</v>
      </c>
      <c r="AL152" s="11" t="s">
        <v>5044</v>
      </c>
      <c r="AM152" s="11">
        <v>0</v>
      </c>
      <c r="AN152" s="11" t="s">
        <v>6930</v>
      </c>
      <c r="AO152" s="11" t="s">
        <v>5318</v>
      </c>
      <c r="AP152" s="11" t="s">
        <v>5318</v>
      </c>
      <c r="AQ152" s="11" t="s">
        <v>5318</v>
      </c>
    </row>
    <row r="153" spans="1:43" ht="63" customHeight="1" x14ac:dyDescent="0.2">
      <c r="A153" s="10">
        <v>1689</v>
      </c>
      <c r="B153" s="11" t="s">
        <v>6931</v>
      </c>
      <c r="C153" s="11" t="s">
        <v>494</v>
      </c>
      <c r="D153" s="11">
        <v>2019</v>
      </c>
      <c r="E153" s="11" t="s">
        <v>5318</v>
      </c>
      <c r="F153" s="11">
        <v>20</v>
      </c>
      <c r="G153" s="11">
        <v>1</v>
      </c>
      <c r="H153" s="11" t="s">
        <v>6538</v>
      </c>
      <c r="I153" s="11" t="s">
        <v>6516</v>
      </c>
      <c r="J153" s="11" t="s">
        <v>6932</v>
      </c>
      <c r="K153" s="11" t="s">
        <v>495</v>
      </c>
      <c r="L153" s="12" t="s">
        <v>5438</v>
      </c>
      <c r="M153" s="11">
        <v>1</v>
      </c>
      <c r="N153" s="11">
        <v>0</v>
      </c>
      <c r="O153" s="9" t="s">
        <v>5044</v>
      </c>
      <c r="P153" s="11">
        <v>0</v>
      </c>
      <c r="Q153" s="11">
        <v>0</v>
      </c>
      <c r="R153" s="11">
        <v>0</v>
      </c>
      <c r="S153" s="11">
        <v>1</v>
      </c>
      <c r="T153" s="11">
        <v>4</v>
      </c>
      <c r="U153" s="11">
        <v>125</v>
      </c>
      <c r="V153" s="11">
        <v>0</v>
      </c>
      <c r="W153" s="11">
        <v>1</v>
      </c>
      <c r="X153" s="11">
        <v>0</v>
      </c>
      <c r="Y153" s="11">
        <v>0</v>
      </c>
      <c r="Z153" s="11">
        <v>1</v>
      </c>
      <c r="AA153" s="11">
        <v>0</v>
      </c>
      <c r="AB153" s="11">
        <v>1</v>
      </c>
      <c r="AC153" s="11" t="s">
        <v>5044</v>
      </c>
      <c r="AD153" s="11" t="s">
        <v>5044</v>
      </c>
      <c r="AE153" s="11" t="s">
        <v>5044</v>
      </c>
      <c r="AF153" s="11" t="s">
        <v>5044</v>
      </c>
      <c r="AG153" s="11" t="s">
        <v>5044</v>
      </c>
      <c r="AH153" s="11" t="s">
        <v>5044</v>
      </c>
      <c r="AI153" s="11" t="s">
        <v>5044</v>
      </c>
      <c r="AJ153" s="11" t="s">
        <v>5044</v>
      </c>
      <c r="AK153" s="11" t="s">
        <v>5318</v>
      </c>
      <c r="AL153" s="11" t="s">
        <v>5044</v>
      </c>
      <c r="AM153" s="11">
        <v>0</v>
      </c>
      <c r="AN153" s="11" t="s">
        <v>5318</v>
      </c>
      <c r="AO153" s="11" t="s">
        <v>5318</v>
      </c>
      <c r="AP153" s="11" t="s">
        <v>5318</v>
      </c>
      <c r="AQ153" s="11" t="s">
        <v>5318</v>
      </c>
    </row>
    <row r="154" spans="1:43" ht="63" customHeight="1" x14ac:dyDescent="0.2">
      <c r="A154" s="10">
        <v>1735</v>
      </c>
      <c r="B154" s="11" t="s">
        <v>6933</v>
      </c>
      <c r="C154" s="11" t="s">
        <v>496</v>
      </c>
      <c r="D154" s="11">
        <v>2018</v>
      </c>
      <c r="E154" s="11" t="s">
        <v>5318</v>
      </c>
      <c r="F154" s="11">
        <v>24</v>
      </c>
      <c r="G154" s="11">
        <v>4</v>
      </c>
      <c r="H154" s="11" t="s">
        <v>6934</v>
      </c>
      <c r="I154" s="11" t="s">
        <v>6516</v>
      </c>
      <c r="J154" s="11" t="s">
        <v>6935</v>
      </c>
      <c r="K154" s="11" t="s">
        <v>498</v>
      </c>
      <c r="L154" s="11" t="s">
        <v>5044</v>
      </c>
      <c r="M154" s="11">
        <v>0</v>
      </c>
      <c r="N154" s="9" t="s">
        <v>5044</v>
      </c>
      <c r="O154" s="9" t="s">
        <v>5044</v>
      </c>
      <c r="P154" s="11">
        <v>0</v>
      </c>
      <c r="Q154" s="11">
        <v>0</v>
      </c>
      <c r="R154" s="11">
        <v>0</v>
      </c>
      <c r="S154" s="11">
        <v>9</v>
      </c>
      <c r="T154" s="11">
        <v>2</v>
      </c>
      <c r="U154" s="11">
        <v>20</v>
      </c>
      <c r="V154" s="11">
        <v>0</v>
      </c>
      <c r="W154" s="11">
        <v>1</v>
      </c>
      <c r="X154" s="11">
        <v>0</v>
      </c>
      <c r="Y154" s="11">
        <v>0</v>
      </c>
      <c r="Z154" s="11">
        <v>0</v>
      </c>
      <c r="AA154" s="11">
        <v>0</v>
      </c>
      <c r="AB154" s="11">
        <v>1</v>
      </c>
      <c r="AC154" s="11">
        <v>1</v>
      </c>
      <c r="AD154" s="11" t="s">
        <v>5044</v>
      </c>
      <c r="AE154" s="11" t="s">
        <v>5044</v>
      </c>
      <c r="AF154" s="11" t="s">
        <v>5044</v>
      </c>
      <c r="AG154" s="11">
        <v>2</v>
      </c>
      <c r="AH154" s="11">
        <v>3</v>
      </c>
      <c r="AI154" s="11">
        <v>0</v>
      </c>
      <c r="AJ154" s="11" t="s">
        <v>5044</v>
      </c>
      <c r="AK154" s="11" t="s">
        <v>5318</v>
      </c>
      <c r="AL154" s="11">
        <v>0</v>
      </c>
      <c r="AM154" s="11">
        <v>0</v>
      </c>
      <c r="AN154" s="11" t="s">
        <v>5318</v>
      </c>
      <c r="AO154" s="11" t="s">
        <v>5318</v>
      </c>
      <c r="AP154" s="11" t="s">
        <v>5318</v>
      </c>
      <c r="AQ154" s="11" t="s">
        <v>5318</v>
      </c>
    </row>
    <row r="155" spans="1:43" ht="63" customHeight="1" x14ac:dyDescent="0.2">
      <c r="A155" s="10">
        <v>1749</v>
      </c>
      <c r="B155" s="11" t="s">
        <v>6936</v>
      </c>
      <c r="C155" s="11" t="s">
        <v>499</v>
      </c>
      <c r="D155" s="11">
        <v>2019</v>
      </c>
      <c r="E155" s="11" t="s">
        <v>5318</v>
      </c>
      <c r="F155" s="11">
        <v>62</v>
      </c>
      <c r="G155" s="11">
        <v>8</v>
      </c>
      <c r="H155" s="11" t="s">
        <v>6598</v>
      </c>
      <c r="I155" s="11" t="s">
        <v>6516</v>
      </c>
      <c r="J155" s="11" t="s">
        <v>6937</v>
      </c>
      <c r="K155" s="11" t="s">
        <v>500</v>
      </c>
      <c r="L155" s="16" t="s">
        <v>5439</v>
      </c>
      <c r="M155" s="11">
        <v>0</v>
      </c>
      <c r="N155" s="9" t="s">
        <v>5044</v>
      </c>
      <c r="O155" s="9" t="s">
        <v>5044</v>
      </c>
      <c r="P155" s="11">
        <v>0</v>
      </c>
      <c r="Q155" s="11">
        <v>0</v>
      </c>
      <c r="R155" s="11">
        <v>0</v>
      </c>
      <c r="S155" s="11">
        <v>1</v>
      </c>
      <c r="T155" s="11">
        <v>1</v>
      </c>
      <c r="U155" s="11">
        <v>80</v>
      </c>
      <c r="V155" s="11">
        <v>0</v>
      </c>
      <c r="W155" s="11">
        <v>1</v>
      </c>
      <c r="X155" s="11">
        <v>0</v>
      </c>
      <c r="Y155" s="11">
        <v>0</v>
      </c>
      <c r="Z155" s="11">
        <v>0</v>
      </c>
      <c r="AA155" s="11">
        <v>0</v>
      </c>
      <c r="AB155" s="11">
        <v>1</v>
      </c>
      <c r="AC155" s="11">
        <v>1</v>
      </c>
      <c r="AD155" s="11" t="s">
        <v>5044</v>
      </c>
      <c r="AE155" s="11" t="s">
        <v>5044</v>
      </c>
      <c r="AF155" s="11" t="s">
        <v>5044</v>
      </c>
      <c r="AG155" s="11">
        <v>1</v>
      </c>
      <c r="AH155" s="11">
        <v>0</v>
      </c>
      <c r="AI155" s="11">
        <v>0</v>
      </c>
      <c r="AJ155" s="11" t="s">
        <v>5044</v>
      </c>
      <c r="AK155" s="11" t="s">
        <v>5318</v>
      </c>
      <c r="AL155" s="11">
        <v>1</v>
      </c>
      <c r="AM155" s="11">
        <v>0</v>
      </c>
      <c r="AN155" s="11" t="s">
        <v>5318</v>
      </c>
      <c r="AO155" s="11" t="s">
        <v>5318</v>
      </c>
      <c r="AP155" s="11" t="s">
        <v>5318</v>
      </c>
      <c r="AQ155" s="11" t="s">
        <v>5318</v>
      </c>
    </row>
    <row r="156" spans="1:43" ht="63" customHeight="1" x14ac:dyDescent="0.2">
      <c r="A156" s="10">
        <v>1782</v>
      </c>
      <c r="B156" s="11" t="s">
        <v>6941</v>
      </c>
      <c r="C156" s="11" t="s">
        <v>504</v>
      </c>
      <c r="D156" s="11">
        <v>2016</v>
      </c>
      <c r="E156" s="11" t="s">
        <v>5318</v>
      </c>
      <c r="F156" s="11">
        <v>128</v>
      </c>
      <c r="G156" s="11">
        <v>4</v>
      </c>
      <c r="H156" s="11" t="s">
        <v>6831</v>
      </c>
      <c r="I156" s="11" t="s">
        <v>6878</v>
      </c>
      <c r="J156" s="11" t="s">
        <v>6942</v>
      </c>
      <c r="K156" s="11" t="s">
        <v>506</v>
      </c>
      <c r="L156" s="12" t="s">
        <v>5441</v>
      </c>
      <c r="M156" s="11">
        <v>0</v>
      </c>
      <c r="N156" s="9" t="s">
        <v>5044</v>
      </c>
      <c r="O156" s="9" t="s">
        <v>5044</v>
      </c>
      <c r="P156" s="11">
        <v>0</v>
      </c>
      <c r="Q156" s="11">
        <v>0</v>
      </c>
      <c r="R156" s="11">
        <v>0</v>
      </c>
      <c r="S156" s="11">
        <v>5</v>
      </c>
      <c r="T156" s="11">
        <v>2</v>
      </c>
      <c r="U156" s="11">
        <v>113</v>
      </c>
      <c r="V156" s="11">
        <v>0</v>
      </c>
      <c r="W156" s="11">
        <v>1</v>
      </c>
      <c r="X156" s="11">
        <v>0</v>
      </c>
      <c r="Y156" s="11">
        <v>0</v>
      </c>
      <c r="Z156" s="11">
        <v>0</v>
      </c>
      <c r="AA156" s="11">
        <v>0</v>
      </c>
      <c r="AB156" s="11">
        <v>1</v>
      </c>
      <c r="AC156" s="11">
        <v>1</v>
      </c>
      <c r="AD156" s="11" t="s">
        <v>5044</v>
      </c>
      <c r="AE156" s="11" t="s">
        <v>5044</v>
      </c>
      <c r="AF156" s="11" t="s">
        <v>5044</v>
      </c>
      <c r="AG156" s="11">
        <v>2</v>
      </c>
      <c r="AH156" s="11">
        <v>2</v>
      </c>
      <c r="AI156" s="11">
        <v>2</v>
      </c>
      <c r="AJ156" s="11" t="s">
        <v>5044</v>
      </c>
      <c r="AK156" s="11" t="s">
        <v>5318</v>
      </c>
      <c r="AL156" s="11">
        <v>0</v>
      </c>
      <c r="AM156" s="11">
        <v>0</v>
      </c>
      <c r="AN156" s="11" t="s">
        <v>5318</v>
      </c>
      <c r="AO156" s="11" t="s">
        <v>5318</v>
      </c>
      <c r="AP156" s="11" t="s">
        <v>5318</v>
      </c>
      <c r="AQ156" s="11" t="s">
        <v>5318</v>
      </c>
    </row>
    <row r="157" spans="1:43" ht="63" customHeight="1" x14ac:dyDescent="0.2">
      <c r="A157" s="10">
        <v>1785</v>
      </c>
      <c r="B157" s="11" t="s">
        <v>6943</v>
      </c>
      <c r="C157" s="11" t="s">
        <v>507</v>
      </c>
      <c r="D157" s="11">
        <v>2021</v>
      </c>
      <c r="E157" s="11" t="s">
        <v>5318</v>
      </c>
      <c r="F157" s="11">
        <v>274</v>
      </c>
      <c r="G157" s="11">
        <v>6</v>
      </c>
      <c r="H157" s="11" t="s">
        <v>6533</v>
      </c>
      <c r="I157" s="11" t="s">
        <v>6516</v>
      </c>
      <c r="J157" s="11" t="s">
        <v>6944</v>
      </c>
      <c r="K157" s="11" t="s">
        <v>508</v>
      </c>
      <c r="L157" s="16" t="s">
        <v>5442</v>
      </c>
      <c r="M157" s="11">
        <v>0</v>
      </c>
      <c r="N157" s="9" t="s">
        <v>5044</v>
      </c>
      <c r="O157" s="9" t="s">
        <v>5044</v>
      </c>
      <c r="P157" s="11">
        <v>0</v>
      </c>
      <c r="Q157" s="11">
        <v>0</v>
      </c>
      <c r="R157" s="11">
        <v>0</v>
      </c>
      <c r="S157" s="11">
        <v>1</v>
      </c>
      <c r="T157" s="11">
        <v>4</v>
      </c>
      <c r="U157" s="11">
        <v>212</v>
      </c>
      <c r="V157" s="11">
        <v>0</v>
      </c>
      <c r="W157" s="11">
        <v>1</v>
      </c>
      <c r="X157" s="11">
        <v>0</v>
      </c>
      <c r="Y157" s="11">
        <v>0</v>
      </c>
      <c r="Z157" s="11">
        <v>0</v>
      </c>
      <c r="AA157" s="11">
        <v>0</v>
      </c>
      <c r="AB157" s="11">
        <v>1</v>
      </c>
      <c r="AC157" s="11">
        <v>0</v>
      </c>
      <c r="AD157" s="11" t="s">
        <v>5044</v>
      </c>
      <c r="AE157" s="11" t="s">
        <v>5044</v>
      </c>
      <c r="AF157" s="11" t="s">
        <v>5044</v>
      </c>
      <c r="AG157" s="11">
        <v>0</v>
      </c>
      <c r="AH157" s="11" t="s">
        <v>5044</v>
      </c>
      <c r="AI157" s="11" t="s">
        <v>5044</v>
      </c>
      <c r="AJ157" s="11" t="s">
        <v>5044</v>
      </c>
      <c r="AK157" s="11" t="s">
        <v>5318</v>
      </c>
      <c r="AL157" s="11">
        <v>0</v>
      </c>
      <c r="AM157" s="11">
        <v>0</v>
      </c>
      <c r="AN157" s="11" t="s">
        <v>5318</v>
      </c>
      <c r="AO157" s="11" t="s">
        <v>5318</v>
      </c>
      <c r="AP157" s="11" t="s">
        <v>5318</v>
      </c>
      <c r="AQ157" s="11" t="s">
        <v>5318</v>
      </c>
    </row>
    <row r="158" spans="1:43" ht="63" customHeight="1" x14ac:dyDescent="0.2">
      <c r="A158" s="10">
        <v>1801</v>
      </c>
      <c r="B158" s="11" t="s">
        <v>6945</v>
      </c>
      <c r="C158" s="11" t="s">
        <v>509</v>
      </c>
      <c r="D158" s="11">
        <v>2014</v>
      </c>
      <c r="E158" s="11" t="s">
        <v>5318</v>
      </c>
      <c r="F158" s="11">
        <v>38</v>
      </c>
      <c r="G158" s="11">
        <v>9</v>
      </c>
      <c r="H158" s="11" t="s">
        <v>6745</v>
      </c>
      <c r="I158" s="11" t="s">
        <v>6516</v>
      </c>
      <c r="J158" s="11" t="s">
        <v>6946</v>
      </c>
      <c r="K158" s="11" t="s">
        <v>510</v>
      </c>
      <c r="L158" s="12" t="s">
        <v>5443</v>
      </c>
      <c r="M158" s="11">
        <v>0</v>
      </c>
      <c r="N158" s="9" t="s">
        <v>5044</v>
      </c>
      <c r="O158" s="9" t="s">
        <v>5044</v>
      </c>
      <c r="P158" s="11">
        <v>0</v>
      </c>
      <c r="Q158" s="11">
        <v>0</v>
      </c>
      <c r="R158" s="11">
        <v>0</v>
      </c>
      <c r="S158" s="11">
        <v>1</v>
      </c>
      <c r="T158" s="11">
        <v>3</v>
      </c>
      <c r="U158" s="11">
        <v>42</v>
      </c>
      <c r="V158" s="11">
        <v>0</v>
      </c>
      <c r="W158" s="11">
        <v>1</v>
      </c>
      <c r="X158" s="11">
        <v>0</v>
      </c>
      <c r="Y158" s="11">
        <v>0</v>
      </c>
      <c r="Z158" s="11">
        <v>0</v>
      </c>
      <c r="AA158" s="11">
        <v>0</v>
      </c>
      <c r="AB158" s="11">
        <v>1</v>
      </c>
      <c r="AC158" s="11">
        <v>1</v>
      </c>
      <c r="AD158" s="11" t="s">
        <v>5044</v>
      </c>
      <c r="AE158" s="11" t="s">
        <v>5044</v>
      </c>
      <c r="AF158" s="11" t="s">
        <v>5044</v>
      </c>
      <c r="AG158" s="11">
        <v>2</v>
      </c>
      <c r="AH158" s="11">
        <v>2</v>
      </c>
      <c r="AI158" s="11">
        <v>2</v>
      </c>
      <c r="AJ158" s="11" t="s">
        <v>5044</v>
      </c>
      <c r="AK158" s="11" t="s">
        <v>5318</v>
      </c>
      <c r="AL158" s="11" t="s">
        <v>5044</v>
      </c>
      <c r="AM158" s="11">
        <v>0</v>
      </c>
      <c r="AN158" s="11" t="s">
        <v>5105</v>
      </c>
      <c r="AO158" s="11" t="s">
        <v>5318</v>
      </c>
      <c r="AP158" s="11" t="s">
        <v>5318</v>
      </c>
      <c r="AQ158" s="11" t="s">
        <v>5318</v>
      </c>
    </row>
    <row r="159" spans="1:43" ht="63" customHeight="1" x14ac:dyDescent="0.2">
      <c r="A159" s="10">
        <v>1810</v>
      </c>
      <c r="B159" s="11" t="s">
        <v>6949</v>
      </c>
      <c r="C159" s="11" t="s">
        <v>514</v>
      </c>
      <c r="D159" s="11">
        <v>2023</v>
      </c>
      <c r="E159" s="11" t="s">
        <v>5318</v>
      </c>
      <c r="F159" s="11" t="s">
        <v>5318</v>
      </c>
      <c r="G159" s="11" t="s">
        <v>5318</v>
      </c>
      <c r="H159" s="11" t="s">
        <v>6482</v>
      </c>
      <c r="I159" s="11" t="s">
        <v>6516</v>
      </c>
      <c r="J159" s="11" t="s">
        <v>6950</v>
      </c>
      <c r="K159" s="11" t="s">
        <v>515</v>
      </c>
      <c r="L159" s="12" t="s">
        <v>5444</v>
      </c>
      <c r="M159" s="11">
        <v>0</v>
      </c>
      <c r="N159" s="9" t="s">
        <v>5044</v>
      </c>
      <c r="O159" s="9" t="s">
        <v>5044</v>
      </c>
      <c r="P159" s="11">
        <v>0</v>
      </c>
      <c r="Q159" s="11">
        <v>0</v>
      </c>
      <c r="R159" s="11">
        <v>0</v>
      </c>
      <c r="S159" s="11">
        <v>9</v>
      </c>
      <c r="T159" s="11">
        <v>1</v>
      </c>
      <c r="U159" s="11">
        <v>84</v>
      </c>
      <c r="V159" s="11">
        <v>0</v>
      </c>
      <c r="W159" s="11">
        <v>1</v>
      </c>
      <c r="X159" s="11">
        <v>0</v>
      </c>
      <c r="Y159" s="11">
        <v>0</v>
      </c>
      <c r="Z159" s="11">
        <v>1</v>
      </c>
      <c r="AA159" s="11">
        <v>0</v>
      </c>
      <c r="AB159" s="11">
        <v>1</v>
      </c>
      <c r="AC159" s="11">
        <v>1</v>
      </c>
      <c r="AD159" s="11" t="s">
        <v>5044</v>
      </c>
      <c r="AE159" s="11" t="s">
        <v>5044</v>
      </c>
      <c r="AF159" s="11" t="s">
        <v>5044</v>
      </c>
      <c r="AG159" s="11">
        <v>0</v>
      </c>
      <c r="AH159" s="11" t="s">
        <v>5044</v>
      </c>
      <c r="AI159" s="11" t="s">
        <v>5044</v>
      </c>
      <c r="AJ159" s="11">
        <v>0</v>
      </c>
      <c r="AK159" s="11" t="s">
        <v>5465</v>
      </c>
      <c r="AL159" s="11">
        <v>1</v>
      </c>
      <c r="AM159" s="11">
        <v>0</v>
      </c>
      <c r="AN159" s="11" t="s">
        <v>5466</v>
      </c>
      <c r="AO159" s="11" t="s">
        <v>5318</v>
      </c>
      <c r="AP159" s="11" t="s">
        <v>5318</v>
      </c>
      <c r="AQ159" s="11" t="s">
        <v>5318</v>
      </c>
    </row>
    <row r="160" spans="1:43" ht="63" customHeight="1" x14ac:dyDescent="0.2">
      <c r="A160" s="10">
        <v>1821</v>
      </c>
      <c r="B160" s="11" t="s">
        <v>6951</v>
      </c>
      <c r="C160" s="11" t="s">
        <v>516</v>
      </c>
      <c r="D160" s="11">
        <v>2013</v>
      </c>
      <c r="E160" s="11" t="s">
        <v>5318</v>
      </c>
      <c r="F160" s="11">
        <v>14</v>
      </c>
      <c r="G160" s="11">
        <v>7</v>
      </c>
      <c r="H160" s="11" t="s">
        <v>6687</v>
      </c>
      <c r="I160" s="11" t="s">
        <v>6516</v>
      </c>
      <c r="J160" s="11" t="s">
        <v>6952</v>
      </c>
      <c r="K160" s="11" t="s">
        <v>517</v>
      </c>
      <c r="L160" s="16" t="s">
        <v>5445</v>
      </c>
      <c r="M160" s="11">
        <v>0</v>
      </c>
      <c r="N160" s="9" t="s">
        <v>5044</v>
      </c>
      <c r="O160" s="9" t="s">
        <v>5044</v>
      </c>
      <c r="P160" s="11">
        <v>0</v>
      </c>
      <c r="Q160" s="11">
        <v>0</v>
      </c>
      <c r="R160" s="11">
        <v>0</v>
      </c>
      <c r="S160" s="11">
        <v>1</v>
      </c>
      <c r="T160" s="11">
        <v>1</v>
      </c>
      <c r="U160" s="11">
        <v>329</v>
      </c>
      <c r="V160" s="11">
        <v>0</v>
      </c>
      <c r="W160" s="11">
        <v>1</v>
      </c>
      <c r="X160" s="11">
        <v>0</v>
      </c>
      <c r="Y160" s="11">
        <v>0</v>
      </c>
      <c r="Z160" s="11">
        <v>0</v>
      </c>
      <c r="AA160" s="11">
        <v>0</v>
      </c>
      <c r="AB160" s="11">
        <v>1</v>
      </c>
      <c r="AC160" s="11">
        <v>1</v>
      </c>
      <c r="AD160" s="11" t="s">
        <v>5044</v>
      </c>
      <c r="AE160" s="11" t="s">
        <v>5044</v>
      </c>
      <c r="AF160" s="11" t="s">
        <v>5044</v>
      </c>
      <c r="AG160" s="11">
        <v>2</v>
      </c>
      <c r="AH160" s="11">
        <v>2</v>
      </c>
      <c r="AI160" s="11">
        <v>2</v>
      </c>
      <c r="AJ160" s="11" t="s">
        <v>5044</v>
      </c>
      <c r="AK160" s="11" t="s">
        <v>5318</v>
      </c>
      <c r="AL160" s="11">
        <v>1</v>
      </c>
      <c r="AM160" s="11">
        <v>0</v>
      </c>
      <c r="AN160" s="11" t="s">
        <v>5318</v>
      </c>
      <c r="AO160" s="11" t="s">
        <v>5318</v>
      </c>
      <c r="AP160" s="11" t="s">
        <v>5318</v>
      </c>
      <c r="AQ160" s="11" t="s">
        <v>5318</v>
      </c>
    </row>
    <row r="161" spans="1:43" ht="63" customHeight="1" x14ac:dyDescent="0.2">
      <c r="A161" s="10">
        <v>1829</v>
      </c>
      <c r="B161" s="11" t="s">
        <v>6953</v>
      </c>
      <c r="C161" s="11" t="s">
        <v>518</v>
      </c>
      <c r="D161" s="11">
        <v>2022</v>
      </c>
      <c r="E161" s="11" t="s">
        <v>305</v>
      </c>
      <c r="F161" s="11">
        <v>23</v>
      </c>
      <c r="G161" s="11">
        <v>1</v>
      </c>
      <c r="H161" s="11" t="s">
        <v>6538</v>
      </c>
      <c r="I161" s="11" t="s">
        <v>6516</v>
      </c>
      <c r="J161" s="11" t="s">
        <v>6954</v>
      </c>
      <c r="K161" s="11" t="s">
        <v>519</v>
      </c>
      <c r="L161" s="16" t="s">
        <v>5446</v>
      </c>
      <c r="M161" s="11">
        <v>1</v>
      </c>
      <c r="N161" s="11">
        <v>0</v>
      </c>
      <c r="O161" s="9" t="s">
        <v>5044</v>
      </c>
      <c r="P161" s="11">
        <v>0</v>
      </c>
      <c r="Q161" s="11">
        <v>0</v>
      </c>
      <c r="R161" s="11">
        <v>0</v>
      </c>
      <c r="S161" s="11">
        <v>3</v>
      </c>
      <c r="T161" s="11">
        <v>1</v>
      </c>
      <c r="U161" s="11">
        <v>42</v>
      </c>
      <c r="V161" s="11">
        <v>0</v>
      </c>
      <c r="W161" s="11">
        <v>1</v>
      </c>
      <c r="X161" s="11">
        <v>0</v>
      </c>
      <c r="Y161" s="11">
        <v>0</v>
      </c>
      <c r="Z161" s="11">
        <v>1</v>
      </c>
      <c r="AA161" s="11">
        <v>0</v>
      </c>
      <c r="AB161" s="11">
        <v>1</v>
      </c>
      <c r="AC161" s="11" t="s">
        <v>5044</v>
      </c>
      <c r="AD161" s="11" t="s">
        <v>5044</v>
      </c>
      <c r="AE161" s="11" t="s">
        <v>5044</v>
      </c>
      <c r="AF161" s="11" t="s">
        <v>5044</v>
      </c>
      <c r="AG161" s="11" t="s">
        <v>5044</v>
      </c>
      <c r="AH161" s="11" t="s">
        <v>5044</v>
      </c>
      <c r="AI161" s="11" t="s">
        <v>5044</v>
      </c>
      <c r="AJ161" s="11" t="s">
        <v>5044</v>
      </c>
      <c r="AK161" s="11" t="s">
        <v>5318</v>
      </c>
      <c r="AL161" s="11" t="s">
        <v>5044</v>
      </c>
      <c r="AM161" s="11">
        <v>0</v>
      </c>
      <c r="AN161" s="11" t="s">
        <v>5318</v>
      </c>
      <c r="AO161" s="11" t="s">
        <v>5318</v>
      </c>
      <c r="AP161" s="11" t="s">
        <v>5318</v>
      </c>
      <c r="AQ161" s="11" t="s">
        <v>5318</v>
      </c>
    </row>
    <row r="162" spans="1:43" ht="63" customHeight="1" x14ac:dyDescent="0.2">
      <c r="A162" s="10">
        <v>1833</v>
      </c>
      <c r="B162" s="11" t="s">
        <v>6958</v>
      </c>
      <c r="C162" s="11" t="s">
        <v>523</v>
      </c>
      <c r="D162" s="11">
        <v>2016</v>
      </c>
      <c r="E162" s="11" t="s">
        <v>5318</v>
      </c>
      <c r="F162" s="11">
        <v>117</v>
      </c>
      <c r="G162" s="11">
        <v>3</v>
      </c>
      <c r="H162" s="11" t="s">
        <v>6454</v>
      </c>
      <c r="I162" s="11" t="s">
        <v>6516</v>
      </c>
      <c r="J162" s="11" t="s">
        <v>6959</v>
      </c>
      <c r="K162" s="11" t="s">
        <v>525</v>
      </c>
      <c r="L162" s="12" t="s">
        <v>5447</v>
      </c>
      <c r="M162" s="11">
        <v>0</v>
      </c>
      <c r="N162" s="9" t="s">
        <v>5044</v>
      </c>
      <c r="O162" s="9" t="s">
        <v>5044</v>
      </c>
      <c r="P162" s="11">
        <v>0</v>
      </c>
      <c r="Q162" s="11">
        <v>0</v>
      </c>
      <c r="R162" s="11">
        <v>0</v>
      </c>
      <c r="S162" s="11" t="s">
        <v>5728</v>
      </c>
      <c r="T162" s="11">
        <v>1</v>
      </c>
      <c r="U162" s="11">
        <v>122</v>
      </c>
      <c r="V162" s="11">
        <v>1</v>
      </c>
      <c r="W162" s="11">
        <v>1</v>
      </c>
      <c r="X162" s="11">
        <v>0</v>
      </c>
      <c r="Y162" s="11">
        <v>0</v>
      </c>
      <c r="Z162" s="11">
        <v>0</v>
      </c>
      <c r="AA162" s="11">
        <v>0</v>
      </c>
      <c r="AB162" s="11">
        <v>1</v>
      </c>
      <c r="AC162" s="11">
        <v>1</v>
      </c>
      <c r="AD162" s="11">
        <v>2</v>
      </c>
      <c r="AE162" s="11">
        <v>1</v>
      </c>
      <c r="AF162" s="11">
        <v>1</v>
      </c>
      <c r="AG162" s="11">
        <v>0</v>
      </c>
      <c r="AH162" s="11" t="s">
        <v>5044</v>
      </c>
      <c r="AI162" s="11" t="s">
        <v>5044</v>
      </c>
      <c r="AJ162" s="11" t="s">
        <v>5044</v>
      </c>
      <c r="AK162" s="11" t="s">
        <v>5318</v>
      </c>
      <c r="AL162" s="11">
        <v>1</v>
      </c>
      <c r="AM162" s="11">
        <v>0</v>
      </c>
      <c r="AN162" s="11" t="s">
        <v>5318</v>
      </c>
      <c r="AO162" s="11" t="s">
        <v>5318</v>
      </c>
      <c r="AP162" s="11" t="s">
        <v>5318</v>
      </c>
      <c r="AQ162" s="11" t="s">
        <v>5318</v>
      </c>
    </row>
    <row r="163" spans="1:43" ht="63" customHeight="1" x14ac:dyDescent="0.2">
      <c r="A163" s="10">
        <v>1849</v>
      </c>
      <c r="B163" s="11" t="s">
        <v>6963</v>
      </c>
      <c r="C163" s="11" t="s">
        <v>528</v>
      </c>
      <c r="D163" s="11">
        <v>2021</v>
      </c>
      <c r="E163" s="11" t="s">
        <v>530</v>
      </c>
      <c r="F163" s="11">
        <v>24</v>
      </c>
      <c r="G163" s="11">
        <v>1</v>
      </c>
      <c r="H163" s="11" t="s">
        <v>6883</v>
      </c>
      <c r="I163" s="11" t="s">
        <v>6516</v>
      </c>
      <c r="J163" s="11" t="s">
        <v>6964</v>
      </c>
      <c r="K163" s="11" t="s">
        <v>529</v>
      </c>
      <c r="L163" s="12" t="s">
        <v>5448</v>
      </c>
      <c r="M163" s="11">
        <v>0</v>
      </c>
      <c r="N163" s="9" t="s">
        <v>5044</v>
      </c>
      <c r="O163" s="9" t="s">
        <v>5044</v>
      </c>
      <c r="P163" s="11">
        <v>0</v>
      </c>
      <c r="Q163" s="11">
        <v>0</v>
      </c>
      <c r="R163" s="11">
        <v>1</v>
      </c>
      <c r="S163" s="11">
        <v>1</v>
      </c>
      <c r="T163" s="11">
        <v>4</v>
      </c>
      <c r="U163" s="11">
        <v>1191</v>
      </c>
      <c r="V163" s="11">
        <v>1</v>
      </c>
      <c r="W163" s="11">
        <v>0</v>
      </c>
      <c r="X163" s="11">
        <v>0</v>
      </c>
      <c r="Y163" s="11">
        <v>0</v>
      </c>
      <c r="Z163" s="11">
        <v>0</v>
      </c>
      <c r="AA163" s="11">
        <v>0</v>
      </c>
      <c r="AB163" s="11">
        <v>1</v>
      </c>
      <c r="AC163" s="11">
        <v>1</v>
      </c>
      <c r="AD163" s="11">
        <v>1</v>
      </c>
      <c r="AE163" s="11">
        <v>0</v>
      </c>
      <c r="AF163" s="11">
        <v>0</v>
      </c>
      <c r="AG163" s="11" t="s">
        <v>5044</v>
      </c>
      <c r="AH163" s="11" t="s">
        <v>5044</v>
      </c>
      <c r="AI163" s="11" t="s">
        <v>5044</v>
      </c>
      <c r="AJ163" s="11" t="s">
        <v>5044</v>
      </c>
      <c r="AK163" s="11" t="s">
        <v>5318</v>
      </c>
      <c r="AL163" s="11" t="s">
        <v>5044</v>
      </c>
      <c r="AM163" s="11">
        <v>0</v>
      </c>
      <c r="AN163" s="11" t="s">
        <v>6492</v>
      </c>
      <c r="AO163" s="11" t="s">
        <v>5318</v>
      </c>
      <c r="AP163" s="11" t="s">
        <v>5318</v>
      </c>
      <c r="AQ163" s="11" t="s">
        <v>5318</v>
      </c>
    </row>
    <row r="164" spans="1:43" ht="63" customHeight="1" x14ac:dyDescent="0.2">
      <c r="A164" s="10">
        <v>1860</v>
      </c>
      <c r="B164" s="11" t="s">
        <v>6965</v>
      </c>
      <c r="C164" s="11" t="s">
        <v>531</v>
      </c>
      <c r="D164" s="11">
        <v>2022</v>
      </c>
      <c r="E164" s="11" t="s">
        <v>5318</v>
      </c>
      <c r="F164" s="11">
        <v>276</v>
      </c>
      <c r="G164" s="11">
        <v>1</v>
      </c>
      <c r="H164" s="11" t="s">
        <v>6533</v>
      </c>
      <c r="I164" s="11" t="s">
        <v>6516</v>
      </c>
      <c r="J164" s="11" t="s">
        <v>6966</v>
      </c>
      <c r="K164" s="11" t="s">
        <v>533</v>
      </c>
      <c r="L164" s="16" t="s">
        <v>5449</v>
      </c>
      <c r="M164" s="11">
        <v>0</v>
      </c>
      <c r="N164" s="9" t="s">
        <v>5044</v>
      </c>
      <c r="O164" s="9" t="s">
        <v>5044</v>
      </c>
      <c r="P164" s="11">
        <v>0</v>
      </c>
      <c r="Q164" s="11">
        <v>0</v>
      </c>
      <c r="R164" s="11">
        <v>0</v>
      </c>
      <c r="S164" s="11">
        <v>5</v>
      </c>
      <c r="T164" s="11">
        <v>1</v>
      </c>
      <c r="U164" s="11">
        <v>80</v>
      </c>
      <c r="V164" s="11">
        <v>1</v>
      </c>
      <c r="W164" s="11">
        <v>0</v>
      </c>
      <c r="X164" s="11">
        <v>0</v>
      </c>
      <c r="Y164" s="11">
        <v>0</v>
      </c>
      <c r="Z164" s="11">
        <v>0</v>
      </c>
      <c r="AA164" s="11">
        <v>0</v>
      </c>
      <c r="AB164" s="11">
        <v>1</v>
      </c>
      <c r="AC164" s="11">
        <v>1</v>
      </c>
      <c r="AD164" s="11">
        <v>2</v>
      </c>
      <c r="AE164" s="11">
        <v>3</v>
      </c>
      <c r="AF164" s="11">
        <v>0</v>
      </c>
      <c r="AG164" s="11" t="s">
        <v>5044</v>
      </c>
      <c r="AH164" s="11" t="s">
        <v>5044</v>
      </c>
      <c r="AI164" s="11" t="s">
        <v>5044</v>
      </c>
      <c r="AJ164" s="11" t="s">
        <v>5044</v>
      </c>
      <c r="AK164" s="11" t="s">
        <v>5318</v>
      </c>
      <c r="AL164" s="11">
        <v>0</v>
      </c>
      <c r="AM164" s="11">
        <v>0</v>
      </c>
      <c r="AN164" s="11" t="s">
        <v>5467</v>
      </c>
      <c r="AO164" s="11" t="s">
        <v>5318</v>
      </c>
      <c r="AP164" s="11" t="s">
        <v>5318</v>
      </c>
      <c r="AQ164" s="11" t="s">
        <v>5318</v>
      </c>
    </row>
    <row r="165" spans="1:43" ht="63" customHeight="1" x14ac:dyDescent="0.2">
      <c r="A165" s="10">
        <v>1881</v>
      </c>
      <c r="B165" s="11" t="s">
        <v>6967</v>
      </c>
      <c r="C165" s="11" t="s">
        <v>534</v>
      </c>
      <c r="D165" s="11">
        <v>2009</v>
      </c>
      <c r="E165" s="11" t="s">
        <v>5318</v>
      </c>
      <c r="F165" s="11">
        <v>13</v>
      </c>
      <c r="G165" s="11">
        <v>5</v>
      </c>
      <c r="H165" s="11" t="s">
        <v>6725</v>
      </c>
      <c r="I165" s="11" t="s">
        <v>6516</v>
      </c>
      <c r="J165" s="11" t="s">
        <v>6968</v>
      </c>
      <c r="K165" s="11" t="s">
        <v>536</v>
      </c>
      <c r="L165" s="11" t="s">
        <v>5044</v>
      </c>
      <c r="M165" s="11">
        <v>0</v>
      </c>
      <c r="N165" s="9" t="s">
        <v>5044</v>
      </c>
      <c r="O165" s="9" t="s">
        <v>5044</v>
      </c>
      <c r="P165" s="11">
        <v>0</v>
      </c>
      <c r="Q165" s="11">
        <v>0</v>
      </c>
      <c r="R165" s="11">
        <v>0</v>
      </c>
      <c r="S165" s="11">
        <v>1</v>
      </c>
      <c r="T165" s="11">
        <v>4</v>
      </c>
      <c r="U165" s="11">
        <v>247</v>
      </c>
      <c r="V165" s="11">
        <v>0</v>
      </c>
      <c r="W165" s="11">
        <v>1</v>
      </c>
      <c r="X165" s="11">
        <v>0</v>
      </c>
      <c r="Y165" s="11">
        <v>0</v>
      </c>
      <c r="Z165" s="11">
        <v>0</v>
      </c>
      <c r="AA165" s="11">
        <v>0</v>
      </c>
      <c r="AB165" s="11">
        <v>1</v>
      </c>
      <c r="AC165" s="11">
        <v>1</v>
      </c>
      <c r="AD165" s="11" t="s">
        <v>5044</v>
      </c>
      <c r="AE165" s="11" t="s">
        <v>5044</v>
      </c>
      <c r="AF165" s="11" t="s">
        <v>5044</v>
      </c>
      <c r="AG165" s="11">
        <v>1</v>
      </c>
      <c r="AH165" s="11">
        <v>0</v>
      </c>
      <c r="AI165" s="11">
        <v>0</v>
      </c>
      <c r="AJ165" s="11" t="s">
        <v>5044</v>
      </c>
      <c r="AK165" s="11" t="s">
        <v>5318</v>
      </c>
      <c r="AL165" s="11">
        <v>1</v>
      </c>
      <c r="AM165" s="11">
        <v>0</v>
      </c>
      <c r="AN165" s="11" t="s">
        <v>5318</v>
      </c>
      <c r="AO165" s="11" t="s">
        <v>5318</v>
      </c>
      <c r="AP165" s="11" t="s">
        <v>5318</v>
      </c>
      <c r="AQ165" s="11" t="s">
        <v>5318</v>
      </c>
    </row>
    <row r="166" spans="1:43" ht="63" customHeight="1" x14ac:dyDescent="0.2">
      <c r="A166" s="10">
        <v>1888</v>
      </c>
      <c r="B166" s="11" t="s">
        <v>6969</v>
      </c>
      <c r="C166" s="11" t="s">
        <v>537</v>
      </c>
      <c r="D166" s="11">
        <v>2022</v>
      </c>
      <c r="E166" s="11" t="s">
        <v>5318</v>
      </c>
      <c r="F166" s="11">
        <v>275</v>
      </c>
      <c r="G166" s="11">
        <v>1</v>
      </c>
      <c r="H166" s="11" t="s">
        <v>6533</v>
      </c>
      <c r="I166" s="11" t="s">
        <v>6516</v>
      </c>
      <c r="J166" s="11" t="s">
        <v>6970</v>
      </c>
      <c r="K166" s="11" t="s">
        <v>538</v>
      </c>
      <c r="L166" s="12" t="s">
        <v>5450</v>
      </c>
      <c r="M166" s="11">
        <v>0</v>
      </c>
      <c r="N166" s="9" t="s">
        <v>5044</v>
      </c>
      <c r="O166" s="9" t="s">
        <v>5044</v>
      </c>
      <c r="P166" s="11">
        <v>0</v>
      </c>
      <c r="Q166" s="11">
        <v>0</v>
      </c>
      <c r="R166" s="11">
        <v>0</v>
      </c>
      <c r="S166" s="11">
        <v>1</v>
      </c>
      <c r="T166" s="11">
        <v>4</v>
      </c>
      <c r="U166" s="11">
        <v>400</v>
      </c>
      <c r="V166" s="11">
        <v>0</v>
      </c>
      <c r="W166" s="11">
        <v>1</v>
      </c>
      <c r="X166" s="11">
        <v>0</v>
      </c>
      <c r="Y166" s="11">
        <v>0</v>
      </c>
      <c r="Z166" s="11">
        <v>0</v>
      </c>
      <c r="AA166" s="11">
        <v>0</v>
      </c>
      <c r="AB166" s="11">
        <v>1</v>
      </c>
      <c r="AC166" s="11">
        <v>1</v>
      </c>
      <c r="AD166" s="11" t="s">
        <v>5044</v>
      </c>
      <c r="AE166" s="11" t="s">
        <v>5044</v>
      </c>
      <c r="AF166" s="11" t="s">
        <v>5044</v>
      </c>
      <c r="AG166" s="11">
        <v>2</v>
      </c>
      <c r="AH166" s="11">
        <v>3</v>
      </c>
      <c r="AI166" s="11">
        <v>0</v>
      </c>
      <c r="AJ166" s="11" t="s">
        <v>5044</v>
      </c>
      <c r="AK166" s="11">
        <v>1</v>
      </c>
      <c r="AL166" s="11" t="s">
        <v>5044</v>
      </c>
      <c r="AM166" s="11">
        <v>0</v>
      </c>
      <c r="AN166" s="11" t="s">
        <v>5105</v>
      </c>
      <c r="AO166" s="11" t="s">
        <v>5318</v>
      </c>
      <c r="AP166" s="11" t="s">
        <v>5318</v>
      </c>
      <c r="AQ166" s="11" t="s">
        <v>5318</v>
      </c>
    </row>
    <row r="167" spans="1:43" ht="63" customHeight="1" x14ac:dyDescent="0.2">
      <c r="A167" s="10">
        <v>1894</v>
      </c>
      <c r="B167" s="11" t="s">
        <v>6971</v>
      </c>
      <c r="C167" s="11" t="s">
        <v>539</v>
      </c>
      <c r="D167" s="11">
        <v>2017</v>
      </c>
      <c r="E167" s="11" t="s">
        <v>5318</v>
      </c>
      <c r="F167" s="11">
        <v>51</v>
      </c>
      <c r="G167" s="11">
        <v>4</v>
      </c>
      <c r="H167" s="11" t="s">
        <v>6972</v>
      </c>
      <c r="I167" s="11" t="s">
        <v>6516</v>
      </c>
      <c r="J167" s="11" t="s">
        <v>6973</v>
      </c>
      <c r="K167" s="11" t="s">
        <v>541</v>
      </c>
      <c r="L167" s="12" t="s">
        <v>5451</v>
      </c>
      <c r="M167" s="11">
        <v>0</v>
      </c>
      <c r="N167" s="9" t="s">
        <v>5044</v>
      </c>
      <c r="O167" s="9" t="s">
        <v>5044</v>
      </c>
      <c r="P167" s="11">
        <v>0</v>
      </c>
      <c r="Q167" s="11">
        <v>0</v>
      </c>
      <c r="R167" s="11">
        <v>0</v>
      </c>
      <c r="S167" s="11">
        <v>3</v>
      </c>
      <c r="T167" s="11">
        <v>1</v>
      </c>
      <c r="U167" s="11">
        <v>135</v>
      </c>
      <c r="V167" s="11">
        <v>0</v>
      </c>
      <c r="W167" s="11">
        <v>1</v>
      </c>
      <c r="X167" s="11">
        <v>0</v>
      </c>
      <c r="Y167" s="11">
        <v>0</v>
      </c>
      <c r="Z167" s="11">
        <v>0</v>
      </c>
      <c r="AA167" s="11">
        <v>0</v>
      </c>
      <c r="AB167" s="11">
        <v>1</v>
      </c>
      <c r="AC167" s="11">
        <v>1</v>
      </c>
      <c r="AD167" s="11" t="s">
        <v>5044</v>
      </c>
      <c r="AE167" s="11" t="s">
        <v>5044</v>
      </c>
      <c r="AF167" s="11" t="s">
        <v>5044</v>
      </c>
      <c r="AG167" s="11">
        <v>2</v>
      </c>
      <c r="AH167" s="11">
        <v>3</v>
      </c>
      <c r="AI167" s="11">
        <v>0</v>
      </c>
      <c r="AJ167" s="11" t="s">
        <v>5044</v>
      </c>
      <c r="AK167" s="11">
        <v>1</v>
      </c>
      <c r="AL167" s="11" t="s">
        <v>5044</v>
      </c>
      <c r="AM167" s="11">
        <v>0</v>
      </c>
      <c r="AN167" s="11" t="s">
        <v>5105</v>
      </c>
      <c r="AO167" s="11" t="s">
        <v>5318</v>
      </c>
      <c r="AP167" s="11" t="s">
        <v>5318</v>
      </c>
      <c r="AQ167" s="11" t="s">
        <v>5318</v>
      </c>
    </row>
    <row r="168" spans="1:43" ht="63" customHeight="1" x14ac:dyDescent="0.2">
      <c r="A168" s="10">
        <v>1895</v>
      </c>
      <c r="B168" s="11" t="s">
        <v>6974</v>
      </c>
      <c r="C168" s="11" t="s">
        <v>542</v>
      </c>
      <c r="D168" s="11">
        <v>2016</v>
      </c>
      <c r="E168" s="11" t="s">
        <v>5318</v>
      </c>
      <c r="F168" s="11">
        <v>164</v>
      </c>
      <c r="G168" s="11">
        <v>3</v>
      </c>
      <c r="H168" s="11" t="s">
        <v>6975</v>
      </c>
      <c r="I168" s="11" t="s">
        <v>6516</v>
      </c>
      <c r="J168" s="11" t="s">
        <v>6976</v>
      </c>
      <c r="K168" s="11" t="s">
        <v>544</v>
      </c>
      <c r="L168" s="12" t="s">
        <v>5179</v>
      </c>
      <c r="M168" s="11">
        <v>0</v>
      </c>
      <c r="N168" s="9" t="s">
        <v>5044</v>
      </c>
      <c r="O168" s="9" t="s">
        <v>5044</v>
      </c>
      <c r="P168" s="11">
        <v>0</v>
      </c>
      <c r="Q168" s="11">
        <v>0</v>
      </c>
      <c r="R168" s="11">
        <v>0</v>
      </c>
      <c r="S168" s="11">
        <v>1</v>
      </c>
      <c r="T168" s="11">
        <v>1</v>
      </c>
      <c r="U168" s="11">
        <v>83</v>
      </c>
      <c r="V168" s="11">
        <v>0</v>
      </c>
      <c r="W168" s="11">
        <v>1</v>
      </c>
      <c r="X168" s="11">
        <v>0</v>
      </c>
      <c r="Y168" s="11">
        <v>0</v>
      </c>
      <c r="Z168" s="11">
        <v>0</v>
      </c>
      <c r="AA168" s="11">
        <v>0</v>
      </c>
      <c r="AB168" s="11">
        <v>1</v>
      </c>
      <c r="AC168" s="11">
        <v>1</v>
      </c>
      <c r="AD168" s="11" t="s">
        <v>5044</v>
      </c>
      <c r="AE168" s="11" t="s">
        <v>5044</v>
      </c>
      <c r="AF168" s="11" t="s">
        <v>5044</v>
      </c>
      <c r="AG168" s="11">
        <v>2</v>
      </c>
      <c r="AH168" s="11">
        <v>3</v>
      </c>
      <c r="AI168" s="11">
        <v>0</v>
      </c>
      <c r="AJ168" s="11" t="s">
        <v>5044</v>
      </c>
      <c r="AK168" s="11">
        <v>2</v>
      </c>
      <c r="AL168" s="11">
        <v>1</v>
      </c>
      <c r="AM168" s="11">
        <v>0</v>
      </c>
      <c r="AN168" s="11" t="s">
        <v>5318</v>
      </c>
      <c r="AO168" s="11" t="s">
        <v>5318</v>
      </c>
      <c r="AP168" s="11" t="s">
        <v>5318</v>
      </c>
      <c r="AQ168" s="11" t="s">
        <v>5318</v>
      </c>
    </row>
    <row r="169" spans="1:43" ht="63" customHeight="1" x14ac:dyDescent="0.2">
      <c r="A169" s="10">
        <v>1900</v>
      </c>
      <c r="B169" s="11" t="s">
        <v>6977</v>
      </c>
      <c r="C169" s="11" t="s">
        <v>545</v>
      </c>
      <c r="D169" s="11">
        <v>2019</v>
      </c>
      <c r="E169" s="11" t="s">
        <v>5318</v>
      </c>
      <c r="F169" s="11">
        <v>30</v>
      </c>
      <c r="G169" s="11">
        <v>10</v>
      </c>
      <c r="H169" s="11" t="s">
        <v>6568</v>
      </c>
      <c r="I169" s="11" t="s">
        <v>6516</v>
      </c>
      <c r="J169" s="11" t="s">
        <v>6978</v>
      </c>
      <c r="K169" s="11" t="s">
        <v>546</v>
      </c>
      <c r="L169" s="16" t="s">
        <v>5452</v>
      </c>
      <c r="M169" s="11">
        <v>0</v>
      </c>
      <c r="N169" s="9" t="s">
        <v>5044</v>
      </c>
      <c r="O169" s="9" t="s">
        <v>5044</v>
      </c>
      <c r="P169" s="11">
        <v>0</v>
      </c>
      <c r="Q169" s="11">
        <v>0</v>
      </c>
      <c r="R169" s="11">
        <v>0</v>
      </c>
      <c r="S169" s="11">
        <v>5</v>
      </c>
      <c r="T169" s="11">
        <v>2</v>
      </c>
      <c r="U169" s="11">
        <v>103</v>
      </c>
      <c r="V169" s="11">
        <v>0</v>
      </c>
      <c r="W169" s="11">
        <v>1</v>
      </c>
      <c r="X169" s="11">
        <v>0</v>
      </c>
      <c r="Y169" s="11">
        <v>0</v>
      </c>
      <c r="Z169" s="11">
        <v>0</v>
      </c>
      <c r="AA169" s="11">
        <v>0</v>
      </c>
      <c r="AB169" s="11">
        <v>1</v>
      </c>
      <c r="AC169" s="11">
        <v>1</v>
      </c>
      <c r="AD169" s="11" t="s">
        <v>5044</v>
      </c>
      <c r="AE169" s="11" t="s">
        <v>5044</v>
      </c>
      <c r="AF169" s="11" t="s">
        <v>5044</v>
      </c>
      <c r="AG169" s="11">
        <v>0</v>
      </c>
      <c r="AH169" s="11" t="s">
        <v>5044</v>
      </c>
      <c r="AI169" s="11" t="s">
        <v>5044</v>
      </c>
      <c r="AJ169" s="11" t="s">
        <v>5044</v>
      </c>
      <c r="AK169" s="11" t="s">
        <v>5318</v>
      </c>
      <c r="AL169" s="11">
        <v>1</v>
      </c>
      <c r="AM169" s="11">
        <v>0</v>
      </c>
      <c r="AN169" s="11" t="s">
        <v>5318</v>
      </c>
      <c r="AO169" s="11" t="s">
        <v>5318</v>
      </c>
      <c r="AP169" s="11" t="s">
        <v>5318</v>
      </c>
      <c r="AQ169" s="11" t="s">
        <v>5318</v>
      </c>
    </row>
    <row r="170" spans="1:43" ht="63" customHeight="1" x14ac:dyDescent="0.2">
      <c r="A170" s="10">
        <v>1913</v>
      </c>
      <c r="B170" s="11" t="s">
        <v>6979</v>
      </c>
      <c r="C170" s="11" t="s">
        <v>547</v>
      </c>
      <c r="D170" s="11">
        <v>2023</v>
      </c>
      <c r="E170" s="11" t="s">
        <v>5318</v>
      </c>
      <c r="F170" s="11">
        <v>24</v>
      </c>
      <c r="G170" s="11">
        <v>1</v>
      </c>
      <c r="H170" s="11" t="s">
        <v>6538</v>
      </c>
      <c r="I170" s="11" t="s">
        <v>6516</v>
      </c>
      <c r="J170" s="11" t="s">
        <v>5318</v>
      </c>
      <c r="K170" s="11" t="s">
        <v>548</v>
      </c>
      <c r="L170" s="16" t="s">
        <v>5453</v>
      </c>
      <c r="M170" s="11">
        <v>1</v>
      </c>
      <c r="N170" s="11">
        <v>0</v>
      </c>
      <c r="O170" s="9" t="s">
        <v>5044</v>
      </c>
      <c r="P170" s="11">
        <v>0</v>
      </c>
      <c r="Q170" s="11">
        <v>0</v>
      </c>
      <c r="R170" s="11">
        <v>0</v>
      </c>
      <c r="S170" s="11">
        <v>9</v>
      </c>
      <c r="T170" s="11">
        <v>1</v>
      </c>
      <c r="U170" s="11">
        <v>310</v>
      </c>
      <c r="V170" s="11">
        <v>0</v>
      </c>
      <c r="W170" s="11">
        <v>1</v>
      </c>
      <c r="X170" s="11">
        <v>0</v>
      </c>
      <c r="Y170" s="11">
        <v>0</v>
      </c>
      <c r="Z170" s="11">
        <v>0</v>
      </c>
      <c r="AA170" s="11">
        <v>0</v>
      </c>
      <c r="AB170" s="11">
        <v>1</v>
      </c>
      <c r="AC170" s="11" t="s">
        <v>5044</v>
      </c>
      <c r="AD170" s="11" t="s">
        <v>5044</v>
      </c>
      <c r="AE170" s="11" t="s">
        <v>5044</v>
      </c>
      <c r="AF170" s="11" t="s">
        <v>5044</v>
      </c>
      <c r="AG170" s="11" t="s">
        <v>5044</v>
      </c>
      <c r="AH170" s="11" t="s">
        <v>5044</v>
      </c>
      <c r="AI170" s="11" t="s">
        <v>5044</v>
      </c>
      <c r="AJ170" s="11" t="s">
        <v>5044</v>
      </c>
      <c r="AK170" s="11" t="s">
        <v>5318</v>
      </c>
      <c r="AL170" s="11" t="s">
        <v>5044</v>
      </c>
      <c r="AM170" s="11">
        <v>0</v>
      </c>
      <c r="AN170" s="11" t="s">
        <v>5318</v>
      </c>
      <c r="AO170" s="11" t="s">
        <v>5318</v>
      </c>
      <c r="AP170" s="11" t="s">
        <v>5318</v>
      </c>
      <c r="AQ170" s="11" t="s">
        <v>5318</v>
      </c>
    </row>
    <row r="171" spans="1:43" ht="63" customHeight="1" x14ac:dyDescent="0.2">
      <c r="A171" s="10">
        <v>1924</v>
      </c>
      <c r="B171" s="11" t="s">
        <v>6980</v>
      </c>
      <c r="C171" s="11" t="s">
        <v>549</v>
      </c>
      <c r="D171" s="11">
        <v>2019</v>
      </c>
      <c r="E171" s="11" t="s">
        <v>5318</v>
      </c>
      <c r="F171" s="11">
        <v>38</v>
      </c>
      <c r="G171" s="11">
        <v>1</v>
      </c>
      <c r="H171" s="11" t="s">
        <v>6592</v>
      </c>
      <c r="I171" s="11" t="s">
        <v>6516</v>
      </c>
      <c r="J171" s="11" t="s">
        <v>6981</v>
      </c>
      <c r="K171" s="11" t="s">
        <v>550</v>
      </c>
      <c r="L171" s="12" t="s">
        <v>5454</v>
      </c>
      <c r="M171" s="11">
        <v>0</v>
      </c>
      <c r="N171" s="9" t="s">
        <v>5044</v>
      </c>
      <c r="O171" s="9" t="s">
        <v>5044</v>
      </c>
      <c r="P171" s="11">
        <v>0</v>
      </c>
      <c r="Q171" s="11">
        <v>0</v>
      </c>
      <c r="R171" s="11">
        <v>0</v>
      </c>
      <c r="S171" s="11">
        <v>1</v>
      </c>
      <c r="T171" s="11">
        <v>1</v>
      </c>
      <c r="U171" s="11">
        <v>32</v>
      </c>
      <c r="V171" s="11">
        <v>0</v>
      </c>
      <c r="W171" s="11">
        <v>1</v>
      </c>
      <c r="X171" s="11">
        <v>0</v>
      </c>
      <c r="Y171" s="11">
        <v>0</v>
      </c>
      <c r="Z171" s="11">
        <v>0</v>
      </c>
      <c r="AA171" s="11">
        <v>0</v>
      </c>
      <c r="AB171" s="11">
        <v>1</v>
      </c>
      <c r="AC171" s="11">
        <v>1</v>
      </c>
      <c r="AD171" s="11" t="s">
        <v>5044</v>
      </c>
      <c r="AE171" s="11" t="s">
        <v>5044</v>
      </c>
      <c r="AF171" s="11" t="s">
        <v>5044</v>
      </c>
      <c r="AG171" s="11">
        <v>1</v>
      </c>
      <c r="AH171" s="11">
        <v>0</v>
      </c>
      <c r="AI171" s="11">
        <v>0</v>
      </c>
      <c r="AJ171" s="11" t="s">
        <v>5044</v>
      </c>
      <c r="AK171" s="11" t="s">
        <v>5318</v>
      </c>
      <c r="AL171" s="11">
        <v>1</v>
      </c>
      <c r="AM171" s="11">
        <v>0</v>
      </c>
      <c r="AN171" s="11" t="s">
        <v>5318</v>
      </c>
      <c r="AO171" s="11" t="s">
        <v>5318</v>
      </c>
      <c r="AP171" s="11" t="s">
        <v>5318</v>
      </c>
      <c r="AQ171" s="11" t="s">
        <v>5318</v>
      </c>
    </row>
    <row r="172" spans="1:43" ht="63" customHeight="1" x14ac:dyDescent="0.2">
      <c r="A172" s="10">
        <v>1926</v>
      </c>
      <c r="B172" s="11" t="s">
        <v>6982</v>
      </c>
      <c r="C172" s="11" t="s">
        <v>551</v>
      </c>
      <c r="D172" s="11">
        <v>2021</v>
      </c>
      <c r="E172" s="11" t="s">
        <v>5318</v>
      </c>
      <c r="F172" s="11">
        <v>5</v>
      </c>
      <c r="G172" s="11">
        <v>3</v>
      </c>
      <c r="H172" s="11" t="s">
        <v>6839</v>
      </c>
      <c r="I172" s="11" t="s">
        <v>6516</v>
      </c>
      <c r="J172" s="11" t="s">
        <v>6983</v>
      </c>
      <c r="K172" s="11" t="s">
        <v>552</v>
      </c>
      <c r="L172" s="16" t="s">
        <v>5455</v>
      </c>
      <c r="M172" s="11">
        <v>0</v>
      </c>
      <c r="N172" s="9" t="s">
        <v>5044</v>
      </c>
      <c r="O172" s="9" t="s">
        <v>5044</v>
      </c>
      <c r="P172" s="11">
        <v>0</v>
      </c>
      <c r="Q172" s="11">
        <v>0</v>
      </c>
      <c r="R172" s="11">
        <v>1</v>
      </c>
      <c r="S172" s="11">
        <v>1</v>
      </c>
      <c r="T172" s="11">
        <v>1</v>
      </c>
      <c r="U172" s="11">
        <v>186</v>
      </c>
      <c r="V172" s="11">
        <v>1</v>
      </c>
      <c r="W172" s="11">
        <v>0</v>
      </c>
      <c r="X172" s="11">
        <v>0</v>
      </c>
      <c r="Y172" s="11">
        <v>0</v>
      </c>
      <c r="Z172" s="11">
        <v>0</v>
      </c>
      <c r="AA172" s="11">
        <v>0</v>
      </c>
      <c r="AB172" s="11">
        <v>1</v>
      </c>
      <c r="AC172" s="11">
        <v>1</v>
      </c>
      <c r="AD172" s="11">
        <v>2</v>
      </c>
      <c r="AE172" s="11">
        <v>3</v>
      </c>
      <c r="AF172" s="11">
        <v>0</v>
      </c>
      <c r="AG172" s="11" t="s">
        <v>5044</v>
      </c>
      <c r="AH172" s="11" t="s">
        <v>5044</v>
      </c>
      <c r="AI172" s="11" t="s">
        <v>5044</v>
      </c>
      <c r="AJ172" s="11" t="s">
        <v>5044</v>
      </c>
      <c r="AK172" s="11">
        <v>1</v>
      </c>
      <c r="AL172" s="11">
        <v>1</v>
      </c>
      <c r="AM172" s="11">
        <v>0</v>
      </c>
      <c r="AN172" s="11" t="s">
        <v>5254</v>
      </c>
      <c r="AO172" s="11" t="s">
        <v>5318</v>
      </c>
      <c r="AP172" s="11" t="s">
        <v>5318</v>
      </c>
      <c r="AQ172" s="11" t="s">
        <v>5318</v>
      </c>
    </row>
    <row r="173" spans="1:43" ht="63" customHeight="1" x14ac:dyDescent="0.2">
      <c r="A173" s="10">
        <v>1930</v>
      </c>
      <c r="B173" s="11" t="s">
        <v>6984</v>
      </c>
      <c r="C173" s="11" t="s">
        <v>553</v>
      </c>
      <c r="D173" s="11">
        <v>2023</v>
      </c>
      <c r="E173" s="11" t="s">
        <v>5318</v>
      </c>
      <c r="F173" s="11">
        <v>167</v>
      </c>
      <c r="G173" s="11">
        <v>2</v>
      </c>
      <c r="H173" s="11" t="s">
        <v>6985</v>
      </c>
      <c r="I173" s="11" t="s">
        <v>6516</v>
      </c>
      <c r="J173" s="11" t="s">
        <v>6986</v>
      </c>
      <c r="K173" s="11" t="s">
        <v>554</v>
      </c>
      <c r="L173" s="16" t="s">
        <v>5456</v>
      </c>
      <c r="M173" s="11">
        <v>0</v>
      </c>
      <c r="N173" s="9" t="s">
        <v>5044</v>
      </c>
      <c r="O173" s="9" t="s">
        <v>5044</v>
      </c>
      <c r="P173" s="11">
        <v>0</v>
      </c>
      <c r="Q173" s="11">
        <v>0</v>
      </c>
      <c r="R173" s="11">
        <v>0</v>
      </c>
      <c r="S173" s="11">
        <v>1</v>
      </c>
      <c r="T173" s="11">
        <v>1</v>
      </c>
      <c r="U173" s="11">
        <v>123</v>
      </c>
      <c r="V173" s="11">
        <v>0</v>
      </c>
      <c r="W173" s="11">
        <v>1</v>
      </c>
      <c r="X173" s="11">
        <v>0</v>
      </c>
      <c r="Y173" s="11">
        <v>0</v>
      </c>
      <c r="Z173" s="11">
        <v>0</v>
      </c>
      <c r="AA173" s="11">
        <v>0</v>
      </c>
      <c r="AB173" s="11">
        <v>1</v>
      </c>
      <c r="AC173" s="11">
        <v>1</v>
      </c>
      <c r="AD173" s="11" t="s">
        <v>5044</v>
      </c>
      <c r="AE173" s="11" t="s">
        <v>5044</v>
      </c>
      <c r="AF173" s="11" t="s">
        <v>5044</v>
      </c>
      <c r="AG173" s="11">
        <v>2</v>
      </c>
      <c r="AH173" s="11">
        <v>3</v>
      </c>
      <c r="AI173" s="11">
        <v>0</v>
      </c>
      <c r="AJ173" s="11" t="s">
        <v>5044</v>
      </c>
      <c r="AK173" s="11">
        <v>1</v>
      </c>
      <c r="AL173" s="11">
        <v>0</v>
      </c>
      <c r="AM173" s="11">
        <v>0</v>
      </c>
      <c r="AN173" s="11" t="s">
        <v>5318</v>
      </c>
      <c r="AO173" s="11" t="s">
        <v>5318</v>
      </c>
      <c r="AP173" s="11" t="s">
        <v>5318</v>
      </c>
      <c r="AQ173" s="11" t="s">
        <v>5318</v>
      </c>
    </row>
    <row r="174" spans="1:43" ht="63" customHeight="1" x14ac:dyDescent="0.2">
      <c r="A174" s="10">
        <v>1949</v>
      </c>
      <c r="B174" s="11" t="s">
        <v>6987</v>
      </c>
      <c r="C174" s="11" t="s">
        <v>555</v>
      </c>
      <c r="D174" s="11">
        <v>2020</v>
      </c>
      <c r="E174" s="11" t="s">
        <v>5318</v>
      </c>
      <c r="F174" s="11">
        <v>69</v>
      </c>
      <c r="G174" s="11">
        <v>6</v>
      </c>
      <c r="H174" s="11" t="s">
        <v>6988</v>
      </c>
      <c r="I174" s="11" t="s">
        <v>6516</v>
      </c>
      <c r="J174" s="11" t="s">
        <v>6989</v>
      </c>
      <c r="K174" s="11" t="s">
        <v>558</v>
      </c>
      <c r="L174" s="16" t="s">
        <v>5457</v>
      </c>
      <c r="M174" s="11">
        <v>0</v>
      </c>
      <c r="N174" s="9" t="s">
        <v>5044</v>
      </c>
      <c r="O174" s="9" t="s">
        <v>5044</v>
      </c>
      <c r="P174" s="11">
        <v>0</v>
      </c>
      <c r="Q174" s="11">
        <v>0</v>
      </c>
      <c r="R174" s="11">
        <v>0</v>
      </c>
      <c r="S174" s="11">
        <v>1</v>
      </c>
      <c r="T174" s="11">
        <v>4</v>
      </c>
      <c r="U174" s="11">
        <v>80</v>
      </c>
      <c r="V174" s="11">
        <v>0</v>
      </c>
      <c r="W174" s="11">
        <v>1</v>
      </c>
      <c r="X174" s="11">
        <v>0</v>
      </c>
      <c r="Y174" s="11">
        <v>0</v>
      </c>
      <c r="Z174" s="11">
        <v>0</v>
      </c>
      <c r="AA174" s="11">
        <v>0</v>
      </c>
      <c r="AB174" s="11">
        <v>1</v>
      </c>
      <c r="AC174" s="11">
        <v>1</v>
      </c>
      <c r="AD174" s="11" t="s">
        <v>5044</v>
      </c>
      <c r="AE174" s="11" t="s">
        <v>5044</v>
      </c>
      <c r="AF174" s="11" t="s">
        <v>5044</v>
      </c>
      <c r="AG174" s="11">
        <v>2</v>
      </c>
      <c r="AH174" s="11">
        <v>3</v>
      </c>
      <c r="AI174" s="11">
        <v>0</v>
      </c>
      <c r="AJ174" s="11" t="s">
        <v>5044</v>
      </c>
      <c r="AK174" s="11">
        <v>1</v>
      </c>
      <c r="AL174" s="11">
        <v>1</v>
      </c>
      <c r="AM174" s="11">
        <v>0</v>
      </c>
      <c r="AN174" s="11" t="s">
        <v>5318</v>
      </c>
      <c r="AO174" s="11" t="s">
        <v>5318</v>
      </c>
      <c r="AP174" s="11" t="s">
        <v>5318</v>
      </c>
      <c r="AQ174" s="11" t="s">
        <v>5318</v>
      </c>
    </row>
    <row r="175" spans="1:43" ht="63" customHeight="1" x14ac:dyDescent="0.2">
      <c r="A175" s="10">
        <v>1952</v>
      </c>
      <c r="B175" s="11" t="s">
        <v>6990</v>
      </c>
      <c r="C175" s="11" t="s">
        <v>559</v>
      </c>
      <c r="D175" s="11">
        <v>2022</v>
      </c>
      <c r="E175" s="11" t="s">
        <v>5318</v>
      </c>
      <c r="F175" s="11">
        <v>11</v>
      </c>
      <c r="G175" s="11">
        <v>2</v>
      </c>
      <c r="H175" s="11" t="s">
        <v>6991</v>
      </c>
      <c r="I175" s="11" t="s">
        <v>6516</v>
      </c>
      <c r="J175" s="11" t="s">
        <v>6992</v>
      </c>
      <c r="K175" s="11" t="s">
        <v>560</v>
      </c>
      <c r="L175" s="12" t="s">
        <v>5458</v>
      </c>
      <c r="M175" s="11">
        <v>0</v>
      </c>
      <c r="N175" s="9" t="s">
        <v>5044</v>
      </c>
      <c r="O175" s="9" t="s">
        <v>5044</v>
      </c>
      <c r="P175" s="11">
        <v>0</v>
      </c>
      <c r="Q175" s="11">
        <v>0</v>
      </c>
      <c r="R175" s="11">
        <v>0</v>
      </c>
      <c r="S175" s="11">
        <v>1</v>
      </c>
      <c r="T175" s="11">
        <v>4</v>
      </c>
      <c r="U175" s="11">
        <v>120</v>
      </c>
      <c r="V175" s="11">
        <v>1</v>
      </c>
      <c r="W175" s="11">
        <v>0</v>
      </c>
      <c r="X175" s="11">
        <v>0</v>
      </c>
      <c r="Y175" s="11">
        <v>0</v>
      </c>
      <c r="Z175" s="11">
        <v>0</v>
      </c>
      <c r="AA175" s="11">
        <v>0</v>
      </c>
      <c r="AB175" s="11">
        <v>1</v>
      </c>
      <c r="AC175" s="11">
        <v>1</v>
      </c>
      <c r="AD175" s="11">
        <v>2</v>
      </c>
      <c r="AE175" s="11">
        <v>3</v>
      </c>
      <c r="AF175" s="11">
        <v>0</v>
      </c>
      <c r="AG175" s="11" t="s">
        <v>5044</v>
      </c>
      <c r="AH175" s="11" t="s">
        <v>5044</v>
      </c>
      <c r="AI175" s="11" t="s">
        <v>5044</v>
      </c>
      <c r="AJ175" s="11" t="s">
        <v>5044</v>
      </c>
      <c r="AK175" s="11">
        <v>1</v>
      </c>
      <c r="AL175" s="11">
        <v>1</v>
      </c>
      <c r="AM175" s="11">
        <v>0</v>
      </c>
      <c r="AN175" s="11" t="s">
        <v>5318</v>
      </c>
      <c r="AO175" s="11" t="s">
        <v>5318</v>
      </c>
      <c r="AP175" s="11" t="s">
        <v>5318</v>
      </c>
      <c r="AQ175" s="11" t="s">
        <v>5318</v>
      </c>
    </row>
    <row r="176" spans="1:43" ht="63" customHeight="1" x14ac:dyDescent="0.2">
      <c r="A176" s="10">
        <v>1954</v>
      </c>
      <c r="B176" s="11" t="s">
        <v>6993</v>
      </c>
      <c r="C176" s="11" t="s">
        <v>561</v>
      </c>
      <c r="D176" s="11">
        <v>2022</v>
      </c>
      <c r="E176" s="11" t="s">
        <v>5318</v>
      </c>
      <c r="F176" s="11">
        <v>11</v>
      </c>
      <c r="G176" s="11" t="s">
        <v>5318</v>
      </c>
      <c r="H176" s="11" t="s">
        <v>6604</v>
      </c>
      <c r="I176" s="11" t="s">
        <v>6516</v>
      </c>
      <c r="J176" s="11" t="s">
        <v>6994</v>
      </c>
      <c r="K176" s="11" t="s">
        <v>562</v>
      </c>
      <c r="L176" s="12" t="s">
        <v>5459</v>
      </c>
      <c r="M176" s="11">
        <v>0</v>
      </c>
      <c r="N176" s="9" t="s">
        <v>5044</v>
      </c>
      <c r="O176" s="9" t="s">
        <v>5044</v>
      </c>
      <c r="P176" s="11">
        <v>0</v>
      </c>
      <c r="Q176" s="11">
        <v>0</v>
      </c>
      <c r="R176" s="11">
        <v>0</v>
      </c>
      <c r="S176" s="11">
        <v>10</v>
      </c>
      <c r="T176" s="11">
        <v>4</v>
      </c>
      <c r="U176" s="11">
        <v>84</v>
      </c>
      <c r="V176" s="11">
        <v>0</v>
      </c>
      <c r="W176" s="11">
        <v>1</v>
      </c>
      <c r="X176" s="11">
        <v>0</v>
      </c>
      <c r="Y176" s="11">
        <v>0</v>
      </c>
      <c r="Z176" s="11">
        <v>0</v>
      </c>
      <c r="AA176" s="11">
        <v>0</v>
      </c>
      <c r="AB176" s="11">
        <v>1</v>
      </c>
      <c r="AC176" s="11">
        <v>1</v>
      </c>
      <c r="AD176" s="11" t="s">
        <v>5044</v>
      </c>
      <c r="AE176" s="11" t="s">
        <v>5044</v>
      </c>
      <c r="AF176" s="11" t="s">
        <v>5044</v>
      </c>
      <c r="AG176" s="11">
        <v>2</v>
      </c>
      <c r="AH176" s="11">
        <v>2</v>
      </c>
      <c r="AI176" s="11" t="s">
        <v>5044</v>
      </c>
      <c r="AJ176" s="11" t="s">
        <v>5044</v>
      </c>
      <c r="AK176" s="11" t="s">
        <v>5318</v>
      </c>
      <c r="AL176" s="11">
        <v>1</v>
      </c>
      <c r="AM176" s="11">
        <v>0</v>
      </c>
      <c r="AN176" s="11" t="s">
        <v>5318</v>
      </c>
      <c r="AO176" s="11" t="s">
        <v>5318</v>
      </c>
      <c r="AP176" s="11" t="s">
        <v>5318</v>
      </c>
      <c r="AQ176" s="11" t="s">
        <v>5318</v>
      </c>
    </row>
    <row r="177" spans="1:43" ht="63" customHeight="1" x14ac:dyDescent="0.2">
      <c r="A177" s="10">
        <v>1982</v>
      </c>
      <c r="B177" s="11" t="s">
        <v>6995</v>
      </c>
      <c r="C177" s="11" t="s">
        <v>563</v>
      </c>
      <c r="D177" s="11">
        <v>2018</v>
      </c>
      <c r="E177" s="11" t="s">
        <v>305</v>
      </c>
      <c r="F177" s="11">
        <v>4</v>
      </c>
      <c r="G177" s="11">
        <v>1</v>
      </c>
      <c r="H177" s="11" t="s">
        <v>6728</v>
      </c>
      <c r="I177" s="11" t="s">
        <v>6516</v>
      </c>
      <c r="J177" s="11" t="s">
        <v>5318</v>
      </c>
      <c r="K177" s="11" t="s">
        <v>564</v>
      </c>
      <c r="L177" s="12" t="s">
        <v>5460</v>
      </c>
      <c r="M177" s="11">
        <v>1</v>
      </c>
      <c r="N177" s="11">
        <v>0</v>
      </c>
      <c r="O177" s="9" t="s">
        <v>5044</v>
      </c>
      <c r="P177" s="11">
        <v>0</v>
      </c>
      <c r="Q177" s="11">
        <v>0</v>
      </c>
      <c r="R177" s="11">
        <v>0</v>
      </c>
      <c r="S177" s="11">
        <v>5</v>
      </c>
      <c r="T177" s="11">
        <v>1</v>
      </c>
      <c r="U177" s="11">
        <v>30</v>
      </c>
      <c r="V177" s="11">
        <v>1</v>
      </c>
      <c r="W177" s="11">
        <v>0</v>
      </c>
      <c r="X177" s="11">
        <v>0</v>
      </c>
      <c r="Y177" s="11">
        <v>0</v>
      </c>
      <c r="Z177" s="11">
        <v>0</v>
      </c>
      <c r="AA177" s="11">
        <v>0</v>
      </c>
      <c r="AB177" s="11">
        <v>1</v>
      </c>
      <c r="AC177" s="11" t="s">
        <v>5044</v>
      </c>
      <c r="AD177" s="11" t="s">
        <v>5044</v>
      </c>
      <c r="AE177" s="11" t="s">
        <v>5044</v>
      </c>
      <c r="AF177" s="11" t="s">
        <v>5044</v>
      </c>
      <c r="AG177" s="11" t="s">
        <v>5044</v>
      </c>
      <c r="AH177" s="11" t="s">
        <v>5044</v>
      </c>
      <c r="AI177" s="11" t="s">
        <v>5044</v>
      </c>
      <c r="AJ177" s="11" t="s">
        <v>5044</v>
      </c>
      <c r="AK177" s="11" t="s">
        <v>5318</v>
      </c>
      <c r="AL177" s="11" t="s">
        <v>5044</v>
      </c>
      <c r="AM177" s="11">
        <v>0</v>
      </c>
      <c r="AN177" s="11" t="s">
        <v>5318</v>
      </c>
      <c r="AO177" s="11" t="s">
        <v>5318</v>
      </c>
      <c r="AP177" s="11" t="s">
        <v>5318</v>
      </c>
      <c r="AQ177" s="11" t="s">
        <v>5318</v>
      </c>
    </row>
    <row r="178" spans="1:43" ht="63" customHeight="1" x14ac:dyDescent="0.2">
      <c r="A178" s="10">
        <v>1985</v>
      </c>
      <c r="B178" s="11" t="s">
        <v>6996</v>
      </c>
      <c r="C178" s="11" t="s">
        <v>565</v>
      </c>
      <c r="D178" s="11">
        <v>2010</v>
      </c>
      <c r="E178" s="11" t="s">
        <v>5318</v>
      </c>
      <c r="F178" s="11">
        <v>52</v>
      </c>
      <c r="G178" s="11">
        <v>3</v>
      </c>
      <c r="H178" s="11" t="s">
        <v>6898</v>
      </c>
      <c r="I178" s="11" t="s">
        <v>6516</v>
      </c>
      <c r="J178" s="11" t="s">
        <v>6997</v>
      </c>
      <c r="K178" s="11" t="s">
        <v>566</v>
      </c>
      <c r="L178" s="11" t="s">
        <v>5044</v>
      </c>
      <c r="M178" s="11">
        <v>0</v>
      </c>
      <c r="N178" s="9" t="s">
        <v>5044</v>
      </c>
      <c r="O178" s="9" t="s">
        <v>5044</v>
      </c>
      <c r="P178" s="11">
        <v>0</v>
      </c>
      <c r="Q178" s="11">
        <v>0</v>
      </c>
      <c r="R178" s="11">
        <v>0</v>
      </c>
      <c r="S178" s="11">
        <v>9</v>
      </c>
      <c r="T178" s="11">
        <v>1</v>
      </c>
      <c r="U178" s="11">
        <v>30</v>
      </c>
      <c r="V178" s="11">
        <v>0</v>
      </c>
      <c r="W178" s="11">
        <v>1</v>
      </c>
      <c r="X178" s="11">
        <v>0</v>
      </c>
      <c r="Y178" s="11">
        <v>0</v>
      </c>
      <c r="Z178" s="11">
        <v>0</v>
      </c>
      <c r="AA178" s="11">
        <v>0</v>
      </c>
      <c r="AB178" s="11">
        <v>0</v>
      </c>
      <c r="AC178" s="11">
        <v>1</v>
      </c>
      <c r="AD178" s="11" t="s">
        <v>5044</v>
      </c>
      <c r="AE178" s="11" t="s">
        <v>5044</v>
      </c>
      <c r="AF178" s="11" t="s">
        <v>5044</v>
      </c>
      <c r="AG178" s="11">
        <v>1</v>
      </c>
      <c r="AH178" s="11">
        <v>0</v>
      </c>
      <c r="AI178" s="11">
        <v>0</v>
      </c>
      <c r="AJ178" s="11" t="s">
        <v>5044</v>
      </c>
      <c r="AK178" s="11" t="s">
        <v>5318</v>
      </c>
      <c r="AL178" s="11">
        <v>0</v>
      </c>
      <c r="AM178" s="11">
        <v>0</v>
      </c>
      <c r="AN178" s="11" t="s">
        <v>5318</v>
      </c>
      <c r="AO178" s="11" t="s">
        <v>5318</v>
      </c>
      <c r="AP178" s="11" t="s">
        <v>5318</v>
      </c>
      <c r="AQ178" s="11" t="s">
        <v>5318</v>
      </c>
    </row>
    <row r="179" spans="1:43" ht="63" customHeight="1" x14ac:dyDescent="0.2">
      <c r="A179" s="10">
        <v>1995</v>
      </c>
      <c r="B179" s="11" t="s">
        <v>6998</v>
      </c>
      <c r="C179" s="11" t="s">
        <v>567</v>
      </c>
      <c r="D179" s="11">
        <v>2020</v>
      </c>
      <c r="E179" s="11" t="s">
        <v>5318</v>
      </c>
      <c r="F179" s="11">
        <v>155</v>
      </c>
      <c r="G179" s="11">
        <v>4</v>
      </c>
      <c r="H179" s="11" t="s">
        <v>6676</v>
      </c>
      <c r="I179" s="11" t="s">
        <v>6516</v>
      </c>
      <c r="J179" s="11" t="s">
        <v>6999</v>
      </c>
      <c r="K179" s="11" t="s">
        <v>569</v>
      </c>
      <c r="L179" s="16" t="s">
        <v>5461</v>
      </c>
      <c r="M179" s="11">
        <v>0</v>
      </c>
      <c r="N179" s="9" t="s">
        <v>5044</v>
      </c>
      <c r="O179" s="9" t="s">
        <v>5044</v>
      </c>
      <c r="P179" s="11">
        <v>0</v>
      </c>
      <c r="Q179" s="11">
        <v>0</v>
      </c>
      <c r="R179" s="11">
        <v>0</v>
      </c>
      <c r="S179" s="11">
        <v>1</v>
      </c>
      <c r="T179" s="11">
        <v>1</v>
      </c>
      <c r="U179" s="11">
        <v>168</v>
      </c>
      <c r="V179" s="11">
        <v>0</v>
      </c>
      <c r="W179" s="11">
        <v>1</v>
      </c>
      <c r="X179" s="11">
        <v>0</v>
      </c>
      <c r="Y179" s="11">
        <v>1</v>
      </c>
      <c r="Z179" s="11">
        <v>0</v>
      </c>
      <c r="AA179" s="11">
        <v>0</v>
      </c>
      <c r="AB179" s="11">
        <v>1</v>
      </c>
      <c r="AC179" s="11">
        <v>1</v>
      </c>
      <c r="AD179" s="11" t="s">
        <v>5044</v>
      </c>
      <c r="AE179" s="11" t="s">
        <v>5044</v>
      </c>
      <c r="AF179" s="11" t="s">
        <v>5044</v>
      </c>
      <c r="AG179" s="11">
        <v>2</v>
      </c>
      <c r="AH179" s="11">
        <v>1</v>
      </c>
      <c r="AI179" s="11">
        <v>1</v>
      </c>
      <c r="AJ179" s="11">
        <v>0</v>
      </c>
      <c r="AK179" s="11" t="s">
        <v>5318</v>
      </c>
      <c r="AL179" s="11">
        <v>1</v>
      </c>
      <c r="AM179" s="11">
        <v>0</v>
      </c>
      <c r="AN179" s="11" t="s">
        <v>5318</v>
      </c>
      <c r="AO179" s="11" t="s">
        <v>5318</v>
      </c>
      <c r="AP179" s="11" t="s">
        <v>5318</v>
      </c>
      <c r="AQ179" s="11" t="s">
        <v>5318</v>
      </c>
    </row>
    <row r="180" spans="1:43" ht="63" customHeight="1" x14ac:dyDescent="0.2">
      <c r="A180" s="10">
        <v>2001</v>
      </c>
      <c r="B180" s="11" t="s">
        <v>7000</v>
      </c>
      <c r="C180" s="11" t="s">
        <v>570</v>
      </c>
      <c r="D180" s="11">
        <v>2021</v>
      </c>
      <c r="E180" s="11" t="s">
        <v>5318</v>
      </c>
      <c r="F180" s="11">
        <v>96</v>
      </c>
      <c r="G180" s="11" t="s">
        <v>5318</v>
      </c>
      <c r="H180" s="11" t="s">
        <v>7001</v>
      </c>
      <c r="I180" s="11" t="s">
        <v>6516</v>
      </c>
      <c r="J180" s="11" t="s">
        <v>7002</v>
      </c>
      <c r="K180" s="11" t="s">
        <v>573</v>
      </c>
      <c r="L180" s="11" t="s">
        <v>5044</v>
      </c>
      <c r="M180" s="11">
        <v>0</v>
      </c>
      <c r="N180" s="9" t="s">
        <v>5044</v>
      </c>
      <c r="O180" s="9" t="s">
        <v>5044</v>
      </c>
      <c r="P180" s="11">
        <v>0</v>
      </c>
      <c r="Q180" s="11">
        <v>0</v>
      </c>
      <c r="R180" s="11">
        <v>0</v>
      </c>
      <c r="S180" s="11">
        <v>1</v>
      </c>
      <c r="T180" s="11">
        <v>1</v>
      </c>
      <c r="U180" s="11">
        <v>1205</v>
      </c>
      <c r="V180" s="11">
        <v>0</v>
      </c>
      <c r="W180" s="11">
        <v>1</v>
      </c>
      <c r="X180" s="11">
        <v>0</v>
      </c>
      <c r="Y180" s="11">
        <v>0</v>
      </c>
      <c r="Z180" s="11">
        <v>0</v>
      </c>
      <c r="AA180" s="11">
        <v>0</v>
      </c>
      <c r="AB180" s="11">
        <v>1</v>
      </c>
      <c r="AC180" s="11">
        <v>0</v>
      </c>
      <c r="AD180" s="11" t="s">
        <v>5044</v>
      </c>
      <c r="AE180" s="11" t="s">
        <v>5044</v>
      </c>
      <c r="AF180" s="11" t="s">
        <v>5044</v>
      </c>
      <c r="AG180" s="11">
        <v>0</v>
      </c>
      <c r="AH180" s="11" t="s">
        <v>5044</v>
      </c>
      <c r="AI180" s="11" t="s">
        <v>5044</v>
      </c>
      <c r="AJ180" s="11" t="s">
        <v>5044</v>
      </c>
      <c r="AK180" s="11" t="s">
        <v>5318</v>
      </c>
      <c r="AL180" s="11">
        <v>1</v>
      </c>
      <c r="AM180" s="11">
        <v>0</v>
      </c>
      <c r="AN180" s="11" t="s">
        <v>5318</v>
      </c>
      <c r="AO180" s="11" t="s">
        <v>5318</v>
      </c>
      <c r="AP180" s="11" t="s">
        <v>5318</v>
      </c>
      <c r="AQ180" s="11" t="s">
        <v>5318</v>
      </c>
    </row>
    <row r="181" spans="1:43" ht="63" customHeight="1" x14ac:dyDescent="0.2">
      <c r="A181" s="10">
        <v>2002</v>
      </c>
      <c r="B181" s="11" t="s">
        <v>7003</v>
      </c>
      <c r="C181" s="11" t="s">
        <v>574</v>
      </c>
      <c r="D181" s="11">
        <v>2015</v>
      </c>
      <c r="E181" s="11" t="s">
        <v>5318</v>
      </c>
      <c r="F181" s="11">
        <v>262</v>
      </c>
      <c r="G181" s="11">
        <v>6</v>
      </c>
      <c r="H181" s="11" t="s">
        <v>6533</v>
      </c>
      <c r="I181" s="11" t="s">
        <v>6516</v>
      </c>
      <c r="J181" s="11" t="s">
        <v>7004</v>
      </c>
      <c r="K181" s="11" t="s">
        <v>575</v>
      </c>
      <c r="L181" s="16" t="s">
        <v>5498</v>
      </c>
      <c r="M181" s="11">
        <v>0</v>
      </c>
      <c r="N181" s="9" t="s">
        <v>5044</v>
      </c>
      <c r="O181" s="9" t="s">
        <v>5044</v>
      </c>
      <c r="P181" s="11">
        <v>0</v>
      </c>
      <c r="Q181" s="11">
        <v>0</v>
      </c>
      <c r="R181" s="11">
        <v>0</v>
      </c>
      <c r="S181" s="11">
        <v>1</v>
      </c>
      <c r="T181" s="11">
        <v>1</v>
      </c>
      <c r="U181" s="11">
        <v>152</v>
      </c>
      <c r="V181" s="11">
        <v>0</v>
      </c>
      <c r="W181" s="11">
        <v>1</v>
      </c>
      <c r="X181" s="11">
        <v>0</v>
      </c>
      <c r="Y181" s="11">
        <v>0</v>
      </c>
      <c r="Z181" s="11">
        <v>0</v>
      </c>
      <c r="AA181" s="11">
        <v>0</v>
      </c>
      <c r="AB181" s="11">
        <v>1</v>
      </c>
      <c r="AC181" s="11">
        <v>1</v>
      </c>
      <c r="AD181" s="11" t="s">
        <v>5044</v>
      </c>
      <c r="AE181" s="11" t="s">
        <v>5044</v>
      </c>
      <c r="AF181" s="11" t="s">
        <v>5044</v>
      </c>
      <c r="AG181" s="11">
        <v>1</v>
      </c>
      <c r="AH181" s="11">
        <v>0</v>
      </c>
      <c r="AI181" s="11">
        <v>0</v>
      </c>
      <c r="AJ181" s="11" t="s">
        <v>5044</v>
      </c>
      <c r="AK181" s="11" t="s">
        <v>5318</v>
      </c>
      <c r="AL181" s="11">
        <v>1</v>
      </c>
      <c r="AM181" s="11">
        <v>0</v>
      </c>
      <c r="AN181" s="11" t="s">
        <v>5318</v>
      </c>
      <c r="AO181" s="11" t="s">
        <v>5318</v>
      </c>
      <c r="AP181" s="11" t="s">
        <v>5318</v>
      </c>
      <c r="AQ181" s="11" t="s">
        <v>5318</v>
      </c>
    </row>
    <row r="182" spans="1:43" ht="63" customHeight="1" x14ac:dyDescent="0.2">
      <c r="A182" s="10">
        <v>2020</v>
      </c>
      <c r="B182" s="11" t="s">
        <v>7005</v>
      </c>
      <c r="C182" s="11" t="s">
        <v>576</v>
      </c>
      <c r="D182" s="11">
        <v>2022</v>
      </c>
      <c r="E182" s="11" t="s">
        <v>5318</v>
      </c>
      <c r="F182" s="11">
        <v>48</v>
      </c>
      <c r="G182" s="11">
        <v>1</v>
      </c>
      <c r="H182" s="11" t="s">
        <v>7006</v>
      </c>
      <c r="I182" s="11" t="s">
        <v>6516</v>
      </c>
      <c r="J182" s="11" t="s">
        <v>7007</v>
      </c>
      <c r="K182" s="11" t="s">
        <v>579</v>
      </c>
      <c r="L182" s="16" t="s">
        <v>5499</v>
      </c>
      <c r="M182" s="11">
        <v>0</v>
      </c>
      <c r="N182" s="9" t="s">
        <v>5044</v>
      </c>
      <c r="O182" s="9" t="s">
        <v>5044</v>
      </c>
      <c r="P182" s="11">
        <v>0</v>
      </c>
      <c r="Q182" s="11">
        <v>0</v>
      </c>
      <c r="R182" s="11">
        <v>0</v>
      </c>
      <c r="S182" s="11">
        <v>9</v>
      </c>
      <c r="T182" s="11">
        <v>1</v>
      </c>
      <c r="U182" s="11">
        <v>69</v>
      </c>
      <c r="V182" s="11">
        <v>0</v>
      </c>
      <c r="W182" s="11">
        <v>1</v>
      </c>
      <c r="X182" s="11">
        <v>0</v>
      </c>
      <c r="Y182" s="11">
        <v>0</v>
      </c>
      <c r="Z182" s="11">
        <v>0</v>
      </c>
      <c r="AA182" s="11">
        <v>0</v>
      </c>
      <c r="AB182" s="11">
        <v>1</v>
      </c>
      <c r="AC182" s="11">
        <v>1</v>
      </c>
      <c r="AD182" s="11" t="s">
        <v>5044</v>
      </c>
      <c r="AE182" s="11" t="s">
        <v>5044</v>
      </c>
      <c r="AF182" s="11" t="s">
        <v>5044</v>
      </c>
      <c r="AG182" s="11">
        <v>2</v>
      </c>
      <c r="AH182" s="11">
        <v>1</v>
      </c>
      <c r="AI182" s="11">
        <v>3</v>
      </c>
      <c r="AJ182" s="11" t="s">
        <v>5044</v>
      </c>
      <c r="AK182" s="11" t="s">
        <v>5318</v>
      </c>
      <c r="AL182" s="11">
        <v>0</v>
      </c>
      <c r="AM182" s="11">
        <v>0</v>
      </c>
      <c r="AN182" s="11" t="s">
        <v>5318</v>
      </c>
      <c r="AO182" s="11" t="s">
        <v>5318</v>
      </c>
      <c r="AP182" s="11" t="s">
        <v>5318</v>
      </c>
      <c r="AQ182" s="11" t="s">
        <v>5318</v>
      </c>
    </row>
    <row r="183" spans="1:43" ht="63" customHeight="1" x14ac:dyDescent="0.2">
      <c r="A183" s="10">
        <v>2025</v>
      </c>
      <c r="B183" s="11" t="s">
        <v>7008</v>
      </c>
      <c r="C183" s="11" t="s">
        <v>580</v>
      </c>
      <c r="D183" s="11">
        <v>2020</v>
      </c>
      <c r="E183" s="11" t="s">
        <v>5318</v>
      </c>
      <c r="F183" s="11">
        <v>38</v>
      </c>
      <c r="G183" s="11">
        <v>27</v>
      </c>
      <c r="H183" s="11" t="s">
        <v>6449</v>
      </c>
      <c r="I183" s="11" t="s">
        <v>6828</v>
      </c>
      <c r="J183" s="11" t="s">
        <v>7009</v>
      </c>
      <c r="K183" s="11" t="s">
        <v>581</v>
      </c>
      <c r="L183" s="16" t="s">
        <v>5500</v>
      </c>
      <c r="M183" s="11">
        <v>0</v>
      </c>
      <c r="N183" s="9" t="s">
        <v>5044</v>
      </c>
      <c r="O183" s="9" t="s">
        <v>5044</v>
      </c>
      <c r="P183" s="11">
        <v>0</v>
      </c>
      <c r="Q183" s="11">
        <v>0</v>
      </c>
      <c r="R183" s="11">
        <v>0</v>
      </c>
      <c r="S183" s="11">
        <v>1</v>
      </c>
      <c r="T183" s="11">
        <v>4</v>
      </c>
      <c r="U183" s="11">
        <v>241</v>
      </c>
      <c r="V183" s="11">
        <v>0</v>
      </c>
      <c r="W183" s="11">
        <v>1</v>
      </c>
      <c r="X183" s="11">
        <v>0</v>
      </c>
      <c r="Y183" s="11">
        <v>0</v>
      </c>
      <c r="Z183" s="11">
        <v>0</v>
      </c>
      <c r="AA183" s="11">
        <v>0</v>
      </c>
      <c r="AB183" s="11">
        <v>1</v>
      </c>
      <c r="AC183" s="11">
        <v>1</v>
      </c>
      <c r="AD183" s="11" t="s">
        <v>5044</v>
      </c>
      <c r="AE183" s="11" t="s">
        <v>5044</v>
      </c>
      <c r="AF183" s="11" t="s">
        <v>5044</v>
      </c>
      <c r="AG183" s="11">
        <v>2</v>
      </c>
      <c r="AH183" s="11">
        <v>1</v>
      </c>
      <c r="AI183" s="11">
        <v>2</v>
      </c>
      <c r="AJ183" s="11" t="s">
        <v>5044</v>
      </c>
      <c r="AK183" s="11" t="s">
        <v>5318</v>
      </c>
      <c r="AL183" s="11">
        <v>1</v>
      </c>
      <c r="AM183" s="11">
        <v>0</v>
      </c>
      <c r="AN183" s="11" t="s">
        <v>5318</v>
      </c>
      <c r="AO183" s="11" t="s">
        <v>5318</v>
      </c>
      <c r="AP183" s="11" t="s">
        <v>5318</v>
      </c>
      <c r="AQ183" s="11" t="s">
        <v>5318</v>
      </c>
    </row>
    <row r="184" spans="1:43" ht="63" customHeight="1" x14ac:dyDescent="0.2">
      <c r="A184" s="10">
        <v>2049</v>
      </c>
      <c r="B184" s="11" t="s">
        <v>7010</v>
      </c>
      <c r="C184" s="11" t="s">
        <v>582</v>
      </c>
      <c r="D184" s="11">
        <v>2017</v>
      </c>
      <c r="E184" s="11" t="s">
        <v>5318</v>
      </c>
      <c r="F184" s="11">
        <v>20</v>
      </c>
      <c r="G184" s="11">
        <v>5</v>
      </c>
      <c r="H184" s="11" t="s">
        <v>6883</v>
      </c>
      <c r="I184" s="11" t="s">
        <v>6516</v>
      </c>
      <c r="J184" s="11" t="s">
        <v>7011</v>
      </c>
      <c r="K184" s="11" t="s">
        <v>583</v>
      </c>
      <c r="L184" s="12" t="s">
        <v>5501</v>
      </c>
      <c r="M184" s="11">
        <v>1</v>
      </c>
      <c r="N184" s="11">
        <v>0</v>
      </c>
      <c r="O184" s="9" t="s">
        <v>5044</v>
      </c>
      <c r="P184" s="11">
        <v>0</v>
      </c>
      <c r="Q184" s="11">
        <v>0</v>
      </c>
      <c r="R184" s="11">
        <v>0</v>
      </c>
      <c r="S184" s="11">
        <v>1</v>
      </c>
      <c r="T184" s="11">
        <v>4</v>
      </c>
      <c r="U184" s="11">
        <v>140</v>
      </c>
      <c r="V184" s="11">
        <v>0</v>
      </c>
      <c r="W184" s="11">
        <v>1</v>
      </c>
      <c r="X184" s="11">
        <v>0</v>
      </c>
      <c r="Y184" s="11">
        <v>0</v>
      </c>
      <c r="Z184" s="11">
        <v>0</v>
      </c>
      <c r="AA184" s="11">
        <v>0</v>
      </c>
      <c r="AB184" s="11">
        <v>1</v>
      </c>
      <c r="AC184" s="11" t="s">
        <v>5044</v>
      </c>
      <c r="AD184" s="11" t="s">
        <v>5044</v>
      </c>
      <c r="AE184" s="11" t="s">
        <v>5044</v>
      </c>
      <c r="AF184" s="11" t="s">
        <v>5044</v>
      </c>
      <c r="AG184" s="11" t="s">
        <v>5044</v>
      </c>
      <c r="AH184" s="11" t="s">
        <v>5044</v>
      </c>
      <c r="AI184" s="11" t="s">
        <v>5044</v>
      </c>
      <c r="AJ184" s="11" t="s">
        <v>5044</v>
      </c>
      <c r="AK184" s="11" t="s">
        <v>5318</v>
      </c>
      <c r="AL184" s="11" t="s">
        <v>5044</v>
      </c>
      <c r="AM184" s="11">
        <v>0</v>
      </c>
      <c r="AN184" s="11" t="s">
        <v>5318</v>
      </c>
      <c r="AO184" s="11" t="s">
        <v>5318</v>
      </c>
      <c r="AP184" s="11" t="s">
        <v>5318</v>
      </c>
      <c r="AQ184" s="11" t="s">
        <v>5318</v>
      </c>
    </row>
    <row r="185" spans="1:43" ht="63" customHeight="1" x14ac:dyDescent="0.2">
      <c r="A185" s="10">
        <v>2058</v>
      </c>
      <c r="B185" s="11" t="s">
        <v>7012</v>
      </c>
      <c r="C185" s="11" t="s">
        <v>584</v>
      </c>
      <c r="D185" s="11">
        <v>2015</v>
      </c>
      <c r="E185" s="11" t="s">
        <v>5318</v>
      </c>
      <c r="F185" s="11">
        <v>22</v>
      </c>
      <c r="G185" s="11">
        <v>6</v>
      </c>
      <c r="H185" s="11" t="s">
        <v>6742</v>
      </c>
      <c r="I185" s="11" t="s">
        <v>6516</v>
      </c>
      <c r="J185" s="11" t="s">
        <v>7013</v>
      </c>
      <c r="K185" s="11" t="s">
        <v>585</v>
      </c>
      <c r="L185" s="12" t="s">
        <v>5502</v>
      </c>
      <c r="M185" s="11">
        <v>0</v>
      </c>
      <c r="N185" s="9" t="s">
        <v>5044</v>
      </c>
      <c r="O185" s="9" t="s">
        <v>5044</v>
      </c>
      <c r="P185" s="11">
        <v>0</v>
      </c>
      <c r="Q185" s="11">
        <v>0</v>
      </c>
      <c r="R185" s="11">
        <v>0</v>
      </c>
      <c r="S185" s="11">
        <v>1</v>
      </c>
      <c r="T185" s="11">
        <v>4</v>
      </c>
      <c r="U185" s="11">
        <v>193</v>
      </c>
      <c r="V185" s="11">
        <v>0</v>
      </c>
      <c r="W185" s="11">
        <v>1</v>
      </c>
      <c r="X185" s="11">
        <v>0</v>
      </c>
      <c r="Y185" s="11">
        <v>0</v>
      </c>
      <c r="Z185" s="11">
        <v>0</v>
      </c>
      <c r="AA185" s="11">
        <v>0</v>
      </c>
      <c r="AB185" s="11">
        <v>1</v>
      </c>
      <c r="AC185" s="11">
        <v>1</v>
      </c>
      <c r="AD185" s="11" t="s">
        <v>5044</v>
      </c>
      <c r="AE185" s="11" t="s">
        <v>5044</v>
      </c>
      <c r="AF185" s="11" t="s">
        <v>5044</v>
      </c>
      <c r="AG185" s="11">
        <v>1</v>
      </c>
      <c r="AH185" s="11">
        <v>0</v>
      </c>
      <c r="AI185" s="11">
        <v>0</v>
      </c>
      <c r="AJ185" s="11" t="s">
        <v>5044</v>
      </c>
      <c r="AK185" s="11" t="s">
        <v>5318</v>
      </c>
      <c r="AL185" s="11">
        <v>0</v>
      </c>
      <c r="AM185" s="11">
        <v>0</v>
      </c>
      <c r="AN185" s="11" t="s">
        <v>5318</v>
      </c>
      <c r="AO185" s="11" t="s">
        <v>5318</v>
      </c>
      <c r="AP185" s="11" t="s">
        <v>5318</v>
      </c>
      <c r="AQ185" s="11" t="s">
        <v>5318</v>
      </c>
    </row>
    <row r="186" spans="1:43" ht="63" customHeight="1" x14ac:dyDescent="0.2">
      <c r="A186" s="10">
        <v>2077</v>
      </c>
      <c r="B186" s="11" t="s">
        <v>7014</v>
      </c>
      <c r="C186" s="11" t="s">
        <v>586</v>
      </c>
      <c r="D186" s="11">
        <v>2016</v>
      </c>
      <c r="E186" s="11" t="s">
        <v>5318</v>
      </c>
      <c r="F186" s="11">
        <v>40</v>
      </c>
      <c r="G186" s="11">
        <v>8</v>
      </c>
      <c r="H186" s="11" t="s">
        <v>6745</v>
      </c>
      <c r="I186" s="11" t="s">
        <v>6516</v>
      </c>
      <c r="J186" s="11" t="s">
        <v>7015</v>
      </c>
      <c r="K186" s="11" t="s">
        <v>588</v>
      </c>
      <c r="L186" s="12" t="s">
        <v>5503</v>
      </c>
      <c r="M186" s="11">
        <v>0</v>
      </c>
      <c r="N186" s="9" t="s">
        <v>5044</v>
      </c>
      <c r="O186" s="9" t="s">
        <v>5044</v>
      </c>
      <c r="P186" s="11">
        <v>0</v>
      </c>
      <c r="Q186" s="11">
        <v>0</v>
      </c>
      <c r="R186" s="11">
        <v>0</v>
      </c>
      <c r="S186" s="11">
        <v>1</v>
      </c>
      <c r="T186" s="11">
        <v>5</v>
      </c>
      <c r="U186" s="11">
        <v>40</v>
      </c>
      <c r="V186" s="11">
        <v>0</v>
      </c>
      <c r="W186" s="11">
        <v>1</v>
      </c>
      <c r="X186" s="11">
        <v>0</v>
      </c>
      <c r="Y186" s="11">
        <v>0</v>
      </c>
      <c r="Z186" s="11">
        <v>0</v>
      </c>
      <c r="AA186" s="11">
        <v>0</v>
      </c>
      <c r="AB186" s="11">
        <v>1</v>
      </c>
      <c r="AC186" s="11">
        <v>1</v>
      </c>
      <c r="AD186" s="11" t="s">
        <v>5044</v>
      </c>
      <c r="AE186" s="11" t="s">
        <v>5044</v>
      </c>
      <c r="AF186" s="11" t="s">
        <v>5044</v>
      </c>
      <c r="AG186" s="11">
        <v>2</v>
      </c>
      <c r="AH186" s="11">
        <v>3</v>
      </c>
      <c r="AI186" s="11">
        <v>0</v>
      </c>
      <c r="AJ186" s="11" t="s">
        <v>5044</v>
      </c>
      <c r="AK186" s="11">
        <v>1</v>
      </c>
      <c r="AL186" s="11">
        <v>1</v>
      </c>
      <c r="AM186" s="11">
        <v>0</v>
      </c>
      <c r="AN186" s="11" t="s">
        <v>5318</v>
      </c>
      <c r="AO186" s="11" t="s">
        <v>5318</v>
      </c>
      <c r="AP186" s="11" t="s">
        <v>5318</v>
      </c>
      <c r="AQ186" s="11" t="s">
        <v>5318</v>
      </c>
    </row>
    <row r="187" spans="1:43" ht="63" customHeight="1" x14ac:dyDescent="0.2">
      <c r="A187" s="10">
        <v>2087</v>
      </c>
      <c r="B187" s="11" t="s">
        <v>7016</v>
      </c>
      <c r="C187" s="11" t="s">
        <v>589</v>
      </c>
      <c r="D187" s="11">
        <v>2014</v>
      </c>
      <c r="E187" s="11" t="s">
        <v>5318</v>
      </c>
      <c r="F187" s="11">
        <v>38</v>
      </c>
      <c r="G187" s="11">
        <v>2</v>
      </c>
      <c r="H187" s="11" t="s">
        <v>6745</v>
      </c>
      <c r="I187" s="11" t="s">
        <v>6516</v>
      </c>
      <c r="J187" s="11" t="s">
        <v>7017</v>
      </c>
      <c r="K187" s="11" t="s">
        <v>590</v>
      </c>
      <c r="L187" s="11" t="s">
        <v>5044</v>
      </c>
      <c r="M187" s="11">
        <v>0</v>
      </c>
      <c r="N187" s="9" t="s">
        <v>5044</v>
      </c>
      <c r="O187" s="9" t="s">
        <v>5044</v>
      </c>
      <c r="P187" s="11">
        <v>0</v>
      </c>
      <c r="Q187" s="11">
        <v>0</v>
      </c>
      <c r="R187" s="11">
        <v>0</v>
      </c>
      <c r="S187" s="11">
        <v>1</v>
      </c>
      <c r="T187" s="11">
        <v>1</v>
      </c>
      <c r="U187" s="11">
        <v>71</v>
      </c>
      <c r="V187" s="11">
        <v>0</v>
      </c>
      <c r="W187" s="11">
        <v>1</v>
      </c>
      <c r="X187" s="11">
        <v>0</v>
      </c>
      <c r="Y187" s="11">
        <v>0</v>
      </c>
      <c r="Z187" s="11">
        <v>0</v>
      </c>
      <c r="AA187" s="11">
        <v>0</v>
      </c>
      <c r="AB187" s="11">
        <v>1</v>
      </c>
      <c r="AC187" s="11">
        <v>1</v>
      </c>
      <c r="AD187" s="11" t="s">
        <v>5044</v>
      </c>
      <c r="AE187" s="11" t="s">
        <v>5044</v>
      </c>
      <c r="AF187" s="11" t="s">
        <v>5044</v>
      </c>
      <c r="AG187" s="11">
        <v>2</v>
      </c>
      <c r="AH187" s="11">
        <v>3</v>
      </c>
      <c r="AI187" s="11">
        <v>0</v>
      </c>
      <c r="AJ187" s="11" t="s">
        <v>5044</v>
      </c>
      <c r="AK187" s="11">
        <v>1</v>
      </c>
      <c r="AL187" s="11">
        <v>0</v>
      </c>
      <c r="AM187" s="11">
        <v>0</v>
      </c>
      <c r="AN187" s="11" t="s">
        <v>5318</v>
      </c>
      <c r="AO187" s="11" t="s">
        <v>5318</v>
      </c>
      <c r="AP187" s="11" t="s">
        <v>5318</v>
      </c>
      <c r="AQ187" s="11" t="s">
        <v>5318</v>
      </c>
    </row>
    <row r="188" spans="1:43" ht="63" customHeight="1" x14ac:dyDescent="0.2">
      <c r="A188" s="10">
        <v>2097</v>
      </c>
      <c r="B188" s="22" t="s">
        <v>7018</v>
      </c>
      <c r="C188" s="11" t="s">
        <v>591</v>
      </c>
      <c r="D188" s="11">
        <v>2020</v>
      </c>
      <c r="E188" s="11" t="s">
        <v>5318</v>
      </c>
      <c r="F188" s="11">
        <v>34</v>
      </c>
      <c r="G188" s="11">
        <v>2</v>
      </c>
      <c r="H188" s="11" t="s">
        <v>6624</v>
      </c>
      <c r="I188" s="11" t="s">
        <v>6516</v>
      </c>
      <c r="J188" s="11" t="s">
        <v>7019</v>
      </c>
      <c r="K188" s="11" t="s">
        <v>592</v>
      </c>
      <c r="L188" s="11" t="s">
        <v>5044</v>
      </c>
      <c r="M188" s="11">
        <v>0</v>
      </c>
      <c r="N188" s="9" t="s">
        <v>5044</v>
      </c>
      <c r="O188" s="9" t="s">
        <v>5044</v>
      </c>
      <c r="P188" s="11">
        <v>0</v>
      </c>
      <c r="Q188" s="11">
        <v>0</v>
      </c>
      <c r="R188" s="11">
        <v>0</v>
      </c>
      <c r="S188" s="11" t="s">
        <v>5728</v>
      </c>
      <c r="T188" s="11">
        <v>6</v>
      </c>
      <c r="U188" s="11">
        <v>140</v>
      </c>
      <c r="V188" s="11">
        <v>1</v>
      </c>
      <c r="W188" s="11">
        <v>0</v>
      </c>
      <c r="X188" s="11">
        <v>0</v>
      </c>
      <c r="Y188" s="11">
        <v>0</v>
      </c>
      <c r="Z188" s="11">
        <v>0</v>
      </c>
      <c r="AA188" s="11">
        <v>0</v>
      </c>
      <c r="AB188" s="11">
        <v>1</v>
      </c>
      <c r="AC188" s="11">
        <v>0</v>
      </c>
      <c r="AD188" s="11">
        <v>0</v>
      </c>
      <c r="AE188" s="11" t="s">
        <v>5044</v>
      </c>
      <c r="AF188" s="11" t="s">
        <v>5044</v>
      </c>
      <c r="AG188" s="11" t="s">
        <v>5044</v>
      </c>
      <c r="AH188" s="11" t="s">
        <v>5044</v>
      </c>
      <c r="AI188" s="11" t="s">
        <v>5044</v>
      </c>
      <c r="AJ188" s="11" t="s">
        <v>5044</v>
      </c>
      <c r="AK188" s="11" t="s">
        <v>5318</v>
      </c>
      <c r="AL188" s="11" t="s">
        <v>5044</v>
      </c>
      <c r="AM188" s="11">
        <v>0</v>
      </c>
      <c r="AN188" s="11" t="s">
        <v>5105</v>
      </c>
      <c r="AO188" s="11" t="s">
        <v>5318</v>
      </c>
      <c r="AP188" s="11" t="s">
        <v>5318</v>
      </c>
      <c r="AQ188" s="11" t="s">
        <v>5318</v>
      </c>
    </row>
    <row r="189" spans="1:43" ht="63" customHeight="1" x14ac:dyDescent="0.2">
      <c r="A189" s="10">
        <v>2104</v>
      </c>
      <c r="B189" s="11" t="s">
        <v>7020</v>
      </c>
      <c r="C189" s="11" t="s">
        <v>593</v>
      </c>
      <c r="D189" s="11">
        <v>2015</v>
      </c>
      <c r="E189" s="11" t="s">
        <v>5318</v>
      </c>
      <c r="F189" s="11">
        <v>22</v>
      </c>
      <c r="G189" s="11" t="s">
        <v>5318</v>
      </c>
      <c r="H189" s="11" t="s">
        <v>6621</v>
      </c>
      <c r="I189" s="11" t="s">
        <v>6516</v>
      </c>
      <c r="J189" s="11" t="s">
        <v>7021</v>
      </c>
      <c r="K189" s="11" t="s">
        <v>594</v>
      </c>
      <c r="L189" s="12" t="s">
        <v>5504</v>
      </c>
      <c r="M189" s="11">
        <v>0</v>
      </c>
      <c r="N189" s="9" t="s">
        <v>5044</v>
      </c>
      <c r="O189" s="9" t="s">
        <v>5044</v>
      </c>
      <c r="P189" s="11">
        <v>0</v>
      </c>
      <c r="Q189" s="11">
        <v>0</v>
      </c>
      <c r="R189" s="11">
        <v>0</v>
      </c>
      <c r="S189" s="11">
        <v>1</v>
      </c>
      <c r="T189" s="11">
        <v>4</v>
      </c>
      <c r="U189" s="11">
        <v>47</v>
      </c>
      <c r="V189" s="11">
        <v>0</v>
      </c>
      <c r="W189" s="11">
        <v>1</v>
      </c>
      <c r="X189" s="11">
        <v>0</v>
      </c>
      <c r="Y189" s="11">
        <v>0</v>
      </c>
      <c r="Z189" s="11">
        <v>0</v>
      </c>
      <c r="AA189" s="11">
        <v>0</v>
      </c>
      <c r="AB189" s="11">
        <v>1</v>
      </c>
      <c r="AC189" s="11">
        <v>1</v>
      </c>
      <c r="AD189" s="11" t="s">
        <v>5044</v>
      </c>
      <c r="AE189" s="11" t="s">
        <v>5044</v>
      </c>
      <c r="AF189" s="11" t="s">
        <v>5044</v>
      </c>
      <c r="AG189" s="11">
        <v>2</v>
      </c>
      <c r="AH189" s="11">
        <v>2</v>
      </c>
      <c r="AI189" s="11">
        <v>2</v>
      </c>
      <c r="AJ189" s="11" t="s">
        <v>5044</v>
      </c>
      <c r="AK189" s="11" t="s">
        <v>5318</v>
      </c>
      <c r="AL189" s="11">
        <v>1</v>
      </c>
      <c r="AM189" s="11">
        <v>0</v>
      </c>
      <c r="AN189" s="11" t="s">
        <v>5318</v>
      </c>
      <c r="AO189" s="11" t="s">
        <v>5318</v>
      </c>
      <c r="AP189" s="11" t="s">
        <v>5318</v>
      </c>
      <c r="AQ189" s="11" t="s">
        <v>5318</v>
      </c>
    </row>
    <row r="190" spans="1:43" ht="63" customHeight="1" x14ac:dyDescent="0.2">
      <c r="A190" s="10">
        <v>2110</v>
      </c>
      <c r="B190" s="11" t="s">
        <v>7022</v>
      </c>
      <c r="C190" s="11" t="s">
        <v>595</v>
      </c>
      <c r="D190" s="11">
        <v>2018</v>
      </c>
      <c r="E190" s="11" t="s">
        <v>5318</v>
      </c>
      <c r="F190" s="11">
        <v>403</v>
      </c>
      <c r="G190" s="11">
        <v>8</v>
      </c>
      <c r="H190" s="11" t="s">
        <v>7023</v>
      </c>
      <c r="I190" s="11" t="s">
        <v>6516</v>
      </c>
      <c r="J190" s="11" t="s">
        <v>7024</v>
      </c>
      <c r="K190" s="11" t="s">
        <v>597</v>
      </c>
      <c r="L190" s="12" t="s">
        <v>5505</v>
      </c>
      <c r="M190" s="11">
        <v>0</v>
      </c>
      <c r="N190" s="9" t="s">
        <v>5044</v>
      </c>
      <c r="O190" s="9" t="s">
        <v>5044</v>
      </c>
      <c r="P190" s="11">
        <v>0</v>
      </c>
      <c r="Q190" s="11">
        <v>0</v>
      </c>
      <c r="R190" s="11">
        <v>0</v>
      </c>
      <c r="S190" s="11">
        <v>1</v>
      </c>
      <c r="T190" s="11">
        <v>4</v>
      </c>
      <c r="U190" s="11">
        <v>50</v>
      </c>
      <c r="V190" s="11">
        <v>0</v>
      </c>
      <c r="W190" s="11">
        <v>1</v>
      </c>
      <c r="X190" s="11">
        <v>0</v>
      </c>
      <c r="Y190" s="11">
        <v>0</v>
      </c>
      <c r="Z190" s="11">
        <v>0</v>
      </c>
      <c r="AA190" s="11">
        <v>0</v>
      </c>
      <c r="AB190" s="11">
        <v>1</v>
      </c>
      <c r="AC190" s="11">
        <v>1</v>
      </c>
      <c r="AD190" s="11" t="s">
        <v>5044</v>
      </c>
      <c r="AE190" s="11" t="s">
        <v>5044</v>
      </c>
      <c r="AF190" s="11" t="s">
        <v>5044</v>
      </c>
      <c r="AG190" s="11">
        <v>2</v>
      </c>
      <c r="AH190" s="11">
        <v>1</v>
      </c>
      <c r="AI190" s="11">
        <v>1</v>
      </c>
      <c r="AJ190" s="11" t="s">
        <v>5044</v>
      </c>
      <c r="AK190" s="11" t="s">
        <v>5318</v>
      </c>
      <c r="AL190" s="11">
        <v>0</v>
      </c>
      <c r="AM190" s="11">
        <v>0</v>
      </c>
      <c r="AN190" s="11" t="s">
        <v>5318</v>
      </c>
      <c r="AO190" s="11" t="s">
        <v>5318</v>
      </c>
      <c r="AP190" s="11" t="s">
        <v>5318</v>
      </c>
      <c r="AQ190" s="11" t="s">
        <v>5318</v>
      </c>
    </row>
    <row r="191" spans="1:43" ht="63" customHeight="1" x14ac:dyDescent="0.2">
      <c r="A191" s="10">
        <v>2120</v>
      </c>
      <c r="B191" s="11" t="s">
        <v>7025</v>
      </c>
      <c r="C191" s="11" t="s">
        <v>598</v>
      </c>
      <c r="D191" s="11">
        <v>2015</v>
      </c>
      <c r="E191" s="11" t="s">
        <v>5318</v>
      </c>
      <c r="F191" s="11">
        <v>262</v>
      </c>
      <c r="G191" s="11">
        <v>2</v>
      </c>
      <c r="H191" s="11" t="s">
        <v>6533</v>
      </c>
      <c r="I191" s="11" t="s">
        <v>6516</v>
      </c>
      <c r="J191" s="11" t="s">
        <v>7026</v>
      </c>
      <c r="K191" s="11" t="s">
        <v>599</v>
      </c>
      <c r="L191" s="12" t="s">
        <v>5506</v>
      </c>
      <c r="M191" s="11">
        <v>0</v>
      </c>
      <c r="N191" s="9" t="s">
        <v>5044</v>
      </c>
      <c r="O191" s="9" t="s">
        <v>5044</v>
      </c>
      <c r="P191" s="11">
        <v>0</v>
      </c>
      <c r="Q191" s="11">
        <v>0</v>
      </c>
      <c r="R191" s="11">
        <v>0</v>
      </c>
      <c r="S191" s="11">
        <v>1</v>
      </c>
      <c r="T191" s="11">
        <v>4</v>
      </c>
      <c r="U191" s="11">
        <v>40</v>
      </c>
      <c r="V191" s="11">
        <v>0</v>
      </c>
      <c r="W191" s="11">
        <v>1</v>
      </c>
      <c r="X191" s="11">
        <v>0</v>
      </c>
      <c r="Y191" s="11">
        <v>0</v>
      </c>
      <c r="Z191" s="11">
        <v>0</v>
      </c>
      <c r="AA191" s="11">
        <v>0</v>
      </c>
      <c r="AB191" s="11">
        <v>1</v>
      </c>
      <c r="AC191" s="11">
        <v>1</v>
      </c>
      <c r="AD191" s="11" t="s">
        <v>5044</v>
      </c>
      <c r="AE191" s="11" t="s">
        <v>5044</v>
      </c>
      <c r="AF191" s="11" t="s">
        <v>5044</v>
      </c>
      <c r="AG191" s="11">
        <v>2</v>
      </c>
      <c r="AH191" s="11">
        <v>2</v>
      </c>
      <c r="AI191" s="11">
        <v>2</v>
      </c>
      <c r="AJ191" s="11" t="s">
        <v>5044</v>
      </c>
      <c r="AK191" s="11" t="s">
        <v>5318</v>
      </c>
      <c r="AL191" s="11">
        <v>1</v>
      </c>
      <c r="AM191" s="11">
        <v>0</v>
      </c>
      <c r="AN191" s="11" t="s">
        <v>5318</v>
      </c>
      <c r="AO191" s="11" t="s">
        <v>5318</v>
      </c>
      <c r="AP191" s="11" t="s">
        <v>5318</v>
      </c>
      <c r="AQ191" s="11" t="s">
        <v>5318</v>
      </c>
    </row>
    <row r="192" spans="1:43" ht="63" customHeight="1" x14ac:dyDescent="0.2">
      <c r="A192" s="10">
        <v>2150</v>
      </c>
      <c r="B192" s="11" t="s">
        <v>7027</v>
      </c>
      <c r="C192" s="11" t="s">
        <v>600</v>
      </c>
      <c r="D192" s="11">
        <v>2019</v>
      </c>
      <c r="E192" s="11" t="s">
        <v>305</v>
      </c>
      <c r="F192" s="11">
        <v>38</v>
      </c>
      <c r="G192" s="11">
        <v>1</v>
      </c>
      <c r="H192" s="11" t="s">
        <v>6592</v>
      </c>
      <c r="I192" s="11" t="s">
        <v>6516</v>
      </c>
      <c r="J192" s="11" t="s">
        <v>7028</v>
      </c>
      <c r="K192" s="11" t="s">
        <v>601</v>
      </c>
      <c r="L192" s="12" t="s">
        <v>5507</v>
      </c>
      <c r="M192" s="11">
        <v>0</v>
      </c>
      <c r="N192" s="9" t="s">
        <v>5044</v>
      </c>
      <c r="O192" s="9" t="s">
        <v>5044</v>
      </c>
      <c r="P192" s="11">
        <v>0</v>
      </c>
      <c r="Q192" s="11">
        <v>0</v>
      </c>
      <c r="R192" s="11">
        <v>0</v>
      </c>
      <c r="S192" s="11">
        <v>1</v>
      </c>
      <c r="T192" s="11">
        <v>4</v>
      </c>
      <c r="U192" s="11">
        <v>80</v>
      </c>
      <c r="V192" s="11">
        <v>0</v>
      </c>
      <c r="W192" s="11">
        <v>1</v>
      </c>
      <c r="X192" s="11">
        <v>0</v>
      </c>
      <c r="Y192" s="11">
        <v>0</v>
      </c>
      <c r="Z192" s="11">
        <v>0</v>
      </c>
      <c r="AA192" s="11">
        <v>0</v>
      </c>
      <c r="AB192" s="11">
        <v>1</v>
      </c>
      <c r="AC192" s="11">
        <v>1</v>
      </c>
      <c r="AD192" s="11" t="s">
        <v>5044</v>
      </c>
      <c r="AE192" s="11" t="s">
        <v>5044</v>
      </c>
      <c r="AF192" s="11" t="s">
        <v>5044</v>
      </c>
      <c r="AG192" s="11">
        <v>2</v>
      </c>
      <c r="AH192" s="11">
        <v>3</v>
      </c>
      <c r="AI192" s="11">
        <v>0</v>
      </c>
      <c r="AJ192" s="11" t="s">
        <v>5044</v>
      </c>
      <c r="AK192" s="11">
        <v>1</v>
      </c>
      <c r="AL192" s="11">
        <v>1</v>
      </c>
      <c r="AM192" s="11">
        <v>0</v>
      </c>
      <c r="AN192" s="11" t="s">
        <v>5318</v>
      </c>
      <c r="AO192" s="11" t="s">
        <v>5318</v>
      </c>
      <c r="AP192" s="11" t="s">
        <v>5318</v>
      </c>
      <c r="AQ192" s="11" t="s">
        <v>5318</v>
      </c>
    </row>
    <row r="193" spans="1:43" ht="63" customHeight="1" x14ac:dyDescent="0.2">
      <c r="A193" s="10">
        <v>2163</v>
      </c>
      <c r="B193" s="11" t="s">
        <v>7029</v>
      </c>
      <c r="C193" s="11" t="s">
        <v>602</v>
      </c>
      <c r="D193" s="11">
        <v>2018</v>
      </c>
      <c r="E193" s="11" t="s">
        <v>5318</v>
      </c>
      <c r="F193" s="11">
        <v>28</v>
      </c>
      <c r="G193" s="11">
        <v>1</v>
      </c>
      <c r="H193" s="11" t="s">
        <v>6482</v>
      </c>
      <c r="I193" s="11" t="s">
        <v>6516</v>
      </c>
      <c r="J193" s="11" t="s">
        <v>7030</v>
      </c>
      <c r="K193" s="11" t="s">
        <v>603</v>
      </c>
      <c r="L193" s="11" t="s">
        <v>5044</v>
      </c>
      <c r="M193" s="11">
        <v>0</v>
      </c>
      <c r="N193" s="9" t="s">
        <v>5044</v>
      </c>
      <c r="O193" s="9" t="s">
        <v>5044</v>
      </c>
      <c r="P193" s="11">
        <v>0</v>
      </c>
      <c r="Q193" s="11">
        <v>0</v>
      </c>
      <c r="R193" s="11">
        <v>0</v>
      </c>
      <c r="S193" s="11">
        <v>1</v>
      </c>
      <c r="T193" s="11">
        <v>6</v>
      </c>
      <c r="U193" s="11">
        <v>400</v>
      </c>
      <c r="V193" s="11">
        <v>1</v>
      </c>
      <c r="W193" s="11">
        <v>0</v>
      </c>
      <c r="X193" s="11">
        <v>0</v>
      </c>
      <c r="Y193" s="11">
        <v>0</v>
      </c>
      <c r="Z193" s="11">
        <v>0</v>
      </c>
      <c r="AA193" s="11">
        <v>0</v>
      </c>
      <c r="AB193" s="11">
        <v>1</v>
      </c>
      <c r="AC193" s="11">
        <v>1</v>
      </c>
      <c r="AD193" s="11">
        <v>2</v>
      </c>
      <c r="AE193" s="11">
        <v>3</v>
      </c>
      <c r="AF193" s="11">
        <v>0</v>
      </c>
      <c r="AG193" s="11" t="s">
        <v>5044</v>
      </c>
      <c r="AH193" s="11" t="s">
        <v>5044</v>
      </c>
      <c r="AI193" s="11" t="s">
        <v>5044</v>
      </c>
      <c r="AJ193" s="11" t="s">
        <v>5044</v>
      </c>
      <c r="AK193" s="11">
        <v>1</v>
      </c>
      <c r="AL193" s="11">
        <v>0</v>
      </c>
      <c r="AM193" s="11">
        <v>0</v>
      </c>
      <c r="AN193" s="11" t="s">
        <v>5318</v>
      </c>
      <c r="AO193" s="11" t="s">
        <v>5318</v>
      </c>
      <c r="AP193" s="11" t="s">
        <v>5318</v>
      </c>
      <c r="AQ193" s="11" t="s">
        <v>5318</v>
      </c>
    </row>
    <row r="194" spans="1:43" ht="63" customHeight="1" x14ac:dyDescent="0.2">
      <c r="A194" s="10">
        <v>2164</v>
      </c>
      <c r="B194" s="11" t="s">
        <v>7031</v>
      </c>
      <c r="C194" s="11" t="s">
        <v>604</v>
      </c>
      <c r="D194" s="11">
        <v>2021</v>
      </c>
      <c r="E194" s="11" t="s">
        <v>305</v>
      </c>
      <c r="F194" s="11">
        <v>21</v>
      </c>
      <c r="G194" s="11">
        <v>1</v>
      </c>
      <c r="H194" s="11" t="s">
        <v>6595</v>
      </c>
      <c r="I194" s="11" t="s">
        <v>6516</v>
      </c>
      <c r="J194" s="11" t="s">
        <v>7032</v>
      </c>
      <c r="K194" s="11" t="s">
        <v>605</v>
      </c>
      <c r="L194" s="16" t="s">
        <v>5508</v>
      </c>
      <c r="M194" s="11">
        <v>1</v>
      </c>
      <c r="N194" s="11">
        <v>0</v>
      </c>
      <c r="O194" s="9" t="s">
        <v>5044</v>
      </c>
      <c r="P194" s="11">
        <v>0</v>
      </c>
      <c r="Q194" s="11">
        <v>0</v>
      </c>
      <c r="R194" s="11">
        <v>0</v>
      </c>
      <c r="S194" s="11">
        <v>1</v>
      </c>
      <c r="T194" s="11">
        <v>1</v>
      </c>
      <c r="U194" s="11">
        <v>218</v>
      </c>
      <c r="V194" s="11">
        <v>0</v>
      </c>
      <c r="W194" s="11">
        <v>1</v>
      </c>
      <c r="X194" s="11">
        <v>0</v>
      </c>
      <c r="Y194" s="11">
        <v>0</v>
      </c>
      <c r="Z194" s="11">
        <v>1</v>
      </c>
      <c r="AA194" s="11">
        <v>0</v>
      </c>
      <c r="AB194" s="11">
        <v>1</v>
      </c>
      <c r="AC194" s="11" t="s">
        <v>5044</v>
      </c>
      <c r="AD194" s="11" t="s">
        <v>5044</v>
      </c>
      <c r="AE194" s="11" t="s">
        <v>5044</v>
      </c>
      <c r="AF194" s="11" t="s">
        <v>5044</v>
      </c>
      <c r="AG194" s="11" t="s">
        <v>5044</v>
      </c>
      <c r="AH194" s="11" t="s">
        <v>5044</v>
      </c>
      <c r="AI194" s="11" t="s">
        <v>5044</v>
      </c>
      <c r="AJ194" s="11" t="s">
        <v>5044</v>
      </c>
      <c r="AK194" s="11" t="s">
        <v>5318</v>
      </c>
      <c r="AL194" s="11" t="s">
        <v>5044</v>
      </c>
      <c r="AM194" s="11">
        <v>0</v>
      </c>
      <c r="AN194" s="11" t="s">
        <v>5318</v>
      </c>
      <c r="AO194" s="11" t="s">
        <v>5318</v>
      </c>
      <c r="AP194" s="11" t="s">
        <v>5318</v>
      </c>
      <c r="AQ194" s="11" t="s">
        <v>5318</v>
      </c>
    </row>
    <row r="195" spans="1:43" ht="63" customHeight="1" x14ac:dyDescent="0.2">
      <c r="A195" s="10">
        <v>2170</v>
      </c>
      <c r="B195" s="11" t="s">
        <v>7033</v>
      </c>
      <c r="C195" s="11" t="s">
        <v>606</v>
      </c>
      <c r="D195" s="11">
        <v>2021</v>
      </c>
      <c r="E195" s="11" t="s">
        <v>5318</v>
      </c>
      <c r="F195" s="11">
        <v>22</v>
      </c>
      <c r="G195" s="11">
        <v>1</v>
      </c>
      <c r="H195" s="11" t="s">
        <v>6538</v>
      </c>
      <c r="I195" s="11" t="s">
        <v>6516</v>
      </c>
      <c r="J195" s="11" t="s">
        <v>7034</v>
      </c>
      <c r="K195" s="11" t="s">
        <v>607</v>
      </c>
      <c r="L195" s="16" t="s">
        <v>5509</v>
      </c>
      <c r="M195" s="11">
        <v>1</v>
      </c>
      <c r="N195" s="11">
        <v>0</v>
      </c>
      <c r="O195" s="9" t="s">
        <v>5044</v>
      </c>
      <c r="P195" s="11">
        <v>0</v>
      </c>
      <c r="Q195" s="11">
        <v>0</v>
      </c>
      <c r="R195" s="11">
        <v>0</v>
      </c>
      <c r="S195" s="11">
        <v>1</v>
      </c>
      <c r="T195" s="11">
        <v>1</v>
      </c>
      <c r="U195" s="11" t="s">
        <v>5044</v>
      </c>
      <c r="V195" s="11">
        <v>0</v>
      </c>
      <c r="W195" s="11">
        <v>1</v>
      </c>
      <c r="X195" s="11">
        <v>0</v>
      </c>
      <c r="Y195" s="11">
        <v>0</v>
      </c>
      <c r="Z195" s="11">
        <v>1</v>
      </c>
      <c r="AA195" s="11">
        <v>0</v>
      </c>
      <c r="AB195" s="11">
        <v>1</v>
      </c>
      <c r="AC195" s="11" t="s">
        <v>5044</v>
      </c>
      <c r="AD195" s="11" t="s">
        <v>5044</v>
      </c>
      <c r="AE195" s="11" t="s">
        <v>5044</v>
      </c>
      <c r="AF195" s="11" t="s">
        <v>5044</v>
      </c>
      <c r="AG195" s="11" t="s">
        <v>5044</v>
      </c>
      <c r="AH195" s="11" t="s">
        <v>5044</v>
      </c>
      <c r="AI195" s="11" t="s">
        <v>5044</v>
      </c>
      <c r="AJ195" s="11" t="s">
        <v>5044</v>
      </c>
      <c r="AK195" s="11" t="s">
        <v>5318</v>
      </c>
      <c r="AL195" s="11" t="s">
        <v>5044</v>
      </c>
      <c r="AM195" s="11">
        <v>0</v>
      </c>
      <c r="AN195" s="11" t="s">
        <v>5318</v>
      </c>
      <c r="AO195" s="11" t="s">
        <v>5318</v>
      </c>
      <c r="AP195" s="11" t="s">
        <v>5318</v>
      </c>
      <c r="AQ195" s="11" t="s">
        <v>5318</v>
      </c>
    </row>
    <row r="196" spans="1:43" ht="63" customHeight="1" x14ac:dyDescent="0.2">
      <c r="A196" s="10">
        <v>2178</v>
      </c>
      <c r="B196" s="11" t="s">
        <v>7035</v>
      </c>
      <c r="C196" s="11" t="s">
        <v>608</v>
      </c>
      <c r="D196" s="11">
        <v>2012</v>
      </c>
      <c r="E196" s="11" t="s">
        <v>5318</v>
      </c>
      <c r="F196" s="11">
        <v>26</v>
      </c>
      <c r="G196" s="11">
        <v>9</v>
      </c>
      <c r="H196" s="11" t="s">
        <v>6692</v>
      </c>
      <c r="I196" s="11" t="s">
        <v>6828</v>
      </c>
      <c r="J196" s="11" t="s">
        <v>7036</v>
      </c>
      <c r="K196" s="11" t="s">
        <v>609</v>
      </c>
      <c r="L196" s="11" t="s">
        <v>5044</v>
      </c>
      <c r="M196" s="11">
        <v>0</v>
      </c>
      <c r="N196" s="9" t="s">
        <v>5044</v>
      </c>
      <c r="O196" s="9" t="s">
        <v>5044</v>
      </c>
      <c r="P196" s="11">
        <v>0</v>
      </c>
      <c r="Q196" s="11">
        <v>0</v>
      </c>
      <c r="R196" s="11">
        <v>0</v>
      </c>
      <c r="S196" s="11">
        <v>3</v>
      </c>
      <c r="T196" s="11">
        <v>1</v>
      </c>
      <c r="U196" s="11">
        <v>238</v>
      </c>
      <c r="V196" s="11">
        <v>0</v>
      </c>
      <c r="W196" s="11">
        <v>1</v>
      </c>
      <c r="X196" s="11">
        <v>0</v>
      </c>
      <c r="Y196" s="11">
        <v>0</v>
      </c>
      <c r="Z196" s="11">
        <v>0</v>
      </c>
      <c r="AA196" s="11">
        <v>1</v>
      </c>
      <c r="AB196" s="11">
        <v>0</v>
      </c>
      <c r="AC196" s="11">
        <v>1</v>
      </c>
      <c r="AD196" s="11" t="s">
        <v>5044</v>
      </c>
      <c r="AE196" s="11" t="s">
        <v>5044</v>
      </c>
      <c r="AF196" s="11" t="s">
        <v>5044</v>
      </c>
      <c r="AG196" s="11">
        <v>1</v>
      </c>
      <c r="AH196" s="11">
        <v>0</v>
      </c>
      <c r="AI196" s="11">
        <v>0</v>
      </c>
      <c r="AJ196" s="11" t="s">
        <v>5044</v>
      </c>
      <c r="AK196" s="11" t="s">
        <v>5318</v>
      </c>
      <c r="AL196" s="11" t="s">
        <v>5044</v>
      </c>
      <c r="AM196" s="11">
        <v>0</v>
      </c>
      <c r="AN196" s="11" t="s">
        <v>5105</v>
      </c>
      <c r="AO196" s="11" t="s">
        <v>5318</v>
      </c>
      <c r="AP196" s="11" t="s">
        <v>5318</v>
      </c>
      <c r="AQ196" s="11" t="s">
        <v>5318</v>
      </c>
    </row>
    <row r="197" spans="1:43" ht="63" customHeight="1" x14ac:dyDescent="0.2">
      <c r="A197" s="10">
        <v>2183</v>
      </c>
      <c r="B197" s="11" t="s">
        <v>7037</v>
      </c>
      <c r="C197" s="11" t="s">
        <v>610</v>
      </c>
      <c r="D197" s="11">
        <v>2023</v>
      </c>
      <c r="E197" s="11" t="s">
        <v>5318</v>
      </c>
      <c r="F197" s="11">
        <v>45</v>
      </c>
      <c r="G197" s="11">
        <v>1</v>
      </c>
      <c r="H197" s="11" t="s">
        <v>7038</v>
      </c>
      <c r="I197" s="11" t="s">
        <v>6516</v>
      </c>
      <c r="J197" s="11" t="s">
        <v>7039</v>
      </c>
      <c r="K197" s="11" t="s">
        <v>611</v>
      </c>
      <c r="L197" s="12" t="s">
        <v>5510</v>
      </c>
      <c r="M197" s="11">
        <v>0</v>
      </c>
      <c r="N197" s="9" t="s">
        <v>5044</v>
      </c>
      <c r="O197" s="9" t="s">
        <v>5044</v>
      </c>
      <c r="P197" s="11">
        <v>0</v>
      </c>
      <c r="Q197" s="11">
        <v>0</v>
      </c>
      <c r="R197" s="11">
        <v>0</v>
      </c>
      <c r="S197" s="11" t="s">
        <v>5772</v>
      </c>
      <c r="T197" s="11">
        <v>2</v>
      </c>
      <c r="U197" s="11">
        <v>55</v>
      </c>
      <c r="V197" s="11">
        <v>0</v>
      </c>
      <c r="W197" s="11">
        <v>1</v>
      </c>
      <c r="X197" s="11">
        <v>0</v>
      </c>
      <c r="Y197" s="11">
        <v>0</v>
      </c>
      <c r="Z197" s="11">
        <v>0</v>
      </c>
      <c r="AA197" s="11">
        <v>0</v>
      </c>
      <c r="AB197" s="11">
        <v>1</v>
      </c>
      <c r="AC197" s="11">
        <v>0</v>
      </c>
      <c r="AD197" s="11" t="s">
        <v>5044</v>
      </c>
      <c r="AE197" s="11" t="s">
        <v>5044</v>
      </c>
      <c r="AF197" s="11" t="s">
        <v>5044</v>
      </c>
      <c r="AG197" s="11">
        <v>0</v>
      </c>
      <c r="AH197" s="11" t="s">
        <v>5044</v>
      </c>
      <c r="AI197" s="11" t="s">
        <v>5044</v>
      </c>
      <c r="AJ197" s="11" t="s">
        <v>5044</v>
      </c>
      <c r="AK197" s="11" t="s">
        <v>5511</v>
      </c>
      <c r="AL197" s="11">
        <v>0</v>
      </c>
      <c r="AM197" s="11">
        <v>0</v>
      </c>
      <c r="AN197" s="11" t="s">
        <v>5318</v>
      </c>
      <c r="AO197" s="11" t="s">
        <v>5318</v>
      </c>
      <c r="AP197" s="11" t="s">
        <v>5318</v>
      </c>
      <c r="AQ197" s="11" t="s">
        <v>5318</v>
      </c>
    </row>
    <row r="198" spans="1:43" ht="63" customHeight="1" x14ac:dyDescent="0.2">
      <c r="A198" s="10">
        <v>2184</v>
      </c>
      <c r="B198" s="11" t="s">
        <v>7040</v>
      </c>
      <c r="C198" s="11" t="s">
        <v>612</v>
      </c>
      <c r="D198" s="11">
        <v>2022</v>
      </c>
      <c r="E198" s="11" t="s">
        <v>5318</v>
      </c>
      <c r="F198" s="11">
        <v>21</v>
      </c>
      <c r="G198" s="11">
        <v>3</v>
      </c>
      <c r="H198" s="11" t="s">
        <v>7041</v>
      </c>
      <c r="I198" s="11" t="s">
        <v>6516</v>
      </c>
      <c r="J198" s="11" t="s">
        <v>7042</v>
      </c>
      <c r="K198" s="11" t="s">
        <v>614</v>
      </c>
      <c r="L198" s="11" t="s">
        <v>5044</v>
      </c>
      <c r="M198" s="11">
        <v>0</v>
      </c>
      <c r="N198" s="9" t="s">
        <v>5044</v>
      </c>
      <c r="O198" s="9" t="s">
        <v>5044</v>
      </c>
      <c r="P198" s="11">
        <v>0</v>
      </c>
      <c r="Q198" s="11">
        <v>0</v>
      </c>
      <c r="R198" s="11">
        <v>0</v>
      </c>
      <c r="S198" s="11">
        <v>1</v>
      </c>
      <c r="T198" s="11">
        <v>4</v>
      </c>
      <c r="U198" s="11">
        <v>122</v>
      </c>
      <c r="V198" s="11">
        <v>0</v>
      </c>
      <c r="W198" s="11">
        <v>1</v>
      </c>
      <c r="X198" s="11">
        <v>0</v>
      </c>
      <c r="Y198" s="11">
        <v>0</v>
      </c>
      <c r="Z198" s="11">
        <v>0</v>
      </c>
      <c r="AA198" s="11">
        <v>0</v>
      </c>
      <c r="AB198" s="11">
        <v>1</v>
      </c>
      <c r="AC198" s="11">
        <v>1</v>
      </c>
      <c r="AD198" s="11" t="s">
        <v>5044</v>
      </c>
      <c r="AE198" s="11" t="s">
        <v>5044</v>
      </c>
      <c r="AF198" s="11" t="s">
        <v>5044</v>
      </c>
      <c r="AG198" s="11">
        <v>1</v>
      </c>
      <c r="AH198" s="11">
        <v>0</v>
      </c>
      <c r="AI198" s="11">
        <v>0</v>
      </c>
      <c r="AJ198" s="11" t="s">
        <v>5044</v>
      </c>
      <c r="AK198" s="11" t="s">
        <v>5318</v>
      </c>
      <c r="AL198" s="11" t="s">
        <v>5044</v>
      </c>
      <c r="AM198" s="11">
        <v>0</v>
      </c>
      <c r="AN198" s="11" t="s">
        <v>5105</v>
      </c>
      <c r="AO198" s="11" t="s">
        <v>5318</v>
      </c>
      <c r="AP198" s="11" t="s">
        <v>5318</v>
      </c>
      <c r="AQ198" s="11" t="s">
        <v>5318</v>
      </c>
    </row>
    <row r="199" spans="1:43" ht="63" customHeight="1" x14ac:dyDescent="0.2">
      <c r="A199" s="10">
        <v>2204</v>
      </c>
      <c r="B199" s="17" t="s">
        <v>7043</v>
      </c>
      <c r="C199" s="11" t="s">
        <v>615</v>
      </c>
      <c r="D199" s="11">
        <v>2018</v>
      </c>
      <c r="E199" s="11" t="s">
        <v>5318</v>
      </c>
      <c r="F199" s="11">
        <v>7</v>
      </c>
      <c r="G199" s="11">
        <v>5</v>
      </c>
      <c r="H199" s="11" t="s">
        <v>7044</v>
      </c>
      <c r="I199" s="11" t="s">
        <v>6516</v>
      </c>
      <c r="J199" s="11" t="s">
        <v>7045</v>
      </c>
      <c r="K199" s="11" t="s">
        <v>617</v>
      </c>
      <c r="L199" s="11" t="s">
        <v>5044</v>
      </c>
      <c r="M199" s="11">
        <v>1</v>
      </c>
      <c r="N199" s="11">
        <v>0</v>
      </c>
      <c r="O199" s="9" t="s">
        <v>5044</v>
      </c>
      <c r="P199" s="11">
        <v>0</v>
      </c>
      <c r="Q199" s="11">
        <v>0</v>
      </c>
      <c r="R199" s="11">
        <v>0</v>
      </c>
      <c r="S199" s="11">
        <v>1</v>
      </c>
      <c r="T199" s="11">
        <v>1</v>
      </c>
      <c r="U199" s="11" t="s">
        <v>5044</v>
      </c>
      <c r="V199" s="11">
        <v>0</v>
      </c>
      <c r="W199" s="11">
        <v>1</v>
      </c>
      <c r="X199" s="11">
        <v>0</v>
      </c>
      <c r="Y199" s="11">
        <v>0</v>
      </c>
      <c r="Z199" s="11">
        <v>0</v>
      </c>
      <c r="AA199" s="11">
        <v>1</v>
      </c>
      <c r="AB199" s="11">
        <v>1</v>
      </c>
      <c r="AC199" s="11" t="s">
        <v>5044</v>
      </c>
      <c r="AD199" s="11" t="s">
        <v>5044</v>
      </c>
      <c r="AE199" s="11" t="s">
        <v>5044</v>
      </c>
      <c r="AF199" s="11" t="s">
        <v>5044</v>
      </c>
      <c r="AG199" s="11" t="s">
        <v>5044</v>
      </c>
      <c r="AH199" s="11" t="s">
        <v>5044</v>
      </c>
      <c r="AI199" s="11" t="s">
        <v>5044</v>
      </c>
      <c r="AJ199" s="11" t="s">
        <v>5044</v>
      </c>
      <c r="AK199" s="11" t="s">
        <v>5318</v>
      </c>
      <c r="AL199" s="11" t="s">
        <v>5044</v>
      </c>
      <c r="AM199" s="11">
        <v>0</v>
      </c>
      <c r="AN199" s="11" t="s">
        <v>5105</v>
      </c>
      <c r="AO199" s="11" t="s">
        <v>5318</v>
      </c>
      <c r="AP199" s="11" t="s">
        <v>5318</v>
      </c>
      <c r="AQ199" s="11" t="s">
        <v>5318</v>
      </c>
    </row>
    <row r="200" spans="1:43" ht="63" customHeight="1" x14ac:dyDescent="0.2">
      <c r="A200" s="10">
        <v>2215</v>
      </c>
      <c r="B200" s="11" t="s">
        <v>7046</v>
      </c>
      <c r="C200" s="11" t="s">
        <v>618</v>
      </c>
      <c r="D200" s="11">
        <v>2023</v>
      </c>
      <c r="E200" s="11" t="s">
        <v>5318</v>
      </c>
      <c r="F200" s="11">
        <v>13</v>
      </c>
      <c r="G200" s="11">
        <v>2</v>
      </c>
      <c r="H200" s="11" t="s">
        <v>6519</v>
      </c>
      <c r="I200" s="11" t="s">
        <v>6516</v>
      </c>
      <c r="J200" s="11" t="s">
        <v>7047</v>
      </c>
      <c r="K200" s="11" t="s">
        <v>619</v>
      </c>
      <c r="L200" s="12" t="s">
        <v>5512</v>
      </c>
      <c r="M200" s="11">
        <v>1</v>
      </c>
      <c r="N200" s="11">
        <v>0</v>
      </c>
      <c r="O200" s="9" t="s">
        <v>5044</v>
      </c>
      <c r="P200" s="11">
        <v>0</v>
      </c>
      <c r="Q200" s="11">
        <v>0</v>
      </c>
      <c r="R200" s="11">
        <v>0</v>
      </c>
      <c r="S200" s="11">
        <v>2</v>
      </c>
      <c r="T200" s="11">
        <v>1</v>
      </c>
      <c r="U200" s="11">
        <v>40</v>
      </c>
      <c r="V200" s="11">
        <v>0</v>
      </c>
      <c r="W200" s="11">
        <v>1</v>
      </c>
      <c r="X200" s="11">
        <v>0</v>
      </c>
      <c r="Y200" s="11">
        <v>0</v>
      </c>
      <c r="Z200" s="11">
        <v>0</v>
      </c>
      <c r="AA200" s="11">
        <v>0</v>
      </c>
      <c r="AB200" s="11">
        <v>1</v>
      </c>
      <c r="AC200" s="11" t="s">
        <v>5044</v>
      </c>
      <c r="AD200" s="11" t="s">
        <v>5044</v>
      </c>
      <c r="AE200" s="11" t="s">
        <v>5044</v>
      </c>
      <c r="AF200" s="11" t="s">
        <v>5044</v>
      </c>
      <c r="AG200" s="11" t="s">
        <v>5044</v>
      </c>
      <c r="AH200" s="11" t="s">
        <v>5044</v>
      </c>
      <c r="AI200" s="11" t="s">
        <v>5044</v>
      </c>
      <c r="AJ200" s="11" t="s">
        <v>5044</v>
      </c>
      <c r="AK200" s="11" t="s">
        <v>5318</v>
      </c>
      <c r="AL200" s="11" t="s">
        <v>5044</v>
      </c>
      <c r="AM200" s="11">
        <v>0</v>
      </c>
      <c r="AN200" s="11" t="s">
        <v>5318</v>
      </c>
      <c r="AO200" s="11" t="s">
        <v>5318</v>
      </c>
      <c r="AP200" s="11" t="s">
        <v>5318</v>
      </c>
      <c r="AQ200" s="11" t="s">
        <v>5318</v>
      </c>
    </row>
    <row r="201" spans="1:43" ht="63" customHeight="1" x14ac:dyDescent="0.2">
      <c r="A201" s="10">
        <v>2226</v>
      </c>
      <c r="B201" s="11" t="s">
        <v>7048</v>
      </c>
      <c r="C201" s="11" t="s">
        <v>620</v>
      </c>
      <c r="D201" s="11">
        <v>2022</v>
      </c>
      <c r="E201" s="11" t="s">
        <v>5318</v>
      </c>
      <c r="F201" s="11">
        <v>9</v>
      </c>
      <c r="G201" s="11" t="s">
        <v>5318</v>
      </c>
      <c r="H201" s="11" t="s">
        <v>7049</v>
      </c>
      <c r="I201" s="11" t="s">
        <v>6516</v>
      </c>
      <c r="J201" s="11" t="s">
        <v>7050</v>
      </c>
      <c r="K201" s="11" t="s">
        <v>622</v>
      </c>
      <c r="L201" s="16" t="s">
        <v>5513</v>
      </c>
      <c r="M201" s="11">
        <v>0</v>
      </c>
      <c r="N201" s="9" t="s">
        <v>5044</v>
      </c>
      <c r="O201" s="9" t="s">
        <v>5044</v>
      </c>
      <c r="P201" s="11">
        <v>1</v>
      </c>
      <c r="Q201" s="11">
        <v>0</v>
      </c>
      <c r="R201" s="11">
        <v>0</v>
      </c>
      <c r="S201" s="11">
        <v>9</v>
      </c>
      <c r="T201" s="11">
        <v>4</v>
      </c>
      <c r="U201" s="11">
        <v>80</v>
      </c>
      <c r="V201" s="11">
        <v>0</v>
      </c>
      <c r="W201" s="11">
        <v>1</v>
      </c>
      <c r="X201" s="11">
        <v>0</v>
      </c>
      <c r="Y201" s="11">
        <v>0</v>
      </c>
      <c r="Z201" s="11">
        <v>0</v>
      </c>
      <c r="AA201" s="11">
        <v>0</v>
      </c>
      <c r="AB201" s="11">
        <v>1</v>
      </c>
      <c r="AC201" s="11">
        <v>1</v>
      </c>
      <c r="AD201" s="11" t="s">
        <v>5044</v>
      </c>
      <c r="AE201" s="11" t="s">
        <v>5044</v>
      </c>
      <c r="AF201" s="11" t="s">
        <v>5044</v>
      </c>
      <c r="AG201" s="11">
        <v>2</v>
      </c>
      <c r="AH201" s="11">
        <v>1</v>
      </c>
      <c r="AI201" s="11">
        <v>1</v>
      </c>
      <c r="AJ201" s="11" t="s">
        <v>5044</v>
      </c>
      <c r="AK201" s="11" t="s">
        <v>5318</v>
      </c>
      <c r="AL201" s="11">
        <v>0</v>
      </c>
      <c r="AM201" s="11">
        <v>0</v>
      </c>
      <c r="AN201" s="11" t="s">
        <v>5318</v>
      </c>
      <c r="AO201" s="11" t="s">
        <v>5318</v>
      </c>
      <c r="AP201" s="11" t="s">
        <v>5318</v>
      </c>
      <c r="AQ201" s="11" t="s">
        <v>5318</v>
      </c>
    </row>
    <row r="202" spans="1:43" ht="63" customHeight="1" x14ac:dyDescent="0.2">
      <c r="A202" s="10">
        <v>2240</v>
      </c>
      <c r="B202" s="11" t="s">
        <v>7051</v>
      </c>
      <c r="C202" s="11" t="s">
        <v>623</v>
      </c>
      <c r="D202" s="11">
        <v>2020</v>
      </c>
      <c r="E202" s="11" t="s">
        <v>5318</v>
      </c>
      <c r="F202" s="11">
        <v>20</v>
      </c>
      <c r="G202" s="11">
        <v>1</v>
      </c>
      <c r="H202" s="11" t="s">
        <v>6595</v>
      </c>
      <c r="I202" s="11" t="s">
        <v>6516</v>
      </c>
      <c r="J202" s="11" t="s">
        <v>7052</v>
      </c>
      <c r="K202" s="11" t="s">
        <v>624</v>
      </c>
      <c r="L202" s="16" t="s">
        <v>5514</v>
      </c>
      <c r="M202" s="11">
        <v>1</v>
      </c>
      <c r="N202" s="11">
        <v>0</v>
      </c>
      <c r="O202" s="9" t="s">
        <v>5044</v>
      </c>
      <c r="P202" s="11">
        <v>0</v>
      </c>
      <c r="Q202" s="11">
        <v>0</v>
      </c>
      <c r="R202" s="11">
        <v>0</v>
      </c>
      <c r="S202" s="11">
        <v>7</v>
      </c>
      <c r="T202" s="11">
        <v>4</v>
      </c>
      <c r="U202" s="11">
        <v>456</v>
      </c>
      <c r="V202" s="11">
        <v>0</v>
      </c>
      <c r="W202" s="11">
        <v>1</v>
      </c>
      <c r="X202" s="11">
        <v>0</v>
      </c>
      <c r="Y202" s="11">
        <v>0</v>
      </c>
      <c r="Z202" s="11">
        <v>0</v>
      </c>
      <c r="AA202" s="11">
        <v>0</v>
      </c>
      <c r="AB202" s="11">
        <v>1</v>
      </c>
      <c r="AC202" s="11" t="s">
        <v>5044</v>
      </c>
      <c r="AD202" s="11" t="s">
        <v>5044</v>
      </c>
      <c r="AE202" s="11" t="s">
        <v>5044</v>
      </c>
      <c r="AF202" s="11" t="s">
        <v>5044</v>
      </c>
      <c r="AG202" s="11" t="s">
        <v>5044</v>
      </c>
      <c r="AH202" s="11" t="s">
        <v>5044</v>
      </c>
      <c r="AI202" s="11" t="s">
        <v>5044</v>
      </c>
      <c r="AJ202" s="11" t="s">
        <v>5044</v>
      </c>
      <c r="AK202" s="11" t="s">
        <v>5318</v>
      </c>
      <c r="AL202" s="11" t="s">
        <v>5044</v>
      </c>
      <c r="AM202" s="11">
        <v>0</v>
      </c>
      <c r="AN202" s="11" t="s">
        <v>5318</v>
      </c>
      <c r="AO202" s="11" t="s">
        <v>5318</v>
      </c>
      <c r="AP202" s="11" t="s">
        <v>5318</v>
      </c>
      <c r="AQ202" s="11" t="s">
        <v>5318</v>
      </c>
    </row>
    <row r="203" spans="1:43" ht="63" customHeight="1" x14ac:dyDescent="0.2">
      <c r="A203" s="10">
        <v>2242</v>
      </c>
      <c r="B203" s="11" t="s">
        <v>7053</v>
      </c>
      <c r="C203" s="11" t="s">
        <v>625</v>
      </c>
      <c r="D203" s="11">
        <v>2018</v>
      </c>
      <c r="E203" s="11" t="s">
        <v>5318</v>
      </c>
      <c r="F203" s="11">
        <v>267</v>
      </c>
      <c r="G203" s="11">
        <v>3</v>
      </c>
      <c r="H203" s="11" t="s">
        <v>6533</v>
      </c>
      <c r="I203" s="11" t="s">
        <v>6878</v>
      </c>
      <c r="J203" s="11" t="s">
        <v>7054</v>
      </c>
      <c r="K203" s="11" t="s">
        <v>627</v>
      </c>
      <c r="L203" s="12" t="s">
        <v>5515</v>
      </c>
      <c r="M203" s="11">
        <v>0</v>
      </c>
      <c r="N203" s="9" t="s">
        <v>5044</v>
      </c>
      <c r="O203" s="9" t="s">
        <v>5044</v>
      </c>
      <c r="P203" s="11">
        <v>0</v>
      </c>
      <c r="Q203" s="11">
        <v>0</v>
      </c>
      <c r="R203" s="11">
        <v>0</v>
      </c>
      <c r="S203" s="11">
        <v>1</v>
      </c>
      <c r="T203" s="11">
        <v>2</v>
      </c>
      <c r="U203" s="11">
        <v>280</v>
      </c>
      <c r="V203" s="11">
        <v>0</v>
      </c>
      <c r="W203" s="11">
        <v>1</v>
      </c>
      <c r="X203" s="11">
        <v>0</v>
      </c>
      <c r="Y203" s="11">
        <v>0</v>
      </c>
      <c r="Z203" s="11">
        <v>0</v>
      </c>
      <c r="AA203" s="11">
        <v>0</v>
      </c>
      <c r="AB203" s="11">
        <v>1</v>
      </c>
      <c r="AC203" s="11">
        <v>1</v>
      </c>
      <c r="AD203" s="11" t="s">
        <v>5044</v>
      </c>
      <c r="AE203" s="11" t="s">
        <v>5044</v>
      </c>
      <c r="AF203" s="11" t="s">
        <v>5044</v>
      </c>
      <c r="AG203" s="11">
        <v>2</v>
      </c>
      <c r="AH203" s="11">
        <v>3</v>
      </c>
      <c r="AI203" s="11">
        <v>0</v>
      </c>
      <c r="AJ203" s="11" t="s">
        <v>5044</v>
      </c>
      <c r="AK203" s="11">
        <v>1</v>
      </c>
      <c r="AL203" s="11">
        <v>1</v>
      </c>
      <c r="AM203" s="11">
        <v>0</v>
      </c>
      <c r="AN203" s="11" t="s">
        <v>5318</v>
      </c>
      <c r="AO203" s="11" t="s">
        <v>5318</v>
      </c>
      <c r="AP203" s="11" t="s">
        <v>5318</v>
      </c>
      <c r="AQ203" s="11" t="s">
        <v>5318</v>
      </c>
    </row>
    <row r="204" spans="1:43" ht="63" customHeight="1" x14ac:dyDescent="0.2">
      <c r="A204" s="10">
        <v>2252</v>
      </c>
      <c r="B204" s="11" t="s">
        <v>7055</v>
      </c>
      <c r="C204" s="11" t="s">
        <v>628</v>
      </c>
      <c r="D204" s="11">
        <v>2019</v>
      </c>
      <c r="E204" s="11" t="s">
        <v>5318</v>
      </c>
      <c r="F204" s="11">
        <v>23</v>
      </c>
      <c r="G204" s="11">
        <v>8</v>
      </c>
      <c r="H204" s="11" t="s">
        <v>6725</v>
      </c>
      <c r="I204" s="11" t="s">
        <v>6516</v>
      </c>
      <c r="J204" s="11" t="s">
        <v>7056</v>
      </c>
      <c r="K204" s="11" t="s">
        <v>629</v>
      </c>
      <c r="L204" s="16" t="s">
        <v>5516</v>
      </c>
      <c r="M204" s="11">
        <v>0</v>
      </c>
      <c r="N204" s="9" t="s">
        <v>5044</v>
      </c>
      <c r="O204" s="9" t="s">
        <v>5044</v>
      </c>
      <c r="P204" s="11">
        <v>0</v>
      </c>
      <c r="Q204" s="11">
        <v>0</v>
      </c>
      <c r="R204" s="11">
        <v>0</v>
      </c>
      <c r="S204" s="11">
        <v>1</v>
      </c>
      <c r="T204" s="11">
        <v>6</v>
      </c>
      <c r="U204" s="11">
        <v>72</v>
      </c>
      <c r="V204" s="11">
        <v>0</v>
      </c>
      <c r="W204" s="11">
        <v>1</v>
      </c>
      <c r="X204" s="11">
        <v>0</v>
      </c>
      <c r="Y204" s="11">
        <v>0</v>
      </c>
      <c r="Z204" s="11">
        <v>0</v>
      </c>
      <c r="AA204" s="11">
        <v>0</v>
      </c>
      <c r="AB204" s="11">
        <v>1</v>
      </c>
      <c r="AC204" s="11">
        <v>1</v>
      </c>
      <c r="AD204" s="11" t="s">
        <v>5044</v>
      </c>
      <c r="AE204" s="11" t="s">
        <v>5044</v>
      </c>
      <c r="AF204" s="11" t="s">
        <v>5044</v>
      </c>
      <c r="AG204" s="11">
        <v>1</v>
      </c>
      <c r="AH204" s="11">
        <v>0</v>
      </c>
      <c r="AI204" s="11">
        <v>0</v>
      </c>
      <c r="AJ204" s="11" t="s">
        <v>5044</v>
      </c>
      <c r="AK204" s="11" t="s">
        <v>5318</v>
      </c>
      <c r="AL204" s="11">
        <v>0</v>
      </c>
      <c r="AM204" s="11">
        <v>0</v>
      </c>
      <c r="AN204" s="11" t="s">
        <v>5318</v>
      </c>
      <c r="AO204" s="11" t="s">
        <v>5318</v>
      </c>
      <c r="AP204" s="11" t="s">
        <v>5318</v>
      </c>
      <c r="AQ204" s="11" t="s">
        <v>5318</v>
      </c>
    </row>
    <row r="205" spans="1:43" ht="63" customHeight="1" x14ac:dyDescent="0.2">
      <c r="A205" s="10">
        <v>2256</v>
      </c>
      <c r="B205" s="11" t="s">
        <v>7057</v>
      </c>
      <c r="C205" s="11" t="s">
        <v>630</v>
      </c>
      <c r="D205" s="11">
        <v>2019</v>
      </c>
      <c r="E205" s="11" t="s">
        <v>5318</v>
      </c>
      <c r="F205" s="11">
        <v>2019</v>
      </c>
      <c r="G205" s="11" t="s">
        <v>5318</v>
      </c>
      <c r="H205" s="11" t="s">
        <v>7058</v>
      </c>
      <c r="I205" s="11" t="s">
        <v>6516</v>
      </c>
      <c r="J205" s="11" t="s">
        <v>7059</v>
      </c>
      <c r="K205" s="11" t="s">
        <v>631</v>
      </c>
      <c r="L205" s="12" t="s">
        <v>5517</v>
      </c>
      <c r="M205" s="11">
        <v>0</v>
      </c>
      <c r="N205" s="9" t="s">
        <v>5044</v>
      </c>
      <c r="O205" s="9" t="s">
        <v>5044</v>
      </c>
      <c r="P205" s="11">
        <v>0</v>
      </c>
      <c r="Q205" s="11">
        <v>0</v>
      </c>
      <c r="R205" s="11">
        <v>0</v>
      </c>
      <c r="S205" s="11">
        <v>9</v>
      </c>
      <c r="T205" s="11">
        <v>4</v>
      </c>
      <c r="U205" s="11">
        <v>306</v>
      </c>
      <c r="V205" s="11">
        <v>1</v>
      </c>
      <c r="W205" s="11">
        <v>0</v>
      </c>
      <c r="X205" s="11">
        <v>0</v>
      </c>
      <c r="Y205" s="11">
        <v>0</v>
      </c>
      <c r="Z205" s="11">
        <v>0</v>
      </c>
      <c r="AA205" s="11">
        <v>0</v>
      </c>
      <c r="AB205" s="11">
        <v>1</v>
      </c>
      <c r="AC205" s="11">
        <v>1</v>
      </c>
      <c r="AD205" s="11">
        <v>1</v>
      </c>
      <c r="AE205" s="11">
        <v>0</v>
      </c>
      <c r="AF205" s="11">
        <v>0</v>
      </c>
      <c r="AG205" s="11" t="s">
        <v>5044</v>
      </c>
      <c r="AH205" s="11" t="s">
        <v>5044</v>
      </c>
      <c r="AI205" s="11" t="s">
        <v>5044</v>
      </c>
      <c r="AJ205" s="11" t="s">
        <v>5044</v>
      </c>
      <c r="AK205" s="11" t="s">
        <v>5318</v>
      </c>
      <c r="AL205" s="11">
        <v>0</v>
      </c>
      <c r="AM205" s="11">
        <v>0</v>
      </c>
      <c r="AN205" s="11" t="s">
        <v>5318</v>
      </c>
      <c r="AO205" s="11" t="s">
        <v>5318</v>
      </c>
      <c r="AP205" s="11" t="s">
        <v>5318</v>
      </c>
      <c r="AQ205" s="11" t="s">
        <v>5318</v>
      </c>
    </row>
    <row r="206" spans="1:43" ht="63" customHeight="1" x14ac:dyDescent="0.2">
      <c r="A206" s="10">
        <v>2272</v>
      </c>
      <c r="B206" s="11" t="s">
        <v>7060</v>
      </c>
      <c r="C206" s="11" t="s">
        <v>632</v>
      </c>
      <c r="D206" s="11">
        <v>2021</v>
      </c>
      <c r="E206" s="11" t="s">
        <v>5318</v>
      </c>
      <c r="F206" s="11">
        <v>274</v>
      </c>
      <c r="G206" s="11">
        <v>6</v>
      </c>
      <c r="H206" s="11" t="s">
        <v>6533</v>
      </c>
      <c r="I206" s="11" t="s">
        <v>6516</v>
      </c>
      <c r="J206" s="11" t="s">
        <v>7061</v>
      </c>
      <c r="K206" s="11" t="s">
        <v>633</v>
      </c>
      <c r="L206" s="12" t="s">
        <v>5518</v>
      </c>
      <c r="M206" s="11">
        <v>0</v>
      </c>
      <c r="N206" s="9" t="s">
        <v>5044</v>
      </c>
      <c r="O206" s="9" t="s">
        <v>5044</v>
      </c>
      <c r="P206" s="11">
        <v>1</v>
      </c>
      <c r="Q206" s="11">
        <v>0</v>
      </c>
      <c r="R206" s="11">
        <v>0</v>
      </c>
      <c r="S206" s="11">
        <v>1</v>
      </c>
      <c r="T206" s="11">
        <v>4</v>
      </c>
      <c r="U206" s="11">
        <v>101</v>
      </c>
      <c r="V206" s="11">
        <v>0</v>
      </c>
      <c r="W206" s="11">
        <v>1</v>
      </c>
      <c r="X206" s="11">
        <v>0</v>
      </c>
      <c r="Y206" s="11">
        <v>0</v>
      </c>
      <c r="Z206" s="11">
        <v>0</v>
      </c>
      <c r="AA206" s="11">
        <v>0</v>
      </c>
      <c r="AB206" s="11">
        <v>1</v>
      </c>
      <c r="AC206" s="11">
        <v>1</v>
      </c>
      <c r="AD206" s="11" t="s">
        <v>5044</v>
      </c>
      <c r="AE206" s="11" t="s">
        <v>5044</v>
      </c>
      <c r="AF206" s="11" t="s">
        <v>5044</v>
      </c>
      <c r="AG206" s="11">
        <v>2</v>
      </c>
      <c r="AH206" s="11">
        <v>1</v>
      </c>
      <c r="AI206" s="11">
        <v>1</v>
      </c>
      <c r="AJ206" s="11" t="s">
        <v>5044</v>
      </c>
      <c r="AK206" s="11" t="s">
        <v>5318</v>
      </c>
      <c r="AL206" s="11" t="s">
        <v>5044</v>
      </c>
      <c r="AM206" s="11">
        <v>0</v>
      </c>
      <c r="AN206" s="11" t="s">
        <v>6293</v>
      </c>
      <c r="AO206" s="11" t="s">
        <v>5318</v>
      </c>
      <c r="AP206" s="11" t="s">
        <v>5318</v>
      </c>
      <c r="AQ206" s="11" t="s">
        <v>5318</v>
      </c>
    </row>
    <row r="207" spans="1:43" ht="63" customHeight="1" x14ac:dyDescent="0.2">
      <c r="A207" s="10">
        <v>2289</v>
      </c>
      <c r="B207" s="11" t="s">
        <v>7062</v>
      </c>
      <c r="C207" s="11" t="s">
        <v>634</v>
      </c>
      <c r="D207" s="11">
        <v>2018</v>
      </c>
      <c r="E207" s="11" t="s">
        <v>5318</v>
      </c>
      <c r="F207" s="11">
        <v>267</v>
      </c>
      <c r="G207" s="11">
        <v>1</v>
      </c>
      <c r="H207" s="11" t="s">
        <v>6533</v>
      </c>
      <c r="I207" s="11" t="s">
        <v>6516</v>
      </c>
      <c r="J207" s="11" t="s">
        <v>7063</v>
      </c>
      <c r="K207" s="11" t="s">
        <v>635</v>
      </c>
      <c r="L207" s="12">
        <v>9800</v>
      </c>
      <c r="M207" s="11">
        <v>0</v>
      </c>
      <c r="N207" s="9" t="s">
        <v>5044</v>
      </c>
      <c r="O207" s="9" t="s">
        <v>5044</v>
      </c>
      <c r="P207" s="11">
        <v>0</v>
      </c>
      <c r="Q207" s="11">
        <v>0</v>
      </c>
      <c r="R207" s="11">
        <v>0</v>
      </c>
      <c r="S207" s="11">
        <v>1</v>
      </c>
      <c r="T207" s="11">
        <v>4</v>
      </c>
      <c r="U207" s="11">
        <v>86</v>
      </c>
      <c r="V207" s="11">
        <v>0</v>
      </c>
      <c r="W207" s="11">
        <v>1</v>
      </c>
      <c r="X207" s="11">
        <v>0</v>
      </c>
      <c r="Y207" s="11">
        <v>0</v>
      </c>
      <c r="Z207" s="11">
        <v>0</v>
      </c>
      <c r="AA207" s="11">
        <v>0</v>
      </c>
      <c r="AB207" s="11">
        <v>1</v>
      </c>
      <c r="AC207" s="11">
        <v>1</v>
      </c>
      <c r="AD207" s="11" t="s">
        <v>5044</v>
      </c>
      <c r="AE207" s="11" t="s">
        <v>5044</v>
      </c>
      <c r="AF207" s="11" t="s">
        <v>5044</v>
      </c>
      <c r="AG207" s="11">
        <v>2</v>
      </c>
      <c r="AH207" s="11">
        <v>1</v>
      </c>
      <c r="AI207" s="11">
        <v>2</v>
      </c>
      <c r="AJ207" s="11" t="s">
        <v>5044</v>
      </c>
      <c r="AK207" s="11" t="s">
        <v>5318</v>
      </c>
      <c r="AL207" s="11">
        <v>0</v>
      </c>
      <c r="AM207" s="11">
        <v>0</v>
      </c>
      <c r="AN207" s="11" t="s">
        <v>5318</v>
      </c>
      <c r="AO207" s="11" t="s">
        <v>5318</v>
      </c>
      <c r="AP207" s="11" t="s">
        <v>5318</v>
      </c>
      <c r="AQ207" s="11" t="s">
        <v>5318</v>
      </c>
    </row>
    <row r="208" spans="1:43" ht="63" customHeight="1" x14ac:dyDescent="0.2">
      <c r="A208" s="10">
        <v>2306</v>
      </c>
      <c r="B208" s="11" t="s">
        <v>7064</v>
      </c>
      <c r="C208" s="11" t="s">
        <v>636</v>
      </c>
      <c r="D208" s="11">
        <v>2021</v>
      </c>
      <c r="E208" s="11" t="s">
        <v>5318</v>
      </c>
      <c r="F208" s="11">
        <v>17</v>
      </c>
      <c r="G208" s="11">
        <v>3</v>
      </c>
      <c r="H208" s="11" t="s">
        <v>7065</v>
      </c>
      <c r="I208" s="11" t="s">
        <v>6516</v>
      </c>
      <c r="J208" s="11" t="s">
        <v>7066</v>
      </c>
      <c r="K208" s="11" t="s">
        <v>637</v>
      </c>
      <c r="L208" s="16" t="s">
        <v>5519</v>
      </c>
      <c r="M208" s="11">
        <v>0</v>
      </c>
      <c r="N208" s="9" t="s">
        <v>5044</v>
      </c>
      <c r="O208" s="9" t="s">
        <v>5044</v>
      </c>
      <c r="P208" s="11">
        <v>0</v>
      </c>
      <c r="Q208" s="11">
        <v>0</v>
      </c>
      <c r="R208" s="11">
        <v>0</v>
      </c>
      <c r="S208" s="11">
        <v>1</v>
      </c>
      <c r="T208" s="11">
        <v>1</v>
      </c>
      <c r="U208" s="11">
        <v>74</v>
      </c>
      <c r="V208" s="11">
        <v>0</v>
      </c>
      <c r="W208" s="11">
        <v>1</v>
      </c>
      <c r="X208" s="11">
        <v>0</v>
      </c>
      <c r="Y208" s="11">
        <v>0</v>
      </c>
      <c r="Z208" s="11">
        <v>0</v>
      </c>
      <c r="AA208" s="11">
        <v>0</v>
      </c>
      <c r="AB208" s="11">
        <v>1</v>
      </c>
      <c r="AC208" s="11">
        <v>1</v>
      </c>
      <c r="AD208" s="11" t="s">
        <v>5044</v>
      </c>
      <c r="AE208" s="11" t="s">
        <v>5044</v>
      </c>
      <c r="AF208" s="11" t="s">
        <v>5044</v>
      </c>
      <c r="AG208" s="11">
        <v>2</v>
      </c>
      <c r="AH208" s="11">
        <v>3</v>
      </c>
      <c r="AI208" s="11">
        <v>0</v>
      </c>
      <c r="AJ208" s="11" t="s">
        <v>5044</v>
      </c>
      <c r="AK208" s="11" t="s">
        <v>5318</v>
      </c>
      <c r="AL208" s="11">
        <v>0</v>
      </c>
      <c r="AM208" s="11">
        <v>0</v>
      </c>
      <c r="AN208" s="11" t="s">
        <v>5318</v>
      </c>
      <c r="AO208" s="11" t="s">
        <v>5318</v>
      </c>
      <c r="AP208" s="11" t="s">
        <v>5318</v>
      </c>
      <c r="AQ208" s="11" t="s">
        <v>5318</v>
      </c>
    </row>
    <row r="209" spans="1:43" ht="63" customHeight="1" x14ac:dyDescent="0.2">
      <c r="A209" s="10">
        <v>2318</v>
      </c>
      <c r="B209" s="11" t="s">
        <v>7067</v>
      </c>
      <c r="C209" s="11" t="s">
        <v>639</v>
      </c>
      <c r="D209" s="11">
        <v>2017</v>
      </c>
      <c r="E209" s="11" t="s">
        <v>5318</v>
      </c>
      <c r="F209" s="11">
        <v>71</v>
      </c>
      <c r="G209" s="11">
        <v>5</v>
      </c>
      <c r="H209" s="11" t="s">
        <v>6515</v>
      </c>
      <c r="I209" s="11" t="s">
        <v>6516</v>
      </c>
      <c r="J209" s="11" t="s">
        <v>7068</v>
      </c>
      <c r="K209" s="11" t="s">
        <v>641</v>
      </c>
      <c r="L209" s="11" t="s">
        <v>5044</v>
      </c>
      <c r="M209" s="11">
        <v>0</v>
      </c>
      <c r="N209" s="9" t="s">
        <v>5044</v>
      </c>
      <c r="O209" s="9" t="s">
        <v>5044</v>
      </c>
      <c r="P209" s="11">
        <v>0</v>
      </c>
      <c r="Q209" s="11">
        <v>0</v>
      </c>
      <c r="R209" s="11">
        <v>0</v>
      </c>
      <c r="S209" s="11">
        <v>3</v>
      </c>
      <c r="T209" s="11">
        <v>1</v>
      </c>
      <c r="U209" s="11">
        <v>66</v>
      </c>
      <c r="V209" s="11">
        <v>0</v>
      </c>
      <c r="W209" s="11">
        <v>1</v>
      </c>
      <c r="X209" s="11">
        <v>0</v>
      </c>
      <c r="Y209" s="11">
        <v>0</v>
      </c>
      <c r="Z209" s="11">
        <v>0</v>
      </c>
      <c r="AA209" s="11">
        <v>0</v>
      </c>
      <c r="AB209" s="11">
        <v>1</v>
      </c>
      <c r="AC209" s="11">
        <v>1</v>
      </c>
      <c r="AD209" s="11" t="s">
        <v>5044</v>
      </c>
      <c r="AE209" s="11" t="s">
        <v>5044</v>
      </c>
      <c r="AF209" s="11" t="s">
        <v>5044</v>
      </c>
      <c r="AG209" s="11">
        <v>2</v>
      </c>
      <c r="AH209" s="11">
        <v>3</v>
      </c>
      <c r="AI209" s="11">
        <v>0</v>
      </c>
      <c r="AJ209" s="11" t="s">
        <v>5044</v>
      </c>
      <c r="AK209" s="11">
        <v>1</v>
      </c>
      <c r="AL209" s="11">
        <v>1</v>
      </c>
      <c r="AM209" s="11">
        <v>0</v>
      </c>
      <c r="AN209" s="11" t="s">
        <v>5318</v>
      </c>
      <c r="AO209" s="11" t="s">
        <v>5318</v>
      </c>
      <c r="AP209" s="11" t="s">
        <v>5318</v>
      </c>
      <c r="AQ209" s="11" t="s">
        <v>5318</v>
      </c>
    </row>
    <row r="210" spans="1:43" ht="63" customHeight="1" x14ac:dyDescent="0.2">
      <c r="A210" s="10">
        <v>2319</v>
      </c>
      <c r="B210" s="11" t="s">
        <v>7069</v>
      </c>
      <c r="C210" s="11" t="s">
        <v>642</v>
      </c>
      <c r="D210" s="11">
        <v>2023</v>
      </c>
      <c r="E210" s="11" t="s">
        <v>5318</v>
      </c>
      <c r="F210" s="11">
        <v>83</v>
      </c>
      <c r="G210" s="11">
        <v>2</v>
      </c>
      <c r="H210" s="11" t="s">
        <v>6515</v>
      </c>
      <c r="I210" s="11" t="s">
        <v>6516</v>
      </c>
      <c r="J210" s="11" t="s">
        <v>7070</v>
      </c>
      <c r="K210" s="11" t="s">
        <v>643</v>
      </c>
      <c r="L210" s="12" t="s">
        <v>5520</v>
      </c>
      <c r="M210" s="11">
        <v>0</v>
      </c>
      <c r="N210" s="9" t="s">
        <v>5044</v>
      </c>
      <c r="O210" s="9" t="s">
        <v>5044</v>
      </c>
      <c r="P210" s="11">
        <v>0</v>
      </c>
      <c r="Q210" s="11">
        <v>0</v>
      </c>
      <c r="R210" s="11">
        <v>0</v>
      </c>
      <c r="S210" s="11">
        <v>3</v>
      </c>
      <c r="T210" s="11">
        <v>1</v>
      </c>
      <c r="U210" s="11">
        <v>260</v>
      </c>
      <c r="V210" s="11">
        <v>0</v>
      </c>
      <c r="W210" s="11">
        <v>1</v>
      </c>
      <c r="X210" s="11">
        <v>0</v>
      </c>
      <c r="Y210" s="11">
        <v>0</v>
      </c>
      <c r="Z210" s="11">
        <v>0</v>
      </c>
      <c r="AA210" s="11">
        <v>0</v>
      </c>
      <c r="AB210" s="11">
        <v>1</v>
      </c>
      <c r="AC210" s="11">
        <v>1</v>
      </c>
      <c r="AD210" s="11" t="s">
        <v>5044</v>
      </c>
      <c r="AE210" s="11" t="s">
        <v>5044</v>
      </c>
      <c r="AF210" s="11" t="s">
        <v>5044</v>
      </c>
      <c r="AG210" s="11">
        <v>1</v>
      </c>
      <c r="AH210" s="11">
        <v>0</v>
      </c>
      <c r="AI210" s="11">
        <v>0</v>
      </c>
      <c r="AJ210" s="11" t="s">
        <v>5044</v>
      </c>
      <c r="AK210" s="11" t="s">
        <v>5318</v>
      </c>
      <c r="AL210" s="11">
        <v>1</v>
      </c>
      <c r="AM210" s="11">
        <v>0</v>
      </c>
      <c r="AN210" s="11" t="s">
        <v>5318</v>
      </c>
      <c r="AO210" s="11" t="s">
        <v>5318</v>
      </c>
      <c r="AP210" s="11" t="s">
        <v>5318</v>
      </c>
      <c r="AQ210" s="11" t="s">
        <v>5318</v>
      </c>
    </row>
    <row r="211" spans="1:43" ht="63" customHeight="1" x14ac:dyDescent="0.2">
      <c r="A211" s="10">
        <v>2327</v>
      </c>
      <c r="B211" s="11" t="s">
        <v>7071</v>
      </c>
      <c r="C211" s="11" t="s">
        <v>644</v>
      </c>
      <c r="D211" s="11">
        <v>2020</v>
      </c>
      <c r="E211" s="11" t="s">
        <v>5318</v>
      </c>
      <c r="F211" s="11">
        <v>272</v>
      </c>
      <c r="G211" s="11">
        <v>1</v>
      </c>
      <c r="H211" s="11" t="s">
        <v>6533</v>
      </c>
      <c r="I211" s="11" t="s">
        <v>6516</v>
      </c>
      <c r="J211" s="11" t="s">
        <v>7072</v>
      </c>
      <c r="K211" s="11" t="s">
        <v>646</v>
      </c>
      <c r="L211" s="16" t="s">
        <v>5521</v>
      </c>
      <c r="M211" s="11">
        <v>0</v>
      </c>
      <c r="N211" s="9" t="s">
        <v>5044</v>
      </c>
      <c r="O211" s="9" t="s">
        <v>5044</v>
      </c>
      <c r="P211" s="11">
        <v>0</v>
      </c>
      <c r="Q211" s="11">
        <v>0</v>
      </c>
      <c r="R211" s="11">
        <v>0</v>
      </c>
      <c r="S211" s="11">
        <v>1</v>
      </c>
      <c r="T211" s="11">
        <v>1</v>
      </c>
      <c r="U211" s="11">
        <v>456</v>
      </c>
      <c r="V211" s="11">
        <v>0</v>
      </c>
      <c r="W211" s="11">
        <v>1</v>
      </c>
      <c r="X211" s="11">
        <v>0</v>
      </c>
      <c r="Y211" s="11">
        <v>0</v>
      </c>
      <c r="Z211" s="11">
        <v>0</v>
      </c>
      <c r="AA211" s="11">
        <v>0</v>
      </c>
      <c r="AB211" s="11">
        <v>1</v>
      </c>
      <c r="AC211" s="11">
        <v>1</v>
      </c>
      <c r="AD211" s="11" t="s">
        <v>5044</v>
      </c>
      <c r="AE211" s="11" t="s">
        <v>5044</v>
      </c>
      <c r="AF211" s="11" t="s">
        <v>5044</v>
      </c>
      <c r="AG211" s="11">
        <v>2</v>
      </c>
      <c r="AH211" s="11">
        <v>1</v>
      </c>
      <c r="AI211" s="11">
        <v>2</v>
      </c>
      <c r="AJ211" s="11" t="s">
        <v>5044</v>
      </c>
      <c r="AK211" s="11" t="s">
        <v>5318</v>
      </c>
      <c r="AL211" s="11">
        <v>1</v>
      </c>
      <c r="AM211" s="11">
        <v>0</v>
      </c>
      <c r="AN211" s="11" t="s">
        <v>5318</v>
      </c>
      <c r="AO211" s="11" t="s">
        <v>5318</v>
      </c>
      <c r="AP211" s="11" t="s">
        <v>5318</v>
      </c>
      <c r="AQ211" s="11" t="s">
        <v>5318</v>
      </c>
    </row>
    <row r="212" spans="1:43" ht="63" customHeight="1" x14ac:dyDescent="0.2">
      <c r="A212" s="10">
        <v>2339</v>
      </c>
      <c r="B212" s="11" t="s">
        <v>7073</v>
      </c>
      <c r="C212" s="11" t="s">
        <v>647</v>
      </c>
      <c r="D212" s="11">
        <v>2018</v>
      </c>
      <c r="E212" s="11" t="s">
        <v>5318</v>
      </c>
      <c r="F212" s="11">
        <v>32</v>
      </c>
      <c r="G212" s="11">
        <v>6</v>
      </c>
      <c r="H212" s="11" t="s">
        <v>6624</v>
      </c>
      <c r="I212" s="11" t="s">
        <v>6516</v>
      </c>
      <c r="J212" s="11" t="s">
        <v>7074</v>
      </c>
      <c r="K212" s="11" t="s">
        <v>648</v>
      </c>
      <c r="L212" s="12" t="s">
        <v>5522</v>
      </c>
      <c r="M212" s="11">
        <v>0</v>
      </c>
      <c r="N212" s="9" t="s">
        <v>5044</v>
      </c>
      <c r="O212" s="9" t="s">
        <v>5044</v>
      </c>
      <c r="P212" s="11">
        <v>0</v>
      </c>
      <c r="Q212" s="11">
        <v>0</v>
      </c>
      <c r="R212" s="11">
        <v>1</v>
      </c>
      <c r="S212" s="11">
        <v>1</v>
      </c>
      <c r="T212" s="11">
        <v>1</v>
      </c>
      <c r="U212" s="11">
        <v>79</v>
      </c>
      <c r="V212" s="11">
        <v>0</v>
      </c>
      <c r="W212" s="11">
        <v>1</v>
      </c>
      <c r="X212" s="11">
        <v>0</v>
      </c>
      <c r="Y212" s="11">
        <v>0</v>
      </c>
      <c r="Z212" s="11">
        <v>0</v>
      </c>
      <c r="AA212" s="11">
        <v>0</v>
      </c>
      <c r="AB212" s="11">
        <v>1</v>
      </c>
      <c r="AC212" s="11">
        <v>1</v>
      </c>
      <c r="AD212" s="11" t="s">
        <v>5044</v>
      </c>
      <c r="AE212" s="11" t="s">
        <v>5044</v>
      </c>
      <c r="AF212" s="11" t="s">
        <v>5044</v>
      </c>
      <c r="AG212" s="11">
        <v>2</v>
      </c>
      <c r="AH212" s="11">
        <v>2</v>
      </c>
      <c r="AI212" s="11">
        <v>2</v>
      </c>
      <c r="AJ212" s="11" t="s">
        <v>5044</v>
      </c>
      <c r="AK212" s="11" t="s">
        <v>5318</v>
      </c>
      <c r="AL212" s="11">
        <v>0</v>
      </c>
      <c r="AM212" s="11">
        <v>0</v>
      </c>
      <c r="AN212" s="11" t="s">
        <v>5523</v>
      </c>
      <c r="AO212" s="11" t="s">
        <v>5318</v>
      </c>
      <c r="AP212" s="11" t="s">
        <v>5318</v>
      </c>
      <c r="AQ212" s="11" t="s">
        <v>5318</v>
      </c>
    </row>
    <row r="213" spans="1:43" ht="63" customHeight="1" x14ac:dyDescent="0.2">
      <c r="A213" s="10">
        <v>2355</v>
      </c>
      <c r="B213" s="11" t="s">
        <v>7075</v>
      </c>
      <c r="C213" s="11" t="s">
        <v>649</v>
      </c>
      <c r="D213" s="11">
        <v>2021</v>
      </c>
      <c r="E213" s="11" t="s">
        <v>5318</v>
      </c>
      <c r="F213" s="11">
        <v>28</v>
      </c>
      <c r="G213" s="11">
        <v>4</v>
      </c>
      <c r="H213" s="11" t="s">
        <v>7076</v>
      </c>
      <c r="I213" s="11" t="s">
        <v>6516</v>
      </c>
      <c r="J213" s="11" t="s">
        <v>7077</v>
      </c>
      <c r="K213" s="11" t="s">
        <v>651</v>
      </c>
      <c r="L213" s="12" t="s">
        <v>5524</v>
      </c>
      <c r="M213" s="11">
        <v>0</v>
      </c>
      <c r="N213" s="9" t="s">
        <v>5044</v>
      </c>
      <c r="O213" s="9" t="s">
        <v>5044</v>
      </c>
      <c r="P213" s="11">
        <v>0</v>
      </c>
      <c r="Q213" s="11">
        <v>0</v>
      </c>
      <c r="R213" s="11">
        <v>0</v>
      </c>
      <c r="S213" s="11">
        <v>5</v>
      </c>
      <c r="T213" s="11">
        <v>1</v>
      </c>
      <c r="U213" s="11">
        <v>90</v>
      </c>
      <c r="V213" s="11">
        <v>0</v>
      </c>
      <c r="W213" s="11">
        <v>1</v>
      </c>
      <c r="X213" s="11">
        <v>0</v>
      </c>
      <c r="Y213" s="11">
        <v>0</v>
      </c>
      <c r="Z213" s="11">
        <v>0</v>
      </c>
      <c r="AA213" s="11">
        <v>0</v>
      </c>
      <c r="AB213" s="11">
        <v>1</v>
      </c>
      <c r="AC213" s="11">
        <v>1</v>
      </c>
      <c r="AD213" s="11" t="s">
        <v>5044</v>
      </c>
      <c r="AE213" s="11" t="s">
        <v>5044</v>
      </c>
      <c r="AF213" s="11" t="s">
        <v>5044</v>
      </c>
      <c r="AG213" s="11">
        <v>1</v>
      </c>
      <c r="AH213" s="11">
        <v>0</v>
      </c>
      <c r="AI213" s="11">
        <v>0</v>
      </c>
      <c r="AJ213" s="11" t="s">
        <v>5044</v>
      </c>
      <c r="AK213" s="11" t="s">
        <v>5318</v>
      </c>
      <c r="AL213" s="11">
        <v>0</v>
      </c>
      <c r="AM213" s="11">
        <v>0</v>
      </c>
      <c r="AN213" s="11" t="s">
        <v>5318</v>
      </c>
      <c r="AO213" s="11" t="s">
        <v>5318</v>
      </c>
      <c r="AP213" s="11" t="s">
        <v>5318</v>
      </c>
      <c r="AQ213" s="11" t="s">
        <v>5318</v>
      </c>
    </row>
    <row r="214" spans="1:43" ht="63" customHeight="1" x14ac:dyDescent="0.2">
      <c r="A214" s="10">
        <v>2375</v>
      </c>
      <c r="B214" s="11" t="s">
        <v>7078</v>
      </c>
      <c r="C214" s="11" t="s">
        <v>652</v>
      </c>
      <c r="D214" s="11">
        <v>2019</v>
      </c>
      <c r="E214" s="11" t="s">
        <v>5318</v>
      </c>
      <c r="F214" s="11">
        <v>21</v>
      </c>
      <c r="G214" s="11">
        <v>10</v>
      </c>
      <c r="H214" s="11" t="s">
        <v>6749</v>
      </c>
      <c r="I214" s="11" t="s">
        <v>6516</v>
      </c>
      <c r="J214" s="11" t="s">
        <v>7079</v>
      </c>
      <c r="K214" s="11" t="s">
        <v>653</v>
      </c>
      <c r="L214" s="12" t="s">
        <v>5525</v>
      </c>
      <c r="M214" s="11">
        <v>0</v>
      </c>
      <c r="N214" s="9" t="s">
        <v>5044</v>
      </c>
      <c r="O214" s="9" t="s">
        <v>5044</v>
      </c>
      <c r="P214" s="11">
        <v>0</v>
      </c>
      <c r="Q214" s="11">
        <v>0</v>
      </c>
      <c r="R214" s="11">
        <v>0</v>
      </c>
      <c r="S214" s="11">
        <v>1</v>
      </c>
      <c r="T214" s="11">
        <v>5</v>
      </c>
      <c r="U214" s="11">
        <v>96</v>
      </c>
      <c r="V214" s="11">
        <v>0</v>
      </c>
      <c r="W214" s="11">
        <v>1</v>
      </c>
      <c r="X214" s="11">
        <v>0</v>
      </c>
      <c r="Y214" s="11">
        <v>0</v>
      </c>
      <c r="Z214" s="11">
        <v>0</v>
      </c>
      <c r="AA214" s="11">
        <v>0</v>
      </c>
      <c r="AB214" s="11">
        <v>1</v>
      </c>
      <c r="AC214" s="11">
        <v>1</v>
      </c>
      <c r="AD214" s="11" t="s">
        <v>5044</v>
      </c>
      <c r="AE214" s="11" t="s">
        <v>5044</v>
      </c>
      <c r="AF214" s="11" t="s">
        <v>5044</v>
      </c>
      <c r="AG214" s="11">
        <v>2</v>
      </c>
      <c r="AH214" s="11">
        <v>3</v>
      </c>
      <c r="AI214" s="11">
        <v>0</v>
      </c>
      <c r="AJ214" s="11" t="s">
        <v>5044</v>
      </c>
      <c r="AK214" s="11">
        <v>1</v>
      </c>
      <c r="AL214" s="11">
        <v>0</v>
      </c>
      <c r="AM214" s="11">
        <v>0</v>
      </c>
      <c r="AN214" s="11" t="s">
        <v>5318</v>
      </c>
      <c r="AO214" s="11" t="s">
        <v>5318</v>
      </c>
      <c r="AP214" s="11" t="s">
        <v>5318</v>
      </c>
      <c r="AQ214" s="11" t="s">
        <v>5318</v>
      </c>
    </row>
    <row r="215" spans="1:43" ht="63" customHeight="1" x14ac:dyDescent="0.2">
      <c r="A215" s="10">
        <v>2380</v>
      </c>
      <c r="B215" s="11" t="s">
        <v>7080</v>
      </c>
      <c r="C215" s="11" t="s">
        <v>654</v>
      </c>
      <c r="D215" s="11">
        <v>2016</v>
      </c>
      <c r="E215" s="11" t="s">
        <v>5318</v>
      </c>
      <c r="F215" s="11">
        <v>387</v>
      </c>
      <c r="G215" s="11">
        <v>10026</v>
      </c>
      <c r="H215" s="11" t="s">
        <v>6349</v>
      </c>
      <c r="I215" s="11" t="s">
        <v>6516</v>
      </c>
      <c r="J215" s="11" t="s">
        <v>7081</v>
      </c>
      <c r="K215" s="11" t="s">
        <v>655</v>
      </c>
      <c r="L215" s="16" t="s">
        <v>5526</v>
      </c>
      <c r="M215" s="11">
        <v>0</v>
      </c>
      <c r="N215" s="9" t="s">
        <v>5044</v>
      </c>
      <c r="O215" s="9" t="s">
        <v>5044</v>
      </c>
      <c r="P215" s="11">
        <v>0</v>
      </c>
      <c r="Q215" s="11">
        <v>0</v>
      </c>
      <c r="R215" s="11">
        <v>0</v>
      </c>
      <c r="S215" s="11">
        <v>1</v>
      </c>
      <c r="T215" s="11">
        <v>1</v>
      </c>
      <c r="U215" s="11">
        <v>2507</v>
      </c>
      <c r="V215" s="11">
        <v>1</v>
      </c>
      <c r="W215" s="11">
        <v>1</v>
      </c>
      <c r="X215" s="11">
        <v>0</v>
      </c>
      <c r="Y215" s="11">
        <v>0</v>
      </c>
      <c r="Z215" s="11">
        <v>0</v>
      </c>
      <c r="AA215" s="11">
        <v>0</v>
      </c>
      <c r="AB215" s="11">
        <v>1</v>
      </c>
      <c r="AC215" s="11">
        <v>1</v>
      </c>
      <c r="AD215" s="11">
        <v>2</v>
      </c>
      <c r="AE215" s="11">
        <v>1</v>
      </c>
      <c r="AF215" s="11">
        <v>2</v>
      </c>
      <c r="AG215" s="11">
        <v>2</v>
      </c>
      <c r="AH215" s="11">
        <v>2</v>
      </c>
      <c r="AI215" s="11">
        <v>2</v>
      </c>
      <c r="AJ215" s="11" t="s">
        <v>5044</v>
      </c>
      <c r="AK215" s="11" t="s">
        <v>5318</v>
      </c>
      <c r="AL215" s="11">
        <v>1</v>
      </c>
      <c r="AM215" s="11">
        <v>0</v>
      </c>
      <c r="AN215" s="11" t="s">
        <v>5318</v>
      </c>
      <c r="AO215" s="11" t="s">
        <v>5318</v>
      </c>
      <c r="AP215" s="11" t="s">
        <v>5318</v>
      </c>
      <c r="AQ215" s="11" t="s">
        <v>5318</v>
      </c>
    </row>
    <row r="216" spans="1:43" ht="63" customHeight="1" x14ac:dyDescent="0.2">
      <c r="A216" s="10">
        <v>2396</v>
      </c>
      <c r="B216" s="11" t="s">
        <v>7083</v>
      </c>
      <c r="C216" s="11" t="s">
        <v>657</v>
      </c>
      <c r="D216" s="11">
        <v>2022</v>
      </c>
      <c r="E216" s="11" t="s">
        <v>5318</v>
      </c>
      <c r="F216" s="11">
        <v>22</v>
      </c>
      <c r="G216" s="11">
        <v>1</v>
      </c>
      <c r="H216" s="11" t="s">
        <v>6595</v>
      </c>
      <c r="I216" s="11" t="s">
        <v>6516</v>
      </c>
      <c r="J216" s="11" t="s">
        <v>7084</v>
      </c>
      <c r="K216" s="11" t="s">
        <v>658</v>
      </c>
      <c r="L216" s="12" t="s">
        <v>5527</v>
      </c>
      <c r="M216" s="11">
        <v>1</v>
      </c>
      <c r="N216" s="11">
        <v>0</v>
      </c>
      <c r="O216" s="9" t="s">
        <v>5044</v>
      </c>
      <c r="P216" s="11">
        <v>0</v>
      </c>
      <c r="Q216" s="11">
        <v>0</v>
      </c>
      <c r="R216" s="11">
        <v>0</v>
      </c>
      <c r="S216" s="11">
        <v>1</v>
      </c>
      <c r="T216" s="11">
        <v>5</v>
      </c>
      <c r="U216" s="11">
        <v>172</v>
      </c>
      <c r="V216" s="11">
        <v>0</v>
      </c>
      <c r="W216" s="11">
        <v>1</v>
      </c>
      <c r="X216" s="11">
        <v>0</v>
      </c>
      <c r="Y216" s="11">
        <v>0</v>
      </c>
      <c r="Z216" s="11">
        <v>1</v>
      </c>
      <c r="AA216" s="11">
        <v>0</v>
      </c>
      <c r="AB216" s="11">
        <v>1</v>
      </c>
      <c r="AC216" s="11" t="s">
        <v>5044</v>
      </c>
      <c r="AD216" s="11" t="s">
        <v>5044</v>
      </c>
      <c r="AE216" s="11" t="s">
        <v>5044</v>
      </c>
      <c r="AF216" s="11" t="s">
        <v>5044</v>
      </c>
      <c r="AG216" s="11" t="s">
        <v>5044</v>
      </c>
      <c r="AH216" s="11" t="s">
        <v>5044</v>
      </c>
      <c r="AI216" s="11" t="s">
        <v>5044</v>
      </c>
      <c r="AJ216" s="11" t="s">
        <v>5044</v>
      </c>
      <c r="AK216" s="11" t="s">
        <v>5318</v>
      </c>
      <c r="AL216" s="11" t="s">
        <v>5044</v>
      </c>
      <c r="AM216" s="11">
        <v>0</v>
      </c>
      <c r="AN216" s="11" t="s">
        <v>5318</v>
      </c>
      <c r="AO216" s="11" t="s">
        <v>5318</v>
      </c>
      <c r="AP216" s="11" t="s">
        <v>5318</v>
      </c>
      <c r="AQ216" s="11" t="s">
        <v>5318</v>
      </c>
    </row>
    <row r="217" spans="1:43" ht="63" customHeight="1" x14ac:dyDescent="0.2">
      <c r="A217" s="10">
        <v>2398</v>
      </c>
      <c r="B217" s="11" t="s">
        <v>7085</v>
      </c>
      <c r="C217" s="11" t="s">
        <v>659</v>
      </c>
      <c r="D217" s="11">
        <v>2021</v>
      </c>
      <c r="E217" s="11" t="s">
        <v>5318</v>
      </c>
      <c r="F217" s="11">
        <v>7</v>
      </c>
      <c r="G217" s="11">
        <v>1</v>
      </c>
      <c r="H217" s="11" t="s">
        <v>6728</v>
      </c>
      <c r="I217" s="11" t="s">
        <v>6516</v>
      </c>
      <c r="J217" s="11" t="s">
        <v>7086</v>
      </c>
      <c r="K217" s="11" t="s">
        <v>660</v>
      </c>
      <c r="L217" s="12" t="s">
        <v>5528</v>
      </c>
      <c r="M217" s="11">
        <v>0</v>
      </c>
      <c r="N217" s="9" t="s">
        <v>5044</v>
      </c>
      <c r="O217" s="9" t="s">
        <v>5044</v>
      </c>
      <c r="P217" s="11">
        <v>1</v>
      </c>
      <c r="Q217" s="11">
        <v>0</v>
      </c>
      <c r="R217" s="11">
        <v>0</v>
      </c>
      <c r="S217" s="11">
        <v>1</v>
      </c>
      <c r="T217" s="11">
        <v>5</v>
      </c>
      <c r="U217" s="11">
        <v>22</v>
      </c>
      <c r="V217" s="11">
        <v>0</v>
      </c>
      <c r="W217" s="11">
        <v>1</v>
      </c>
      <c r="X217" s="11">
        <v>0</v>
      </c>
      <c r="Y217" s="11">
        <v>0</v>
      </c>
      <c r="Z217" s="11">
        <v>0</v>
      </c>
      <c r="AA217" s="11">
        <v>0</v>
      </c>
      <c r="AB217" s="11">
        <v>1</v>
      </c>
      <c r="AC217" s="11">
        <v>1</v>
      </c>
      <c r="AD217" s="11" t="s">
        <v>5044</v>
      </c>
      <c r="AE217" s="11" t="s">
        <v>5044</v>
      </c>
      <c r="AF217" s="11" t="s">
        <v>5044</v>
      </c>
      <c r="AG217" s="11">
        <v>2</v>
      </c>
      <c r="AH217" s="11">
        <v>3</v>
      </c>
      <c r="AI217" s="11">
        <v>0</v>
      </c>
      <c r="AJ217" s="11" t="s">
        <v>5044</v>
      </c>
      <c r="AK217" s="11">
        <v>1</v>
      </c>
      <c r="AL217" s="11" t="s">
        <v>5044</v>
      </c>
      <c r="AM217" s="11">
        <v>0</v>
      </c>
      <c r="AN217" s="11" t="s">
        <v>2539</v>
      </c>
      <c r="AO217" s="11" t="s">
        <v>5318</v>
      </c>
      <c r="AP217" s="11" t="s">
        <v>5318</v>
      </c>
      <c r="AQ217" s="11" t="s">
        <v>5318</v>
      </c>
    </row>
    <row r="218" spans="1:43" ht="63" customHeight="1" x14ac:dyDescent="0.2">
      <c r="A218" s="10">
        <v>2399</v>
      </c>
      <c r="B218" s="11" t="s">
        <v>7087</v>
      </c>
      <c r="C218" s="11" t="s">
        <v>661</v>
      </c>
      <c r="D218" s="11">
        <v>2022</v>
      </c>
      <c r="E218" s="11" t="s">
        <v>5318</v>
      </c>
      <c r="F218" s="11">
        <v>92</v>
      </c>
      <c r="G218" s="11">
        <v>4</v>
      </c>
      <c r="H218" s="11" t="s">
        <v>7088</v>
      </c>
      <c r="I218" s="11" t="s">
        <v>6516</v>
      </c>
      <c r="J218" s="11" t="s">
        <v>7089</v>
      </c>
      <c r="K218" s="11" t="s">
        <v>664</v>
      </c>
      <c r="L218" s="12" t="s">
        <v>5529</v>
      </c>
      <c r="M218" s="11">
        <v>0</v>
      </c>
      <c r="N218" s="9" t="s">
        <v>5044</v>
      </c>
      <c r="O218" s="9" t="s">
        <v>5044</v>
      </c>
      <c r="P218" s="11">
        <v>0</v>
      </c>
      <c r="Q218" s="11">
        <v>0</v>
      </c>
      <c r="R218" s="11">
        <v>0</v>
      </c>
      <c r="S218" s="11">
        <v>1</v>
      </c>
      <c r="T218" s="11">
        <v>5</v>
      </c>
      <c r="U218" s="11">
        <v>96</v>
      </c>
      <c r="V218" s="11">
        <v>0</v>
      </c>
      <c r="W218" s="11">
        <v>1</v>
      </c>
      <c r="X218" s="11">
        <v>0</v>
      </c>
      <c r="Y218" s="11">
        <v>0</v>
      </c>
      <c r="Z218" s="11">
        <v>0</v>
      </c>
      <c r="AA218" s="11">
        <v>0</v>
      </c>
      <c r="AB218" s="11">
        <v>1</v>
      </c>
      <c r="AC218" s="11">
        <v>1</v>
      </c>
      <c r="AD218" s="11" t="s">
        <v>5044</v>
      </c>
      <c r="AE218" s="11" t="s">
        <v>5044</v>
      </c>
      <c r="AF218" s="11" t="s">
        <v>5044</v>
      </c>
      <c r="AG218" s="11">
        <v>2</v>
      </c>
      <c r="AH218" s="11">
        <v>3</v>
      </c>
      <c r="AI218" s="11">
        <v>0</v>
      </c>
      <c r="AJ218" s="11" t="s">
        <v>5044</v>
      </c>
      <c r="AK218" s="11">
        <v>1</v>
      </c>
      <c r="AL218" s="11">
        <v>0</v>
      </c>
      <c r="AM218" s="11">
        <v>0</v>
      </c>
      <c r="AN218" s="11" t="s">
        <v>5318</v>
      </c>
      <c r="AO218" s="11" t="s">
        <v>5318</v>
      </c>
      <c r="AP218" s="11" t="s">
        <v>5318</v>
      </c>
      <c r="AQ218" s="11" t="s">
        <v>5318</v>
      </c>
    </row>
    <row r="219" spans="1:43" ht="63" customHeight="1" x14ac:dyDescent="0.2">
      <c r="A219" s="10">
        <v>2413</v>
      </c>
      <c r="B219" s="11" t="s">
        <v>7090</v>
      </c>
      <c r="C219" s="11" t="s">
        <v>665</v>
      </c>
      <c r="D219" s="11">
        <v>2013</v>
      </c>
      <c r="E219" s="11" t="s">
        <v>305</v>
      </c>
      <c r="F219" s="11">
        <v>14</v>
      </c>
      <c r="G219" s="11">
        <v>1</v>
      </c>
      <c r="H219" s="11" t="s">
        <v>6538</v>
      </c>
      <c r="I219" s="11" t="s">
        <v>6516</v>
      </c>
      <c r="J219" s="11" t="s">
        <v>7091</v>
      </c>
      <c r="K219" s="11" t="s">
        <v>666</v>
      </c>
      <c r="L219" s="12" t="s">
        <v>5530</v>
      </c>
      <c r="M219" s="11">
        <v>1</v>
      </c>
      <c r="N219" s="11">
        <v>0</v>
      </c>
      <c r="O219" s="9" t="s">
        <v>5044</v>
      </c>
      <c r="P219" s="11">
        <v>0</v>
      </c>
      <c r="Q219" s="11">
        <v>0</v>
      </c>
      <c r="R219" s="11">
        <v>0</v>
      </c>
      <c r="S219" s="11">
        <v>1</v>
      </c>
      <c r="T219" s="11">
        <v>1</v>
      </c>
      <c r="U219" s="11">
        <v>110</v>
      </c>
      <c r="V219" s="11">
        <v>0</v>
      </c>
      <c r="W219" s="11">
        <v>1</v>
      </c>
      <c r="X219" s="11">
        <v>0</v>
      </c>
      <c r="Y219" s="11">
        <v>0</v>
      </c>
      <c r="Z219" s="11">
        <v>0</v>
      </c>
      <c r="AA219" s="11">
        <v>0</v>
      </c>
      <c r="AB219" s="11">
        <v>1</v>
      </c>
      <c r="AC219" s="11" t="s">
        <v>5044</v>
      </c>
      <c r="AD219" s="11" t="s">
        <v>5044</v>
      </c>
      <c r="AE219" s="11" t="s">
        <v>5044</v>
      </c>
      <c r="AF219" s="11" t="s">
        <v>5044</v>
      </c>
      <c r="AG219" s="11" t="s">
        <v>5044</v>
      </c>
      <c r="AH219" s="11" t="s">
        <v>5044</v>
      </c>
      <c r="AI219" s="11" t="s">
        <v>5044</v>
      </c>
      <c r="AJ219" s="11" t="s">
        <v>5044</v>
      </c>
      <c r="AK219" s="11" t="s">
        <v>5318</v>
      </c>
      <c r="AL219" s="11" t="s">
        <v>5044</v>
      </c>
      <c r="AM219" s="11">
        <v>0</v>
      </c>
      <c r="AN219" s="11" t="s">
        <v>5318</v>
      </c>
      <c r="AO219" s="11" t="s">
        <v>5318</v>
      </c>
      <c r="AP219" s="11" t="s">
        <v>5318</v>
      </c>
      <c r="AQ219" s="11" t="s">
        <v>5318</v>
      </c>
    </row>
    <row r="220" spans="1:43" ht="63" customHeight="1" x14ac:dyDescent="0.2">
      <c r="A220" s="10">
        <v>2419</v>
      </c>
      <c r="B220" s="11" t="s">
        <v>7092</v>
      </c>
      <c r="C220" s="11" t="s">
        <v>667</v>
      </c>
      <c r="D220" s="11">
        <v>2013</v>
      </c>
      <c r="E220" s="11" t="s">
        <v>5318</v>
      </c>
      <c r="F220" s="11">
        <v>100</v>
      </c>
      <c r="G220" s="11">
        <v>1</v>
      </c>
      <c r="H220" s="11" t="s">
        <v>6530</v>
      </c>
      <c r="I220" s="11" t="s">
        <v>6516</v>
      </c>
      <c r="J220" s="11" t="s">
        <v>7093</v>
      </c>
      <c r="K220" s="11" t="s">
        <v>668</v>
      </c>
      <c r="L220" s="16" t="s">
        <v>5531</v>
      </c>
      <c r="M220" s="11">
        <v>0</v>
      </c>
      <c r="N220" s="9" t="s">
        <v>5044</v>
      </c>
      <c r="O220" s="9" t="s">
        <v>5044</v>
      </c>
      <c r="P220" s="11">
        <v>0</v>
      </c>
      <c r="Q220" s="11">
        <v>0</v>
      </c>
      <c r="R220" s="11">
        <v>0</v>
      </c>
      <c r="S220" s="11">
        <v>1</v>
      </c>
      <c r="T220" s="11">
        <v>5</v>
      </c>
      <c r="U220" s="11">
        <v>85</v>
      </c>
      <c r="V220" s="11">
        <v>0</v>
      </c>
      <c r="W220" s="11">
        <v>1</v>
      </c>
      <c r="X220" s="11">
        <v>0</v>
      </c>
      <c r="Y220" s="11">
        <v>0</v>
      </c>
      <c r="Z220" s="11">
        <v>0</v>
      </c>
      <c r="AA220" s="11">
        <v>0</v>
      </c>
      <c r="AB220" s="11">
        <v>1</v>
      </c>
      <c r="AC220" s="11">
        <v>1</v>
      </c>
      <c r="AD220" s="11" t="s">
        <v>5044</v>
      </c>
      <c r="AE220" s="11" t="s">
        <v>5044</v>
      </c>
      <c r="AF220" s="11" t="s">
        <v>5044</v>
      </c>
      <c r="AG220" s="11">
        <v>2</v>
      </c>
      <c r="AH220" s="11">
        <v>3</v>
      </c>
      <c r="AI220" s="11">
        <v>0</v>
      </c>
      <c r="AJ220" s="11" t="s">
        <v>5044</v>
      </c>
      <c r="AK220" s="11">
        <v>1</v>
      </c>
      <c r="AL220" s="11">
        <v>0</v>
      </c>
      <c r="AM220" s="11">
        <v>0</v>
      </c>
      <c r="AN220" s="11" t="s">
        <v>5318</v>
      </c>
      <c r="AO220" s="11" t="s">
        <v>5318</v>
      </c>
      <c r="AP220" s="11" t="s">
        <v>5318</v>
      </c>
      <c r="AQ220" s="11" t="s">
        <v>5318</v>
      </c>
    </row>
    <row r="221" spans="1:43" ht="63" customHeight="1" x14ac:dyDescent="0.2">
      <c r="A221" s="10">
        <v>2449</v>
      </c>
      <c r="B221" s="11" t="s">
        <v>7094</v>
      </c>
      <c r="C221" s="11" t="s">
        <v>669</v>
      </c>
      <c r="D221" s="11">
        <v>2014</v>
      </c>
      <c r="E221" s="11" t="s">
        <v>5318</v>
      </c>
      <c r="F221" s="11">
        <v>30</v>
      </c>
      <c r="G221" s="11">
        <v>10</v>
      </c>
      <c r="H221" s="11" t="s">
        <v>7095</v>
      </c>
      <c r="I221" s="11" t="s">
        <v>6516</v>
      </c>
      <c r="J221" s="11" t="s">
        <v>7096</v>
      </c>
      <c r="K221" s="11" t="s">
        <v>671</v>
      </c>
      <c r="L221" s="11" t="s">
        <v>5044</v>
      </c>
      <c r="M221" s="11">
        <v>0</v>
      </c>
      <c r="N221" s="9" t="s">
        <v>5044</v>
      </c>
      <c r="O221" s="9" t="s">
        <v>5044</v>
      </c>
      <c r="P221" s="11">
        <v>0</v>
      </c>
      <c r="Q221" s="11">
        <v>0</v>
      </c>
      <c r="R221" s="11">
        <v>0</v>
      </c>
      <c r="S221" s="11" t="s">
        <v>5696</v>
      </c>
      <c r="T221" s="11">
        <v>1</v>
      </c>
      <c r="U221" s="11">
        <v>73</v>
      </c>
      <c r="V221" s="11">
        <v>0</v>
      </c>
      <c r="W221" s="11">
        <v>1</v>
      </c>
      <c r="X221" s="11">
        <v>0</v>
      </c>
      <c r="Y221" s="11">
        <v>0</v>
      </c>
      <c r="Z221" s="11">
        <v>0</v>
      </c>
      <c r="AA221" s="11">
        <v>0</v>
      </c>
      <c r="AB221" s="11">
        <v>0</v>
      </c>
      <c r="AC221" s="11">
        <v>1</v>
      </c>
      <c r="AD221" s="11" t="s">
        <v>5044</v>
      </c>
      <c r="AE221" s="11" t="s">
        <v>5044</v>
      </c>
      <c r="AF221" s="11" t="s">
        <v>5044</v>
      </c>
      <c r="AG221" s="11">
        <v>1</v>
      </c>
      <c r="AH221" s="11">
        <v>0</v>
      </c>
      <c r="AI221" s="11">
        <v>0</v>
      </c>
      <c r="AJ221" s="11" t="s">
        <v>5044</v>
      </c>
      <c r="AK221" s="11" t="s">
        <v>5318</v>
      </c>
      <c r="AL221" s="11" t="s">
        <v>5044</v>
      </c>
      <c r="AM221" s="11">
        <v>0</v>
      </c>
      <c r="AN221" s="11" t="s">
        <v>5105</v>
      </c>
      <c r="AO221" s="11" t="s">
        <v>5318</v>
      </c>
      <c r="AP221" s="11" t="s">
        <v>5318</v>
      </c>
      <c r="AQ221" s="11" t="s">
        <v>5318</v>
      </c>
    </row>
    <row r="222" spans="1:43" ht="63" customHeight="1" x14ac:dyDescent="0.2">
      <c r="A222" s="10">
        <v>2473</v>
      </c>
      <c r="B222" s="11" t="s">
        <v>7097</v>
      </c>
      <c r="C222" s="11" t="s">
        <v>672</v>
      </c>
      <c r="D222" s="11">
        <v>2021</v>
      </c>
      <c r="E222" s="11" t="s">
        <v>5318</v>
      </c>
      <c r="F222" s="11">
        <v>21</v>
      </c>
      <c r="G222" s="11">
        <v>4</v>
      </c>
      <c r="H222" s="11" t="s">
        <v>7098</v>
      </c>
      <c r="I222" s="11" t="s">
        <v>6516</v>
      </c>
      <c r="J222" s="11" t="s">
        <v>7099</v>
      </c>
      <c r="K222" s="11" t="s">
        <v>673</v>
      </c>
      <c r="L222" s="11" t="s">
        <v>5044</v>
      </c>
      <c r="M222" s="11">
        <v>0</v>
      </c>
      <c r="N222" s="9" t="s">
        <v>5044</v>
      </c>
      <c r="O222" s="9" t="s">
        <v>5044</v>
      </c>
      <c r="P222" s="11">
        <v>0</v>
      </c>
      <c r="Q222" s="11">
        <v>0</v>
      </c>
      <c r="R222" s="11">
        <v>0</v>
      </c>
      <c r="S222" s="11">
        <v>2</v>
      </c>
      <c r="T222" s="11">
        <v>2</v>
      </c>
      <c r="U222" s="11">
        <v>20</v>
      </c>
      <c r="V222" s="11">
        <v>0</v>
      </c>
      <c r="W222" s="11">
        <v>1</v>
      </c>
      <c r="X222" s="11">
        <v>0</v>
      </c>
      <c r="Y222" s="11">
        <v>0</v>
      </c>
      <c r="Z222" s="11">
        <v>0</v>
      </c>
      <c r="AA222" s="11">
        <v>0</v>
      </c>
      <c r="AB222" s="11">
        <v>0</v>
      </c>
      <c r="AC222" s="11">
        <v>1</v>
      </c>
      <c r="AD222" s="11" t="s">
        <v>5044</v>
      </c>
      <c r="AE222" s="11" t="s">
        <v>5044</v>
      </c>
      <c r="AF222" s="11" t="s">
        <v>5044</v>
      </c>
      <c r="AG222" s="11">
        <v>2</v>
      </c>
      <c r="AH222" s="11">
        <v>3</v>
      </c>
      <c r="AI222" s="11">
        <v>0</v>
      </c>
      <c r="AJ222" s="11" t="s">
        <v>5044</v>
      </c>
      <c r="AK222" s="11">
        <v>1</v>
      </c>
      <c r="AL222" s="11">
        <v>1</v>
      </c>
      <c r="AM222" s="11">
        <v>0</v>
      </c>
      <c r="AN222" s="11" t="s">
        <v>5318</v>
      </c>
      <c r="AO222" s="11" t="s">
        <v>5318</v>
      </c>
      <c r="AP222" s="11" t="s">
        <v>5318</v>
      </c>
      <c r="AQ222" s="11" t="s">
        <v>5318</v>
      </c>
    </row>
    <row r="223" spans="1:43" ht="63" customHeight="1" x14ac:dyDescent="0.2">
      <c r="A223" s="10">
        <v>2502</v>
      </c>
      <c r="B223" s="11" t="s">
        <v>7100</v>
      </c>
      <c r="C223" s="11" t="s">
        <v>674</v>
      </c>
      <c r="D223" s="11">
        <v>2014</v>
      </c>
      <c r="E223" s="11" t="s">
        <v>5318</v>
      </c>
      <c r="F223" s="11">
        <v>101</v>
      </c>
      <c r="G223" s="11">
        <v>2</v>
      </c>
      <c r="H223" s="11" t="s">
        <v>6530</v>
      </c>
      <c r="I223" s="11" t="s">
        <v>6516</v>
      </c>
      <c r="J223" s="11" t="s">
        <v>7101</v>
      </c>
      <c r="K223" s="11" t="s">
        <v>676</v>
      </c>
      <c r="L223" s="16" t="s">
        <v>5532</v>
      </c>
      <c r="M223" s="11">
        <v>0</v>
      </c>
      <c r="N223" s="9" t="s">
        <v>5044</v>
      </c>
      <c r="O223" s="9" t="s">
        <v>5044</v>
      </c>
      <c r="P223" s="11">
        <v>0</v>
      </c>
      <c r="Q223" s="11">
        <v>0</v>
      </c>
      <c r="R223" s="11">
        <v>0</v>
      </c>
      <c r="S223" s="11">
        <v>1</v>
      </c>
      <c r="T223" s="11">
        <v>1</v>
      </c>
      <c r="U223" s="11">
        <v>148</v>
      </c>
      <c r="V223" s="11">
        <v>1</v>
      </c>
      <c r="W223" s="11">
        <v>0</v>
      </c>
      <c r="X223" s="11">
        <v>0</v>
      </c>
      <c r="Y223" s="11">
        <v>0</v>
      </c>
      <c r="Z223" s="11">
        <v>0</v>
      </c>
      <c r="AA223" s="11">
        <v>0</v>
      </c>
      <c r="AB223" s="11">
        <v>1</v>
      </c>
      <c r="AC223" s="11">
        <v>0</v>
      </c>
      <c r="AD223" s="11">
        <v>0</v>
      </c>
      <c r="AE223" s="11" t="s">
        <v>5044</v>
      </c>
      <c r="AF223" s="11" t="s">
        <v>5044</v>
      </c>
      <c r="AG223" s="11" t="s">
        <v>5044</v>
      </c>
      <c r="AH223" s="11" t="s">
        <v>5044</v>
      </c>
      <c r="AI223" s="11" t="s">
        <v>5044</v>
      </c>
      <c r="AJ223" s="11" t="s">
        <v>5044</v>
      </c>
      <c r="AK223" s="11" t="s">
        <v>5318</v>
      </c>
      <c r="AL223" s="11">
        <v>0</v>
      </c>
      <c r="AM223" s="11">
        <v>0</v>
      </c>
      <c r="AN223" s="11" t="s">
        <v>5318</v>
      </c>
      <c r="AO223" s="11" t="s">
        <v>5318</v>
      </c>
      <c r="AP223" s="11" t="s">
        <v>5318</v>
      </c>
      <c r="AQ223" s="11" t="s">
        <v>5318</v>
      </c>
    </row>
    <row r="224" spans="1:43" ht="63" customHeight="1" x14ac:dyDescent="0.2">
      <c r="A224" s="10">
        <v>2507</v>
      </c>
      <c r="B224" s="11" t="s">
        <v>7102</v>
      </c>
      <c r="C224" s="11" t="s">
        <v>677</v>
      </c>
      <c r="D224" s="11">
        <v>2022</v>
      </c>
      <c r="E224" s="11" t="s">
        <v>5318</v>
      </c>
      <c r="F224" s="11">
        <v>130</v>
      </c>
      <c r="G224" s="11">
        <v>1</v>
      </c>
      <c r="H224" s="11" t="s">
        <v>7103</v>
      </c>
      <c r="I224" s="11" t="s">
        <v>6516</v>
      </c>
      <c r="J224" s="11" t="s">
        <v>7104</v>
      </c>
      <c r="K224" s="11" t="s">
        <v>680</v>
      </c>
      <c r="L224" s="11" t="s">
        <v>5044</v>
      </c>
      <c r="M224" s="11">
        <v>0</v>
      </c>
      <c r="N224" s="9" t="s">
        <v>5044</v>
      </c>
      <c r="O224" s="9" t="s">
        <v>5044</v>
      </c>
      <c r="P224" s="11">
        <v>1</v>
      </c>
      <c r="Q224" s="11">
        <v>0</v>
      </c>
      <c r="R224" s="11">
        <v>0</v>
      </c>
      <c r="S224" s="11">
        <v>3</v>
      </c>
      <c r="T224" s="11">
        <v>1</v>
      </c>
      <c r="U224" s="11">
        <v>51</v>
      </c>
      <c r="V224" s="11">
        <v>0</v>
      </c>
      <c r="W224" s="11">
        <v>1</v>
      </c>
      <c r="X224" s="11">
        <v>0</v>
      </c>
      <c r="Y224" s="11">
        <v>0</v>
      </c>
      <c r="Z224" s="11">
        <v>0</v>
      </c>
      <c r="AA224" s="11">
        <v>0</v>
      </c>
      <c r="AB224" s="11">
        <v>1</v>
      </c>
      <c r="AC224" s="11">
        <v>0</v>
      </c>
      <c r="AD224" s="11" t="s">
        <v>5044</v>
      </c>
      <c r="AE224" s="11" t="s">
        <v>5044</v>
      </c>
      <c r="AF224" s="11" t="s">
        <v>5044</v>
      </c>
      <c r="AG224" s="11">
        <v>0</v>
      </c>
      <c r="AH224" s="11" t="s">
        <v>5044</v>
      </c>
      <c r="AI224" s="11" t="s">
        <v>5044</v>
      </c>
      <c r="AJ224" s="11" t="s">
        <v>5044</v>
      </c>
      <c r="AK224" s="11" t="s">
        <v>5318</v>
      </c>
      <c r="AL224" s="11" t="s">
        <v>5044</v>
      </c>
      <c r="AM224" s="11">
        <v>0</v>
      </c>
      <c r="AN224" s="11" t="s">
        <v>5318</v>
      </c>
      <c r="AO224" s="11" t="s">
        <v>5318</v>
      </c>
      <c r="AP224" s="11" t="s">
        <v>5318</v>
      </c>
      <c r="AQ224" s="11" t="s">
        <v>5318</v>
      </c>
    </row>
    <row r="225" spans="1:43" ht="63" customHeight="1" x14ac:dyDescent="0.2">
      <c r="A225" s="10">
        <v>2513</v>
      </c>
      <c r="B225" s="11" t="s">
        <v>7105</v>
      </c>
      <c r="C225" s="11" t="s">
        <v>681</v>
      </c>
      <c r="D225" s="11">
        <v>2015</v>
      </c>
      <c r="E225" s="11" t="s">
        <v>5318</v>
      </c>
      <c r="F225" s="11">
        <v>68</v>
      </c>
      <c r="G225" s="11">
        <v>4</v>
      </c>
      <c r="H225" s="11" t="s">
        <v>6515</v>
      </c>
      <c r="I225" s="11" t="s">
        <v>6516</v>
      </c>
      <c r="J225" s="11" t="s">
        <v>7106</v>
      </c>
      <c r="K225" s="11" t="s">
        <v>682</v>
      </c>
      <c r="L225" s="16" t="s">
        <v>5533</v>
      </c>
      <c r="M225" s="11">
        <v>0</v>
      </c>
      <c r="N225" s="9" t="s">
        <v>5044</v>
      </c>
      <c r="O225" s="9" t="s">
        <v>5044</v>
      </c>
      <c r="P225" s="11">
        <v>0</v>
      </c>
      <c r="Q225" s="11">
        <v>0</v>
      </c>
      <c r="R225" s="11">
        <v>0</v>
      </c>
      <c r="S225" s="11">
        <v>3</v>
      </c>
      <c r="T225" s="11">
        <v>1</v>
      </c>
      <c r="U225" s="11">
        <v>91</v>
      </c>
      <c r="V225" s="11">
        <v>1</v>
      </c>
      <c r="W225" s="11">
        <v>1</v>
      </c>
      <c r="X225" s="11">
        <v>0</v>
      </c>
      <c r="Y225" s="11">
        <v>0</v>
      </c>
      <c r="Z225" s="11">
        <v>0</v>
      </c>
      <c r="AA225" s="11">
        <v>0</v>
      </c>
      <c r="AB225" s="11">
        <v>1</v>
      </c>
      <c r="AC225" s="11">
        <v>1</v>
      </c>
      <c r="AD225" s="11">
        <v>2</v>
      </c>
      <c r="AE225" s="11">
        <v>1</v>
      </c>
      <c r="AF225" s="11">
        <v>1</v>
      </c>
      <c r="AG225" s="11">
        <v>1</v>
      </c>
      <c r="AH225" s="11">
        <v>0</v>
      </c>
      <c r="AI225" s="11">
        <v>0</v>
      </c>
      <c r="AJ225" s="11" t="s">
        <v>5044</v>
      </c>
      <c r="AK225" s="11" t="s">
        <v>5318</v>
      </c>
      <c r="AL225" s="11">
        <v>1</v>
      </c>
      <c r="AM225" s="11">
        <v>0</v>
      </c>
      <c r="AN225" s="11" t="s">
        <v>5318</v>
      </c>
      <c r="AO225" s="11" t="s">
        <v>5318</v>
      </c>
      <c r="AP225" s="11" t="s">
        <v>5318</v>
      </c>
      <c r="AQ225" s="11" t="s">
        <v>5318</v>
      </c>
    </row>
    <row r="226" spans="1:43" ht="63" customHeight="1" x14ac:dyDescent="0.2">
      <c r="A226" s="10">
        <v>2516</v>
      </c>
      <c r="B226" s="11" t="s">
        <v>7107</v>
      </c>
      <c r="C226" s="11" t="s">
        <v>683</v>
      </c>
      <c r="D226" s="11">
        <v>2021</v>
      </c>
      <c r="E226" s="11" t="s">
        <v>5318</v>
      </c>
      <c r="F226" s="11">
        <v>112</v>
      </c>
      <c r="G226" s="11">
        <v>3</v>
      </c>
      <c r="H226" s="11" t="s">
        <v>7108</v>
      </c>
      <c r="I226" s="11" t="s">
        <v>6516</v>
      </c>
      <c r="J226" s="11" t="s">
        <v>7109</v>
      </c>
      <c r="K226" s="11" t="s">
        <v>686</v>
      </c>
      <c r="L226" s="12" t="s">
        <v>5534</v>
      </c>
      <c r="M226" s="11">
        <v>0</v>
      </c>
      <c r="N226" s="9" t="s">
        <v>5044</v>
      </c>
      <c r="O226" s="9" t="s">
        <v>5044</v>
      </c>
      <c r="P226" s="11">
        <v>0</v>
      </c>
      <c r="Q226" s="11">
        <v>0</v>
      </c>
      <c r="R226" s="11">
        <v>0</v>
      </c>
      <c r="S226" s="11">
        <v>7</v>
      </c>
      <c r="T226" s="11">
        <v>4</v>
      </c>
      <c r="U226" s="11">
        <v>76</v>
      </c>
      <c r="V226" s="11">
        <v>0</v>
      </c>
      <c r="W226" s="11">
        <v>1</v>
      </c>
      <c r="X226" s="11">
        <v>0</v>
      </c>
      <c r="Y226" s="11">
        <v>0</v>
      </c>
      <c r="Z226" s="11">
        <v>0</v>
      </c>
      <c r="AA226" s="11">
        <v>0</v>
      </c>
      <c r="AB226" s="11">
        <v>1</v>
      </c>
      <c r="AC226" s="11">
        <v>1</v>
      </c>
      <c r="AD226" s="11" t="s">
        <v>5044</v>
      </c>
      <c r="AE226" s="11" t="s">
        <v>5044</v>
      </c>
      <c r="AF226" s="11" t="s">
        <v>5044</v>
      </c>
      <c r="AG226" s="11">
        <v>2</v>
      </c>
      <c r="AH226" s="11">
        <v>1</v>
      </c>
      <c r="AI226" s="11">
        <v>2</v>
      </c>
      <c r="AJ226" s="11" t="s">
        <v>5044</v>
      </c>
      <c r="AK226" s="11" t="s">
        <v>5318</v>
      </c>
      <c r="AL226" s="11">
        <v>1</v>
      </c>
      <c r="AM226" s="11">
        <v>0</v>
      </c>
      <c r="AN226" s="11" t="s">
        <v>5318</v>
      </c>
      <c r="AO226" s="11" t="s">
        <v>5318</v>
      </c>
      <c r="AP226" s="11" t="s">
        <v>5318</v>
      </c>
      <c r="AQ226" s="11" t="s">
        <v>5318</v>
      </c>
    </row>
    <row r="227" spans="1:43" ht="63" customHeight="1" x14ac:dyDescent="0.2">
      <c r="A227" s="10">
        <v>2522</v>
      </c>
      <c r="B227" s="11" t="s">
        <v>7110</v>
      </c>
      <c r="C227" s="11" t="s">
        <v>687</v>
      </c>
      <c r="D227" s="11">
        <v>2017</v>
      </c>
      <c r="E227" s="11" t="s">
        <v>5318</v>
      </c>
      <c r="F227" s="11">
        <v>124</v>
      </c>
      <c r="G227" s="11">
        <v>2</v>
      </c>
      <c r="H227" s="11" t="s">
        <v>7111</v>
      </c>
      <c r="I227" s="11" t="s">
        <v>6516</v>
      </c>
      <c r="J227" s="11" t="s">
        <v>7112</v>
      </c>
      <c r="K227" s="11" t="s">
        <v>690</v>
      </c>
      <c r="L227" s="12" t="s">
        <v>5535</v>
      </c>
      <c r="M227" s="11">
        <v>0</v>
      </c>
      <c r="N227" s="9" t="s">
        <v>5044</v>
      </c>
      <c r="O227" s="9" t="s">
        <v>5044</v>
      </c>
      <c r="P227" s="11">
        <v>0</v>
      </c>
      <c r="Q227" s="11">
        <v>0</v>
      </c>
      <c r="R227" s="11">
        <v>0</v>
      </c>
      <c r="S227" s="11">
        <v>5</v>
      </c>
      <c r="T227" s="11">
        <v>4</v>
      </c>
      <c r="U227" s="11">
        <v>68</v>
      </c>
      <c r="V227" s="11">
        <v>0</v>
      </c>
      <c r="W227" s="11">
        <v>1</v>
      </c>
      <c r="X227" s="11">
        <v>0</v>
      </c>
      <c r="Y227" s="11">
        <v>0</v>
      </c>
      <c r="Z227" s="11">
        <v>0</v>
      </c>
      <c r="AA227" s="11">
        <v>0</v>
      </c>
      <c r="AB227" s="11">
        <v>1</v>
      </c>
      <c r="AC227" s="11">
        <v>0</v>
      </c>
      <c r="AD227" s="11" t="s">
        <v>5044</v>
      </c>
      <c r="AE227" s="11" t="s">
        <v>5044</v>
      </c>
      <c r="AF227" s="11" t="s">
        <v>5044</v>
      </c>
      <c r="AG227" s="11">
        <v>0</v>
      </c>
      <c r="AH227" s="11" t="s">
        <v>5044</v>
      </c>
      <c r="AI227" s="11" t="s">
        <v>5044</v>
      </c>
      <c r="AJ227" s="11" t="s">
        <v>5044</v>
      </c>
      <c r="AK227" s="11" t="s">
        <v>5318</v>
      </c>
      <c r="AL227" s="11">
        <v>1</v>
      </c>
      <c r="AM227" s="11">
        <v>0</v>
      </c>
      <c r="AN227" s="11" t="s">
        <v>5318</v>
      </c>
      <c r="AO227" s="11" t="s">
        <v>5318</v>
      </c>
      <c r="AP227" s="11" t="s">
        <v>5318</v>
      </c>
      <c r="AQ227" s="11" t="s">
        <v>5318</v>
      </c>
    </row>
    <row r="228" spans="1:43" ht="63" customHeight="1" x14ac:dyDescent="0.2">
      <c r="A228" s="10">
        <v>2524</v>
      </c>
      <c r="B228" s="11" t="s">
        <v>7113</v>
      </c>
      <c r="C228" s="11" t="s">
        <v>691</v>
      </c>
      <c r="D228" s="11">
        <v>2022</v>
      </c>
      <c r="E228" s="11" t="s">
        <v>5318</v>
      </c>
      <c r="F228" s="11">
        <v>17</v>
      </c>
      <c r="G228" s="11">
        <v>1</v>
      </c>
      <c r="H228" s="11" t="s">
        <v>7114</v>
      </c>
      <c r="I228" s="11" t="s">
        <v>6516</v>
      </c>
      <c r="J228" s="11" t="s">
        <v>7115</v>
      </c>
      <c r="K228" s="11" t="s">
        <v>693</v>
      </c>
      <c r="L228" s="12" t="s">
        <v>5536</v>
      </c>
      <c r="M228" s="11">
        <v>0</v>
      </c>
      <c r="N228" s="9" t="s">
        <v>5044</v>
      </c>
      <c r="O228" s="9" t="s">
        <v>5044</v>
      </c>
      <c r="P228" s="11">
        <v>0</v>
      </c>
      <c r="Q228" s="11">
        <v>0</v>
      </c>
      <c r="R228" s="11">
        <v>0</v>
      </c>
      <c r="S228" s="11">
        <v>5</v>
      </c>
      <c r="T228" s="11">
        <v>4</v>
      </c>
      <c r="U228" s="11">
        <v>68</v>
      </c>
      <c r="V228" s="11">
        <v>0</v>
      </c>
      <c r="W228" s="11">
        <v>1</v>
      </c>
      <c r="X228" s="11">
        <v>0</v>
      </c>
      <c r="Y228" s="11">
        <v>0</v>
      </c>
      <c r="Z228" s="11">
        <v>0</v>
      </c>
      <c r="AA228" s="11">
        <v>0</v>
      </c>
      <c r="AB228" s="11">
        <v>1</v>
      </c>
      <c r="AC228" s="11">
        <v>0</v>
      </c>
      <c r="AD228" s="11" t="s">
        <v>5044</v>
      </c>
      <c r="AE228" s="11" t="s">
        <v>5044</v>
      </c>
      <c r="AF228" s="11" t="s">
        <v>5044</v>
      </c>
      <c r="AG228" s="11">
        <v>0</v>
      </c>
      <c r="AH228" s="11" t="s">
        <v>5044</v>
      </c>
      <c r="AI228" s="11" t="s">
        <v>5044</v>
      </c>
      <c r="AJ228" s="11" t="s">
        <v>5044</v>
      </c>
      <c r="AK228" s="11" t="s">
        <v>5318</v>
      </c>
      <c r="AL228" s="11">
        <v>0</v>
      </c>
      <c r="AM228" s="11">
        <v>0</v>
      </c>
      <c r="AN228" s="11" t="s">
        <v>5318</v>
      </c>
      <c r="AO228" s="11" t="s">
        <v>5318</v>
      </c>
      <c r="AP228" s="11" t="s">
        <v>5318</v>
      </c>
      <c r="AQ228" s="11" t="s">
        <v>5318</v>
      </c>
    </row>
    <row r="229" spans="1:43" ht="63" customHeight="1" x14ac:dyDescent="0.2">
      <c r="A229" s="10">
        <v>2526</v>
      </c>
      <c r="B229" s="11" t="s">
        <v>7116</v>
      </c>
      <c r="C229" s="11" t="s">
        <v>694</v>
      </c>
      <c r="D229" s="11">
        <v>2022</v>
      </c>
      <c r="E229" s="11" t="s">
        <v>5318</v>
      </c>
      <c r="F229" s="11">
        <v>22</v>
      </c>
      <c r="G229" s="11">
        <v>1</v>
      </c>
      <c r="H229" s="11" t="s">
        <v>6595</v>
      </c>
      <c r="I229" s="11" t="s">
        <v>6516</v>
      </c>
      <c r="J229" s="11" t="s">
        <v>7117</v>
      </c>
      <c r="K229" s="11" t="s">
        <v>695</v>
      </c>
      <c r="L229" s="16" t="s">
        <v>5537</v>
      </c>
      <c r="M229" s="11">
        <v>1</v>
      </c>
      <c r="N229" s="11">
        <v>0</v>
      </c>
      <c r="O229" s="9" t="s">
        <v>5044</v>
      </c>
      <c r="P229" s="11">
        <v>0</v>
      </c>
      <c r="Q229" s="11">
        <v>0</v>
      </c>
      <c r="R229" s="11">
        <v>0</v>
      </c>
      <c r="S229" s="11">
        <v>1</v>
      </c>
      <c r="T229" s="11">
        <v>4</v>
      </c>
      <c r="U229" s="11">
        <v>356</v>
      </c>
      <c r="V229" s="11">
        <v>0</v>
      </c>
      <c r="W229" s="11">
        <v>1</v>
      </c>
      <c r="X229" s="11">
        <v>0</v>
      </c>
      <c r="Y229" s="11">
        <v>0</v>
      </c>
      <c r="Z229" s="11">
        <v>0</v>
      </c>
      <c r="AA229" s="11">
        <v>0</v>
      </c>
      <c r="AB229" s="11">
        <v>1</v>
      </c>
      <c r="AC229" s="11" t="s">
        <v>5044</v>
      </c>
      <c r="AD229" s="11" t="s">
        <v>5044</v>
      </c>
      <c r="AE229" s="11" t="s">
        <v>5044</v>
      </c>
      <c r="AF229" s="11" t="s">
        <v>5044</v>
      </c>
      <c r="AG229" s="11" t="s">
        <v>5044</v>
      </c>
      <c r="AH229" s="11" t="s">
        <v>5044</v>
      </c>
      <c r="AI229" s="11" t="s">
        <v>5044</v>
      </c>
      <c r="AJ229" s="11" t="s">
        <v>5044</v>
      </c>
      <c r="AK229" s="11" t="s">
        <v>5318</v>
      </c>
      <c r="AL229" s="11" t="s">
        <v>5044</v>
      </c>
      <c r="AM229" s="11">
        <v>0</v>
      </c>
      <c r="AN229" s="11" t="s">
        <v>5318</v>
      </c>
      <c r="AO229" s="11" t="s">
        <v>5318</v>
      </c>
      <c r="AP229" s="11" t="s">
        <v>5318</v>
      </c>
      <c r="AQ229" s="11" t="s">
        <v>5318</v>
      </c>
    </row>
    <row r="230" spans="1:43" ht="63" customHeight="1" x14ac:dyDescent="0.2">
      <c r="A230" s="10">
        <v>2533</v>
      </c>
      <c r="B230" s="11" t="s">
        <v>7118</v>
      </c>
      <c r="C230" s="11" t="s">
        <v>696</v>
      </c>
      <c r="D230" s="11">
        <v>2013</v>
      </c>
      <c r="E230" s="11" t="s">
        <v>5318</v>
      </c>
      <c r="F230" s="11">
        <v>471</v>
      </c>
      <c r="G230" s="11">
        <v>1</v>
      </c>
      <c r="H230" s="11" t="s">
        <v>7119</v>
      </c>
      <c r="I230" s="11" t="s">
        <v>6878</v>
      </c>
      <c r="J230" s="11" t="s">
        <v>7120</v>
      </c>
      <c r="K230" s="11" t="s">
        <v>699</v>
      </c>
      <c r="L230" s="11" t="s">
        <v>5044</v>
      </c>
      <c r="M230" s="11">
        <v>0</v>
      </c>
      <c r="N230" s="9" t="s">
        <v>5044</v>
      </c>
      <c r="O230" s="9" t="s">
        <v>5044</v>
      </c>
      <c r="P230" s="11">
        <v>0</v>
      </c>
      <c r="Q230" s="11">
        <v>0</v>
      </c>
      <c r="R230" s="11">
        <v>0</v>
      </c>
      <c r="S230" s="11">
        <v>4</v>
      </c>
      <c r="T230" s="11">
        <v>4</v>
      </c>
      <c r="U230" s="11">
        <v>100</v>
      </c>
      <c r="V230" s="11">
        <v>0</v>
      </c>
      <c r="W230" s="11">
        <v>1</v>
      </c>
      <c r="X230" s="11">
        <v>0</v>
      </c>
      <c r="Y230" s="11">
        <v>0</v>
      </c>
      <c r="Z230" s="11">
        <v>0</v>
      </c>
      <c r="AA230" s="11">
        <v>0</v>
      </c>
      <c r="AB230" s="11">
        <v>1</v>
      </c>
      <c r="AC230" s="11">
        <v>0</v>
      </c>
      <c r="AD230" s="11" t="s">
        <v>5044</v>
      </c>
      <c r="AE230" s="11" t="s">
        <v>5044</v>
      </c>
      <c r="AF230" s="11" t="s">
        <v>5044</v>
      </c>
      <c r="AG230" s="11">
        <v>0</v>
      </c>
      <c r="AH230" s="11" t="s">
        <v>5044</v>
      </c>
      <c r="AI230" s="11" t="s">
        <v>5044</v>
      </c>
      <c r="AJ230" s="11" t="s">
        <v>5044</v>
      </c>
      <c r="AK230" s="11" t="s">
        <v>5318</v>
      </c>
      <c r="AL230" s="11">
        <v>0</v>
      </c>
      <c r="AM230" s="11">
        <v>0</v>
      </c>
      <c r="AN230" s="11" t="s">
        <v>5318</v>
      </c>
      <c r="AO230" s="11" t="s">
        <v>5318</v>
      </c>
      <c r="AP230" s="11" t="s">
        <v>5318</v>
      </c>
      <c r="AQ230" s="11" t="s">
        <v>5318</v>
      </c>
    </row>
    <row r="231" spans="1:43" ht="63" customHeight="1" x14ac:dyDescent="0.2">
      <c r="A231" s="10">
        <v>2540</v>
      </c>
      <c r="B231" s="11" t="s">
        <v>7121</v>
      </c>
      <c r="C231" s="11" t="s">
        <v>700</v>
      </c>
      <c r="D231" s="11">
        <v>2019</v>
      </c>
      <c r="E231" s="11" t="s">
        <v>305</v>
      </c>
      <c r="F231" s="11">
        <v>4</v>
      </c>
      <c r="G231" s="11">
        <v>1</v>
      </c>
      <c r="H231" s="11" t="s">
        <v>7122</v>
      </c>
      <c r="I231" s="11" t="s">
        <v>6516</v>
      </c>
      <c r="J231" s="11" t="s">
        <v>7123</v>
      </c>
      <c r="K231" s="11" t="s">
        <v>701</v>
      </c>
      <c r="L231" s="12" t="s">
        <v>5538</v>
      </c>
      <c r="M231" s="11">
        <v>1</v>
      </c>
      <c r="N231" s="11">
        <v>0</v>
      </c>
      <c r="O231" s="9" t="s">
        <v>5044</v>
      </c>
      <c r="P231" s="11">
        <v>0</v>
      </c>
      <c r="Q231" s="11">
        <v>0</v>
      </c>
      <c r="R231" s="11">
        <v>0</v>
      </c>
      <c r="S231" s="11">
        <v>5</v>
      </c>
      <c r="T231" s="11">
        <v>4</v>
      </c>
      <c r="U231" s="11">
        <v>100</v>
      </c>
      <c r="V231" s="11">
        <v>0</v>
      </c>
      <c r="W231" s="11">
        <v>1</v>
      </c>
      <c r="X231" s="11">
        <v>0</v>
      </c>
      <c r="Y231" s="11">
        <v>0</v>
      </c>
      <c r="Z231" s="11">
        <v>0</v>
      </c>
      <c r="AA231" s="11">
        <v>0</v>
      </c>
      <c r="AB231" s="11">
        <v>1</v>
      </c>
      <c r="AC231" s="11" t="s">
        <v>5044</v>
      </c>
      <c r="AD231" s="11" t="s">
        <v>5044</v>
      </c>
      <c r="AE231" s="11" t="s">
        <v>5044</v>
      </c>
      <c r="AF231" s="11" t="s">
        <v>5044</v>
      </c>
      <c r="AG231" s="11" t="s">
        <v>5044</v>
      </c>
      <c r="AH231" s="11" t="s">
        <v>5044</v>
      </c>
      <c r="AI231" s="11" t="s">
        <v>5044</v>
      </c>
      <c r="AJ231" s="11" t="s">
        <v>5044</v>
      </c>
      <c r="AK231" s="11" t="s">
        <v>5318</v>
      </c>
      <c r="AL231" s="11" t="s">
        <v>5044</v>
      </c>
      <c r="AM231" s="11">
        <v>0</v>
      </c>
      <c r="AN231" s="11" t="s">
        <v>5318</v>
      </c>
      <c r="AO231" s="11" t="s">
        <v>5318</v>
      </c>
      <c r="AP231" s="11" t="s">
        <v>5318</v>
      </c>
      <c r="AQ231" s="11" t="s">
        <v>5318</v>
      </c>
    </row>
    <row r="232" spans="1:43" ht="63" customHeight="1" x14ac:dyDescent="0.2">
      <c r="A232" s="10">
        <v>2545</v>
      </c>
      <c r="B232" s="11" t="s">
        <v>7124</v>
      </c>
      <c r="C232" s="11" t="s">
        <v>702</v>
      </c>
      <c r="D232" s="11">
        <v>2021</v>
      </c>
      <c r="E232" s="11" t="s">
        <v>5318</v>
      </c>
      <c r="F232" s="11">
        <v>35</v>
      </c>
      <c r="G232" s="11">
        <v>6</v>
      </c>
      <c r="H232" s="11" t="s">
        <v>6692</v>
      </c>
      <c r="I232" s="11" t="s">
        <v>6516</v>
      </c>
      <c r="J232" s="11" t="s">
        <v>7125</v>
      </c>
      <c r="K232" s="11" t="s">
        <v>704</v>
      </c>
      <c r="L232" s="11" t="s">
        <v>5044</v>
      </c>
      <c r="M232" s="11">
        <v>0</v>
      </c>
      <c r="N232" s="9" t="s">
        <v>5044</v>
      </c>
      <c r="O232" s="9" t="s">
        <v>5044</v>
      </c>
      <c r="P232" s="11">
        <v>0</v>
      </c>
      <c r="Q232" s="11">
        <v>0</v>
      </c>
      <c r="R232" s="11">
        <v>0</v>
      </c>
      <c r="S232" s="11">
        <v>3</v>
      </c>
      <c r="T232" s="11">
        <v>4</v>
      </c>
      <c r="U232" s="11">
        <v>150</v>
      </c>
      <c r="V232" s="11">
        <v>0</v>
      </c>
      <c r="W232" s="11">
        <v>1</v>
      </c>
      <c r="X232" s="11">
        <v>0</v>
      </c>
      <c r="Y232" s="11">
        <v>0</v>
      </c>
      <c r="Z232" s="11">
        <v>0</v>
      </c>
      <c r="AA232" s="11">
        <v>0</v>
      </c>
      <c r="AB232" s="11">
        <v>1</v>
      </c>
      <c r="AC232" s="11">
        <v>1</v>
      </c>
      <c r="AD232" s="11" t="s">
        <v>5044</v>
      </c>
      <c r="AE232" s="11" t="s">
        <v>5044</v>
      </c>
      <c r="AF232" s="11" t="s">
        <v>5044</v>
      </c>
      <c r="AG232" s="11">
        <v>2</v>
      </c>
      <c r="AH232" s="11">
        <v>3</v>
      </c>
      <c r="AI232" s="11">
        <v>0</v>
      </c>
      <c r="AJ232" s="11" t="s">
        <v>5044</v>
      </c>
      <c r="AK232" s="11" t="s">
        <v>5318</v>
      </c>
      <c r="AL232" s="11" t="s">
        <v>5044</v>
      </c>
      <c r="AM232" s="11">
        <v>0</v>
      </c>
      <c r="AN232" s="11" t="s">
        <v>5105</v>
      </c>
      <c r="AO232" s="11" t="s">
        <v>5318</v>
      </c>
      <c r="AP232" s="11" t="s">
        <v>5318</v>
      </c>
      <c r="AQ232" s="11" t="s">
        <v>5318</v>
      </c>
    </row>
    <row r="233" spans="1:43" ht="63" customHeight="1" x14ac:dyDescent="0.2">
      <c r="A233" s="10">
        <v>2557</v>
      </c>
      <c r="B233" s="11" t="s">
        <v>7126</v>
      </c>
      <c r="C233" s="11" t="s">
        <v>705</v>
      </c>
      <c r="D233" s="11">
        <v>2012</v>
      </c>
      <c r="E233" s="11" t="s">
        <v>5318</v>
      </c>
      <c r="F233" s="11">
        <v>206</v>
      </c>
      <c r="G233" s="11">
        <v>1</v>
      </c>
      <c r="H233" s="11" t="s">
        <v>6923</v>
      </c>
      <c r="I233" s="11" t="s">
        <v>6516</v>
      </c>
      <c r="J233" s="11" t="s">
        <v>7127</v>
      </c>
      <c r="K233" s="11" t="s">
        <v>706</v>
      </c>
      <c r="L233" s="11" t="s">
        <v>5044</v>
      </c>
      <c r="M233" s="11">
        <v>0</v>
      </c>
      <c r="N233" s="9" t="s">
        <v>5044</v>
      </c>
      <c r="O233" s="9" t="s">
        <v>5044</v>
      </c>
      <c r="P233" s="11">
        <v>0</v>
      </c>
      <c r="Q233" s="11">
        <v>0</v>
      </c>
      <c r="R233" s="11">
        <v>0</v>
      </c>
      <c r="S233" s="11">
        <v>5</v>
      </c>
      <c r="T233" s="11">
        <v>2</v>
      </c>
      <c r="U233" s="11">
        <v>65</v>
      </c>
      <c r="V233" s="11">
        <v>0</v>
      </c>
      <c r="W233" s="11">
        <v>1</v>
      </c>
      <c r="X233" s="11">
        <v>0</v>
      </c>
      <c r="Y233" s="11">
        <v>0</v>
      </c>
      <c r="Z233" s="11">
        <v>0</v>
      </c>
      <c r="AA233" s="11">
        <v>0</v>
      </c>
      <c r="AB233" s="11">
        <v>1</v>
      </c>
      <c r="AC233" s="11">
        <v>0</v>
      </c>
      <c r="AD233" s="11" t="s">
        <v>5044</v>
      </c>
      <c r="AE233" s="11" t="s">
        <v>5044</v>
      </c>
      <c r="AF233" s="11" t="s">
        <v>5044</v>
      </c>
      <c r="AG233" s="11">
        <v>0</v>
      </c>
      <c r="AH233" s="11" t="s">
        <v>5044</v>
      </c>
      <c r="AI233" s="11" t="s">
        <v>5044</v>
      </c>
      <c r="AJ233" s="11" t="s">
        <v>5044</v>
      </c>
      <c r="AK233" s="11" t="s">
        <v>5318</v>
      </c>
      <c r="AL233" s="11">
        <v>0</v>
      </c>
      <c r="AM233" s="11">
        <v>0</v>
      </c>
      <c r="AN233" s="11" t="s">
        <v>5318</v>
      </c>
      <c r="AO233" s="11" t="s">
        <v>5318</v>
      </c>
      <c r="AP233" s="11" t="s">
        <v>5318</v>
      </c>
      <c r="AQ233" s="11" t="s">
        <v>5318</v>
      </c>
    </row>
    <row r="234" spans="1:43" ht="63" customHeight="1" x14ac:dyDescent="0.2">
      <c r="A234" s="10">
        <v>2563</v>
      </c>
      <c r="B234" s="11" t="s">
        <v>7128</v>
      </c>
      <c r="C234" s="11" t="s">
        <v>707</v>
      </c>
      <c r="D234" s="11">
        <v>2022</v>
      </c>
      <c r="E234" s="11" t="s">
        <v>5318</v>
      </c>
      <c r="F234" s="11">
        <v>8</v>
      </c>
      <c r="G234" s="11">
        <v>5</v>
      </c>
      <c r="H234" s="11" t="s">
        <v>7129</v>
      </c>
      <c r="I234" s="11" t="s">
        <v>7130</v>
      </c>
      <c r="J234" s="11" t="s">
        <v>7131</v>
      </c>
      <c r="K234" s="11" t="s">
        <v>709</v>
      </c>
      <c r="L234" s="12" t="s">
        <v>5539</v>
      </c>
      <c r="M234" s="11">
        <v>1</v>
      </c>
      <c r="N234" s="11">
        <v>0</v>
      </c>
      <c r="O234" s="9" t="s">
        <v>5044</v>
      </c>
      <c r="P234" s="11">
        <v>0</v>
      </c>
      <c r="Q234" s="11">
        <v>0</v>
      </c>
      <c r="R234" s="11">
        <v>0</v>
      </c>
      <c r="S234" s="11">
        <v>3</v>
      </c>
      <c r="T234" s="11">
        <v>1</v>
      </c>
      <c r="U234" s="11">
        <v>742</v>
      </c>
      <c r="V234" s="11">
        <v>0</v>
      </c>
      <c r="W234" s="11">
        <v>1</v>
      </c>
      <c r="X234" s="11">
        <v>0</v>
      </c>
      <c r="Y234" s="11">
        <v>0</v>
      </c>
      <c r="Z234" s="11">
        <v>0</v>
      </c>
      <c r="AA234" s="11">
        <v>0</v>
      </c>
      <c r="AB234" s="11">
        <v>1</v>
      </c>
      <c r="AC234" s="11" t="s">
        <v>5044</v>
      </c>
      <c r="AD234" s="11" t="s">
        <v>5044</v>
      </c>
      <c r="AE234" s="11" t="s">
        <v>5044</v>
      </c>
      <c r="AF234" s="11" t="s">
        <v>5044</v>
      </c>
      <c r="AG234" s="11" t="s">
        <v>5044</v>
      </c>
      <c r="AH234" s="11" t="s">
        <v>5044</v>
      </c>
      <c r="AI234" s="11" t="s">
        <v>5044</v>
      </c>
      <c r="AJ234" s="11" t="s">
        <v>5044</v>
      </c>
      <c r="AK234" s="11" t="s">
        <v>5318</v>
      </c>
      <c r="AL234" s="11" t="s">
        <v>5044</v>
      </c>
      <c r="AM234" s="11">
        <v>0</v>
      </c>
      <c r="AN234" s="11" t="s">
        <v>5318</v>
      </c>
      <c r="AO234" s="11" t="s">
        <v>5318</v>
      </c>
      <c r="AP234" s="11" t="s">
        <v>5318</v>
      </c>
      <c r="AQ234" s="11" t="s">
        <v>5318</v>
      </c>
    </row>
    <row r="235" spans="1:43" ht="63" customHeight="1" x14ac:dyDescent="0.2">
      <c r="A235" s="10">
        <v>2574</v>
      </c>
      <c r="B235" s="11" t="s">
        <v>7132</v>
      </c>
      <c r="C235" s="11" t="s">
        <v>710</v>
      </c>
      <c r="D235" s="11">
        <v>2020</v>
      </c>
      <c r="E235" s="11" t="s">
        <v>5318</v>
      </c>
      <c r="F235" s="11">
        <v>24</v>
      </c>
      <c r="G235" s="11">
        <v>12</v>
      </c>
      <c r="H235" s="11" t="s">
        <v>6708</v>
      </c>
      <c r="I235" s="11" t="s">
        <v>6516</v>
      </c>
      <c r="J235" s="11" t="s">
        <v>7133</v>
      </c>
      <c r="K235" s="11" t="s">
        <v>711</v>
      </c>
      <c r="L235" s="12" t="s">
        <v>5540</v>
      </c>
      <c r="M235" s="11">
        <v>0</v>
      </c>
      <c r="N235" s="9" t="s">
        <v>5044</v>
      </c>
      <c r="O235" s="9" t="s">
        <v>5044</v>
      </c>
      <c r="P235" s="11">
        <v>1</v>
      </c>
      <c r="Q235" s="11">
        <v>0</v>
      </c>
      <c r="R235" s="11">
        <v>0</v>
      </c>
      <c r="S235" s="21" t="s">
        <v>6057</v>
      </c>
      <c r="T235" s="11">
        <v>1</v>
      </c>
      <c r="U235" s="11" t="s">
        <v>7665</v>
      </c>
      <c r="V235" s="11">
        <v>0</v>
      </c>
      <c r="W235" s="11">
        <v>1</v>
      </c>
      <c r="X235" s="11">
        <v>0</v>
      </c>
      <c r="Y235" s="11">
        <v>0</v>
      </c>
      <c r="Z235" s="11">
        <v>0</v>
      </c>
      <c r="AA235" s="11">
        <v>0</v>
      </c>
      <c r="AB235" s="11">
        <v>1</v>
      </c>
      <c r="AC235" s="11">
        <v>1</v>
      </c>
      <c r="AD235" s="11" t="s">
        <v>5044</v>
      </c>
      <c r="AE235" s="11" t="s">
        <v>5044</v>
      </c>
      <c r="AF235" s="11" t="s">
        <v>5044</v>
      </c>
      <c r="AG235" s="11">
        <v>1</v>
      </c>
      <c r="AH235" s="11">
        <v>0</v>
      </c>
      <c r="AI235" s="11">
        <v>0</v>
      </c>
      <c r="AJ235" s="11" t="s">
        <v>5044</v>
      </c>
      <c r="AK235" s="11" t="s">
        <v>5318</v>
      </c>
      <c r="AL235" s="11" t="s">
        <v>5044</v>
      </c>
      <c r="AM235" s="11">
        <v>0</v>
      </c>
      <c r="AN235" s="11" t="s">
        <v>2539</v>
      </c>
      <c r="AO235" s="11" t="s">
        <v>5318</v>
      </c>
      <c r="AP235" s="11" t="s">
        <v>5318</v>
      </c>
      <c r="AQ235" s="11" t="s">
        <v>5318</v>
      </c>
    </row>
    <row r="236" spans="1:43" ht="63" customHeight="1" x14ac:dyDescent="0.2">
      <c r="A236" s="10">
        <v>2578</v>
      </c>
      <c r="B236" s="11" t="s">
        <v>7134</v>
      </c>
      <c r="C236" s="11" t="s">
        <v>712</v>
      </c>
      <c r="D236" s="11">
        <v>2020</v>
      </c>
      <c r="E236" s="11" t="s">
        <v>5318</v>
      </c>
      <c r="F236" s="11">
        <v>9</v>
      </c>
      <c r="G236" s="11" t="s">
        <v>5318</v>
      </c>
      <c r="H236" s="11" t="s">
        <v>6604</v>
      </c>
      <c r="I236" s="11" t="s">
        <v>6516</v>
      </c>
      <c r="J236" s="11" t="s">
        <v>7135</v>
      </c>
      <c r="K236" s="11" t="s">
        <v>713</v>
      </c>
      <c r="L236" s="16" t="s">
        <v>5541</v>
      </c>
      <c r="M236" s="11">
        <v>1</v>
      </c>
      <c r="N236" s="11">
        <v>0</v>
      </c>
      <c r="O236" s="9" t="s">
        <v>5044</v>
      </c>
      <c r="P236" s="11">
        <v>0</v>
      </c>
      <c r="Q236" s="11">
        <v>0</v>
      </c>
      <c r="R236" s="11">
        <v>0</v>
      </c>
      <c r="S236" s="11" t="s">
        <v>5708</v>
      </c>
      <c r="T236" s="11">
        <v>1</v>
      </c>
      <c r="U236" s="11">
        <v>240</v>
      </c>
      <c r="V236" s="11">
        <v>0</v>
      </c>
      <c r="W236" s="11">
        <v>1</v>
      </c>
      <c r="X236" s="11">
        <v>0</v>
      </c>
      <c r="Y236" s="11">
        <v>0</v>
      </c>
      <c r="Z236" s="11">
        <v>0</v>
      </c>
      <c r="AA236" s="11">
        <v>0</v>
      </c>
      <c r="AB236" s="11">
        <v>1</v>
      </c>
      <c r="AC236" s="11" t="s">
        <v>5044</v>
      </c>
      <c r="AD236" s="11" t="s">
        <v>5044</v>
      </c>
      <c r="AE236" s="11" t="s">
        <v>5044</v>
      </c>
      <c r="AF236" s="11" t="s">
        <v>5044</v>
      </c>
      <c r="AG236" s="11" t="s">
        <v>5044</v>
      </c>
      <c r="AH236" s="11" t="s">
        <v>5044</v>
      </c>
      <c r="AI236" s="11" t="s">
        <v>5044</v>
      </c>
      <c r="AJ236" s="11" t="s">
        <v>5044</v>
      </c>
      <c r="AK236" s="11" t="s">
        <v>5318</v>
      </c>
      <c r="AL236" s="11" t="s">
        <v>5044</v>
      </c>
      <c r="AM236" s="11">
        <v>0</v>
      </c>
      <c r="AN236" s="11" t="s">
        <v>5318</v>
      </c>
      <c r="AO236" s="11" t="s">
        <v>5318</v>
      </c>
      <c r="AP236" s="11" t="s">
        <v>5318</v>
      </c>
      <c r="AQ236" s="11" t="s">
        <v>5318</v>
      </c>
    </row>
    <row r="237" spans="1:43" ht="63" customHeight="1" x14ac:dyDescent="0.2">
      <c r="A237" s="10">
        <v>2580</v>
      </c>
      <c r="B237" s="11" t="s">
        <v>7136</v>
      </c>
      <c r="C237" s="11" t="s">
        <v>714</v>
      </c>
      <c r="D237" s="11">
        <v>2020</v>
      </c>
      <c r="E237" s="11" t="s">
        <v>5318</v>
      </c>
      <c r="F237" s="11">
        <v>21</v>
      </c>
      <c r="G237" s="11">
        <v>1</v>
      </c>
      <c r="H237" s="11" t="s">
        <v>6538</v>
      </c>
      <c r="I237" s="11" t="s">
        <v>6516</v>
      </c>
      <c r="J237" s="11" t="s">
        <v>7137</v>
      </c>
      <c r="K237" s="11" t="s">
        <v>715</v>
      </c>
      <c r="L237" s="12" t="s">
        <v>5542</v>
      </c>
      <c r="M237" s="11">
        <v>1</v>
      </c>
      <c r="N237" s="11">
        <v>0</v>
      </c>
      <c r="O237" s="9" t="s">
        <v>5044</v>
      </c>
      <c r="P237" s="11">
        <v>0</v>
      </c>
      <c r="Q237" s="11">
        <v>0</v>
      </c>
      <c r="R237" s="11">
        <v>0</v>
      </c>
      <c r="S237" s="11">
        <v>1</v>
      </c>
      <c r="T237" s="11">
        <v>1</v>
      </c>
      <c r="U237" s="11">
        <v>1186</v>
      </c>
      <c r="V237" s="11">
        <v>0</v>
      </c>
      <c r="W237" s="11">
        <v>1</v>
      </c>
      <c r="X237" s="11">
        <v>0</v>
      </c>
      <c r="Y237" s="11">
        <v>0</v>
      </c>
      <c r="Z237" s="11">
        <v>1</v>
      </c>
      <c r="AA237" s="11">
        <v>0</v>
      </c>
      <c r="AB237" s="11">
        <v>1</v>
      </c>
      <c r="AC237" s="11" t="s">
        <v>5044</v>
      </c>
      <c r="AD237" s="11" t="s">
        <v>5044</v>
      </c>
      <c r="AE237" s="11" t="s">
        <v>5044</v>
      </c>
      <c r="AF237" s="11" t="s">
        <v>5044</v>
      </c>
      <c r="AG237" s="11" t="s">
        <v>5044</v>
      </c>
      <c r="AH237" s="11" t="s">
        <v>5044</v>
      </c>
      <c r="AI237" s="11" t="s">
        <v>5044</v>
      </c>
      <c r="AJ237" s="11" t="s">
        <v>5044</v>
      </c>
      <c r="AK237" s="11" t="s">
        <v>5318</v>
      </c>
      <c r="AL237" s="11" t="s">
        <v>5044</v>
      </c>
      <c r="AM237" s="11">
        <v>0</v>
      </c>
      <c r="AN237" s="11" t="s">
        <v>5318</v>
      </c>
      <c r="AO237" s="11" t="s">
        <v>5318</v>
      </c>
      <c r="AP237" s="11" t="s">
        <v>5318</v>
      </c>
      <c r="AQ237" s="11" t="s">
        <v>5318</v>
      </c>
    </row>
    <row r="238" spans="1:43" ht="63" customHeight="1" x14ac:dyDescent="0.2">
      <c r="A238" s="10">
        <v>2581</v>
      </c>
      <c r="B238" s="11" t="s">
        <v>7138</v>
      </c>
      <c r="C238" s="11" t="s">
        <v>716</v>
      </c>
      <c r="D238" s="11">
        <v>2018</v>
      </c>
      <c r="E238" s="11" t="s">
        <v>5318</v>
      </c>
      <c r="F238" s="11">
        <v>8</v>
      </c>
      <c r="G238" s="11">
        <v>1</v>
      </c>
      <c r="H238" s="11" t="s">
        <v>6519</v>
      </c>
      <c r="I238" s="11" t="s">
        <v>6516</v>
      </c>
      <c r="J238" s="11" t="s">
        <v>7139</v>
      </c>
      <c r="K238" s="11" t="s">
        <v>717</v>
      </c>
      <c r="L238" s="16" t="s">
        <v>5543</v>
      </c>
      <c r="M238" s="11">
        <v>1</v>
      </c>
      <c r="N238" s="11">
        <v>0</v>
      </c>
      <c r="O238" s="9" t="s">
        <v>5044</v>
      </c>
      <c r="P238" s="11">
        <v>0</v>
      </c>
      <c r="Q238" s="11">
        <v>0</v>
      </c>
      <c r="R238" s="11">
        <v>0</v>
      </c>
      <c r="S238" s="11">
        <v>4</v>
      </c>
      <c r="T238" s="11">
        <v>1</v>
      </c>
      <c r="U238" s="11">
        <v>46</v>
      </c>
      <c r="V238" s="11">
        <v>0</v>
      </c>
      <c r="W238" s="11">
        <v>1</v>
      </c>
      <c r="X238" s="11">
        <v>0</v>
      </c>
      <c r="Y238" s="11">
        <v>0</v>
      </c>
      <c r="Z238" s="11">
        <v>0</v>
      </c>
      <c r="AA238" s="11">
        <v>0</v>
      </c>
      <c r="AB238" s="11">
        <v>1</v>
      </c>
      <c r="AC238" s="11" t="s">
        <v>5044</v>
      </c>
      <c r="AD238" s="11" t="s">
        <v>5044</v>
      </c>
      <c r="AE238" s="11" t="s">
        <v>5044</v>
      </c>
      <c r="AF238" s="11" t="s">
        <v>5044</v>
      </c>
      <c r="AG238" s="11" t="s">
        <v>5044</v>
      </c>
      <c r="AH238" s="11" t="s">
        <v>5044</v>
      </c>
      <c r="AI238" s="11" t="s">
        <v>5044</v>
      </c>
      <c r="AJ238" s="11" t="s">
        <v>5044</v>
      </c>
      <c r="AK238" s="11" t="s">
        <v>5318</v>
      </c>
      <c r="AL238" s="11" t="s">
        <v>5044</v>
      </c>
      <c r="AM238" s="11">
        <v>0</v>
      </c>
      <c r="AN238" s="11" t="s">
        <v>5318</v>
      </c>
      <c r="AO238" s="11" t="s">
        <v>5318</v>
      </c>
      <c r="AP238" s="11" t="s">
        <v>5318</v>
      </c>
      <c r="AQ238" s="11" t="s">
        <v>5318</v>
      </c>
    </row>
    <row r="239" spans="1:43" ht="63" customHeight="1" x14ac:dyDescent="0.2">
      <c r="A239" s="10">
        <v>2582</v>
      </c>
      <c r="B239" s="11" t="s">
        <v>7140</v>
      </c>
      <c r="C239" s="11" t="s">
        <v>718</v>
      </c>
      <c r="D239" s="11">
        <v>2022</v>
      </c>
      <c r="E239" s="11" t="s">
        <v>5318</v>
      </c>
      <c r="F239" s="11">
        <v>275</v>
      </c>
      <c r="G239" s="11">
        <v>5</v>
      </c>
      <c r="H239" s="11" t="s">
        <v>6533</v>
      </c>
      <c r="I239" s="11" t="s">
        <v>6516</v>
      </c>
      <c r="J239" s="11" t="s">
        <v>7141</v>
      </c>
      <c r="K239" s="11" t="s">
        <v>719</v>
      </c>
      <c r="L239" s="12" t="s">
        <v>5544</v>
      </c>
      <c r="M239" s="11">
        <v>0</v>
      </c>
      <c r="N239" s="9" t="s">
        <v>5044</v>
      </c>
      <c r="O239" s="9" t="s">
        <v>5044</v>
      </c>
      <c r="P239" s="11">
        <v>0</v>
      </c>
      <c r="Q239" s="11">
        <v>0</v>
      </c>
      <c r="R239" s="11">
        <v>0</v>
      </c>
      <c r="S239" s="11">
        <v>1</v>
      </c>
      <c r="T239" s="11">
        <v>5</v>
      </c>
      <c r="U239" s="11">
        <v>3301</v>
      </c>
      <c r="V239" s="11">
        <v>0</v>
      </c>
      <c r="W239" s="11">
        <v>1</v>
      </c>
      <c r="X239" s="11">
        <v>0</v>
      </c>
      <c r="Y239" s="11">
        <v>0</v>
      </c>
      <c r="Z239" s="11">
        <v>0</v>
      </c>
      <c r="AA239" s="11">
        <v>0</v>
      </c>
      <c r="AB239" s="11">
        <v>1</v>
      </c>
      <c r="AC239" s="11">
        <v>0</v>
      </c>
      <c r="AD239" s="11" t="s">
        <v>5044</v>
      </c>
      <c r="AE239" s="11" t="s">
        <v>5044</v>
      </c>
      <c r="AF239" s="11" t="s">
        <v>5044</v>
      </c>
      <c r="AG239" s="11">
        <v>0</v>
      </c>
      <c r="AH239" s="11" t="s">
        <v>5044</v>
      </c>
      <c r="AI239" s="11" t="s">
        <v>5044</v>
      </c>
      <c r="AJ239" s="11" t="s">
        <v>5044</v>
      </c>
      <c r="AK239" s="11" t="s">
        <v>5318</v>
      </c>
      <c r="AL239" s="11">
        <v>0</v>
      </c>
      <c r="AM239" s="11">
        <v>0</v>
      </c>
      <c r="AN239" s="11" t="s">
        <v>5318</v>
      </c>
      <c r="AO239" s="11" t="s">
        <v>5318</v>
      </c>
      <c r="AP239" s="11" t="s">
        <v>5318</v>
      </c>
      <c r="AQ239" s="11" t="s">
        <v>5318</v>
      </c>
    </row>
    <row r="240" spans="1:43" ht="63" customHeight="1" x14ac:dyDescent="0.2">
      <c r="A240" s="10">
        <v>2585</v>
      </c>
      <c r="B240" s="11" t="s">
        <v>7142</v>
      </c>
      <c r="C240" s="11" t="s">
        <v>720</v>
      </c>
      <c r="D240" s="11">
        <v>2015</v>
      </c>
      <c r="E240" s="11" t="s">
        <v>305</v>
      </c>
      <c r="F240" s="11">
        <v>15</v>
      </c>
      <c r="G240" s="11">
        <v>1</v>
      </c>
      <c r="H240" s="11" t="s">
        <v>6595</v>
      </c>
      <c r="I240" s="11" t="s">
        <v>6516</v>
      </c>
      <c r="J240" s="11" t="s">
        <v>7143</v>
      </c>
      <c r="K240" s="11" t="s">
        <v>721</v>
      </c>
      <c r="L240" s="16" t="s">
        <v>5545</v>
      </c>
      <c r="M240" s="11">
        <v>1</v>
      </c>
      <c r="N240" s="11">
        <v>0</v>
      </c>
      <c r="O240" s="9" t="s">
        <v>5044</v>
      </c>
      <c r="P240" s="11">
        <v>0</v>
      </c>
      <c r="Q240" s="11">
        <v>0</v>
      </c>
      <c r="R240" s="11">
        <v>0</v>
      </c>
      <c r="S240" s="11" t="s">
        <v>5708</v>
      </c>
      <c r="T240" s="11">
        <v>2</v>
      </c>
      <c r="U240" s="11">
        <v>101</v>
      </c>
      <c r="V240" s="11">
        <v>0</v>
      </c>
      <c r="W240" s="11">
        <v>1</v>
      </c>
      <c r="X240" s="11">
        <v>0</v>
      </c>
      <c r="Y240" s="11">
        <v>0</v>
      </c>
      <c r="Z240" s="11">
        <v>0</v>
      </c>
      <c r="AA240" s="11">
        <v>0</v>
      </c>
      <c r="AB240" s="11">
        <v>1</v>
      </c>
      <c r="AC240" s="11" t="s">
        <v>5044</v>
      </c>
      <c r="AD240" s="11" t="s">
        <v>5044</v>
      </c>
      <c r="AE240" s="11" t="s">
        <v>5044</v>
      </c>
      <c r="AF240" s="11" t="s">
        <v>5044</v>
      </c>
      <c r="AG240" s="11" t="s">
        <v>5044</v>
      </c>
      <c r="AH240" s="11" t="s">
        <v>5044</v>
      </c>
      <c r="AI240" s="11" t="s">
        <v>5044</v>
      </c>
      <c r="AJ240" s="11" t="s">
        <v>5044</v>
      </c>
      <c r="AK240" s="11" t="s">
        <v>5318</v>
      </c>
      <c r="AL240" s="11" t="s">
        <v>5044</v>
      </c>
      <c r="AM240" s="11">
        <v>0</v>
      </c>
      <c r="AN240" s="11" t="s">
        <v>5318</v>
      </c>
      <c r="AO240" s="11" t="s">
        <v>5318</v>
      </c>
      <c r="AP240" s="11" t="s">
        <v>5318</v>
      </c>
      <c r="AQ240" s="11" t="s">
        <v>5318</v>
      </c>
    </row>
    <row r="241" spans="1:43" ht="63" customHeight="1" x14ac:dyDescent="0.2">
      <c r="A241" s="10">
        <v>2592</v>
      </c>
      <c r="B241" s="11" t="s">
        <v>7144</v>
      </c>
      <c r="C241" s="11" t="s">
        <v>722</v>
      </c>
      <c r="D241" s="11">
        <v>2018</v>
      </c>
      <c r="E241" s="11" t="s">
        <v>5318</v>
      </c>
      <c r="F241" s="11">
        <v>70</v>
      </c>
      <c r="G241" s="11">
        <v>3</v>
      </c>
      <c r="H241" s="11" t="s">
        <v>7145</v>
      </c>
      <c r="I241" s="11" t="s">
        <v>6516</v>
      </c>
      <c r="J241" s="11" t="s">
        <v>7146</v>
      </c>
      <c r="K241" s="11" t="s">
        <v>724</v>
      </c>
      <c r="L241" s="11" t="s">
        <v>5044</v>
      </c>
      <c r="M241" s="11">
        <v>0</v>
      </c>
      <c r="N241" s="9" t="s">
        <v>5044</v>
      </c>
      <c r="O241" s="9" t="s">
        <v>5044</v>
      </c>
      <c r="P241" s="11">
        <v>0</v>
      </c>
      <c r="Q241" s="11">
        <v>0</v>
      </c>
      <c r="R241" s="11">
        <v>0</v>
      </c>
      <c r="S241" s="11">
        <v>1</v>
      </c>
      <c r="T241" s="11">
        <v>1</v>
      </c>
      <c r="U241" s="11">
        <v>120</v>
      </c>
      <c r="V241" s="11">
        <v>0</v>
      </c>
      <c r="W241" s="11">
        <v>1</v>
      </c>
      <c r="X241" s="11">
        <v>0</v>
      </c>
      <c r="Y241" s="11">
        <v>0</v>
      </c>
      <c r="Z241" s="11">
        <v>0</v>
      </c>
      <c r="AA241" s="11">
        <v>0</v>
      </c>
      <c r="AB241" s="11">
        <v>1</v>
      </c>
      <c r="AC241" s="11">
        <v>0</v>
      </c>
      <c r="AD241" s="11" t="s">
        <v>5044</v>
      </c>
      <c r="AE241" s="11" t="s">
        <v>5044</v>
      </c>
      <c r="AF241" s="11" t="s">
        <v>5044</v>
      </c>
      <c r="AG241" s="11">
        <v>0</v>
      </c>
      <c r="AH241" s="11" t="s">
        <v>5044</v>
      </c>
      <c r="AI241" s="11" t="s">
        <v>5044</v>
      </c>
      <c r="AJ241" s="11" t="s">
        <v>5044</v>
      </c>
      <c r="AK241" s="11" t="s">
        <v>5318</v>
      </c>
      <c r="AL241" s="11" t="s">
        <v>5044</v>
      </c>
      <c r="AM241" s="11">
        <v>0</v>
      </c>
      <c r="AN241" s="11" t="s">
        <v>5105</v>
      </c>
      <c r="AO241" s="11" t="s">
        <v>5318</v>
      </c>
      <c r="AP241" s="11" t="s">
        <v>5318</v>
      </c>
      <c r="AQ241" s="11" t="s">
        <v>5318</v>
      </c>
    </row>
    <row r="242" spans="1:43" ht="63" customHeight="1" x14ac:dyDescent="0.2">
      <c r="A242" s="10">
        <v>2595</v>
      </c>
      <c r="B242" s="11" t="s">
        <v>7147</v>
      </c>
      <c r="C242" s="11" t="s">
        <v>725</v>
      </c>
      <c r="D242" s="11">
        <v>2022</v>
      </c>
      <c r="E242" s="11" t="s">
        <v>5318</v>
      </c>
      <c r="F242" s="11">
        <v>6</v>
      </c>
      <c r="G242" s="11">
        <v>1</v>
      </c>
      <c r="H242" s="11" t="s">
        <v>6839</v>
      </c>
      <c r="I242" s="11" t="s">
        <v>6516</v>
      </c>
      <c r="J242" s="11" t="s">
        <v>7148</v>
      </c>
      <c r="K242" s="11" t="s">
        <v>726</v>
      </c>
      <c r="L242" s="16" t="s">
        <v>5546</v>
      </c>
      <c r="M242" s="11">
        <v>0</v>
      </c>
      <c r="N242" s="9" t="s">
        <v>5044</v>
      </c>
      <c r="O242" s="9" t="s">
        <v>5044</v>
      </c>
      <c r="P242" s="11">
        <v>0</v>
      </c>
      <c r="Q242" s="11">
        <v>0</v>
      </c>
      <c r="R242" s="11">
        <v>0</v>
      </c>
      <c r="S242" s="11">
        <v>1</v>
      </c>
      <c r="T242" s="11">
        <v>1</v>
      </c>
      <c r="U242" s="11">
        <v>134</v>
      </c>
      <c r="V242" s="11">
        <v>0</v>
      </c>
      <c r="W242" s="11">
        <v>1</v>
      </c>
      <c r="X242" s="11">
        <v>0</v>
      </c>
      <c r="Y242" s="11">
        <v>0</v>
      </c>
      <c r="Z242" s="11">
        <v>0</v>
      </c>
      <c r="AA242" s="11">
        <v>0</v>
      </c>
      <c r="AB242" s="11">
        <v>1</v>
      </c>
      <c r="AC242" s="11">
        <v>1</v>
      </c>
      <c r="AD242" s="11" t="s">
        <v>5044</v>
      </c>
      <c r="AE242" s="11" t="s">
        <v>5044</v>
      </c>
      <c r="AF242" s="11" t="s">
        <v>5044</v>
      </c>
      <c r="AG242" s="11">
        <v>1</v>
      </c>
      <c r="AH242" s="11">
        <v>0</v>
      </c>
      <c r="AI242" s="11">
        <v>0</v>
      </c>
      <c r="AJ242" s="11" t="s">
        <v>5044</v>
      </c>
      <c r="AK242" s="11" t="s">
        <v>5318</v>
      </c>
      <c r="AL242" s="11">
        <v>0</v>
      </c>
      <c r="AM242" s="11">
        <v>0</v>
      </c>
      <c r="AN242" s="11" t="s">
        <v>5318</v>
      </c>
      <c r="AO242" s="11" t="s">
        <v>5318</v>
      </c>
      <c r="AP242" s="11" t="s">
        <v>5318</v>
      </c>
      <c r="AQ242" s="11" t="s">
        <v>5318</v>
      </c>
    </row>
    <row r="243" spans="1:43" ht="63" customHeight="1" x14ac:dyDescent="0.2">
      <c r="A243" s="10">
        <v>2611</v>
      </c>
      <c r="B243" s="11" t="s">
        <v>7149</v>
      </c>
      <c r="C243" s="11" t="s">
        <v>727</v>
      </c>
      <c r="D243" s="11">
        <v>2018</v>
      </c>
      <c r="E243" s="11" t="s">
        <v>5318</v>
      </c>
      <c r="F243" s="11">
        <v>18</v>
      </c>
      <c r="G243" s="11">
        <v>1</v>
      </c>
      <c r="H243" s="11" t="s">
        <v>6595</v>
      </c>
      <c r="I243" s="11" t="s">
        <v>6516</v>
      </c>
      <c r="J243" s="11" t="s">
        <v>7150</v>
      </c>
      <c r="K243" s="11" t="s">
        <v>728</v>
      </c>
      <c r="L243" s="16" t="s">
        <v>5547</v>
      </c>
      <c r="M243" s="11">
        <v>1</v>
      </c>
      <c r="N243" s="11">
        <v>0</v>
      </c>
      <c r="O243" s="9" t="s">
        <v>5044</v>
      </c>
      <c r="P243" s="11">
        <v>0</v>
      </c>
      <c r="Q243" s="11">
        <v>0</v>
      </c>
      <c r="R243" s="11">
        <v>0</v>
      </c>
      <c r="S243" s="11" t="s">
        <v>5708</v>
      </c>
      <c r="T243" s="11">
        <v>1</v>
      </c>
      <c r="U243" s="11">
        <v>138</v>
      </c>
      <c r="V243" s="11">
        <v>0</v>
      </c>
      <c r="W243" s="11">
        <v>1</v>
      </c>
      <c r="X243" s="11">
        <v>0</v>
      </c>
      <c r="Y243" s="11">
        <v>0</v>
      </c>
      <c r="Z243" s="11">
        <v>0</v>
      </c>
      <c r="AA243" s="11">
        <v>0</v>
      </c>
      <c r="AB243" s="11">
        <v>1</v>
      </c>
      <c r="AC243" s="11" t="s">
        <v>5044</v>
      </c>
      <c r="AD243" s="11" t="s">
        <v>5044</v>
      </c>
      <c r="AE243" s="11" t="s">
        <v>5044</v>
      </c>
      <c r="AF243" s="11" t="s">
        <v>5044</v>
      </c>
      <c r="AG243" s="11" t="s">
        <v>5044</v>
      </c>
      <c r="AH243" s="11" t="s">
        <v>5044</v>
      </c>
      <c r="AI243" s="11" t="s">
        <v>5044</v>
      </c>
      <c r="AJ243" s="11" t="s">
        <v>5044</v>
      </c>
      <c r="AK243" s="11" t="s">
        <v>5318</v>
      </c>
      <c r="AL243" s="11" t="s">
        <v>5044</v>
      </c>
      <c r="AM243" s="11">
        <v>0</v>
      </c>
      <c r="AN243" s="11" t="s">
        <v>5318</v>
      </c>
      <c r="AO243" s="11" t="s">
        <v>5318</v>
      </c>
      <c r="AP243" s="11" t="s">
        <v>5318</v>
      </c>
      <c r="AQ243" s="11" t="s">
        <v>5318</v>
      </c>
    </row>
    <row r="244" spans="1:43" ht="63" customHeight="1" x14ac:dyDescent="0.2">
      <c r="A244" s="10">
        <v>2617</v>
      </c>
      <c r="B244" s="11" t="s">
        <v>7151</v>
      </c>
      <c r="C244" s="11" t="s">
        <v>729</v>
      </c>
      <c r="D244" s="11">
        <v>2015</v>
      </c>
      <c r="E244" s="11" t="s">
        <v>5318</v>
      </c>
      <c r="F244" s="11">
        <v>194</v>
      </c>
      <c r="G244" s="11">
        <v>2</v>
      </c>
      <c r="H244" s="11" t="s">
        <v>7152</v>
      </c>
      <c r="I244" s="11" t="s">
        <v>6878</v>
      </c>
      <c r="J244" s="11" t="s">
        <v>7153</v>
      </c>
      <c r="K244" s="11" t="s">
        <v>731</v>
      </c>
      <c r="L244" s="11" t="s">
        <v>5044</v>
      </c>
      <c r="M244" s="11">
        <v>0</v>
      </c>
      <c r="N244" s="9" t="s">
        <v>5044</v>
      </c>
      <c r="O244" s="9" t="s">
        <v>5044</v>
      </c>
      <c r="P244" s="11">
        <v>0</v>
      </c>
      <c r="Q244" s="11">
        <v>0</v>
      </c>
      <c r="R244" s="11">
        <v>0</v>
      </c>
      <c r="S244" s="11">
        <v>3</v>
      </c>
      <c r="T244" s="11">
        <v>2</v>
      </c>
      <c r="U244" s="11">
        <v>484</v>
      </c>
      <c r="V244" s="11">
        <v>0</v>
      </c>
      <c r="W244" s="11">
        <v>1</v>
      </c>
      <c r="X244" s="11">
        <v>0</v>
      </c>
      <c r="Y244" s="11">
        <v>0</v>
      </c>
      <c r="Z244" s="11">
        <v>0</v>
      </c>
      <c r="AA244" s="11">
        <v>0</v>
      </c>
      <c r="AB244" s="11">
        <v>1</v>
      </c>
      <c r="AC244" s="11">
        <v>1</v>
      </c>
      <c r="AD244" s="11" t="s">
        <v>5044</v>
      </c>
      <c r="AE244" s="11" t="s">
        <v>5044</v>
      </c>
      <c r="AF244" s="11" t="s">
        <v>5044</v>
      </c>
      <c r="AG244" s="11">
        <v>2</v>
      </c>
      <c r="AH244" s="11">
        <v>2</v>
      </c>
      <c r="AI244" s="11">
        <v>1</v>
      </c>
      <c r="AJ244" s="11" t="s">
        <v>5044</v>
      </c>
      <c r="AK244" s="11" t="s">
        <v>5318</v>
      </c>
      <c r="AL244" s="11">
        <v>0</v>
      </c>
      <c r="AM244" s="11">
        <v>0</v>
      </c>
      <c r="AN244" s="11" t="s">
        <v>5318</v>
      </c>
      <c r="AO244" s="11" t="s">
        <v>5318</v>
      </c>
      <c r="AP244" s="11" t="s">
        <v>5318</v>
      </c>
      <c r="AQ244" s="11" t="s">
        <v>5318</v>
      </c>
    </row>
    <row r="245" spans="1:43" ht="63" customHeight="1" x14ac:dyDescent="0.2">
      <c r="A245" s="10">
        <v>2624</v>
      </c>
      <c r="B245" s="11" t="s">
        <v>7154</v>
      </c>
      <c r="C245" s="11" t="s">
        <v>732</v>
      </c>
      <c r="D245" s="11">
        <v>2021</v>
      </c>
      <c r="E245" s="11" t="s">
        <v>5318</v>
      </c>
      <c r="F245" s="11">
        <v>325</v>
      </c>
      <c r="G245" s="11">
        <v>4</v>
      </c>
      <c r="H245" s="11" t="s">
        <v>7155</v>
      </c>
      <c r="I245" s="11" t="s">
        <v>6516</v>
      </c>
      <c r="J245" s="11" t="s">
        <v>7156</v>
      </c>
      <c r="K245" s="11" t="s">
        <v>734</v>
      </c>
      <c r="L245" s="16" t="s">
        <v>5548</v>
      </c>
      <c r="M245" s="11">
        <v>0</v>
      </c>
      <c r="N245" s="9" t="s">
        <v>5044</v>
      </c>
      <c r="O245" s="9" t="s">
        <v>5044</v>
      </c>
      <c r="P245" s="11">
        <v>0</v>
      </c>
      <c r="Q245" s="11">
        <v>0</v>
      </c>
      <c r="R245" s="11">
        <v>0</v>
      </c>
      <c r="S245" s="11">
        <v>1</v>
      </c>
      <c r="T245" s="11">
        <v>1</v>
      </c>
      <c r="U245" s="11">
        <v>603</v>
      </c>
      <c r="V245" s="11">
        <v>0</v>
      </c>
      <c r="W245" s="11">
        <v>1</v>
      </c>
      <c r="X245" s="11">
        <v>0</v>
      </c>
      <c r="Y245" s="11">
        <v>0</v>
      </c>
      <c r="Z245" s="11">
        <v>0</v>
      </c>
      <c r="AA245" s="11">
        <v>0</v>
      </c>
      <c r="AB245" s="11">
        <v>1</v>
      </c>
      <c r="AC245" s="11">
        <v>0</v>
      </c>
      <c r="AD245" s="11" t="s">
        <v>5044</v>
      </c>
      <c r="AE245" s="11" t="s">
        <v>5044</v>
      </c>
      <c r="AF245" s="11" t="s">
        <v>5044</v>
      </c>
      <c r="AG245" s="11">
        <v>0</v>
      </c>
      <c r="AH245" s="11" t="s">
        <v>5044</v>
      </c>
      <c r="AI245" s="11" t="s">
        <v>5044</v>
      </c>
      <c r="AJ245" s="11" t="s">
        <v>5044</v>
      </c>
      <c r="AK245" s="11" t="s">
        <v>5318</v>
      </c>
      <c r="AL245" s="11">
        <v>1</v>
      </c>
      <c r="AM245" s="11">
        <v>0</v>
      </c>
      <c r="AN245" s="11" t="s">
        <v>5318</v>
      </c>
      <c r="AO245" s="11" t="s">
        <v>5318</v>
      </c>
      <c r="AP245" s="11" t="s">
        <v>5318</v>
      </c>
      <c r="AQ245" s="11" t="s">
        <v>5318</v>
      </c>
    </row>
    <row r="246" spans="1:43" ht="63" customHeight="1" x14ac:dyDescent="0.2">
      <c r="A246" s="10">
        <v>2638</v>
      </c>
      <c r="B246" s="11" t="s">
        <v>7157</v>
      </c>
      <c r="C246" s="11" t="s">
        <v>735</v>
      </c>
      <c r="D246" s="11">
        <v>2023</v>
      </c>
      <c r="E246" s="11" t="s">
        <v>5318</v>
      </c>
      <c r="F246" s="11">
        <v>41</v>
      </c>
      <c r="G246" s="11">
        <v>5</v>
      </c>
      <c r="H246" s="11" t="s">
        <v>6582</v>
      </c>
      <c r="I246" s="11" t="s">
        <v>6516</v>
      </c>
      <c r="J246" s="11" t="s">
        <v>7158</v>
      </c>
      <c r="K246" s="11" t="s">
        <v>736</v>
      </c>
      <c r="L246" s="12" t="s">
        <v>5549</v>
      </c>
      <c r="M246" s="11">
        <v>0</v>
      </c>
      <c r="N246" s="9" t="s">
        <v>5044</v>
      </c>
      <c r="O246" s="9" t="s">
        <v>5044</v>
      </c>
      <c r="P246" s="11">
        <v>0</v>
      </c>
      <c r="Q246" s="11">
        <v>0</v>
      </c>
      <c r="R246" s="11">
        <v>0</v>
      </c>
      <c r="S246" s="11">
        <v>3</v>
      </c>
      <c r="T246" s="11">
        <v>4</v>
      </c>
      <c r="U246" s="11">
        <v>90</v>
      </c>
      <c r="V246" s="11">
        <v>0</v>
      </c>
      <c r="W246" s="11">
        <v>1</v>
      </c>
      <c r="X246" s="11">
        <v>0</v>
      </c>
      <c r="Y246" s="11">
        <v>0</v>
      </c>
      <c r="Z246" s="11">
        <v>0</v>
      </c>
      <c r="AA246" s="11">
        <v>0</v>
      </c>
      <c r="AB246" s="11">
        <v>1</v>
      </c>
      <c r="AC246" s="11">
        <v>1</v>
      </c>
      <c r="AD246" s="11" t="s">
        <v>5044</v>
      </c>
      <c r="AE246" s="11" t="s">
        <v>5044</v>
      </c>
      <c r="AF246" s="11" t="s">
        <v>5044</v>
      </c>
      <c r="AG246" s="11">
        <v>1</v>
      </c>
      <c r="AH246" s="11">
        <v>0</v>
      </c>
      <c r="AI246" s="11">
        <v>0</v>
      </c>
      <c r="AJ246" s="11" t="s">
        <v>5044</v>
      </c>
      <c r="AK246" s="11" t="s">
        <v>5318</v>
      </c>
      <c r="AL246" s="11" t="s">
        <v>5044</v>
      </c>
      <c r="AM246" s="11">
        <v>0</v>
      </c>
      <c r="AN246" s="11" t="s">
        <v>5105</v>
      </c>
      <c r="AO246" s="11" t="s">
        <v>5318</v>
      </c>
      <c r="AP246" s="11" t="s">
        <v>5318</v>
      </c>
      <c r="AQ246" s="11" t="s">
        <v>5318</v>
      </c>
    </row>
    <row r="247" spans="1:43" ht="63" customHeight="1" x14ac:dyDescent="0.2">
      <c r="A247" s="10">
        <v>2642</v>
      </c>
      <c r="B247" s="11" t="s">
        <v>7159</v>
      </c>
      <c r="C247" s="11" t="s">
        <v>737</v>
      </c>
      <c r="D247" s="11">
        <v>2014</v>
      </c>
      <c r="E247" s="11" t="s">
        <v>5318</v>
      </c>
      <c r="F247" s="11">
        <v>113</v>
      </c>
      <c r="G247" s="11" t="s">
        <v>7160</v>
      </c>
      <c r="H247" s="11" t="s">
        <v>6454</v>
      </c>
      <c r="I247" s="11" t="s">
        <v>6516</v>
      </c>
      <c r="J247" s="11" t="s">
        <v>7161</v>
      </c>
      <c r="K247" s="11" t="s">
        <v>738</v>
      </c>
      <c r="L247" s="12" t="s">
        <v>5550</v>
      </c>
      <c r="M247" s="11">
        <v>0</v>
      </c>
      <c r="N247" s="9" t="s">
        <v>5044</v>
      </c>
      <c r="O247" s="9" t="s">
        <v>5044</v>
      </c>
      <c r="P247" s="11">
        <v>0</v>
      </c>
      <c r="Q247" s="11">
        <v>0</v>
      </c>
      <c r="R247" s="11">
        <v>1</v>
      </c>
      <c r="S247" s="11" t="s">
        <v>5772</v>
      </c>
      <c r="T247" s="11">
        <v>5</v>
      </c>
      <c r="U247" s="11">
        <v>60</v>
      </c>
      <c r="V247" s="11">
        <v>0</v>
      </c>
      <c r="W247" s="11">
        <v>1</v>
      </c>
      <c r="X247" s="11">
        <v>0</v>
      </c>
      <c r="Y247" s="11">
        <v>0</v>
      </c>
      <c r="Z247" s="11">
        <v>0</v>
      </c>
      <c r="AA247" s="11">
        <v>0</v>
      </c>
      <c r="AB247" s="11">
        <v>1</v>
      </c>
      <c r="AC247" s="11">
        <v>1</v>
      </c>
      <c r="AD247" s="11" t="s">
        <v>5044</v>
      </c>
      <c r="AE247" s="11" t="s">
        <v>5044</v>
      </c>
      <c r="AF247" s="11" t="s">
        <v>5044</v>
      </c>
      <c r="AG247" s="11">
        <v>2</v>
      </c>
      <c r="AH247" s="11">
        <v>3</v>
      </c>
      <c r="AI247" s="11">
        <v>0</v>
      </c>
      <c r="AJ247" s="11" t="s">
        <v>5044</v>
      </c>
      <c r="AK247" s="11">
        <v>1</v>
      </c>
      <c r="AL247" s="11" t="s">
        <v>5044</v>
      </c>
      <c r="AM247" s="11">
        <v>0</v>
      </c>
      <c r="AN247" s="11" t="s">
        <v>5551</v>
      </c>
      <c r="AO247" s="11" t="s">
        <v>5318</v>
      </c>
      <c r="AP247" s="11" t="s">
        <v>5318</v>
      </c>
      <c r="AQ247" s="11" t="s">
        <v>5318</v>
      </c>
    </row>
    <row r="248" spans="1:43" ht="63" customHeight="1" x14ac:dyDescent="0.2">
      <c r="A248" s="10">
        <v>2643</v>
      </c>
      <c r="B248" s="11" t="s">
        <v>6375</v>
      </c>
      <c r="C248" s="11" t="s">
        <v>739</v>
      </c>
      <c r="D248" s="11">
        <v>2016</v>
      </c>
      <c r="E248" s="11" t="s">
        <v>5318</v>
      </c>
      <c r="F248" s="11">
        <v>223</v>
      </c>
      <c r="G248" s="11">
        <v>2</v>
      </c>
      <c r="H248" s="11" t="s">
        <v>6377</v>
      </c>
      <c r="I248" s="11" t="s">
        <v>6878</v>
      </c>
      <c r="J248" s="11" t="s">
        <v>7162</v>
      </c>
      <c r="K248" s="11" t="s">
        <v>741</v>
      </c>
      <c r="L248" s="16" t="s">
        <v>5552</v>
      </c>
      <c r="M248" s="11">
        <v>0</v>
      </c>
      <c r="N248" s="9" t="s">
        <v>5044</v>
      </c>
      <c r="O248" s="9" t="s">
        <v>5044</v>
      </c>
      <c r="P248" s="11">
        <v>0</v>
      </c>
      <c r="Q248" s="11">
        <v>0</v>
      </c>
      <c r="R248" s="11">
        <v>0</v>
      </c>
      <c r="S248" s="11">
        <v>1</v>
      </c>
      <c r="T248" s="11">
        <v>5</v>
      </c>
      <c r="U248" s="11">
        <v>144</v>
      </c>
      <c r="V248" s="11">
        <v>1</v>
      </c>
      <c r="W248" s="11">
        <v>0</v>
      </c>
      <c r="X248" s="11">
        <v>0</v>
      </c>
      <c r="Y248" s="11">
        <v>1</v>
      </c>
      <c r="Z248" s="11">
        <v>0</v>
      </c>
      <c r="AA248" s="11">
        <v>0</v>
      </c>
      <c r="AB248" s="11">
        <v>1</v>
      </c>
      <c r="AC248" s="11">
        <v>1</v>
      </c>
      <c r="AD248" s="11">
        <v>2</v>
      </c>
      <c r="AE248" s="11">
        <v>3</v>
      </c>
      <c r="AF248" s="11">
        <v>0</v>
      </c>
      <c r="AG248" s="11" t="s">
        <v>5044</v>
      </c>
      <c r="AH248" s="11" t="s">
        <v>5044</v>
      </c>
      <c r="AI248" s="11" t="s">
        <v>5044</v>
      </c>
      <c r="AJ248" s="11">
        <v>0</v>
      </c>
      <c r="AK248" s="11">
        <v>1</v>
      </c>
      <c r="AL248" s="11">
        <v>0</v>
      </c>
      <c r="AM248" s="11">
        <v>0</v>
      </c>
      <c r="AN248" s="11" t="s">
        <v>5318</v>
      </c>
      <c r="AO248" s="11" t="s">
        <v>5318</v>
      </c>
      <c r="AP248" s="11" t="s">
        <v>5318</v>
      </c>
      <c r="AQ248" s="11" t="s">
        <v>5318</v>
      </c>
    </row>
    <row r="249" spans="1:43" ht="63" customHeight="1" x14ac:dyDescent="0.2">
      <c r="A249" s="10">
        <v>2648</v>
      </c>
      <c r="B249" s="11" t="s">
        <v>7163</v>
      </c>
      <c r="C249" s="11" t="s">
        <v>742</v>
      </c>
      <c r="D249" s="11">
        <v>2020</v>
      </c>
      <c r="E249" s="11" t="s">
        <v>5318</v>
      </c>
      <c r="F249" s="11">
        <v>90</v>
      </c>
      <c r="G249" s="13">
        <v>45511</v>
      </c>
      <c r="H249" s="11" t="s">
        <v>7088</v>
      </c>
      <c r="I249" s="11" t="s">
        <v>6516</v>
      </c>
      <c r="J249" s="11" t="s">
        <v>7164</v>
      </c>
      <c r="K249" s="11" t="s">
        <v>744</v>
      </c>
      <c r="L249" s="12" t="s">
        <v>5553</v>
      </c>
      <c r="M249" s="11">
        <v>0</v>
      </c>
      <c r="N249" s="9" t="s">
        <v>5044</v>
      </c>
      <c r="O249" s="9" t="s">
        <v>5044</v>
      </c>
      <c r="P249" s="11">
        <v>0</v>
      </c>
      <c r="Q249" s="11">
        <v>0</v>
      </c>
      <c r="R249" s="11">
        <v>0</v>
      </c>
      <c r="S249" s="11">
        <v>1</v>
      </c>
      <c r="T249" s="11">
        <v>4</v>
      </c>
      <c r="U249" s="11">
        <v>40</v>
      </c>
      <c r="V249" s="11">
        <v>0</v>
      </c>
      <c r="W249" s="11">
        <v>1</v>
      </c>
      <c r="X249" s="11">
        <v>0</v>
      </c>
      <c r="Y249" s="11">
        <v>0</v>
      </c>
      <c r="Z249" s="11">
        <v>0</v>
      </c>
      <c r="AA249" s="11">
        <v>0</v>
      </c>
      <c r="AB249" s="11">
        <v>1</v>
      </c>
      <c r="AC249" s="11">
        <v>1</v>
      </c>
      <c r="AD249" s="11" t="s">
        <v>5044</v>
      </c>
      <c r="AE249" s="11" t="s">
        <v>5044</v>
      </c>
      <c r="AF249" s="11" t="s">
        <v>5044</v>
      </c>
      <c r="AG249" s="11">
        <v>2</v>
      </c>
      <c r="AH249" s="11">
        <v>1</v>
      </c>
      <c r="AI249" s="11">
        <v>2</v>
      </c>
      <c r="AJ249" s="11" t="s">
        <v>5044</v>
      </c>
      <c r="AK249" s="11" t="s">
        <v>5318</v>
      </c>
      <c r="AL249" s="11" t="s">
        <v>5044</v>
      </c>
      <c r="AM249" s="11">
        <v>0</v>
      </c>
      <c r="AN249" s="11" t="s">
        <v>5105</v>
      </c>
      <c r="AO249" s="11" t="s">
        <v>5318</v>
      </c>
      <c r="AP249" s="11" t="s">
        <v>5318</v>
      </c>
      <c r="AQ249" s="11" t="s">
        <v>5318</v>
      </c>
    </row>
    <row r="250" spans="1:43" ht="63" customHeight="1" x14ac:dyDescent="0.2">
      <c r="A250" s="10">
        <v>2683</v>
      </c>
      <c r="B250" s="11" t="s">
        <v>7165</v>
      </c>
      <c r="C250" s="11" t="s">
        <v>745</v>
      </c>
      <c r="D250" s="11">
        <v>2015</v>
      </c>
      <c r="E250" s="11" t="s">
        <v>305</v>
      </c>
      <c r="F250" s="11">
        <v>16</v>
      </c>
      <c r="G250" s="11">
        <v>1</v>
      </c>
      <c r="H250" s="11" t="s">
        <v>6538</v>
      </c>
      <c r="I250" s="11" t="s">
        <v>6516</v>
      </c>
      <c r="J250" s="11" t="s">
        <v>7166</v>
      </c>
      <c r="K250" s="11" t="s">
        <v>747</v>
      </c>
      <c r="L250" s="16" t="s">
        <v>5554</v>
      </c>
      <c r="M250" s="11">
        <v>1</v>
      </c>
      <c r="N250" s="11">
        <v>0</v>
      </c>
      <c r="O250" s="9" t="s">
        <v>5044</v>
      </c>
      <c r="P250" s="11">
        <v>0</v>
      </c>
      <c r="Q250" s="11">
        <v>0</v>
      </c>
      <c r="R250" s="11">
        <v>0</v>
      </c>
      <c r="S250" s="11">
        <v>1</v>
      </c>
      <c r="T250" s="11">
        <v>1</v>
      </c>
      <c r="U250" s="11">
        <v>220</v>
      </c>
      <c r="V250" s="11">
        <v>0</v>
      </c>
      <c r="W250" s="11">
        <v>1</v>
      </c>
      <c r="X250" s="11">
        <v>0</v>
      </c>
      <c r="Y250" s="11">
        <v>0</v>
      </c>
      <c r="Z250" s="11">
        <v>0</v>
      </c>
      <c r="AA250" s="11">
        <v>0</v>
      </c>
      <c r="AB250" s="11">
        <v>1</v>
      </c>
      <c r="AC250" s="11" t="s">
        <v>5044</v>
      </c>
      <c r="AD250" s="11" t="s">
        <v>5044</v>
      </c>
      <c r="AE250" s="11" t="s">
        <v>5044</v>
      </c>
      <c r="AF250" s="11" t="s">
        <v>5044</v>
      </c>
      <c r="AG250" s="11" t="s">
        <v>5044</v>
      </c>
      <c r="AH250" s="11" t="s">
        <v>5044</v>
      </c>
      <c r="AI250" s="11" t="s">
        <v>5044</v>
      </c>
      <c r="AJ250" s="11" t="s">
        <v>5044</v>
      </c>
      <c r="AK250" s="11" t="s">
        <v>5318</v>
      </c>
      <c r="AL250" s="11" t="s">
        <v>5044</v>
      </c>
      <c r="AM250" s="11">
        <v>0</v>
      </c>
      <c r="AN250" s="11" t="s">
        <v>5318</v>
      </c>
      <c r="AO250" s="11" t="s">
        <v>5318</v>
      </c>
      <c r="AP250" s="11" t="s">
        <v>5318</v>
      </c>
      <c r="AQ250" s="11" t="s">
        <v>5318</v>
      </c>
    </row>
    <row r="251" spans="1:43" ht="63" customHeight="1" x14ac:dyDescent="0.2">
      <c r="A251" s="10">
        <v>2688</v>
      </c>
      <c r="B251" s="11" t="s">
        <v>7167</v>
      </c>
      <c r="C251" s="11" t="s">
        <v>748</v>
      </c>
      <c r="D251" s="11">
        <v>2020</v>
      </c>
      <c r="E251" s="11" t="s">
        <v>5318</v>
      </c>
      <c r="F251" s="11">
        <v>38</v>
      </c>
      <c r="G251" s="11">
        <v>8</v>
      </c>
      <c r="H251" s="11" t="s">
        <v>6582</v>
      </c>
      <c r="I251" s="11" t="s">
        <v>6516</v>
      </c>
      <c r="J251" s="11" t="s">
        <v>7168</v>
      </c>
      <c r="K251" s="11" t="s">
        <v>749</v>
      </c>
      <c r="L251" s="11" t="s">
        <v>5044</v>
      </c>
      <c r="M251" s="11">
        <v>0</v>
      </c>
      <c r="N251" s="9" t="s">
        <v>5044</v>
      </c>
      <c r="O251" s="9" t="s">
        <v>5044</v>
      </c>
      <c r="P251" s="11">
        <v>0</v>
      </c>
      <c r="Q251" s="11">
        <v>0</v>
      </c>
      <c r="R251" s="11">
        <v>0</v>
      </c>
      <c r="S251" s="11">
        <v>3</v>
      </c>
      <c r="T251" s="11">
        <v>1</v>
      </c>
      <c r="U251" s="11">
        <v>53</v>
      </c>
      <c r="V251" s="11">
        <v>0</v>
      </c>
      <c r="W251" s="11">
        <v>1</v>
      </c>
      <c r="X251" s="11">
        <v>0</v>
      </c>
      <c r="Y251" s="11">
        <v>0</v>
      </c>
      <c r="Z251" s="11">
        <v>0</v>
      </c>
      <c r="AA251" s="11">
        <v>0</v>
      </c>
      <c r="AB251" s="11">
        <v>1</v>
      </c>
      <c r="AC251" s="11">
        <v>1</v>
      </c>
      <c r="AD251" s="11" t="s">
        <v>5044</v>
      </c>
      <c r="AE251" s="11" t="s">
        <v>5044</v>
      </c>
      <c r="AF251" s="11" t="s">
        <v>5044</v>
      </c>
      <c r="AG251" s="11">
        <v>1</v>
      </c>
      <c r="AH251" s="11">
        <v>0</v>
      </c>
      <c r="AI251" s="11">
        <v>0</v>
      </c>
      <c r="AJ251" s="11" t="s">
        <v>5044</v>
      </c>
      <c r="AK251" s="11" t="s">
        <v>5318</v>
      </c>
      <c r="AL251" s="11" t="s">
        <v>5044</v>
      </c>
      <c r="AM251" s="11">
        <v>0</v>
      </c>
      <c r="AN251" s="11" t="s">
        <v>5105</v>
      </c>
      <c r="AO251" s="11" t="s">
        <v>5318</v>
      </c>
      <c r="AP251" s="11" t="s">
        <v>5318</v>
      </c>
      <c r="AQ251" s="11" t="s">
        <v>5318</v>
      </c>
    </row>
    <row r="252" spans="1:43" ht="63" customHeight="1" x14ac:dyDescent="0.2">
      <c r="A252" s="10">
        <v>2695</v>
      </c>
      <c r="B252" s="11" t="s">
        <v>7169</v>
      </c>
      <c r="C252" s="11" t="s">
        <v>750</v>
      </c>
      <c r="D252" s="11">
        <v>2016</v>
      </c>
      <c r="E252" s="11" t="s">
        <v>5318</v>
      </c>
      <c r="F252" s="11">
        <v>388</v>
      </c>
      <c r="G252" s="11">
        <v>10045</v>
      </c>
      <c r="H252" s="11" t="s">
        <v>6349</v>
      </c>
      <c r="I252" s="11" t="s">
        <v>6516</v>
      </c>
      <c r="J252" s="11" t="s">
        <v>7170</v>
      </c>
      <c r="K252" s="11" t="s">
        <v>751</v>
      </c>
      <c r="L252" s="16" t="s">
        <v>5555</v>
      </c>
      <c r="M252" s="11">
        <v>0</v>
      </c>
      <c r="N252" s="9" t="s">
        <v>5044</v>
      </c>
      <c r="O252" s="9" t="s">
        <v>5044</v>
      </c>
      <c r="P252" s="11">
        <v>0</v>
      </c>
      <c r="Q252" s="11">
        <v>0</v>
      </c>
      <c r="R252" s="11">
        <v>0</v>
      </c>
      <c r="S252" s="11">
        <v>6</v>
      </c>
      <c r="T252" s="11">
        <v>1</v>
      </c>
      <c r="U252" s="11">
        <v>1403</v>
      </c>
      <c r="V252" s="11">
        <v>0</v>
      </c>
      <c r="W252" s="11">
        <v>1</v>
      </c>
      <c r="X252" s="11">
        <v>0</v>
      </c>
      <c r="Y252" s="11">
        <v>0</v>
      </c>
      <c r="Z252" s="11">
        <v>0</v>
      </c>
      <c r="AA252" s="11">
        <v>0</v>
      </c>
      <c r="AB252" s="11">
        <v>1</v>
      </c>
      <c r="AC252" s="11">
        <v>0</v>
      </c>
      <c r="AD252" s="11" t="s">
        <v>5044</v>
      </c>
      <c r="AE252" s="11" t="s">
        <v>5044</v>
      </c>
      <c r="AF252" s="11" t="s">
        <v>5044</v>
      </c>
      <c r="AG252" s="11">
        <v>0</v>
      </c>
      <c r="AH252" s="11" t="s">
        <v>5044</v>
      </c>
      <c r="AI252" s="11" t="s">
        <v>5044</v>
      </c>
      <c r="AJ252" s="11" t="s">
        <v>5044</v>
      </c>
      <c r="AK252" s="11" t="s">
        <v>5318</v>
      </c>
      <c r="AL252" s="11">
        <v>0</v>
      </c>
      <c r="AM252" s="11">
        <v>0</v>
      </c>
      <c r="AN252" s="11" t="s">
        <v>5318</v>
      </c>
      <c r="AO252" s="11" t="s">
        <v>5318</v>
      </c>
      <c r="AP252" s="11" t="s">
        <v>5318</v>
      </c>
      <c r="AQ252" s="11" t="s">
        <v>5318</v>
      </c>
    </row>
    <row r="253" spans="1:43" ht="63" customHeight="1" x14ac:dyDescent="0.2">
      <c r="A253" s="10">
        <v>2705</v>
      </c>
      <c r="B253" s="11" t="s">
        <v>7171</v>
      </c>
      <c r="C253" s="11" t="s">
        <v>752</v>
      </c>
      <c r="D253" s="11">
        <v>2014</v>
      </c>
      <c r="E253" s="11" t="s">
        <v>5318</v>
      </c>
      <c r="F253" s="11">
        <v>12</v>
      </c>
      <c r="G253" s="11">
        <v>8</v>
      </c>
      <c r="H253" s="11" t="s">
        <v>7001</v>
      </c>
      <c r="I253" s="11" t="s">
        <v>6516</v>
      </c>
      <c r="J253" s="11" t="s">
        <v>7172</v>
      </c>
      <c r="K253" s="11" t="s">
        <v>753</v>
      </c>
      <c r="L253" s="12" t="s">
        <v>5556</v>
      </c>
      <c r="M253" s="11">
        <v>0</v>
      </c>
      <c r="N253" s="9" t="s">
        <v>5044</v>
      </c>
      <c r="O253" s="9" t="s">
        <v>5044</v>
      </c>
      <c r="P253" s="11">
        <v>0</v>
      </c>
      <c r="Q253" s="11">
        <v>0</v>
      </c>
      <c r="R253" s="11">
        <v>0</v>
      </c>
      <c r="S253" s="11">
        <v>1</v>
      </c>
      <c r="T253" s="11">
        <v>4</v>
      </c>
      <c r="U253" s="11">
        <v>160</v>
      </c>
      <c r="V253" s="11">
        <v>0</v>
      </c>
      <c r="W253" s="11">
        <v>1</v>
      </c>
      <c r="X253" s="11">
        <v>0</v>
      </c>
      <c r="Y253" s="11">
        <v>0</v>
      </c>
      <c r="Z253" s="11">
        <v>0</v>
      </c>
      <c r="AA253" s="11">
        <v>0</v>
      </c>
      <c r="AB253" s="11">
        <v>1</v>
      </c>
      <c r="AC253" s="11">
        <v>0</v>
      </c>
      <c r="AD253" s="11" t="s">
        <v>5044</v>
      </c>
      <c r="AE253" s="11" t="s">
        <v>5044</v>
      </c>
      <c r="AF253" s="11" t="s">
        <v>5044</v>
      </c>
      <c r="AG253" s="11">
        <v>0</v>
      </c>
      <c r="AH253" s="11" t="s">
        <v>5044</v>
      </c>
      <c r="AI253" s="11" t="s">
        <v>5044</v>
      </c>
      <c r="AJ253" s="11" t="s">
        <v>5044</v>
      </c>
      <c r="AK253" s="11" t="s">
        <v>5318</v>
      </c>
      <c r="AL253" s="11">
        <v>1</v>
      </c>
      <c r="AM253" s="11">
        <v>0</v>
      </c>
      <c r="AN253" s="11" t="s">
        <v>5318</v>
      </c>
      <c r="AO253" s="11" t="s">
        <v>5318</v>
      </c>
      <c r="AP253" s="11" t="s">
        <v>5318</v>
      </c>
      <c r="AQ253" s="11" t="s">
        <v>5318</v>
      </c>
    </row>
    <row r="254" spans="1:43" ht="63" customHeight="1" x14ac:dyDescent="0.2">
      <c r="A254" s="10">
        <v>2717</v>
      </c>
      <c r="B254" s="11" t="s">
        <v>7173</v>
      </c>
      <c r="C254" s="11" t="s">
        <v>754</v>
      </c>
      <c r="D254" s="11">
        <v>2023</v>
      </c>
      <c r="E254" s="11" t="s">
        <v>5318</v>
      </c>
      <c r="F254" s="11">
        <v>37</v>
      </c>
      <c r="G254" s="11">
        <v>1</v>
      </c>
      <c r="H254" s="11" t="s">
        <v>6692</v>
      </c>
      <c r="I254" s="11" t="s">
        <v>6516</v>
      </c>
      <c r="J254" s="11" t="s">
        <v>7174</v>
      </c>
      <c r="K254" s="11" t="s">
        <v>755</v>
      </c>
      <c r="L254" s="11" t="s">
        <v>5044</v>
      </c>
      <c r="M254" s="11">
        <v>0</v>
      </c>
      <c r="N254" s="9" t="s">
        <v>5044</v>
      </c>
      <c r="O254" s="9" t="s">
        <v>5044</v>
      </c>
      <c r="P254" s="11">
        <v>0</v>
      </c>
      <c r="Q254" s="11">
        <v>0</v>
      </c>
      <c r="R254" s="11">
        <v>0</v>
      </c>
      <c r="S254" s="11">
        <v>3</v>
      </c>
      <c r="T254" s="11">
        <v>4</v>
      </c>
      <c r="U254" s="11">
        <v>80</v>
      </c>
      <c r="V254" s="11">
        <v>0</v>
      </c>
      <c r="W254" s="11">
        <v>1</v>
      </c>
      <c r="X254" s="11">
        <v>0</v>
      </c>
      <c r="Y254" s="11">
        <v>0</v>
      </c>
      <c r="Z254" s="11">
        <v>0</v>
      </c>
      <c r="AA254" s="11">
        <v>0</v>
      </c>
      <c r="AB254" s="11">
        <v>1</v>
      </c>
      <c r="AC254" s="11">
        <v>1</v>
      </c>
      <c r="AD254" s="11" t="s">
        <v>5044</v>
      </c>
      <c r="AE254" s="11" t="s">
        <v>5044</v>
      </c>
      <c r="AF254" s="11" t="s">
        <v>5044</v>
      </c>
      <c r="AG254" s="11">
        <v>1</v>
      </c>
      <c r="AH254" s="11">
        <v>0</v>
      </c>
      <c r="AI254" s="11">
        <v>0</v>
      </c>
      <c r="AJ254" s="11" t="s">
        <v>5044</v>
      </c>
      <c r="AK254" s="11" t="s">
        <v>5318</v>
      </c>
      <c r="AL254" s="11">
        <v>0</v>
      </c>
      <c r="AM254" s="11">
        <v>0</v>
      </c>
      <c r="AN254" s="11" t="s">
        <v>5318</v>
      </c>
      <c r="AO254" s="11" t="s">
        <v>5318</v>
      </c>
      <c r="AP254" s="11" t="s">
        <v>5318</v>
      </c>
      <c r="AQ254" s="11" t="s">
        <v>5318</v>
      </c>
    </row>
    <row r="255" spans="1:43" ht="63" customHeight="1" x14ac:dyDescent="0.2">
      <c r="A255" s="10">
        <v>2718</v>
      </c>
      <c r="B255" s="11" t="s">
        <v>7175</v>
      </c>
      <c r="C255" s="11" t="s">
        <v>756</v>
      </c>
      <c r="D255" s="11">
        <v>2012</v>
      </c>
      <c r="E255" s="11" t="s">
        <v>5318</v>
      </c>
      <c r="F255" s="11">
        <v>79</v>
      </c>
      <c r="G255" s="11">
        <v>4</v>
      </c>
      <c r="H255" s="11" t="s">
        <v>6926</v>
      </c>
      <c r="I255" s="11" t="s">
        <v>6516</v>
      </c>
      <c r="J255" s="11" t="s">
        <v>7176</v>
      </c>
      <c r="K255" s="11" t="s">
        <v>758</v>
      </c>
      <c r="L255" s="11" t="s">
        <v>5044</v>
      </c>
      <c r="M255" s="11">
        <v>0</v>
      </c>
      <c r="N255" s="9" t="s">
        <v>5044</v>
      </c>
      <c r="O255" s="9" t="s">
        <v>5044</v>
      </c>
      <c r="P255" s="11">
        <v>0</v>
      </c>
      <c r="Q255" s="11">
        <v>0</v>
      </c>
      <c r="R255" s="11">
        <v>0</v>
      </c>
      <c r="S255" s="11">
        <v>3</v>
      </c>
      <c r="T255" s="11">
        <v>6</v>
      </c>
      <c r="U255" s="11">
        <v>100</v>
      </c>
      <c r="V255" s="11">
        <v>0</v>
      </c>
      <c r="W255" s="11">
        <v>1</v>
      </c>
      <c r="X255" s="11">
        <v>0</v>
      </c>
      <c r="Y255" s="11">
        <v>0</v>
      </c>
      <c r="Z255" s="11">
        <v>0</v>
      </c>
      <c r="AA255" s="11">
        <v>0</v>
      </c>
      <c r="AB255" s="11">
        <v>1</v>
      </c>
      <c r="AC255" s="11">
        <v>1</v>
      </c>
      <c r="AD255" s="11" t="s">
        <v>5044</v>
      </c>
      <c r="AE255" s="11" t="s">
        <v>5044</v>
      </c>
      <c r="AF255" s="11" t="s">
        <v>5044</v>
      </c>
      <c r="AG255" s="11">
        <v>1</v>
      </c>
      <c r="AH255" s="11">
        <v>0</v>
      </c>
      <c r="AI255" s="11">
        <v>0</v>
      </c>
      <c r="AJ255" s="11" t="s">
        <v>5044</v>
      </c>
      <c r="AK255" s="11" t="s">
        <v>5318</v>
      </c>
      <c r="AL255" s="11">
        <v>0</v>
      </c>
      <c r="AM255" s="11">
        <v>0</v>
      </c>
      <c r="AN255" s="11" t="s">
        <v>5318</v>
      </c>
      <c r="AO255" s="11" t="s">
        <v>5318</v>
      </c>
      <c r="AP255" s="11" t="s">
        <v>5318</v>
      </c>
      <c r="AQ255" s="11" t="s">
        <v>5318</v>
      </c>
    </row>
    <row r="256" spans="1:43" ht="63" customHeight="1" x14ac:dyDescent="0.2">
      <c r="A256" s="10">
        <v>2738</v>
      </c>
      <c r="B256" s="11" t="s">
        <v>7177</v>
      </c>
      <c r="C256" s="11" t="s">
        <v>759</v>
      </c>
      <c r="D256" s="11">
        <v>2017</v>
      </c>
      <c r="E256" s="11" t="s">
        <v>5318</v>
      </c>
      <c r="F256" s="11">
        <v>92</v>
      </c>
      <c r="G256" s="11">
        <v>2</v>
      </c>
      <c r="H256" s="11" t="s">
        <v>7178</v>
      </c>
      <c r="I256" s="11" t="s">
        <v>6516</v>
      </c>
      <c r="J256" s="11" t="s">
        <v>7179</v>
      </c>
      <c r="K256" s="11" t="s">
        <v>760</v>
      </c>
      <c r="L256" s="12" t="s">
        <v>5557</v>
      </c>
      <c r="M256" s="11">
        <v>0</v>
      </c>
      <c r="N256" s="9" t="s">
        <v>5044</v>
      </c>
      <c r="O256" s="9" t="s">
        <v>5044</v>
      </c>
      <c r="P256" s="11">
        <v>0</v>
      </c>
      <c r="Q256" s="11">
        <v>0</v>
      </c>
      <c r="R256" s="11">
        <v>0</v>
      </c>
      <c r="S256" s="11">
        <v>1</v>
      </c>
      <c r="T256" s="11">
        <v>4</v>
      </c>
      <c r="U256" s="11">
        <v>162</v>
      </c>
      <c r="V256" s="11">
        <v>0</v>
      </c>
      <c r="W256" s="11">
        <v>1</v>
      </c>
      <c r="X256" s="11">
        <v>0</v>
      </c>
      <c r="Y256" s="11">
        <v>0</v>
      </c>
      <c r="Z256" s="11">
        <v>0</v>
      </c>
      <c r="AA256" s="11">
        <v>0</v>
      </c>
      <c r="AB256" s="11">
        <v>1</v>
      </c>
      <c r="AC256" s="11">
        <v>1</v>
      </c>
      <c r="AD256" s="11" t="s">
        <v>5044</v>
      </c>
      <c r="AE256" s="11" t="s">
        <v>5044</v>
      </c>
      <c r="AF256" s="11" t="s">
        <v>5044</v>
      </c>
      <c r="AG256" s="11">
        <v>2</v>
      </c>
      <c r="AH256" s="11">
        <v>1</v>
      </c>
      <c r="AI256" s="11">
        <v>2</v>
      </c>
      <c r="AJ256" s="11" t="s">
        <v>5044</v>
      </c>
      <c r="AK256" s="11" t="s">
        <v>5318</v>
      </c>
      <c r="AL256" s="11" t="s">
        <v>5044</v>
      </c>
      <c r="AM256" s="11">
        <v>0</v>
      </c>
      <c r="AN256" s="11" t="s">
        <v>5105</v>
      </c>
      <c r="AO256" s="11" t="s">
        <v>5318</v>
      </c>
      <c r="AP256" s="11" t="s">
        <v>5318</v>
      </c>
      <c r="AQ256" s="11" t="s">
        <v>5318</v>
      </c>
    </row>
    <row r="257" spans="1:43" ht="63" customHeight="1" x14ac:dyDescent="0.2">
      <c r="A257" s="10">
        <v>2739</v>
      </c>
      <c r="B257" s="11" t="s">
        <v>7180</v>
      </c>
      <c r="C257" s="11" t="s">
        <v>761</v>
      </c>
      <c r="D257" s="11">
        <v>2021</v>
      </c>
      <c r="E257" s="11" t="s">
        <v>5318</v>
      </c>
      <c r="F257" s="11">
        <v>18</v>
      </c>
      <c r="G257" s="11">
        <v>4</v>
      </c>
      <c r="H257" s="11" t="s">
        <v>7181</v>
      </c>
      <c r="I257" s="11" t="s">
        <v>6516</v>
      </c>
      <c r="J257" s="11" t="s">
        <v>7182</v>
      </c>
      <c r="K257" s="11" t="s">
        <v>762</v>
      </c>
      <c r="L257" s="12" t="s">
        <v>5558</v>
      </c>
      <c r="M257" s="11">
        <v>0</v>
      </c>
      <c r="N257" s="9" t="s">
        <v>5044</v>
      </c>
      <c r="O257" s="9" t="s">
        <v>5044</v>
      </c>
      <c r="P257" s="11">
        <v>0</v>
      </c>
      <c r="Q257" s="11">
        <v>0</v>
      </c>
      <c r="R257" s="11">
        <v>0</v>
      </c>
      <c r="S257" s="11">
        <v>1</v>
      </c>
      <c r="T257" s="11">
        <v>4</v>
      </c>
      <c r="U257" s="11">
        <v>180</v>
      </c>
      <c r="V257" s="11">
        <v>0</v>
      </c>
      <c r="W257" s="11">
        <v>1</v>
      </c>
      <c r="X257" s="11">
        <v>0</v>
      </c>
      <c r="Y257" s="11">
        <v>0</v>
      </c>
      <c r="Z257" s="11">
        <v>0</v>
      </c>
      <c r="AA257" s="11">
        <v>0</v>
      </c>
      <c r="AB257" s="11">
        <v>1</v>
      </c>
      <c r="AC257" s="11">
        <v>1</v>
      </c>
      <c r="AD257" s="11" t="s">
        <v>5044</v>
      </c>
      <c r="AE257" s="11" t="s">
        <v>5044</v>
      </c>
      <c r="AF257" s="11" t="s">
        <v>5044</v>
      </c>
      <c r="AG257" s="11">
        <v>2</v>
      </c>
      <c r="AH257" s="11">
        <v>1</v>
      </c>
      <c r="AI257" s="11">
        <v>1</v>
      </c>
      <c r="AJ257" s="11" t="s">
        <v>5044</v>
      </c>
      <c r="AK257" s="11" t="s">
        <v>5318</v>
      </c>
      <c r="AL257" s="11" t="s">
        <v>5044</v>
      </c>
      <c r="AM257" s="11">
        <v>0</v>
      </c>
      <c r="AN257" s="11" t="s">
        <v>5277</v>
      </c>
      <c r="AO257" s="11" t="s">
        <v>5318</v>
      </c>
      <c r="AP257" s="11" t="s">
        <v>5318</v>
      </c>
      <c r="AQ257" s="11" t="s">
        <v>5318</v>
      </c>
    </row>
    <row r="258" spans="1:43" ht="63" customHeight="1" x14ac:dyDescent="0.2">
      <c r="A258" s="10">
        <v>2762</v>
      </c>
      <c r="B258" s="11" t="s">
        <v>7183</v>
      </c>
      <c r="C258" s="11" t="s">
        <v>763</v>
      </c>
      <c r="D258" s="11">
        <v>2020</v>
      </c>
      <c r="E258" s="11" t="s">
        <v>5318</v>
      </c>
      <c r="F258" s="11">
        <v>50</v>
      </c>
      <c r="G258" s="11">
        <v>10</v>
      </c>
      <c r="H258" s="11" t="s">
        <v>7184</v>
      </c>
      <c r="I258" s="11" t="s">
        <v>6516</v>
      </c>
      <c r="J258" s="11" t="s">
        <v>7185</v>
      </c>
      <c r="K258" s="11" t="s">
        <v>765</v>
      </c>
      <c r="L258" s="12" t="s">
        <v>5559</v>
      </c>
      <c r="M258" s="11">
        <v>1</v>
      </c>
      <c r="N258" s="11">
        <v>0</v>
      </c>
      <c r="O258" s="9" t="s">
        <v>5044</v>
      </c>
      <c r="P258" s="11">
        <v>0</v>
      </c>
      <c r="Q258" s="11">
        <v>0</v>
      </c>
      <c r="R258" s="11">
        <v>0</v>
      </c>
      <c r="S258" s="11">
        <v>7</v>
      </c>
      <c r="T258" s="11">
        <v>4</v>
      </c>
      <c r="U258" s="11">
        <v>316</v>
      </c>
      <c r="V258" s="11">
        <v>0</v>
      </c>
      <c r="W258" s="11">
        <v>1</v>
      </c>
      <c r="X258" s="11">
        <v>0</v>
      </c>
      <c r="Y258" s="11">
        <v>0</v>
      </c>
      <c r="Z258" s="11">
        <v>0</v>
      </c>
      <c r="AA258" s="11">
        <v>0</v>
      </c>
      <c r="AB258" s="11">
        <v>1</v>
      </c>
      <c r="AC258" s="11" t="s">
        <v>5044</v>
      </c>
      <c r="AD258" s="11" t="s">
        <v>5044</v>
      </c>
      <c r="AE258" s="11" t="s">
        <v>5044</v>
      </c>
      <c r="AF258" s="11" t="s">
        <v>5044</v>
      </c>
      <c r="AG258" s="11" t="s">
        <v>5044</v>
      </c>
      <c r="AH258" s="11" t="s">
        <v>5044</v>
      </c>
      <c r="AI258" s="11" t="s">
        <v>5044</v>
      </c>
      <c r="AJ258" s="11" t="s">
        <v>5044</v>
      </c>
      <c r="AK258" s="11" t="s">
        <v>5318</v>
      </c>
      <c r="AL258" s="11" t="s">
        <v>5044</v>
      </c>
      <c r="AM258" s="11">
        <v>0</v>
      </c>
      <c r="AN258" s="11" t="s">
        <v>5318</v>
      </c>
      <c r="AO258" s="11" t="s">
        <v>5318</v>
      </c>
      <c r="AP258" s="11" t="s">
        <v>5318</v>
      </c>
      <c r="AQ258" s="11" t="s">
        <v>5318</v>
      </c>
    </row>
    <row r="259" spans="1:43" ht="63" customHeight="1" x14ac:dyDescent="0.2">
      <c r="A259" s="10">
        <v>2776</v>
      </c>
      <c r="B259" s="11" t="s">
        <v>7186</v>
      </c>
      <c r="C259" s="11" t="s">
        <v>766</v>
      </c>
      <c r="D259" s="11">
        <v>2021</v>
      </c>
      <c r="E259" s="11" t="s">
        <v>5318</v>
      </c>
      <c r="F259" s="11">
        <v>44</v>
      </c>
      <c r="G259" s="11">
        <v>1</v>
      </c>
      <c r="H259" s="11" t="s">
        <v>7187</v>
      </c>
      <c r="I259" s="11" t="s">
        <v>6516</v>
      </c>
      <c r="J259" s="11" t="s">
        <v>7188</v>
      </c>
      <c r="K259" s="11" t="s">
        <v>769</v>
      </c>
      <c r="L259" s="11" t="s">
        <v>5044</v>
      </c>
      <c r="M259" s="11">
        <v>0</v>
      </c>
      <c r="N259" s="9" t="s">
        <v>5044</v>
      </c>
      <c r="O259" s="9" t="s">
        <v>5044</v>
      </c>
      <c r="P259" s="11">
        <v>0</v>
      </c>
      <c r="Q259" s="11">
        <v>0</v>
      </c>
      <c r="R259" s="11">
        <v>0</v>
      </c>
      <c r="S259" s="11">
        <v>9</v>
      </c>
      <c r="T259" s="11">
        <v>4</v>
      </c>
      <c r="U259" s="11">
        <v>80</v>
      </c>
      <c r="V259" s="11">
        <v>0</v>
      </c>
      <c r="W259" s="11">
        <v>1</v>
      </c>
      <c r="X259" s="11">
        <v>0</v>
      </c>
      <c r="Y259" s="11">
        <v>0</v>
      </c>
      <c r="Z259" s="11">
        <v>0</v>
      </c>
      <c r="AA259" s="11">
        <v>0</v>
      </c>
      <c r="AB259" s="11">
        <v>1</v>
      </c>
      <c r="AC259" s="11">
        <v>1</v>
      </c>
      <c r="AD259" s="11" t="s">
        <v>5044</v>
      </c>
      <c r="AE259" s="11" t="s">
        <v>5044</v>
      </c>
      <c r="AF259" s="11" t="s">
        <v>5044</v>
      </c>
      <c r="AG259" s="11">
        <v>1</v>
      </c>
      <c r="AH259" s="11">
        <v>0</v>
      </c>
      <c r="AI259" s="11">
        <v>0</v>
      </c>
      <c r="AJ259" s="11" t="s">
        <v>5044</v>
      </c>
      <c r="AK259" s="11" t="s">
        <v>5318</v>
      </c>
      <c r="AL259" s="11">
        <v>1</v>
      </c>
      <c r="AM259" s="11">
        <v>0</v>
      </c>
      <c r="AN259" s="11" t="s">
        <v>5318</v>
      </c>
      <c r="AO259" s="11" t="s">
        <v>5318</v>
      </c>
      <c r="AP259" s="11" t="s">
        <v>5318</v>
      </c>
      <c r="AQ259" s="11" t="s">
        <v>5318</v>
      </c>
    </row>
    <row r="260" spans="1:43" ht="63" customHeight="1" x14ac:dyDescent="0.2">
      <c r="A260" s="10">
        <v>2780</v>
      </c>
      <c r="B260" s="11" t="s">
        <v>7189</v>
      </c>
      <c r="C260" s="11" t="s">
        <v>770</v>
      </c>
      <c r="D260" s="11">
        <v>2015</v>
      </c>
      <c r="E260" s="11" t="s">
        <v>5318</v>
      </c>
      <c r="F260" s="11">
        <v>2015</v>
      </c>
      <c r="G260" s="11" t="s">
        <v>5318</v>
      </c>
      <c r="H260" s="11" t="s">
        <v>7190</v>
      </c>
      <c r="I260" s="11" t="s">
        <v>6516</v>
      </c>
      <c r="J260" s="11" t="s">
        <v>7191</v>
      </c>
      <c r="K260" s="11" t="s">
        <v>771</v>
      </c>
      <c r="L260" s="11" t="s">
        <v>5044</v>
      </c>
      <c r="M260" s="11">
        <v>0</v>
      </c>
      <c r="N260" s="9" t="s">
        <v>5044</v>
      </c>
      <c r="O260" s="9" t="s">
        <v>5044</v>
      </c>
      <c r="P260" s="11">
        <v>0</v>
      </c>
      <c r="Q260" s="11">
        <v>0</v>
      </c>
      <c r="R260" s="11">
        <v>1</v>
      </c>
      <c r="S260" s="11">
        <v>1</v>
      </c>
      <c r="T260" s="11">
        <v>2</v>
      </c>
      <c r="U260" s="11">
        <v>239</v>
      </c>
      <c r="V260" s="11">
        <v>0</v>
      </c>
      <c r="W260" s="11">
        <v>1</v>
      </c>
      <c r="X260" s="11">
        <v>0</v>
      </c>
      <c r="Y260" s="11">
        <v>0</v>
      </c>
      <c r="Z260" s="11">
        <v>0</v>
      </c>
      <c r="AA260" s="11">
        <v>0</v>
      </c>
      <c r="AB260" s="11">
        <v>1</v>
      </c>
      <c r="AC260" s="11">
        <v>1</v>
      </c>
      <c r="AD260" s="11" t="s">
        <v>5044</v>
      </c>
      <c r="AE260" s="11" t="s">
        <v>5044</v>
      </c>
      <c r="AF260" s="11" t="s">
        <v>5044</v>
      </c>
      <c r="AG260" s="11">
        <v>1</v>
      </c>
      <c r="AH260" s="11">
        <v>0</v>
      </c>
      <c r="AI260" s="11">
        <v>0</v>
      </c>
      <c r="AJ260" s="11" t="s">
        <v>5044</v>
      </c>
      <c r="AK260" s="11" t="s">
        <v>5318</v>
      </c>
      <c r="AL260" s="11">
        <v>1</v>
      </c>
      <c r="AM260" s="11">
        <v>0</v>
      </c>
      <c r="AN260" s="11" t="s">
        <v>5551</v>
      </c>
      <c r="AO260" s="11" t="s">
        <v>5318</v>
      </c>
      <c r="AP260" s="11" t="s">
        <v>5318</v>
      </c>
      <c r="AQ260" s="11" t="s">
        <v>5318</v>
      </c>
    </row>
    <row r="261" spans="1:43" ht="63" customHeight="1" x14ac:dyDescent="0.2">
      <c r="A261" s="10">
        <v>2785</v>
      </c>
      <c r="B261" s="11" t="s">
        <v>7192</v>
      </c>
      <c r="C261" s="11" t="s">
        <v>772</v>
      </c>
      <c r="D261" s="11">
        <v>2019</v>
      </c>
      <c r="E261" s="11" t="s">
        <v>5318</v>
      </c>
      <c r="F261" s="11">
        <v>20</v>
      </c>
      <c r="G261" s="11">
        <v>1</v>
      </c>
      <c r="H261" s="11" t="s">
        <v>6538</v>
      </c>
      <c r="I261" s="11" t="s">
        <v>6516</v>
      </c>
      <c r="J261" s="11" t="s">
        <v>7193</v>
      </c>
      <c r="K261" s="11" t="s">
        <v>773</v>
      </c>
      <c r="L261" s="16" t="s">
        <v>5560</v>
      </c>
      <c r="M261" s="11">
        <v>1</v>
      </c>
      <c r="N261" s="11">
        <v>0</v>
      </c>
      <c r="O261" s="9" t="s">
        <v>5044</v>
      </c>
      <c r="P261" s="11">
        <v>0</v>
      </c>
      <c r="Q261" s="11">
        <v>0</v>
      </c>
      <c r="R261" s="11">
        <v>0</v>
      </c>
      <c r="S261" s="11">
        <v>1</v>
      </c>
      <c r="T261" s="11">
        <v>4</v>
      </c>
      <c r="U261" s="11">
        <v>514</v>
      </c>
      <c r="V261" s="11">
        <v>0</v>
      </c>
      <c r="W261" s="11">
        <v>1</v>
      </c>
      <c r="X261" s="11">
        <v>0</v>
      </c>
      <c r="Y261" s="11">
        <v>0</v>
      </c>
      <c r="Z261" s="11">
        <v>1</v>
      </c>
      <c r="AA261" s="11">
        <v>0</v>
      </c>
      <c r="AB261" s="11">
        <v>1</v>
      </c>
      <c r="AC261" s="11" t="s">
        <v>5044</v>
      </c>
      <c r="AD261" s="11" t="s">
        <v>5044</v>
      </c>
      <c r="AE261" s="11" t="s">
        <v>5044</v>
      </c>
      <c r="AF261" s="11" t="s">
        <v>5044</v>
      </c>
      <c r="AG261" s="11" t="s">
        <v>5044</v>
      </c>
      <c r="AH261" s="11" t="s">
        <v>5044</v>
      </c>
      <c r="AI261" s="11" t="s">
        <v>5044</v>
      </c>
      <c r="AJ261" s="11" t="s">
        <v>5044</v>
      </c>
      <c r="AK261" s="11" t="s">
        <v>5318</v>
      </c>
      <c r="AL261" s="11" t="s">
        <v>5044</v>
      </c>
      <c r="AM261" s="11">
        <v>0</v>
      </c>
      <c r="AN261" s="11" t="s">
        <v>5318</v>
      </c>
      <c r="AO261" s="11" t="s">
        <v>5318</v>
      </c>
      <c r="AP261" s="11" t="s">
        <v>5318</v>
      </c>
      <c r="AQ261" s="11" t="s">
        <v>5318</v>
      </c>
    </row>
    <row r="262" spans="1:43" ht="63" customHeight="1" x14ac:dyDescent="0.2">
      <c r="A262" s="10">
        <v>2801</v>
      </c>
      <c r="B262" s="11" t="s">
        <v>7194</v>
      </c>
      <c r="C262" s="11" t="s">
        <v>774</v>
      </c>
      <c r="D262" s="11">
        <v>2022</v>
      </c>
      <c r="E262" s="11" t="s">
        <v>5318</v>
      </c>
      <c r="F262" s="11">
        <v>166</v>
      </c>
      <c r="G262" s="11" t="s">
        <v>5318</v>
      </c>
      <c r="H262" s="11" t="s">
        <v>7195</v>
      </c>
      <c r="I262" s="11" t="s">
        <v>6516</v>
      </c>
      <c r="J262" s="11" t="s">
        <v>7196</v>
      </c>
      <c r="K262" s="11" t="s">
        <v>776</v>
      </c>
      <c r="L262" s="16" t="s">
        <v>5561</v>
      </c>
      <c r="M262" s="11">
        <v>0</v>
      </c>
      <c r="N262" s="9" t="s">
        <v>5044</v>
      </c>
      <c r="O262" s="9" t="s">
        <v>5044</v>
      </c>
      <c r="P262" s="11">
        <v>0</v>
      </c>
      <c r="Q262" s="11">
        <v>0</v>
      </c>
      <c r="R262" s="11">
        <v>0</v>
      </c>
      <c r="S262" s="11">
        <v>1</v>
      </c>
      <c r="T262" s="11">
        <v>4</v>
      </c>
      <c r="U262" s="11">
        <v>76</v>
      </c>
      <c r="V262" s="11">
        <v>0</v>
      </c>
      <c r="W262" s="11">
        <v>1</v>
      </c>
      <c r="X262" s="11">
        <v>0</v>
      </c>
      <c r="Y262" s="11">
        <v>0</v>
      </c>
      <c r="Z262" s="11">
        <v>0</v>
      </c>
      <c r="AA262" s="11">
        <v>0</v>
      </c>
      <c r="AB262" s="11">
        <v>1</v>
      </c>
      <c r="AC262" s="11">
        <v>1</v>
      </c>
      <c r="AD262" s="11" t="s">
        <v>5044</v>
      </c>
      <c r="AE262" s="11" t="s">
        <v>5044</v>
      </c>
      <c r="AF262" s="11" t="s">
        <v>5044</v>
      </c>
      <c r="AG262" s="11">
        <v>2</v>
      </c>
      <c r="AH262" s="11">
        <v>1</v>
      </c>
      <c r="AI262" s="11">
        <v>2</v>
      </c>
      <c r="AJ262" s="11" t="s">
        <v>5044</v>
      </c>
      <c r="AK262" s="11" t="s">
        <v>5318</v>
      </c>
      <c r="AL262" s="11">
        <v>1</v>
      </c>
      <c r="AM262" s="11">
        <v>0</v>
      </c>
      <c r="AN262" s="11" t="s">
        <v>5318</v>
      </c>
      <c r="AO262" s="11" t="s">
        <v>5318</v>
      </c>
      <c r="AP262" s="11" t="s">
        <v>5318</v>
      </c>
      <c r="AQ262" s="11" t="s">
        <v>5318</v>
      </c>
    </row>
    <row r="263" spans="1:43" ht="63" customHeight="1" x14ac:dyDescent="0.2">
      <c r="A263" s="10">
        <v>2818</v>
      </c>
      <c r="B263" s="11" t="s">
        <v>7197</v>
      </c>
      <c r="C263" s="11" t="s">
        <v>777</v>
      </c>
      <c r="D263" s="11">
        <v>2020</v>
      </c>
      <c r="E263" s="11" t="s">
        <v>305</v>
      </c>
      <c r="F263" s="11">
        <v>20</v>
      </c>
      <c r="G263" s="11">
        <v>1</v>
      </c>
      <c r="H263" s="11" t="s">
        <v>6595</v>
      </c>
      <c r="I263" s="11" t="s">
        <v>6516</v>
      </c>
      <c r="J263" s="11" t="s">
        <v>7198</v>
      </c>
      <c r="K263" s="11" t="s">
        <v>778</v>
      </c>
      <c r="L263" s="16" t="s">
        <v>5562</v>
      </c>
      <c r="M263" s="11">
        <v>1</v>
      </c>
      <c r="N263" s="11">
        <v>0</v>
      </c>
      <c r="O263" s="9" t="s">
        <v>5044</v>
      </c>
      <c r="P263" s="11">
        <v>0</v>
      </c>
      <c r="Q263" s="11">
        <v>0</v>
      </c>
      <c r="R263" s="11">
        <v>0</v>
      </c>
      <c r="S263" s="11" t="s">
        <v>7667</v>
      </c>
      <c r="T263" s="11">
        <v>1</v>
      </c>
      <c r="U263" s="11">
        <v>64</v>
      </c>
      <c r="V263" s="11">
        <v>0</v>
      </c>
      <c r="W263" s="11">
        <v>1</v>
      </c>
      <c r="X263" s="11">
        <v>0</v>
      </c>
      <c r="Y263" s="11">
        <v>0</v>
      </c>
      <c r="Z263" s="11">
        <v>1</v>
      </c>
      <c r="AA263" s="11">
        <v>0</v>
      </c>
      <c r="AB263" s="11">
        <v>1</v>
      </c>
      <c r="AC263" s="11" t="s">
        <v>5044</v>
      </c>
      <c r="AD263" s="11" t="s">
        <v>5044</v>
      </c>
      <c r="AE263" s="11" t="s">
        <v>5044</v>
      </c>
      <c r="AF263" s="11" t="s">
        <v>5044</v>
      </c>
      <c r="AG263" s="11" t="s">
        <v>5044</v>
      </c>
      <c r="AH263" s="11" t="s">
        <v>5044</v>
      </c>
      <c r="AI263" s="11" t="s">
        <v>5044</v>
      </c>
      <c r="AJ263" s="11" t="s">
        <v>5044</v>
      </c>
      <c r="AK263" s="11" t="s">
        <v>5318</v>
      </c>
      <c r="AL263" s="11" t="s">
        <v>5044</v>
      </c>
      <c r="AM263" s="11">
        <v>0</v>
      </c>
      <c r="AN263" s="11" t="s">
        <v>5318</v>
      </c>
      <c r="AO263" s="11" t="s">
        <v>5318</v>
      </c>
      <c r="AP263" s="11" t="s">
        <v>5318</v>
      </c>
      <c r="AQ263" s="11" t="s">
        <v>5318</v>
      </c>
    </row>
    <row r="264" spans="1:43" ht="63" customHeight="1" x14ac:dyDescent="0.2">
      <c r="A264" s="10">
        <v>2838</v>
      </c>
      <c r="B264" s="11" t="s">
        <v>7199</v>
      </c>
      <c r="C264" s="11" t="s">
        <v>779</v>
      </c>
      <c r="D264" s="11">
        <v>2019</v>
      </c>
      <c r="E264" s="11" t="s">
        <v>5318</v>
      </c>
      <c r="F264" s="11">
        <v>23</v>
      </c>
      <c r="G264" s="11">
        <v>9</v>
      </c>
      <c r="H264" s="11" t="s">
        <v>6725</v>
      </c>
      <c r="I264" s="11" t="s">
        <v>6516</v>
      </c>
      <c r="J264" s="11" t="s">
        <v>7200</v>
      </c>
      <c r="K264" s="11" t="s">
        <v>780</v>
      </c>
      <c r="L264" s="12" t="s">
        <v>5564</v>
      </c>
      <c r="M264" s="11">
        <v>1</v>
      </c>
      <c r="N264" s="9" t="s">
        <v>5044</v>
      </c>
      <c r="O264" s="9" t="s">
        <v>5044</v>
      </c>
      <c r="P264" s="11">
        <v>0</v>
      </c>
      <c r="Q264" s="11">
        <v>0</v>
      </c>
      <c r="R264" s="11">
        <v>0</v>
      </c>
      <c r="S264" s="11">
        <v>1</v>
      </c>
      <c r="T264" s="11">
        <v>4</v>
      </c>
      <c r="U264" s="11">
        <v>70</v>
      </c>
      <c r="V264" s="11">
        <v>0</v>
      </c>
      <c r="W264" s="11">
        <v>1</v>
      </c>
      <c r="X264" s="11">
        <v>0</v>
      </c>
      <c r="Y264" s="11">
        <v>0</v>
      </c>
      <c r="Z264" s="11">
        <v>0</v>
      </c>
      <c r="AA264" s="11">
        <v>0</v>
      </c>
      <c r="AB264" s="11">
        <v>1</v>
      </c>
      <c r="AC264" s="11">
        <v>1</v>
      </c>
      <c r="AD264" s="11" t="s">
        <v>5044</v>
      </c>
      <c r="AE264" s="11" t="s">
        <v>5044</v>
      </c>
      <c r="AF264" s="11" t="s">
        <v>5044</v>
      </c>
      <c r="AG264" s="11">
        <v>0</v>
      </c>
      <c r="AH264" s="11" t="s">
        <v>5044</v>
      </c>
      <c r="AI264" s="11" t="s">
        <v>5044</v>
      </c>
      <c r="AJ264" s="11" t="s">
        <v>5044</v>
      </c>
      <c r="AK264" s="11" t="s">
        <v>5318</v>
      </c>
      <c r="AL264" s="11">
        <v>1</v>
      </c>
      <c r="AM264" s="11">
        <v>0</v>
      </c>
      <c r="AN264" s="11" t="s">
        <v>5318</v>
      </c>
      <c r="AO264" s="11" t="s">
        <v>5318</v>
      </c>
      <c r="AP264" s="11" t="s">
        <v>5318</v>
      </c>
      <c r="AQ264" s="11" t="s">
        <v>5318</v>
      </c>
    </row>
    <row r="265" spans="1:43" ht="63" customHeight="1" x14ac:dyDescent="0.2">
      <c r="A265" s="10">
        <v>2870</v>
      </c>
      <c r="B265" s="11" t="s">
        <v>7201</v>
      </c>
      <c r="C265" s="11" t="s">
        <v>781</v>
      </c>
      <c r="D265" s="11">
        <v>2017</v>
      </c>
      <c r="E265" s="11" t="s">
        <v>5318</v>
      </c>
      <c r="F265" s="11">
        <v>19</v>
      </c>
      <c r="G265" s="11">
        <v>7</v>
      </c>
      <c r="H265" s="11" t="s">
        <v>6749</v>
      </c>
      <c r="I265" s="11" t="s">
        <v>6516</v>
      </c>
      <c r="J265" s="11" t="s">
        <v>7202</v>
      </c>
      <c r="K265" s="11" t="s">
        <v>782</v>
      </c>
      <c r="L265" s="12" t="s">
        <v>5565</v>
      </c>
      <c r="M265" s="11">
        <v>0</v>
      </c>
      <c r="N265" s="9" t="s">
        <v>5044</v>
      </c>
      <c r="O265" s="9" t="s">
        <v>5044</v>
      </c>
      <c r="P265" s="11">
        <v>1</v>
      </c>
      <c r="Q265" s="11">
        <v>0</v>
      </c>
      <c r="R265" s="11">
        <v>0</v>
      </c>
      <c r="S265" s="11">
        <v>1</v>
      </c>
      <c r="T265" s="11">
        <v>4</v>
      </c>
      <c r="U265" s="11">
        <v>20</v>
      </c>
      <c r="V265" s="11">
        <v>0</v>
      </c>
      <c r="W265" s="11">
        <v>1</v>
      </c>
      <c r="X265" s="11">
        <v>0</v>
      </c>
      <c r="Y265" s="11">
        <v>0</v>
      </c>
      <c r="Z265" s="11">
        <v>0</v>
      </c>
      <c r="AA265" s="11">
        <v>0</v>
      </c>
      <c r="AB265" s="11">
        <v>1</v>
      </c>
      <c r="AC265" s="11">
        <v>1</v>
      </c>
      <c r="AD265" s="11" t="s">
        <v>5044</v>
      </c>
      <c r="AE265" s="11" t="s">
        <v>5044</v>
      </c>
      <c r="AF265" s="11" t="s">
        <v>5044</v>
      </c>
      <c r="AG265" s="11">
        <v>2</v>
      </c>
      <c r="AH265" s="11">
        <v>2</v>
      </c>
      <c r="AI265" s="11">
        <v>2</v>
      </c>
      <c r="AJ265" s="11" t="s">
        <v>5044</v>
      </c>
      <c r="AK265" s="11" t="s">
        <v>5318</v>
      </c>
      <c r="AL265" s="11">
        <v>1</v>
      </c>
      <c r="AM265" s="11">
        <v>0</v>
      </c>
      <c r="AN265" s="11" t="s">
        <v>5318</v>
      </c>
      <c r="AO265" s="11" t="s">
        <v>5318</v>
      </c>
      <c r="AP265" s="11" t="s">
        <v>5318</v>
      </c>
      <c r="AQ265" s="11" t="s">
        <v>5318</v>
      </c>
    </row>
    <row r="266" spans="1:43" ht="63" customHeight="1" x14ac:dyDescent="0.2">
      <c r="A266" s="10">
        <v>2871</v>
      </c>
      <c r="B266" s="11" t="s">
        <v>7203</v>
      </c>
      <c r="C266" s="11" t="s">
        <v>783</v>
      </c>
      <c r="D266" s="11">
        <v>2022</v>
      </c>
      <c r="E266" s="11" t="s">
        <v>5318</v>
      </c>
      <c r="F266" s="11">
        <v>172</v>
      </c>
      <c r="G266" s="11">
        <v>2</v>
      </c>
      <c r="H266" s="11" t="s">
        <v>6553</v>
      </c>
      <c r="I266" s="11" t="s">
        <v>6878</v>
      </c>
      <c r="J266" s="11" t="s">
        <v>7204</v>
      </c>
      <c r="K266" s="11" t="s">
        <v>784</v>
      </c>
      <c r="L266" s="12" t="s">
        <v>5566</v>
      </c>
      <c r="M266" s="11">
        <v>0</v>
      </c>
      <c r="N266" s="9" t="s">
        <v>5044</v>
      </c>
      <c r="O266" s="9" t="s">
        <v>5044</v>
      </c>
      <c r="P266" s="11">
        <v>0</v>
      </c>
      <c r="Q266" s="11">
        <v>0</v>
      </c>
      <c r="R266" s="11">
        <v>0</v>
      </c>
      <c r="S266" s="11">
        <v>1</v>
      </c>
      <c r="T266" s="11">
        <v>1</v>
      </c>
      <c r="U266" s="11">
        <v>71</v>
      </c>
      <c r="V266" s="11">
        <v>0</v>
      </c>
      <c r="W266" s="11">
        <v>1</v>
      </c>
      <c r="X266" s="11">
        <v>0</v>
      </c>
      <c r="Y266" s="11">
        <v>0</v>
      </c>
      <c r="Z266" s="11">
        <v>1</v>
      </c>
      <c r="AA266" s="11">
        <v>0</v>
      </c>
      <c r="AB266" s="11">
        <v>1</v>
      </c>
      <c r="AC266" s="11">
        <v>1</v>
      </c>
      <c r="AD266" s="11" t="s">
        <v>5044</v>
      </c>
      <c r="AE266" s="11" t="s">
        <v>5044</v>
      </c>
      <c r="AF266" s="11" t="s">
        <v>5044</v>
      </c>
      <c r="AG266" s="11">
        <v>2</v>
      </c>
      <c r="AH266" s="11">
        <v>2</v>
      </c>
      <c r="AI266" s="11">
        <v>3</v>
      </c>
      <c r="AJ266" s="11">
        <v>0</v>
      </c>
      <c r="AK266" s="11" t="s">
        <v>5318</v>
      </c>
      <c r="AL266" s="11" t="s">
        <v>5044</v>
      </c>
      <c r="AM266" s="11">
        <v>0</v>
      </c>
      <c r="AN266" s="11" t="s">
        <v>5567</v>
      </c>
      <c r="AO266" s="11" t="s">
        <v>5318</v>
      </c>
      <c r="AP266" s="11" t="s">
        <v>5318</v>
      </c>
      <c r="AQ266" s="11" t="s">
        <v>5318</v>
      </c>
    </row>
    <row r="267" spans="1:43" ht="63" customHeight="1" x14ac:dyDescent="0.2">
      <c r="A267" s="10">
        <v>2876</v>
      </c>
      <c r="B267" s="11" t="s">
        <v>7205</v>
      </c>
      <c r="C267" s="11" t="s">
        <v>785</v>
      </c>
      <c r="D267" s="11">
        <v>2023</v>
      </c>
      <c r="E267" s="11" t="s">
        <v>5318</v>
      </c>
      <c r="F267" s="11">
        <v>7</v>
      </c>
      <c r="G267" s="11">
        <v>2</v>
      </c>
      <c r="H267" s="11" t="s">
        <v>6839</v>
      </c>
      <c r="I267" s="11" t="s">
        <v>6878</v>
      </c>
      <c r="J267" s="11" t="s">
        <v>7206</v>
      </c>
      <c r="K267" s="11" t="s">
        <v>786</v>
      </c>
      <c r="L267" s="16" t="s">
        <v>5568</v>
      </c>
      <c r="M267" s="11">
        <v>0</v>
      </c>
      <c r="N267" s="9" t="s">
        <v>5044</v>
      </c>
      <c r="O267" s="9" t="s">
        <v>5044</v>
      </c>
      <c r="P267" s="11">
        <v>0</v>
      </c>
      <c r="Q267" s="11">
        <v>0</v>
      </c>
      <c r="R267" s="11">
        <v>0</v>
      </c>
      <c r="S267" s="11">
        <v>1</v>
      </c>
      <c r="T267" s="11">
        <v>1</v>
      </c>
      <c r="U267" s="11">
        <v>72</v>
      </c>
      <c r="V267" s="11">
        <v>0</v>
      </c>
      <c r="W267" s="11">
        <v>1</v>
      </c>
      <c r="X267" s="11">
        <v>0</v>
      </c>
      <c r="Y267" s="11">
        <v>0</v>
      </c>
      <c r="Z267" s="11">
        <v>0</v>
      </c>
      <c r="AA267" s="11">
        <v>0</v>
      </c>
      <c r="AB267" s="11">
        <v>1</v>
      </c>
      <c r="AC267" s="11">
        <v>1</v>
      </c>
      <c r="AD267" s="11" t="s">
        <v>5044</v>
      </c>
      <c r="AE267" s="11" t="s">
        <v>5044</v>
      </c>
      <c r="AF267" s="11" t="s">
        <v>5044</v>
      </c>
      <c r="AG267" s="11">
        <v>2</v>
      </c>
      <c r="AH267" s="11">
        <v>2</v>
      </c>
      <c r="AI267" s="11">
        <v>2</v>
      </c>
      <c r="AJ267" s="11" t="s">
        <v>5044</v>
      </c>
      <c r="AK267" s="11" t="s">
        <v>5318</v>
      </c>
      <c r="AL267" s="11">
        <v>1</v>
      </c>
      <c r="AM267" s="11">
        <v>0</v>
      </c>
      <c r="AN267" s="11" t="s">
        <v>5318</v>
      </c>
      <c r="AO267" s="11" t="s">
        <v>5318</v>
      </c>
      <c r="AP267" s="11" t="s">
        <v>5318</v>
      </c>
      <c r="AQ267" s="11" t="s">
        <v>5318</v>
      </c>
    </row>
    <row r="268" spans="1:43" ht="63" customHeight="1" x14ac:dyDescent="0.2">
      <c r="A268" s="10">
        <v>2877</v>
      </c>
      <c r="B268" s="11" t="s">
        <v>7207</v>
      </c>
      <c r="C268" s="11" t="s">
        <v>787</v>
      </c>
      <c r="D268" s="11">
        <v>2019</v>
      </c>
      <c r="E268" s="11" t="s">
        <v>5318</v>
      </c>
      <c r="F268" s="11">
        <v>43</v>
      </c>
      <c r="G268" s="11">
        <v>7</v>
      </c>
      <c r="H268" s="11" t="s">
        <v>6745</v>
      </c>
      <c r="I268" s="11" t="s">
        <v>6516</v>
      </c>
      <c r="J268" s="11" t="s">
        <v>7208</v>
      </c>
      <c r="K268" s="11" t="s">
        <v>789</v>
      </c>
      <c r="L268" s="16" t="s">
        <v>5569</v>
      </c>
      <c r="M268" s="11">
        <v>0</v>
      </c>
      <c r="N268" s="9" t="s">
        <v>5044</v>
      </c>
      <c r="O268" s="9" t="s">
        <v>5044</v>
      </c>
      <c r="P268" s="11">
        <v>0</v>
      </c>
      <c r="Q268" s="11">
        <v>0</v>
      </c>
      <c r="R268" s="11">
        <v>0</v>
      </c>
      <c r="S268" s="11">
        <v>1</v>
      </c>
      <c r="T268" s="11">
        <v>1</v>
      </c>
      <c r="U268" s="11">
        <v>70</v>
      </c>
      <c r="V268" s="11">
        <v>0</v>
      </c>
      <c r="W268" s="11">
        <v>1</v>
      </c>
      <c r="X268" s="11">
        <v>0</v>
      </c>
      <c r="Y268" s="11">
        <v>0</v>
      </c>
      <c r="Z268" s="11">
        <v>0</v>
      </c>
      <c r="AA268" s="11">
        <v>0</v>
      </c>
      <c r="AB268" s="11">
        <v>1</v>
      </c>
      <c r="AC268" s="11">
        <v>1</v>
      </c>
      <c r="AD268" s="11" t="s">
        <v>5044</v>
      </c>
      <c r="AE268" s="11" t="s">
        <v>5044</v>
      </c>
      <c r="AF268" s="11" t="s">
        <v>5044</v>
      </c>
      <c r="AG268" s="11">
        <v>2</v>
      </c>
      <c r="AH268" s="11">
        <v>3</v>
      </c>
      <c r="AI268" s="11">
        <v>0</v>
      </c>
      <c r="AJ268" s="11" t="s">
        <v>5044</v>
      </c>
      <c r="AK268" s="11" t="s">
        <v>5318</v>
      </c>
      <c r="AL268" s="11">
        <v>0</v>
      </c>
      <c r="AM268" s="11">
        <v>0</v>
      </c>
      <c r="AN268" s="11" t="s">
        <v>5318</v>
      </c>
      <c r="AO268" s="11" t="s">
        <v>5318</v>
      </c>
      <c r="AP268" s="11" t="s">
        <v>5318</v>
      </c>
      <c r="AQ268" s="11" t="s">
        <v>5318</v>
      </c>
    </row>
    <row r="269" spans="1:43" ht="63" customHeight="1" x14ac:dyDescent="0.2">
      <c r="A269" s="10">
        <v>2879</v>
      </c>
      <c r="B269" s="11" t="s">
        <v>7209</v>
      </c>
      <c r="C269" s="11" t="s">
        <v>790</v>
      </c>
      <c r="D269" s="11">
        <v>2023</v>
      </c>
      <c r="E269" s="11" t="s">
        <v>5318</v>
      </c>
      <c r="F269" s="11">
        <v>110</v>
      </c>
      <c r="G269" s="11">
        <v>2</v>
      </c>
      <c r="H269" s="11" t="s">
        <v>6530</v>
      </c>
      <c r="I269" s="11" t="s">
        <v>6516</v>
      </c>
      <c r="J269" s="11" t="s">
        <v>7210</v>
      </c>
      <c r="K269" s="11" t="s">
        <v>792</v>
      </c>
      <c r="L269" s="16" t="s">
        <v>5570</v>
      </c>
      <c r="M269" s="11">
        <v>0</v>
      </c>
      <c r="N269" s="9" t="s">
        <v>5044</v>
      </c>
      <c r="O269" s="9" t="s">
        <v>5044</v>
      </c>
      <c r="P269" s="11">
        <v>0</v>
      </c>
      <c r="Q269" s="11">
        <v>0</v>
      </c>
      <c r="R269" s="11">
        <v>0</v>
      </c>
      <c r="S269" s="11">
        <v>1</v>
      </c>
      <c r="T269" s="11">
        <v>1</v>
      </c>
      <c r="U269" s="11">
        <v>16</v>
      </c>
      <c r="V269" s="11">
        <v>0</v>
      </c>
      <c r="W269" s="11">
        <v>1</v>
      </c>
      <c r="X269" s="11">
        <v>0</v>
      </c>
      <c r="Y269" s="11">
        <v>0</v>
      </c>
      <c r="Z269" s="11">
        <v>1</v>
      </c>
      <c r="AA269" s="11">
        <v>0</v>
      </c>
      <c r="AB269" s="11">
        <v>1</v>
      </c>
      <c r="AC269" s="11">
        <v>1</v>
      </c>
      <c r="AD269" s="11" t="s">
        <v>5044</v>
      </c>
      <c r="AE269" s="11" t="s">
        <v>5044</v>
      </c>
      <c r="AF269" s="11" t="s">
        <v>5044</v>
      </c>
      <c r="AG269" s="11">
        <v>1</v>
      </c>
      <c r="AH269" s="11">
        <v>0</v>
      </c>
      <c r="AI269" s="11">
        <v>0</v>
      </c>
      <c r="AJ269" s="11">
        <v>0</v>
      </c>
      <c r="AK269" s="11" t="s">
        <v>5318</v>
      </c>
      <c r="AL269" s="11">
        <v>1</v>
      </c>
      <c r="AM269" s="11">
        <v>0</v>
      </c>
      <c r="AN269" s="11" t="s">
        <v>5318</v>
      </c>
      <c r="AO269" s="11" t="s">
        <v>5318</v>
      </c>
      <c r="AP269" s="11" t="s">
        <v>5318</v>
      </c>
      <c r="AQ269" s="11" t="s">
        <v>5318</v>
      </c>
    </row>
    <row r="270" spans="1:43" ht="63" customHeight="1" x14ac:dyDescent="0.2">
      <c r="A270" s="10">
        <v>2882</v>
      </c>
      <c r="B270" s="11" t="s">
        <v>7213</v>
      </c>
      <c r="C270" s="11" t="s">
        <v>795</v>
      </c>
      <c r="D270" s="11">
        <v>2023</v>
      </c>
      <c r="E270" s="11" t="s">
        <v>5318</v>
      </c>
      <c r="F270" s="11">
        <v>34</v>
      </c>
      <c r="G270" s="11">
        <v>1</v>
      </c>
      <c r="H270" s="11" t="s">
        <v>7214</v>
      </c>
      <c r="I270" s="11" t="s">
        <v>6516</v>
      </c>
      <c r="J270" s="11" t="s">
        <v>7215</v>
      </c>
      <c r="K270" s="11" t="s">
        <v>796</v>
      </c>
      <c r="L270" s="16" t="s">
        <v>5572</v>
      </c>
      <c r="M270" s="11">
        <v>0</v>
      </c>
      <c r="N270" s="9" t="s">
        <v>5044</v>
      </c>
      <c r="O270" s="9" t="s">
        <v>5044</v>
      </c>
      <c r="P270" s="11">
        <v>0</v>
      </c>
      <c r="Q270" s="11">
        <v>0</v>
      </c>
      <c r="R270" s="11">
        <v>0</v>
      </c>
      <c r="S270" s="11">
        <v>1</v>
      </c>
      <c r="T270" s="11">
        <v>1</v>
      </c>
      <c r="U270" s="11">
        <v>173</v>
      </c>
      <c r="V270" s="11">
        <v>0</v>
      </c>
      <c r="W270" s="11">
        <v>1</v>
      </c>
      <c r="X270" s="11">
        <v>0</v>
      </c>
      <c r="Y270" s="11">
        <v>0</v>
      </c>
      <c r="Z270" s="11">
        <v>1</v>
      </c>
      <c r="AA270" s="11">
        <v>0</v>
      </c>
      <c r="AB270" s="11">
        <v>1</v>
      </c>
      <c r="AC270" s="11">
        <v>1</v>
      </c>
      <c r="AD270" s="11" t="s">
        <v>5044</v>
      </c>
      <c r="AE270" s="11" t="s">
        <v>5044</v>
      </c>
      <c r="AF270" s="11" t="s">
        <v>5044</v>
      </c>
      <c r="AG270" s="11">
        <v>1</v>
      </c>
      <c r="AH270" s="11">
        <v>0</v>
      </c>
      <c r="AI270" s="11">
        <v>0</v>
      </c>
      <c r="AJ270" s="11">
        <v>0</v>
      </c>
      <c r="AK270" s="11" t="s">
        <v>5318</v>
      </c>
      <c r="AL270" s="11" t="s">
        <v>5044</v>
      </c>
      <c r="AM270" s="11">
        <v>0</v>
      </c>
      <c r="AN270" s="11" t="s">
        <v>5573</v>
      </c>
      <c r="AO270" s="11" t="s">
        <v>5318</v>
      </c>
      <c r="AP270" s="11" t="s">
        <v>5318</v>
      </c>
      <c r="AQ270" s="11" t="s">
        <v>5318</v>
      </c>
    </row>
    <row r="271" spans="1:43" ht="63" customHeight="1" x14ac:dyDescent="0.2">
      <c r="A271" s="10">
        <v>2900</v>
      </c>
      <c r="B271" s="11" t="s">
        <v>7216</v>
      </c>
      <c r="C271" s="11" t="s">
        <v>797</v>
      </c>
      <c r="D271" s="11">
        <v>2022</v>
      </c>
      <c r="E271" s="11" t="s">
        <v>5318</v>
      </c>
      <c r="F271" s="11">
        <v>164</v>
      </c>
      <c r="G271" s="11">
        <v>5</v>
      </c>
      <c r="H271" s="11" t="s">
        <v>7217</v>
      </c>
      <c r="I271" s="11" t="s">
        <v>6516</v>
      </c>
      <c r="J271" s="11" t="s">
        <v>7218</v>
      </c>
      <c r="K271" s="11" t="s">
        <v>798</v>
      </c>
      <c r="L271" s="12" t="s">
        <v>5574</v>
      </c>
      <c r="M271" s="11">
        <v>0</v>
      </c>
      <c r="N271" s="9" t="s">
        <v>5044</v>
      </c>
      <c r="O271" s="9" t="s">
        <v>5044</v>
      </c>
      <c r="P271" s="11">
        <v>0</v>
      </c>
      <c r="Q271" s="11">
        <v>0</v>
      </c>
      <c r="R271" s="11">
        <v>0</v>
      </c>
      <c r="S271" s="11">
        <v>1</v>
      </c>
      <c r="T271" s="11">
        <v>1</v>
      </c>
      <c r="U271" s="11">
        <v>44</v>
      </c>
      <c r="V271" s="11">
        <v>0</v>
      </c>
      <c r="W271" s="11">
        <v>1</v>
      </c>
      <c r="X271" s="11">
        <v>0</v>
      </c>
      <c r="Y271" s="11">
        <v>0</v>
      </c>
      <c r="Z271" s="11">
        <v>0</v>
      </c>
      <c r="AA271" s="11">
        <v>0</v>
      </c>
      <c r="AB271" s="11">
        <v>1</v>
      </c>
      <c r="AC271" s="11">
        <v>1</v>
      </c>
      <c r="AD271" s="11" t="s">
        <v>5044</v>
      </c>
      <c r="AE271" s="11" t="s">
        <v>5044</v>
      </c>
      <c r="AF271" s="11" t="s">
        <v>5044</v>
      </c>
      <c r="AG271" s="11">
        <v>2</v>
      </c>
      <c r="AH271" s="11">
        <v>3</v>
      </c>
      <c r="AI271" s="11">
        <v>0</v>
      </c>
      <c r="AJ271" s="11" t="s">
        <v>5044</v>
      </c>
      <c r="AK271" s="11" t="s">
        <v>5575</v>
      </c>
      <c r="AL271" s="11">
        <v>0</v>
      </c>
      <c r="AM271" s="11">
        <v>0</v>
      </c>
      <c r="AN271" s="11" t="s">
        <v>5318</v>
      </c>
      <c r="AO271" s="11" t="s">
        <v>5318</v>
      </c>
      <c r="AP271" s="11" t="s">
        <v>5318</v>
      </c>
      <c r="AQ271" s="11" t="s">
        <v>5318</v>
      </c>
    </row>
    <row r="272" spans="1:43" ht="63" customHeight="1" x14ac:dyDescent="0.2">
      <c r="A272" s="10">
        <v>2906</v>
      </c>
      <c r="B272" s="11" t="s">
        <v>7219</v>
      </c>
      <c r="C272" s="11" t="s">
        <v>799</v>
      </c>
      <c r="D272" s="11">
        <v>2014</v>
      </c>
      <c r="E272" s="11" t="s">
        <v>5318</v>
      </c>
      <c r="F272" s="11">
        <v>15</v>
      </c>
      <c r="G272" s="11">
        <v>1</v>
      </c>
      <c r="H272" s="11" t="s">
        <v>6538</v>
      </c>
      <c r="I272" s="11" t="s">
        <v>6516</v>
      </c>
      <c r="J272" s="11" t="s">
        <v>7220</v>
      </c>
      <c r="K272" s="11" t="s">
        <v>800</v>
      </c>
      <c r="L272" s="12" t="s">
        <v>5576</v>
      </c>
      <c r="M272" s="11">
        <v>1</v>
      </c>
      <c r="N272" s="11">
        <v>0</v>
      </c>
      <c r="O272" s="9" t="s">
        <v>5044</v>
      </c>
      <c r="P272" s="11">
        <v>0</v>
      </c>
      <c r="Q272" s="11">
        <v>0</v>
      </c>
      <c r="R272" s="11">
        <v>0</v>
      </c>
      <c r="S272" s="11">
        <v>1</v>
      </c>
      <c r="T272" s="11">
        <v>1</v>
      </c>
      <c r="U272" s="11">
        <v>58</v>
      </c>
      <c r="V272" s="11">
        <v>0</v>
      </c>
      <c r="W272" s="11">
        <v>1</v>
      </c>
      <c r="X272" s="11">
        <v>0</v>
      </c>
      <c r="Y272" s="11">
        <v>0</v>
      </c>
      <c r="Z272" s="11">
        <v>0</v>
      </c>
      <c r="AA272" s="11">
        <v>0</v>
      </c>
      <c r="AB272" s="11">
        <v>1</v>
      </c>
      <c r="AC272" s="11" t="s">
        <v>5044</v>
      </c>
      <c r="AD272" s="11" t="s">
        <v>5044</v>
      </c>
      <c r="AE272" s="11" t="s">
        <v>5044</v>
      </c>
      <c r="AF272" s="11" t="s">
        <v>5044</v>
      </c>
      <c r="AG272" s="11" t="s">
        <v>5044</v>
      </c>
      <c r="AH272" s="11" t="s">
        <v>5044</v>
      </c>
      <c r="AI272" s="11" t="s">
        <v>5044</v>
      </c>
      <c r="AJ272" s="11" t="s">
        <v>5044</v>
      </c>
      <c r="AK272" s="11" t="s">
        <v>5318</v>
      </c>
      <c r="AL272" s="11" t="s">
        <v>5044</v>
      </c>
      <c r="AM272" s="11">
        <v>0</v>
      </c>
      <c r="AN272" s="11" t="s">
        <v>5318</v>
      </c>
      <c r="AO272" s="11" t="s">
        <v>5318</v>
      </c>
      <c r="AP272" s="11" t="s">
        <v>5318</v>
      </c>
      <c r="AQ272" s="11" t="s">
        <v>5318</v>
      </c>
    </row>
    <row r="273" spans="1:43" ht="63" customHeight="1" x14ac:dyDescent="0.2">
      <c r="A273" s="10">
        <v>2907</v>
      </c>
      <c r="B273" s="11" t="s">
        <v>7221</v>
      </c>
      <c r="C273" s="11" t="s">
        <v>801</v>
      </c>
      <c r="D273" s="11">
        <v>2018</v>
      </c>
      <c r="E273" s="11" t="s">
        <v>5318</v>
      </c>
      <c r="F273" s="11">
        <v>105</v>
      </c>
      <c r="G273" s="11">
        <v>1</v>
      </c>
      <c r="H273" s="11" t="s">
        <v>6530</v>
      </c>
      <c r="I273" s="11" t="s">
        <v>6516</v>
      </c>
      <c r="J273" s="11" t="s">
        <v>7222</v>
      </c>
      <c r="K273" s="11" t="s">
        <v>802</v>
      </c>
      <c r="L273" s="12" t="s">
        <v>5577</v>
      </c>
      <c r="M273" s="11">
        <v>0</v>
      </c>
      <c r="N273" s="9" t="s">
        <v>5044</v>
      </c>
      <c r="O273" s="9" t="s">
        <v>5044</v>
      </c>
      <c r="P273" s="11">
        <v>0</v>
      </c>
      <c r="Q273" s="11">
        <v>0</v>
      </c>
      <c r="R273" s="11">
        <v>0</v>
      </c>
      <c r="S273" s="11">
        <v>1</v>
      </c>
      <c r="T273" s="11">
        <v>4</v>
      </c>
      <c r="U273" s="11">
        <v>120</v>
      </c>
      <c r="V273" s="11">
        <v>0</v>
      </c>
      <c r="W273" s="11">
        <v>1</v>
      </c>
      <c r="X273" s="11">
        <v>0</v>
      </c>
      <c r="Y273" s="11">
        <v>0</v>
      </c>
      <c r="Z273" s="11">
        <v>0</v>
      </c>
      <c r="AA273" s="11">
        <v>0</v>
      </c>
      <c r="AB273" s="11">
        <v>1</v>
      </c>
      <c r="AC273" s="11">
        <v>1</v>
      </c>
      <c r="AD273" s="11" t="s">
        <v>5044</v>
      </c>
      <c r="AE273" s="11" t="s">
        <v>5044</v>
      </c>
      <c r="AF273" s="11" t="s">
        <v>5044</v>
      </c>
      <c r="AG273" s="11">
        <v>2</v>
      </c>
      <c r="AH273" s="11">
        <v>3</v>
      </c>
      <c r="AI273" s="11">
        <v>0</v>
      </c>
      <c r="AJ273" s="11" t="s">
        <v>5044</v>
      </c>
      <c r="AK273" s="11">
        <v>1</v>
      </c>
      <c r="AL273" s="11">
        <v>1</v>
      </c>
      <c r="AM273" s="11">
        <v>0</v>
      </c>
      <c r="AN273" s="11" t="s">
        <v>5318</v>
      </c>
      <c r="AO273" s="11" t="s">
        <v>5318</v>
      </c>
      <c r="AP273" s="11" t="s">
        <v>5318</v>
      </c>
      <c r="AQ273" s="11" t="s">
        <v>5318</v>
      </c>
    </row>
    <row r="274" spans="1:43" ht="63" customHeight="1" x14ac:dyDescent="0.2">
      <c r="A274" s="10">
        <v>2944</v>
      </c>
      <c r="B274" s="11" t="s">
        <v>7223</v>
      </c>
      <c r="C274" s="11" t="s">
        <v>803</v>
      </c>
      <c r="D274" s="11">
        <v>2018</v>
      </c>
      <c r="E274" s="11" t="s">
        <v>5318</v>
      </c>
      <c r="F274" s="11">
        <v>18</v>
      </c>
      <c r="G274" s="11">
        <v>1</v>
      </c>
      <c r="H274" s="11" t="s">
        <v>6595</v>
      </c>
      <c r="I274" s="11" t="s">
        <v>6516</v>
      </c>
      <c r="J274" s="11" t="s">
        <v>7224</v>
      </c>
      <c r="K274" s="11" t="s">
        <v>804</v>
      </c>
      <c r="L274" s="12" t="s">
        <v>5578</v>
      </c>
      <c r="M274" s="11">
        <v>1</v>
      </c>
      <c r="N274" s="11">
        <v>0</v>
      </c>
      <c r="O274" s="9" t="s">
        <v>5044</v>
      </c>
      <c r="P274" s="11">
        <v>0</v>
      </c>
      <c r="Q274" s="11">
        <v>0</v>
      </c>
      <c r="R274" s="11">
        <v>0</v>
      </c>
      <c r="S274" s="11">
        <v>1</v>
      </c>
      <c r="T274" s="11">
        <v>1</v>
      </c>
      <c r="U274" s="11">
        <v>168</v>
      </c>
      <c r="V274" s="11">
        <v>0</v>
      </c>
      <c r="W274" s="11">
        <v>1</v>
      </c>
      <c r="X274" s="11">
        <v>0</v>
      </c>
      <c r="Y274" s="11">
        <v>0</v>
      </c>
      <c r="Z274" s="11">
        <v>0</v>
      </c>
      <c r="AA274" s="11">
        <v>0</v>
      </c>
      <c r="AB274" s="11">
        <v>1</v>
      </c>
      <c r="AC274" s="11" t="s">
        <v>5044</v>
      </c>
      <c r="AD274" s="11" t="s">
        <v>5044</v>
      </c>
      <c r="AE274" s="11" t="s">
        <v>5044</v>
      </c>
      <c r="AF274" s="11" t="s">
        <v>5044</v>
      </c>
      <c r="AG274" s="11" t="s">
        <v>5044</v>
      </c>
      <c r="AH274" s="11" t="s">
        <v>5044</v>
      </c>
      <c r="AI274" s="11" t="s">
        <v>5044</v>
      </c>
      <c r="AJ274" s="11" t="s">
        <v>5044</v>
      </c>
      <c r="AK274" s="11" t="s">
        <v>5318</v>
      </c>
      <c r="AL274" s="11" t="s">
        <v>5044</v>
      </c>
      <c r="AM274" s="11">
        <v>0</v>
      </c>
      <c r="AN274" s="11" t="s">
        <v>5318</v>
      </c>
      <c r="AO274" s="11" t="s">
        <v>5318</v>
      </c>
      <c r="AP274" s="11" t="s">
        <v>5318</v>
      </c>
      <c r="AQ274" s="11" t="s">
        <v>5318</v>
      </c>
    </row>
    <row r="275" spans="1:43" ht="63" customHeight="1" x14ac:dyDescent="0.2">
      <c r="A275" s="10">
        <v>2945</v>
      </c>
      <c r="B275" s="11" t="s">
        <v>7225</v>
      </c>
      <c r="C275" s="11" t="s">
        <v>805</v>
      </c>
      <c r="D275" s="11">
        <v>2015</v>
      </c>
      <c r="E275" s="11" t="s">
        <v>5318</v>
      </c>
      <c r="F275" s="11">
        <v>10</v>
      </c>
      <c r="G275" s="11">
        <v>10</v>
      </c>
      <c r="H275" s="11" t="s">
        <v>6772</v>
      </c>
      <c r="I275" s="11" t="s">
        <v>6516</v>
      </c>
      <c r="J275" s="11" t="s">
        <v>7226</v>
      </c>
      <c r="K275" s="11" t="s">
        <v>806</v>
      </c>
      <c r="L275" s="16" t="s">
        <v>5579</v>
      </c>
      <c r="M275" s="11">
        <v>0</v>
      </c>
      <c r="N275" s="9" t="s">
        <v>5044</v>
      </c>
      <c r="O275" s="9" t="s">
        <v>5044</v>
      </c>
      <c r="P275" s="11">
        <v>0</v>
      </c>
      <c r="Q275" s="11">
        <v>0</v>
      </c>
      <c r="R275" s="11">
        <v>0</v>
      </c>
      <c r="S275" s="11">
        <v>1</v>
      </c>
      <c r="T275" s="11">
        <v>1</v>
      </c>
      <c r="U275" s="11">
        <v>41</v>
      </c>
      <c r="V275" s="11">
        <v>0</v>
      </c>
      <c r="W275" s="11">
        <v>1</v>
      </c>
      <c r="X275" s="11">
        <v>0</v>
      </c>
      <c r="Y275" s="11">
        <v>0</v>
      </c>
      <c r="Z275" s="11">
        <v>0</v>
      </c>
      <c r="AA275" s="11">
        <v>0</v>
      </c>
      <c r="AB275" s="11">
        <v>1</v>
      </c>
      <c r="AC275" s="11">
        <v>1</v>
      </c>
      <c r="AD275" s="11" t="s">
        <v>5044</v>
      </c>
      <c r="AE275" s="11" t="s">
        <v>5044</v>
      </c>
      <c r="AF275" s="11" t="s">
        <v>5044</v>
      </c>
      <c r="AG275" s="11">
        <v>1</v>
      </c>
      <c r="AH275" s="11">
        <v>0</v>
      </c>
      <c r="AI275" s="11">
        <v>0</v>
      </c>
      <c r="AJ275" s="11" t="s">
        <v>5044</v>
      </c>
      <c r="AK275" s="11" t="s">
        <v>5318</v>
      </c>
      <c r="AL275" s="11">
        <v>1</v>
      </c>
      <c r="AM275" s="11">
        <v>0</v>
      </c>
      <c r="AN275" s="11" t="s">
        <v>5318</v>
      </c>
      <c r="AO275" s="11" t="s">
        <v>5318</v>
      </c>
      <c r="AP275" s="11" t="s">
        <v>5318</v>
      </c>
      <c r="AQ275" s="11" t="s">
        <v>5318</v>
      </c>
    </row>
    <row r="276" spans="1:43" ht="63" customHeight="1" x14ac:dyDescent="0.2">
      <c r="A276" s="10">
        <v>2950</v>
      </c>
      <c r="B276" s="11" t="s">
        <v>7227</v>
      </c>
      <c r="C276" s="11" t="s">
        <v>807</v>
      </c>
      <c r="D276" s="11">
        <v>2020</v>
      </c>
      <c r="E276" s="11" t="s">
        <v>5318</v>
      </c>
      <c r="F276" s="11">
        <v>21</v>
      </c>
      <c r="G276" s="11">
        <v>1</v>
      </c>
      <c r="H276" s="11" t="s">
        <v>6538</v>
      </c>
      <c r="I276" s="11" t="s">
        <v>6516</v>
      </c>
      <c r="J276" s="11" t="s">
        <v>5318</v>
      </c>
      <c r="K276" s="11" t="s">
        <v>808</v>
      </c>
      <c r="L276" s="12" t="s">
        <v>5580</v>
      </c>
      <c r="M276" s="11">
        <v>1</v>
      </c>
      <c r="N276" s="11">
        <v>0</v>
      </c>
      <c r="O276" s="9" t="s">
        <v>5044</v>
      </c>
      <c r="P276" s="11">
        <v>0</v>
      </c>
      <c r="Q276" s="11">
        <v>0</v>
      </c>
      <c r="R276" s="11">
        <v>0</v>
      </c>
      <c r="S276" s="11">
        <v>1</v>
      </c>
      <c r="T276" s="11">
        <v>1</v>
      </c>
      <c r="U276" s="11">
        <v>156</v>
      </c>
      <c r="V276" s="11">
        <v>0</v>
      </c>
      <c r="W276" s="11">
        <v>1</v>
      </c>
      <c r="X276" s="11">
        <v>0</v>
      </c>
      <c r="Y276" s="11">
        <v>1</v>
      </c>
      <c r="Z276" s="11">
        <v>0</v>
      </c>
      <c r="AA276" s="11">
        <v>0</v>
      </c>
      <c r="AB276" s="11">
        <v>1</v>
      </c>
      <c r="AC276" s="11" t="s">
        <v>5044</v>
      </c>
      <c r="AD276" s="11" t="s">
        <v>5044</v>
      </c>
      <c r="AE276" s="11" t="s">
        <v>5044</v>
      </c>
      <c r="AF276" s="11" t="s">
        <v>5044</v>
      </c>
      <c r="AG276" s="11" t="s">
        <v>5044</v>
      </c>
      <c r="AH276" s="11" t="s">
        <v>5044</v>
      </c>
      <c r="AI276" s="11" t="s">
        <v>5044</v>
      </c>
      <c r="AJ276" s="11" t="s">
        <v>5044</v>
      </c>
      <c r="AK276" s="11" t="s">
        <v>5318</v>
      </c>
      <c r="AL276" s="11" t="s">
        <v>5044</v>
      </c>
      <c r="AM276" s="11">
        <v>0</v>
      </c>
      <c r="AN276" s="11" t="s">
        <v>5318</v>
      </c>
      <c r="AO276" s="11" t="s">
        <v>5318</v>
      </c>
      <c r="AP276" s="11" t="s">
        <v>5318</v>
      </c>
      <c r="AQ276" s="11" t="s">
        <v>5318</v>
      </c>
    </row>
    <row r="277" spans="1:43" ht="63" customHeight="1" x14ac:dyDescent="0.2">
      <c r="A277" s="10">
        <v>2952</v>
      </c>
      <c r="B277" s="11" t="s">
        <v>7228</v>
      </c>
      <c r="C277" s="11" t="s">
        <v>809</v>
      </c>
      <c r="D277" s="11">
        <v>2015</v>
      </c>
      <c r="E277" s="11" t="s">
        <v>5318</v>
      </c>
      <c r="F277" s="11">
        <v>314</v>
      </c>
      <c r="G277" s="11">
        <v>13</v>
      </c>
      <c r="H277" s="11" t="s">
        <v>7155</v>
      </c>
      <c r="I277" s="11" t="s">
        <v>6516</v>
      </c>
      <c r="J277" s="11" t="s">
        <v>7229</v>
      </c>
      <c r="K277" s="11" t="s">
        <v>811</v>
      </c>
      <c r="L277" s="16" t="s">
        <v>5581</v>
      </c>
      <c r="M277" s="11">
        <v>0</v>
      </c>
      <c r="N277" s="9" t="s">
        <v>5044</v>
      </c>
      <c r="O277" s="9" t="s">
        <v>5044</v>
      </c>
      <c r="P277" s="11">
        <v>0</v>
      </c>
      <c r="Q277" s="11">
        <v>0</v>
      </c>
      <c r="R277" s="11">
        <v>0</v>
      </c>
      <c r="S277" s="11">
        <v>1</v>
      </c>
      <c r="T277" s="11">
        <v>1</v>
      </c>
      <c r="U277" s="11">
        <v>199</v>
      </c>
      <c r="V277" s="11">
        <v>1</v>
      </c>
      <c r="W277" s="11">
        <v>1</v>
      </c>
      <c r="X277" s="11">
        <v>0</v>
      </c>
      <c r="Y277" s="11">
        <v>0</v>
      </c>
      <c r="Z277" s="11">
        <v>0</v>
      </c>
      <c r="AA277" s="11">
        <v>0</v>
      </c>
      <c r="AB277" s="11">
        <v>1</v>
      </c>
      <c r="AC277" s="11">
        <v>1</v>
      </c>
      <c r="AD277" s="11">
        <v>2</v>
      </c>
      <c r="AE277" s="11">
        <v>1</v>
      </c>
      <c r="AF277" s="11">
        <v>3</v>
      </c>
      <c r="AG277" s="11">
        <v>2</v>
      </c>
      <c r="AH277" s="11">
        <v>1</v>
      </c>
      <c r="AI277" s="11">
        <v>3</v>
      </c>
      <c r="AJ277" s="11" t="s">
        <v>5044</v>
      </c>
      <c r="AK277" s="11" t="s">
        <v>5318</v>
      </c>
      <c r="AL277" s="11">
        <v>0</v>
      </c>
      <c r="AM277" s="11">
        <v>0</v>
      </c>
      <c r="AN277" s="11" t="s">
        <v>5318</v>
      </c>
      <c r="AO277" s="11" t="s">
        <v>5318</v>
      </c>
      <c r="AP277" s="11" t="s">
        <v>5318</v>
      </c>
      <c r="AQ277" s="11" t="s">
        <v>5318</v>
      </c>
    </row>
    <row r="278" spans="1:43" ht="63" customHeight="1" x14ac:dyDescent="0.2">
      <c r="A278" s="10">
        <v>2960</v>
      </c>
      <c r="B278" s="11" t="s">
        <v>7232</v>
      </c>
      <c r="C278" s="11" t="s">
        <v>814</v>
      </c>
      <c r="D278" s="11">
        <v>2022</v>
      </c>
      <c r="E278" s="11" t="s">
        <v>5318</v>
      </c>
      <c r="F278" s="11">
        <v>23</v>
      </c>
      <c r="G278" s="11">
        <v>1</v>
      </c>
      <c r="H278" s="11" t="s">
        <v>6538</v>
      </c>
      <c r="I278" s="11" t="s">
        <v>6516</v>
      </c>
      <c r="J278" s="11" t="s">
        <v>7233</v>
      </c>
      <c r="K278" s="11" t="s">
        <v>815</v>
      </c>
      <c r="L278" s="12" t="s">
        <v>5582</v>
      </c>
      <c r="M278" s="11">
        <v>1</v>
      </c>
      <c r="N278" s="11">
        <v>0</v>
      </c>
      <c r="O278" s="9" t="s">
        <v>5044</v>
      </c>
      <c r="P278" s="11">
        <v>0</v>
      </c>
      <c r="Q278" s="11">
        <v>0</v>
      </c>
      <c r="R278" s="11">
        <v>0</v>
      </c>
      <c r="S278" s="11">
        <v>1</v>
      </c>
      <c r="T278" s="11">
        <v>1</v>
      </c>
      <c r="U278" s="11">
        <v>128</v>
      </c>
      <c r="V278" s="11">
        <v>0</v>
      </c>
      <c r="W278" s="11">
        <v>1</v>
      </c>
      <c r="X278" s="11">
        <v>0</v>
      </c>
      <c r="Y278" s="11">
        <v>0</v>
      </c>
      <c r="Z278" s="11">
        <v>0</v>
      </c>
      <c r="AA278" s="11">
        <v>0</v>
      </c>
      <c r="AB278" s="11">
        <v>1</v>
      </c>
      <c r="AC278" s="11" t="s">
        <v>5044</v>
      </c>
      <c r="AD278" s="11" t="s">
        <v>5044</v>
      </c>
      <c r="AE278" s="11" t="s">
        <v>5044</v>
      </c>
      <c r="AF278" s="11" t="s">
        <v>5044</v>
      </c>
      <c r="AG278" s="11" t="s">
        <v>5044</v>
      </c>
      <c r="AH278" s="11" t="s">
        <v>5044</v>
      </c>
      <c r="AI278" s="11" t="s">
        <v>5044</v>
      </c>
      <c r="AJ278" s="11" t="s">
        <v>5044</v>
      </c>
      <c r="AK278" s="11" t="s">
        <v>5318</v>
      </c>
      <c r="AL278" s="11" t="s">
        <v>5044</v>
      </c>
      <c r="AM278" s="11">
        <v>0</v>
      </c>
      <c r="AN278" s="11" t="s">
        <v>5318</v>
      </c>
      <c r="AO278" s="11" t="s">
        <v>5318</v>
      </c>
      <c r="AP278" s="11" t="s">
        <v>5318</v>
      </c>
      <c r="AQ278" s="11" t="s">
        <v>5318</v>
      </c>
    </row>
    <row r="279" spans="1:43" ht="63" customHeight="1" x14ac:dyDescent="0.2">
      <c r="A279" s="10">
        <v>2961</v>
      </c>
      <c r="B279" s="11" t="s">
        <v>7234</v>
      </c>
      <c r="C279" s="11" t="s">
        <v>816</v>
      </c>
      <c r="D279" s="11">
        <v>2022</v>
      </c>
      <c r="E279" s="11" t="s">
        <v>5318</v>
      </c>
      <c r="F279" s="11">
        <v>12</v>
      </c>
      <c r="G279" s="11">
        <v>1</v>
      </c>
      <c r="H279" s="11" t="s">
        <v>6645</v>
      </c>
      <c r="I279" s="11" t="s">
        <v>6516</v>
      </c>
      <c r="J279" s="11" t="s">
        <v>7235</v>
      </c>
      <c r="K279" s="11" t="s">
        <v>817</v>
      </c>
      <c r="L279" s="12" t="s">
        <v>5583</v>
      </c>
      <c r="M279" s="11">
        <v>0</v>
      </c>
      <c r="N279" s="9" t="s">
        <v>5044</v>
      </c>
      <c r="O279" s="9" t="s">
        <v>5044</v>
      </c>
      <c r="P279" s="11">
        <v>1</v>
      </c>
      <c r="Q279" s="11">
        <v>0</v>
      </c>
      <c r="R279" s="11">
        <v>0</v>
      </c>
      <c r="S279" s="11">
        <v>1</v>
      </c>
      <c r="T279" s="11">
        <v>1</v>
      </c>
      <c r="U279" s="11">
        <v>36</v>
      </c>
      <c r="V279" s="11">
        <v>0</v>
      </c>
      <c r="W279" s="11">
        <v>1</v>
      </c>
      <c r="X279" s="11">
        <v>0</v>
      </c>
      <c r="Y279" s="11">
        <v>0</v>
      </c>
      <c r="Z279" s="11">
        <v>1</v>
      </c>
      <c r="AA279" s="11">
        <v>0</v>
      </c>
      <c r="AB279" s="11">
        <v>1</v>
      </c>
      <c r="AC279" s="11">
        <v>1</v>
      </c>
      <c r="AD279" s="11" t="s">
        <v>5044</v>
      </c>
      <c r="AE279" s="11" t="s">
        <v>5044</v>
      </c>
      <c r="AF279" s="11" t="s">
        <v>5044</v>
      </c>
      <c r="AG279" s="11">
        <v>2</v>
      </c>
      <c r="AH279" s="11">
        <v>1</v>
      </c>
      <c r="AI279" s="11">
        <v>2</v>
      </c>
      <c r="AJ279" s="11">
        <v>0</v>
      </c>
      <c r="AK279" s="11" t="s">
        <v>5318</v>
      </c>
      <c r="AL279" s="11" t="s">
        <v>5044</v>
      </c>
      <c r="AM279" s="11">
        <v>0</v>
      </c>
      <c r="AN279" s="11" t="s">
        <v>5105</v>
      </c>
      <c r="AO279" s="11" t="s">
        <v>5318</v>
      </c>
      <c r="AP279" s="11" t="s">
        <v>5318</v>
      </c>
      <c r="AQ279" s="11" t="s">
        <v>5318</v>
      </c>
    </row>
    <row r="280" spans="1:43" ht="63" customHeight="1" x14ac:dyDescent="0.2">
      <c r="A280" s="10">
        <v>2974</v>
      </c>
      <c r="B280" s="11" t="s">
        <v>7236</v>
      </c>
      <c r="C280" s="11" t="s">
        <v>818</v>
      </c>
      <c r="D280" s="11">
        <v>2020</v>
      </c>
      <c r="E280" s="11" t="s">
        <v>5318</v>
      </c>
      <c r="F280" s="11">
        <v>6</v>
      </c>
      <c r="G280" s="11">
        <v>10</v>
      </c>
      <c r="H280" s="11" t="s">
        <v>6695</v>
      </c>
      <c r="I280" s="11" t="s">
        <v>6516</v>
      </c>
      <c r="J280" s="11" t="s">
        <v>7237</v>
      </c>
      <c r="K280" s="11" t="s">
        <v>819</v>
      </c>
      <c r="L280" s="16" t="s">
        <v>5584</v>
      </c>
      <c r="M280" s="11">
        <v>0</v>
      </c>
      <c r="N280" s="9" t="s">
        <v>5044</v>
      </c>
      <c r="O280" s="9" t="s">
        <v>5044</v>
      </c>
      <c r="P280" s="11">
        <v>0</v>
      </c>
      <c r="Q280" s="11">
        <v>0</v>
      </c>
      <c r="R280" s="11">
        <v>0</v>
      </c>
      <c r="S280" s="11" t="s">
        <v>5708</v>
      </c>
      <c r="T280" s="11">
        <v>2</v>
      </c>
      <c r="U280" s="11">
        <v>29</v>
      </c>
      <c r="V280" s="11">
        <v>0</v>
      </c>
      <c r="W280" s="11">
        <v>1</v>
      </c>
      <c r="X280" s="11">
        <v>0</v>
      </c>
      <c r="Y280" s="11">
        <v>0</v>
      </c>
      <c r="Z280" s="11">
        <v>0</v>
      </c>
      <c r="AA280" s="11">
        <v>0</v>
      </c>
      <c r="AB280" s="11">
        <v>1</v>
      </c>
      <c r="AC280" s="11">
        <v>1</v>
      </c>
      <c r="AD280" s="11" t="s">
        <v>5044</v>
      </c>
      <c r="AE280" s="11" t="s">
        <v>5044</v>
      </c>
      <c r="AF280" s="11" t="s">
        <v>5044</v>
      </c>
      <c r="AG280" s="11">
        <v>2</v>
      </c>
      <c r="AH280" s="11">
        <v>2</v>
      </c>
      <c r="AI280" s="11">
        <v>2</v>
      </c>
      <c r="AJ280" s="11" t="s">
        <v>5044</v>
      </c>
      <c r="AK280" s="11" t="s">
        <v>5318</v>
      </c>
      <c r="AL280" s="11" t="s">
        <v>5044</v>
      </c>
      <c r="AM280" s="11">
        <v>0</v>
      </c>
      <c r="AN280" s="11" t="s">
        <v>5105</v>
      </c>
      <c r="AO280" s="11" t="s">
        <v>5318</v>
      </c>
      <c r="AP280" s="11" t="s">
        <v>5318</v>
      </c>
      <c r="AQ280" s="11" t="s">
        <v>5318</v>
      </c>
    </row>
    <row r="281" spans="1:43" ht="63" customHeight="1" x14ac:dyDescent="0.2">
      <c r="A281" s="10">
        <v>2993</v>
      </c>
      <c r="B281" s="11" t="s">
        <v>7238</v>
      </c>
      <c r="C281" s="11" t="s">
        <v>820</v>
      </c>
      <c r="D281" s="11">
        <v>2015</v>
      </c>
      <c r="E281" s="11" t="s">
        <v>5318</v>
      </c>
      <c r="F281" s="11">
        <v>10</v>
      </c>
      <c r="G281" s="11">
        <v>9</v>
      </c>
      <c r="H281" s="11" t="s">
        <v>6772</v>
      </c>
      <c r="I281" s="11" t="s">
        <v>6516</v>
      </c>
      <c r="J281" s="11" t="s">
        <v>7239</v>
      </c>
      <c r="K281" s="11" t="s">
        <v>821</v>
      </c>
      <c r="L281" s="16" t="s">
        <v>5585</v>
      </c>
      <c r="M281" s="11">
        <v>0</v>
      </c>
      <c r="N281" s="9" t="s">
        <v>5044</v>
      </c>
      <c r="O281" s="9" t="s">
        <v>5044</v>
      </c>
      <c r="P281" s="11">
        <v>0</v>
      </c>
      <c r="Q281" s="11">
        <v>0</v>
      </c>
      <c r="R281" s="11">
        <v>0</v>
      </c>
      <c r="S281" s="11">
        <v>9</v>
      </c>
      <c r="T281" s="11">
        <v>1</v>
      </c>
      <c r="U281" s="11">
        <v>690</v>
      </c>
      <c r="V281" s="11">
        <v>0</v>
      </c>
      <c r="W281" s="11">
        <v>1</v>
      </c>
      <c r="X281" s="11">
        <v>0</v>
      </c>
      <c r="Y281" s="11">
        <v>0</v>
      </c>
      <c r="Z281" s="11">
        <v>0</v>
      </c>
      <c r="AA281" s="11">
        <v>0</v>
      </c>
      <c r="AB281" s="11">
        <v>1</v>
      </c>
      <c r="AC281" s="11">
        <v>1</v>
      </c>
      <c r="AD281" s="11" t="s">
        <v>5044</v>
      </c>
      <c r="AE281" s="11" t="s">
        <v>5044</v>
      </c>
      <c r="AF281" s="11" t="s">
        <v>5044</v>
      </c>
      <c r="AG281" s="11">
        <v>2</v>
      </c>
      <c r="AH281" s="11">
        <v>2</v>
      </c>
      <c r="AI281" s="11">
        <v>2</v>
      </c>
      <c r="AJ281" s="11" t="s">
        <v>5044</v>
      </c>
      <c r="AK281" s="11" t="s">
        <v>5318</v>
      </c>
      <c r="AL281" s="11">
        <v>0</v>
      </c>
      <c r="AM281" s="11">
        <v>0</v>
      </c>
      <c r="AN281" s="11" t="s">
        <v>5318</v>
      </c>
      <c r="AO281" s="11" t="s">
        <v>5318</v>
      </c>
      <c r="AP281" s="11" t="s">
        <v>5318</v>
      </c>
      <c r="AQ281" s="11" t="s">
        <v>5318</v>
      </c>
    </row>
    <row r="282" spans="1:43" ht="63" customHeight="1" x14ac:dyDescent="0.2">
      <c r="A282" s="10">
        <v>3001</v>
      </c>
      <c r="B282" s="11" t="s">
        <v>7240</v>
      </c>
      <c r="C282" s="11" t="s">
        <v>822</v>
      </c>
      <c r="D282" s="11">
        <v>2022</v>
      </c>
      <c r="E282" s="11" t="s">
        <v>5318</v>
      </c>
      <c r="F282" s="11">
        <v>12</v>
      </c>
      <c r="G282" s="11" t="s">
        <v>5318</v>
      </c>
      <c r="H282" s="11" t="s">
        <v>6604</v>
      </c>
      <c r="I282" s="11" t="s">
        <v>6516</v>
      </c>
      <c r="J282" s="11" t="s">
        <v>7241</v>
      </c>
      <c r="K282" s="11" t="s">
        <v>823</v>
      </c>
      <c r="L282" s="11" t="s">
        <v>5044</v>
      </c>
      <c r="M282" s="11">
        <v>0</v>
      </c>
      <c r="N282" s="9" t="s">
        <v>5044</v>
      </c>
      <c r="O282" s="9" t="s">
        <v>5044</v>
      </c>
      <c r="P282" s="11">
        <v>0</v>
      </c>
      <c r="Q282" s="11">
        <v>0</v>
      </c>
      <c r="R282" s="11">
        <v>0</v>
      </c>
      <c r="S282" s="11">
        <v>1</v>
      </c>
      <c r="T282" s="11">
        <v>1</v>
      </c>
      <c r="U282" s="11">
        <v>6</v>
      </c>
      <c r="V282" s="11">
        <v>0</v>
      </c>
      <c r="W282" s="11">
        <v>1</v>
      </c>
      <c r="X282" s="11">
        <v>0</v>
      </c>
      <c r="Y282" s="11">
        <v>0</v>
      </c>
      <c r="Z282" s="11">
        <v>0</v>
      </c>
      <c r="AA282" s="11">
        <v>0</v>
      </c>
      <c r="AB282" s="11">
        <v>1</v>
      </c>
      <c r="AC282" s="11">
        <v>1</v>
      </c>
      <c r="AD282" s="11" t="s">
        <v>5044</v>
      </c>
      <c r="AE282" s="11" t="s">
        <v>5044</v>
      </c>
      <c r="AF282" s="11" t="s">
        <v>5044</v>
      </c>
      <c r="AG282" s="11">
        <v>1</v>
      </c>
      <c r="AH282" s="11">
        <v>0</v>
      </c>
      <c r="AI282" s="11">
        <v>0</v>
      </c>
      <c r="AJ282" s="11" t="s">
        <v>5044</v>
      </c>
      <c r="AK282" s="11" t="s">
        <v>5318</v>
      </c>
      <c r="AL282" s="11" t="s">
        <v>5044</v>
      </c>
      <c r="AM282" s="11">
        <v>0</v>
      </c>
      <c r="AN282" s="11" t="s">
        <v>6293</v>
      </c>
      <c r="AO282" s="11" t="s">
        <v>5318</v>
      </c>
      <c r="AP282" s="11" t="s">
        <v>5318</v>
      </c>
      <c r="AQ282" s="11" t="s">
        <v>5318</v>
      </c>
    </row>
    <row r="283" spans="1:43" ht="63" customHeight="1" x14ac:dyDescent="0.2">
      <c r="A283" s="10">
        <v>3010</v>
      </c>
      <c r="B283" s="11" t="s">
        <v>7242</v>
      </c>
      <c r="C283" s="11" t="s">
        <v>824</v>
      </c>
      <c r="D283" s="11">
        <v>2023</v>
      </c>
      <c r="E283" s="11" t="s">
        <v>5318</v>
      </c>
      <c r="F283" s="11">
        <v>78</v>
      </c>
      <c r="G283" s="11">
        <v>4</v>
      </c>
      <c r="H283" s="11" t="s">
        <v>6898</v>
      </c>
      <c r="I283" s="11" t="s">
        <v>6516</v>
      </c>
      <c r="J283" s="11" t="s">
        <v>7243</v>
      </c>
      <c r="K283" s="11" t="s">
        <v>825</v>
      </c>
      <c r="L283" s="16" t="s">
        <v>5586</v>
      </c>
      <c r="M283" s="11">
        <v>0</v>
      </c>
      <c r="N283" s="9" t="s">
        <v>5044</v>
      </c>
      <c r="O283" s="9" t="s">
        <v>5044</v>
      </c>
      <c r="P283" s="11">
        <v>0</v>
      </c>
      <c r="Q283" s="11">
        <v>0</v>
      </c>
      <c r="R283" s="11">
        <v>0</v>
      </c>
      <c r="S283" s="11">
        <v>1</v>
      </c>
      <c r="T283" s="11">
        <v>1</v>
      </c>
      <c r="U283" s="11">
        <v>177</v>
      </c>
      <c r="V283" s="11">
        <v>1</v>
      </c>
      <c r="W283" s="11">
        <v>0</v>
      </c>
      <c r="X283" s="11">
        <v>0</v>
      </c>
      <c r="Y283" s="11">
        <v>0</v>
      </c>
      <c r="Z283" s="11">
        <v>1</v>
      </c>
      <c r="AA283" s="11">
        <v>0</v>
      </c>
      <c r="AB283" s="11">
        <v>1</v>
      </c>
      <c r="AC283" s="11">
        <v>1</v>
      </c>
      <c r="AD283" s="11">
        <v>2</v>
      </c>
      <c r="AE283" s="11">
        <v>1</v>
      </c>
      <c r="AF283" s="11">
        <v>2</v>
      </c>
      <c r="AG283" s="11" t="s">
        <v>5044</v>
      </c>
      <c r="AH283" s="11" t="s">
        <v>5044</v>
      </c>
      <c r="AI283" s="11" t="s">
        <v>5044</v>
      </c>
      <c r="AJ283" s="11">
        <v>0</v>
      </c>
      <c r="AK283" s="11" t="s">
        <v>7244</v>
      </c>
      <c r="AL283" s="11">
        <v>0</v>
      </c>
      <c r="AM283" s="11">
        <v>0</v>
      </c>
      <c r="AN283" s="11" t="s">
        <v>5318</v>
      </c>
      <c r="AO283" s="11" t="s">
        <v>5318</v>
      </c>
      <c r="AP283" s="11" t="s">
        <v>5318</v>
      </c>
      <c r="AQ283" s="11" t="s">
        <v>5318</v>
      </c>
    </row>
    <row r="284" spans="1:43" ht="63" customHeight="1" x14ac:dyDescent="0.2">
      <c r="A284" s="10">
        <v>3014</v>
      </c>
      <c r="B284" s="11" t="s">
        <v>7245</v>
      </c>
      <c r="C284" s="11" t="s">
        <v>826</v>
      </c>
      <c r="D284" s="11">
        <v>2018</v>
      </c>
      <c r="E284" s="11" t="s">
        <v>5318</v>
      </c>
      <c r="F284" s="11">
        <v>105</v>
      </c>
      <c r="G284" s="11">
        <v>7</v>
      </c>
      <c r="H284" s="11" t="s">
        <v>6530</v>
      </c>
      <c r="I284" s="11" t="s">
        <v>6516</v>
      </c>
      <c r="J284" s="11" t="s">
        <v>7246</v>
      </c>
      <c r="K284" s="11" t="s">
        <v>827</v>
      </c>
      <c r="L284" s="11" t="s">
        <v>5044</v>
      </c>
      <c r="M284" s="11">
        <v>0</v>
      </c>
      <c r="N284" s="9" t="s">
        <v>5044</v>
      </c>
      <c r="O284" s="9" t="s">
        <v>5044</v>
      </c>
      <c r="P284" s="11">
        <v>0</v>
      </c>
      <c r="Q284" s="11">
        <v>0</v>
      </c>
      <c r="R284" s="11">
        <v>0</v>
      </c>
      <c r="S284" s="11">
        <v>1</v>
      </c>
      <c r="T284" s="11">
        <v>1</v>
      </c>
      <c r="U284" s="11">
        <v>142</v>
      </c>
      <c r="V284" s="11">
        <v>0</v>
      </c>
      <c r="W284" s="11">
        <v>1</v>
      </c>
      <c r="X284" s="11">
        <v>0</v>
      </c>
      <c r="Y284" s="11">
        <v>0</v>
      </c>
      <c r="Z284" s="11">
        <v>0</v>
      </c>
      <c r="AA284" s="11">
        <v>0</v>
      </c>
      <c r="AB284" s="11">
        <v>1</v>
      </c>
      <c r="AC284" s="11">
        <v>1</v>
      </c>
      <c r="AD284" s="11" t="s">
        <v>5044</v>
      </c>
      <c r="AE284" s="11" t="s">
        <v>5044</v>
      </c>
      <c r="AF284" s="11" t="s">
        <v>5044</v>
      </c>
      <c r="AG284" s="11">
        <v>2</v>
      </c>
      <c r="AH284" s="11">
        <v>3</v>
      </c>
      <c r="AI284" s="11">
        <v>0</v>
      </c>
      <c r="AJ284" s="11" t="s">
        <v>5044</v>
      </c>
      <c r="AK284" s="11">
        <v>1</v>
      </c>
      <c r="AL284" s="11">
        <v>0</v>
      </c>
      <c r="AM284" s="11">
        <v>0</v>
      </c>
      <c r="AN284" s="11" t="s">
        <v>5318</v>
      </c>
      <c r="AO284" s="11" t="s">
        <v>5318</v>
      </c>
      <c r="AP284" s="11" t="s">
        <v>5318</v>
      </c>
      <c r="AQ284" s="11" t="s">
        <v>5318</v>
      </c>
    </row>
    <row r="285" spans="1:43" ht="63" customHeight="1" x14ac:dyDescent="0.2">
      <c r="A285" s="10">
        <v>3033</v>
      </c>
      <c r="B285" s="11" t="s">
        <v>7247</v>
      </c>
      <c r="C285" s="11" t="s">
        <v>828</v>
      </c>
      <c r="D285" s="11">
        <v>2021</v>
      </c>
      <c r="E285" s="11" t="s">
        <v>5318</v>
      </c>
      <c r="F285" s="11">
        <v>127</v>
      </c>
      <c r="G285" s="11">
        <v>5</v>
      </c>
      <c r="H285" s="11" t="s">
        <v>6454</v>
      </c>
      <c r="I285" s="11" t="s">
        <v>6516</v>
      </c>
      <c r="J285" s="11" t="s">
        <v>7248</v>
      </c>
      <c r="K285" s="11" t="s">
        <v>830</v>
      </c>
      <c r="L285" s="16" t="s">
        <v>5587</v>
      </c>
      <c r="M285" s="11">
        <v>0</v>
      </c>
      <c r="N285" s="9" t="s">
        <v>5044</v>
      </c>
      <c r="O285" s="9" t="s">
        <v>5044</v>
      </c>
      <c r="P285" s="11">
        <v>0</v>
      </c>
      <c r="Q285" s="11">
        <v>0</v>
      </c>
      <c r="R285" s="11">
        <v>0</v>
      </c>
      <c r="S285" s="11">
        <v>9</v>
      </c>
      <c r="T285" s="11">
        <v>1</v>
      </c>
      <c r="U285" s="11">
        <v>68</v>
      </c>
      <c r="V285" s="11">
        <v>0</v>
      </c>
      <c r="W285" s="11">
        <v>1</v>
      </c>
      <c r="X285" s="11">
        <v>0</v>
      </c>
      <c r="Y285" s="11">
        <v>0</v>
      </c>
      <c r="Z285" s="11">
        <v>0</v>
      </c>
      <c r="AA285" s="11">
        <v>0</v>
      </c>
      <c r="AB285" s="11">
        <v>1</v>
      </c>
      <c r="AC285" s="11">
        <v>1</v>
      </c>
      <c r="AD285" s="11" t="s">
        <v>5044</v>
      </c>
      <c r="AE285" s="11" t="s">
        <v>5044</v>
      </c>
      <c r="AF285" s="11" t="s">
        <v>5044</v>
      </c>
      <c r="AG285" s="11">
        <v>2</v>
      </c>
      <c r="AH285" s="11">
        <v>1</v>
      </c>
      <c r="AI285" s="11">
        <v>2</v>
      </c>
      <c r="AJ285" s="11" t="s">
        <v>5044</v>
      </c>
      <c r="AK285" s="11" t="s">
        <v>5318</v>
      </c>
      <c r="AL285" s="11">
        <v>0</v>
      </c>
      <c r="AM285" s="11">
        <v>0</v>
      </c>
      <c r="AN285" s="11" t="s">
        <v>5318</v>
      </c>
      <c r="AO285" s="11" t="s">
        <v>5318</v>
      </c>
      <c r="AP285" s="11" t="s">
        <v>5318</v>
      </c>
      <c r="AQ285" s="11" t="s">
        <v>5318</v>
      </c>
    </row>
    <row r="286" spans="1:43" ht="63" customHeight="1" x14ac:dyDescent="0.2">
      <c r="A286" s="10">
        <v>3041</v>
      </c>
      <c r="B286" s="11" t="s">
        <v>7249</v>
      </c>
      <c r="C286" s="11" t="s">
        <v>831</v>
      </c>
      <c r="D286" s="11">
        <v>2020</v>
      </c>
      <c r="E286" s="11" t="s">
        <v>5318</v>
      </c>
      <c r="F286" s="11">
        <v>21</v>
      </c>
      <c r="G286" s="11">
        <v>1</v>
      </c>
      <c r="H286" s="11" t="s">
        <v>6538</v>
      </c>
      <c r="I286" s="11" t="s">
        <v>6516</v>
      </c>
      <c r="J286" s="11" t="s">
        <v>7250</v>
      </c>
      <c r="K286" s="11" t="s">
        <v>832</v>
      </c>
      <c r="L286" s="12" t="s">
        <v>5588</v>
      </c>
      <c r="M286" s="11">
        <v>1</v>
      </c>
      <c r="N286" s="11">
        <v>0</v>
      </c>
      <c r="O286" s="9" t="s">
        <v>5044</v>
      </c>
      <c r="P286" s="11">
        <v>0</v>
      </c>
      <c r="Q286" s="11">
        <v>0</v>
      </c>
      <c r="R286" s="11">
        <v>0</v>
      </c>
      <c r="S286" s="11">
        <v>9</v>
      </c>
      <c r="T286" s="11">
        <v>1</v>
      </c>
      <c r="U286" s="11">
        <v>600</v>
      </c>
      <c r="V286" s="11">
        <v>1</v>
      </c>
      <c r="W286" s="11">
        <v>1</v>
      </c>
      <c r="X286" s="11">
        <v>0</v>
      </c>
      <c r="Y286" s="11">
        <v>0</v>
      </c>
      <c r="Z286" s="11">
        <v>0</v>
      </c>
      <c r="AA286" s="11">
        <v>0</v>
      </c>
      <c r="AB286" s="11">
        <v>1</v>
      </c>
      <c r="AC286" s="11" t="s">
        <v>5044</v>
      </c>
      <c r="AD286" s="11" t="s">
        <v>5044</v>
      </c>
      <c r="AE286" s="11" t="s">
        <v>5044</v>
      </c>
      <c r="AF286" s="11" t="s">
        <v>5044</v>
      </c>
      <c r="AG286" s="11" t="s">
        <v>5044</v>
      </c>
      <c r="AH286" s="11" t="s">
        <v>5044</v>
      </c>
      <c r="AI286" s="11" t="s">
        <v>5044</v>
      </c>
      <c r="AJ286" s="11" t="s">
        <v>5044</v>
      </c>
      <c r="AK286" s="11" t="s">
        <v>5318</v>
      </c>
      <c r="AL286" s="11" t="s">
        <v>5044</v>
      </c>
      <c r="AM286" s="11">
        <v>0</v>
      </c>
      <c r="AN286" s="11" t="s">
        <v>5318</v>
      </c>
      <c r="AO286" s="11" t="s">
        <v>5318</v>
      </c>
      <c r="AP286" s="11" t="s">
        <v>5318</v>
      </c>
      <c r="AQ286" s="11" t="s">
        <v>5318</v>
      </c>
    </row>
    <row r="287" spans="1:43" ht="63" customHeight="1" x14ac:dyDescent="0.2">
      <c r="A287" s="10">
        <v>3050</v>
      </c>
      <c r="B287" s="11" t="s">
        <v>7251</v>
      </c>
      <c r="C287" s="11" t="s">
        <v>833</v>
      </c>
      <c r="D287" s="11">
        <v>2011</v>
      </c>
      <c r="E287" s="11" t="s">
        <v>5318</v>
      </c>
      <c r="F287" s="11">
        <v>98</v>
      </c>
      <c r="G287" s="11">
        <v>9</v>
      </c>
      <c r="H287" s="11" t="s">
        <v>6530</v>
      </c>
      <c r="I287" s="11" t="s">
        <v>6516</v>
      </c>
      <c r="J287" s="11" t="s">
        <v>7252</v>
      </c>
      <c r="K287" s="11" t="s">
        <v>835</v>
      </c>
      <c r="L287" s="16" t="s">
        <v>5589</v>
      </c>
      <c r="M287" s="11">
        <v>0</v>
      </c>
      <c r="N287" s="9" t="s">
        <v>5044</v>
      </c>
      <c r="O287" s="9" t="s">
        <v>5044</v>
      </c>
      <c r="P287" s="11">
        <v>0</v>
      </c>
      <c r="Q287" s="11">
        <v>0</v>
      </c>
      <c r="R287" s="11">
        <v>0</v>
      </c>
      <c r="S287" s="11">
        <v>1</v>
      </c>
      <c r="T287" s="11">
        <v>1</v>
      </c>
      <c r="U287" s="11">
        <v>87</v>
      </c>
      <c r="V287" s="11">
        <v>0</v>
      </c>
      <c r="W287" s="11">
        <v>1</v>
      </c>
      <c r="X287" s="11">
        <v>0</v>
      </c>
      <c r="Y287" s="11">
        <v>0</v>
      </c>
      <c r="Z287" s="11">
        <v>0</v>
      </c>
      <c r="AA287" s="11">
        <v>0</v>
      </c>
      <c r="AB287" s="11">
        <v>1</v>
      </c>
      <c r="AC287" s="11">
        <v>1</v>
      </c>
      <c r="AD287" s="11" t="s">
        <v>5044</v>
      </c>
      <c r="AE287" s="11" t="s">
        <v>5044</v>
      </c>
      <c r="AF287" s="11" t="s">
        <v>5044</v>
      </c>
      <c r="AG287" s="11">
        <v>1</v>
      </c>
      <c r="AH287" s="11">
        <v>0</v>
      </c>
      <c r="AI287" s="11">
        <v>0</v>
      </c>
      <c r="AJ287" s="11" t="s">
        <v>5044</v>
      </c>
      <c r="AK287" s="11" t="s">
        <v>5318</v>
      </c>
      <c r="AL287" s="11">
        <v>0</v>
      </c>
      <c r="AM287" s="11">
        <v>0</v>
      </c>
      <c r="AN287" s="11" t="s">
        <v>5318</v>
      </c>
      <c r="AO287" s="11" t="s">
        <v>5318</v>
      </c>
      <c r="AP287" s="11" t="s">
        <v>5318</v>
      </c>
      <c r="AQ287" s="11" t="s">
        <v>5318</v>
      </c>
    </row>
    <row r="288" spans="1:43" ht="63" customHeight="1" x14ac:dyDescent="0.2">
      <c r="A288" s="10">
        <v>3054</v>
      </c>
      <c r="B288" s="11" t="s">
        <v>7253</v>
      </c>
      <c r="C288" s="11" t="s">
        <v>836</v>
      </c>
      <c r="D288" s="11">
        <v>2020</v>
      </c>
      <c r="E288" s="11" t="s">
        <v>305</v>
      </c>
      <c r="F288" s="11">
        <v>21</v>
      </c>
      <c r="G288" s="11">
        <v>1</v>
      </c>
      <c r="H288" s="11" t="s">
        <v>7254</v>
      </c>
      <c r="I288" s="11" t="s">
        <v>6516</v>
      </c>
      <c r="J288" s="11" t="s">
        <v>7255</v>
      </c>
      <c r="K288" s="11" t="s">
        <v>838</v>
      </c>
      <c r="L288" s="16" t="s">
        <v>5590</v>
      </c>
      <c r="M288" s="11">
        <v>1</v>
      </c>
      <c r="N288" s="11">
        <v>0</v>
      </c>
      <c r="O288" s="9" t="s">
        <v>5044</v>
      </c>
      <c r="P288" s="11">
        <v>0</v>
      </c>
      <c r="Q288" s="11">
        <v>0</v>
      </c>
      <c r="R288" s="11">
        <v>0</v>
      </c>
      <c r="S288" s="11">
        <v>9</v>
      </c>
      <c r="T288" s="11">
        <v>1</v>
      </c>
      <c r="U288" s="11">
        <v>150</v>
      </c>
      <c r="V288" s="11">
        <v>0</v>
      </c>
      <c r="W288" s="11">
        <v>1</v>
      </c>
      <c r="X288" s="11">
        <v>0</v>
      </c>
      <c r="Y288" s="11">
        <v>0</v>
      </c>
      <c r="Z288" s="11">
        <v>0</v>
      </c>
      <c r="AA288" s="11">
        <v>0</v>
      </c>
      <c r="AB288" s="11">
        <v>1</v>
      </c>
      <c r="AC288" s="11" t="s">
        <v>5044</v>
      </c>
      <c r="AD288" s="11" t="s">
        <v>5044</v>
      </c>
      <c r="AE288" s="11" t="s">
        <v>5044</v>
      </c>
      <c r="AF288" s="11" t="s">
        <v>5044</v>
      </c>
      <c r="AG288" s="11" t="s">
        <v>5044</v>
      </c>
      <c r="AH288" s="11" t="s">
        <v>5044</v>
      </c>
      <c r="AI288" s="11" t="s">
        <v>5044</v>
      </c>
      <c r="AJ288" s="11" t="s">
        <v>5044</v>
      </c>
      <c r="AK288" s="11" t="s">
        <v>5318</v>
      </c>
      <c r="AL288" s="11" t="s">
        <v>5044</v>
      </c>
      <c r="AM288" s="11">
        <v>0</v>
      </c>
      <c r="AN288" s="11" t="s">
        <v>5318</v>
      </c>
      <c r="AO288" s="11" t="s">
        <v>5318</v>
      </c>
      <c r="AP288" s="11" t="s">
        <v>5318</v>
      </c>
      <c r="AQ288" s="11" t="s">
        <v>5318</v>
      </c>
    </row>
    <row r="289" spans="1:43" ht="63" customHeight="1" x14ac:dyDescent="0.2">
      <c r="A289" s="10">
        <v>3059</v>
      </c>
      <c r="B289" s="11" t="s">
        <v>7256</v>
      </c>
      <c r="C289" s="11" t="s">
        <v>839</v>
      </c>
      <c r="D289" s="11">
        <v>2018</v>
      </c>
      <c r="E289" s="11" t="s">
        <v>5318</v>
      </c>
      <c r="F289" s="11">
        <v>18</v>
      </c>
      <c r="G289" s="11">
        <v>1</v>
      </c>
      <c r="H289" s="11" t="s">
        <v>7257</v>
      </c>
      <c r="I289" s="11" t="s">
        <v>6516</v>
      </c>
      <c r="J289" s="11" t="s">
        <v>7258</v>
      </c>
      <c r="K289" s="11" t="s">
        <v>841</v>
      </c>
      <c r="L289" s="16" t="s">
        <v>5591</v>
      </c>
      <c r="M289" s="11">
        <v>0</v>
      </c>
      <c r="N289" s="9" t="s">
        <v>5044</v>
      </c>
      <c r="O289" s="9" t="s">
        <v>5044</v>
      </c>
      <c r="P289" s="11">
        <v>0</v>
      </c>
      <c r="Q289" s="11">
        <v>0</v>
      </c>
      <c r="R289" s="11">
        <v>0</v>
      </c>
      <c r="S289" s="11">
        <v>4</v>
      </c>
      <c r="T289" s="11">
        <v>1</v>
      </c>
      <c r="U289" s="11">
        <v>190</v>
      </c>
      <c r="V289" s="11">
        <v>0</v>
      </c>
      <c r="W289" s="11">
        <v>1</v>
      </c>
      <c r="X289" s="11">
        <v>0</v>
      </c>
      <c r="Y289" s="11">
        <v>0</v>
      </c>
      <c r="Z289" s="11">
        <v>0</v>
      </c>
      <c r="AA289" s="11">
        <v>0</v>
      </c>
      <c r="AB289" s="11">
        <v>1</v>
      </c>
      <c r="AC289" s="11">
        <v>1</v>
      </c>
      <c r="AD289" s="11" t="s">
        <v>5044</v>
      </c>
      <c r="AE289" s="11" t="s">
        <v>5044</v>
      </c>
      <c r="AF289" s="11" t="s">
        <v>5044</v>
      </c>
      <c r="AG289" s="11">
        <v>2</v>
      </c>
      <c r="AH289" s="11">
        <v>3</v>
      </c>
      <c r="AI289" s="11">
        <v>0</v>
      </c>
      <c r="AJ289" s="11" t="s">
        <v>5044</v>
      </c>
      <c r="AK289" s="11">
        <v>1</v>
      </c>
      <c r="AL289" s="11">
        <v>0</v>
      </c>
      <c r="AM289" s="11">
        <v>0</v>
      </c>
      <c r="AN289" s="11" t="s">
        <v>5318</v>
      </c>
      <c r="AO289" s="11" t="s">
        <v>5318</v>
      </c>
      <c r="AP289" s="11" t="s">
        <v>5318</v>
      </c>
      <c r="AQ289" s="11" t="s">
        <v>5318</v>
      </c>
    </row>
    <row r="290" spans="1:43" ht="63" customHeight="1" x14ac:dyDescent="0.2">
      <c r="A290" s="10">
        <v>3064</v>
      </c>
      <c r="B290" s="11" t="s">
        <v>7259</v>
      </c>
      <c r="C290" s="11" t="s">
        <v>842</v>
      </c>
      <c r="D290" s="11">
        <v>2013</v>
      </c>
      <c r="E290" s="11" t="s">
        <v>5318</v>
      </c>
      <c r="F290" s="11">
        <v>37</v>
      </c>
      <c r="G290" s="11">
        <v>4</v>
      </c>
      <c r="H290" s="11" t="s">
        <v>6745</v>
      </c>
      <c r="I290" s="11" t="s">
        <v>6516</v>
      </c>
      <c r="J290" s="11" t="s">
        <v>7260</v>
      </c>
      <c r="K290" s="11" t="s">
        <v>843</v>
      </c>
      <c r="L290" s="11" t="s">
        <v>5044</v>
      </c>
      <c r="M290" s="11">
        <v>0</v>
      </c>
      <c r="N290" s="9" t="s">
        <v>5044</v>
      </c>
      <c r="O290" s="9" t="s">
        <v>5044</v>
      </c>
      <c r="P290" s="11">
        <v>0</v>
      </c>
      <c r="Q290" s="11">
        <v>0</v>
      </c>
      <c r="R290" s="11">
        <v>0</v>
      </c>
      <c r="S290" s="11">
        <v>1</v>
      </c>
      <c r="T290" s="11">
        <v>1</v>
      </c>
      <c r="U290" s="11">
        <v>100</v>
      </c>
      <c r="V290" s="11">
        <v>0</v>
      </c>
      <c r="W290" s="11">
        <v>1</v>
      </c>
      <c r="X290" s="11">
        <v>0</v>
      </c>
      <c r="Y290" s="11">
        <v>0</v>
      </c>
      <c r="Z290" s="11">
        <v>0</v>
      </c>
      <c r="AA290" s="11">
        <v>0</v>
      </c>
      <c r="AB290" s="11">
        <v>1</v>
      </c>
      <c r="AC290" s="11">
        <v>1</v>
      </c>
      <c r="AD290" s="11" t="s">
        <v>5044</v>
      </c>
      <c r="AE290" s="11" t="s">
        <v>5044</v>
      </c>
      <c r="AF290" s="11" t="s">
        <v>5044</v>
      </c>
      <c r="AG290" s="11">
        <v>1</v>
      </c>
      <c r="AH290" s="11">
        <v>0</v>
      </c>
      <c r="AI290" s="11">
        <v>0</v>
      </c>
      <c r="AJ290" s="11" t="s">
        <v>5044</v>
      </c>
      <c r="AK290" s="11" t="s">
        <v>5318</v>
      </c>
      <c r="AL290" s="11">
        <v>0</v>
      </c>
      <c r="AM290" s="11">
        <v>0</v>
      </c>
      <c r="AN290" s="11" t="s">
        <v>5318</v>
      </c>
      <c r="AO290" s="11" t="s">
        <v>5318</v>
      </c>
      <c r="AP290" s="11" t="s">
        <v>5318</v>
      </c>
      <c r="AQ290" s="11" t="s">
        <v>5318</v>
      </c>
    </row>
    <row r="291" spans="1:43" ht="63" customHeight="1" x14ac:dyDescent="0.2">
      <c r="A291" s="10">
        <v>3071</v>
      </c>
      <c r="B291" s="11" t="s">
        <v>7261</v>
      </c>
      <c r="C291" s="11" t="s">
        <v>844</v>
      </c>
      <c r="D291" s="11">
        <v>2020</v>
      </c>
      <c r="E291" s="11" t="s">
        <v>5318</v>
      </c>
      <c r="F291" s="11">
        <v>24</v>
      </c>
      <c r="G291" s="11">
        <v>9</v>
      </c>
      <c r="H291" s="11" t="s">
        <v>6725</v>
      </c>
      <c r="I291" s="11" t="s">
        <v>6516</v>
      </c>
      <c r="J291" s="11" t="s">
        <v>7262</v>
      </c>
      <c r="K291" s="11" t="s">
        <v>845</v>
      </c>
      <c r="L291" s="12" t="s">
        <v>5592</v>
      </c>
      <c r="M291" s="11">
        <v>0</v>
      </c>
      <c r="N291" s="9" t="s">
        <v>5044</v>
      </c>
      <c r="O291" s="9" t="s">
        <v>5044</v>
      </c>
      <c r="P291" s="11">
        <v>0</v>
      </c>
      <c r="Q291" s="11">
        <v>0</v>
      </c>
      <c r="R291" s="11">
        <v>0</v>
      </c>
      <c r="S291" s="11">
        <v>1</v>
      </c>
      <c r="T291" s="11">
        <v>4</v>
      </c>
      <c r="U291" s="11">
        <v>82</v>
      </c>
      <c r="V291" s="11">
        <v>0</v>
      </c>
      <c r="W291" s="11">
        <v>1</v>
      </c>
      <c r="X291" s="11">
        <v>0</v>
      </c>
      <c r="Y291" s="11">
        <v>0</v>
      </c>
      <c r="Z291" s="11">
        <v>0</v>
      </c>
      <c r="AA291" s="11">
        <v>0</v>
      </c>
      <c r="AB291" s="11">
        <v>1</v>
      </c>
      <c r="AC291" s="11">
        <v>1</v>
      </c>
      <c r="AD291" s="11" t="s">
        <v>5044</v>
      </c>
      <c r="AE291" s="11" t="s">
        <v>5044</v>
      </c>
      <c r="AF291" s="11" t="s">
        <v>5044</v>
      </c>
      <c r="AG291" s="11">
        <v>2</v>
      </c>
      <c r="AH291" s="11">
        <v>3</v>
      </c>
      <c r="AI291" s="11">
        <v>0</v>
      </c>
      <c r="AJ291" s="11" t="s">
        <v>5044</v>
      </c>
      <c r="AK291" s="11" t="s">
        <v>5318</v>
      </c>
      <c r="AL291" s="11">
        <v>1</v>
      </c>
      <c r="AM291" s="11">
        <v>0</v>
      </c>
      <c r="AN291" s="11" t="s">
        <v>5318</v>
      </c>
      <c r="AO291" s="11" t="s">
        <v>5318</v>
      </c>
      <c r="AP291" s="11" t="s">
        <v>5318</v>
      </c>
      <c r="AQ291" s="11" t="s">
        <v>5318</v>
      </c>
    </row>
    <row r="292" spans="1:43" ht="63" customHeight="1" x14ac:dyDescent="0.2">
      <c r="A292" s="10">
        <v>3105</v>
      </c>
      <c r="B292" s="11" t="s">
        <v>7263</v>
      </c>
      <c r="C292" s="11" t="s">
        <v>846</v>
      </c>
      <c r="D292" s="11">
        <v>2021</v>
      </c>
      <c r="E292" s="11" t="s">
        <v>5318</v>
      </c>
      <c r="F292" s="11">
        <v>51</v>
      </c>
      <c r="G292" s="11">
        <v>4</v>
      </c>
      <c r="H292" s="11" t="s">
        <v>7264</v>
      </c>
      <c r="I292" s="11" t="s">
        <v>6516</v>
      </c>
      <c r="J292" s="11" t="s">
        <v>7265</v>
      </c>
      <c r="K292" s="11" t="s">
        <v>847</v>
      </c>
      <c r="L292" s="11" t="s">
        <v>5044</v>
      </c>
      <c r="M292" s="11">
        <v>0</v>
      </c>
      <c r="N292" s="9" t="s">
        <v>5044</v>
      </c>
      <c r="O292" s="9" t="s">
        <v>5044</v>
      </c>
      <c r="P292" s="11">
        <v>0</v>
      </c>
      <c r="Q292" s="11">
        <v>0</v>
      </c>
      <c r="R292" s="11">
        <v>0</v>
      </c>
      <c r="S292" s="11">
        <v>1</v>
      </c>
      <c r="T292" s="11">
        <v>4</v>
      </c>
      <c r="U292" s="11">
        <v>70</v>
      </c>
      <c r="V292" s="11">
        <v>0</v>
      </c>
      <c r="W292" s="11">
        <v>1</v>
      </c>
      <c r="X292" s="11">
        <v>0</v>
      </c>
      <c r="Y292" s="11">
        <v>0</v>
      </c>
      <c r="Z292" s="11">
        <v>0</v>
      </c>
      <c r="AA292" s="11">
        <v>0</v>
      </c>
      <c r="AB292" s="11">
        <v>1</v>
      </c>
      <c r="AC292" s="11">
        <v>0</v>
      </c>
      <c r="AD292" s="11" t="s">
        <v>5044</v>
      </c>
      <c r="AE292" s="11" t="s">
        <v>5044</v>
      </c>
      <c r="AF292" s="11" t="s">
        <v>5044</v>
      </c>
      <c r="AG292" s="11">
        <v>0</v>
      </c>
      <c r="AH292" s="11" t="s">
        <v>5044</v>
      </c>
      <c r="AI292" s="11" t="s">
        <v>5044</v>
      </c>
      <c r="AJ292" s="11" t="s">
        <v>5044</v>
      </c>
      <c r="AK292" s="11" t="s">
        <v>5318</v>
      </c>
      <c r="AL292" s="11">
        <v>0</v>
      </c>
      <c r="AM292" s="11">
        <v>0</v>
      </c>
      <c r="AN292" s="11" t="s">
        <v>5318</v>
      </c>
      <c r="AO292" s="11" t="s">
        <v>5318</v>
      </c>
      <c r="AP292" s="11" t="s">
        <v>5318</v>
      </c>
      <c r="AQ292" s="11" t="s">
        <v>5318</v>
      </c>
    </row>
    <row r="293" spans="1:43" ht="63" customHeight="1" x14ac:dyDescent="0.2">
      <c r="A293" s="10">
        <v>3119</v>
      </c>
      <c r="B293" s="11" t="s">
        <v>7266</v>
      </c>
      <c r="C293" s="11" t="s">
        <v>848</v>
      </c>
      <c r="D293" s="11">
        <v>2018</v>
      </c>
      <c r="E293" s="11" t="s">
        <v>5318</v>
      </c>
      <c r="F293" s="11">
        <v>55</v>
      </c>
      <c r="G293" s="11">
        <v>5</v>
      </c>
      <c r="H293" s="11" t="s">
        <v>7267</v>
      </c>
      <c r="I293" s="11" t="s">
        <v>6516</v>
      </c>
      <c r="J293" s="11" t="s">
        <v>7268</v>
      </c>
      <c r="K293" s="11" t="s">
        <v>849</v>
      </c>
      <c r="L293" s="12" t="s">
        <v>5593</v>
      </c>
      <c r="M293" s="11">
        <v>0</v>
      </c>
      <c r="N293" s="9" t="s">
        <v>5044</v>
      </c>
      <c r="O293" s="9" t="s">
        <v>5044</v>
      </c>
      <c r="P293" s="11">
        <v>1</v>
      </c>
      <c r="Q293" s="11">
        <v>0</v>
      </c>
      <c r="R293" s="11">
        <v>0</v>
      </c>
      <c r="S293" s="11" t="s">
        <v>7668</v>
      </c>
      <c r="T293" s="11">
        <v>1</v>
      </c>
      <c r="U293" s="11">
        <v>58</v>
      </c>
      <c r="V293" s="11">
        <v>0</v>
      </c>
      <c r="W293" s="11">
        <v>1</v>
      </c>
      <c r="X293" s="11">
        <v>0</v>
      </c>
      <c r="Y293" s="11">
        <v>0</v>
      </c>
      <c r="Z293" s="11">
        <v>0</v>
      </c>
      <c r="AA293" s="11">
        <v>0</v>
      </c>
      <c r="AB293" s="11">
        <v>1</v>
      </c>
      <c r="AC293" s="11">
        <v>1</v>
      </c>
      <c r="AD293" s="11" t="s">
        <v>5044</v>
      </c>
      <c r="AE293" s="11" t="s">
        <v>5044</v>
      </c>
      <c r="AF293" s="11" t="s">
        <v>5044</v>
      </c>
      <c r="AG293" s="11">
        <v>2</v>
      </c>
      <c r="AH293" s="11">
        <v>3</v>
      </c>
      <c r="AI293" s="11">
        <v>0</v>
      </c>
      <c r="AJ293" s="11" t="s">
        <v>5044</v>
      </c>
      <c r="AK293" s="11" t="s">
        <v>5318</v>
      </c>
      <c r="AL293" s="11" t="s">
        <v>5044</v>
      </c>
      <c r="AM293" s="11">
        <v>0</v>
      </c>
      <c r="AN293" s="11" t="s">
        <v>6293</v>
      </c>
      <c r="AO293" s="11" t="s">
        <v>5318</v>
      </c>
      <c r="AP293" s="11" t="s">
        <v>5318</v>
      </c>
      <c r="AQ293" s="11" t="s">
        <v>5318</v>
      </c>
    </row>
    <row r="294" spans="1:43" ht="63" customHeight="1" x14ac:dyDescent="0.2">
      <c r="A294" s="10">
        <v>3122</v>
      </c>
      <c r="B294" s="11" t="s">
        <v>7269</v>
      </c>
      <c r="C294" s="11" t="s">
        <v>850</v>
      </c>
      <c r="D294" s="11">
        <v>2023</v>
      </c>
      <c r="E294" s="11" t="s">
        <v>5318</v>
      </c>
      <c r="F294" s="11">
        <v>66</v>
      </c>
      <c r="G294" s="11">
        <v>2</v>
      </c>
      <c r="H294" s="11" t="s">
        <v>6598</v>
      </c>
      <c r="I294" s="11" t="s">
        <v>6516</v>
      </c>
      <c r="J294" s="11" t="s">
        <v>7270</v>
      </c>
      <c r="K294" s="11" t="s">
        <v>851</v>
      </c>
      <c r="L294" s="12" t="s">
        <v>5594</v>
      </c>
      <c r="M294" s="11">
        <v>0</v>
      </c>
      <c r="N294" s="9" t="s">
        <v>5044</v>
      </c>
      <c r="O294" s="9" t="s">
        <v>5044</v>
      </c>
      <c r="P294" s="11">
        <v>0</v>
      </c>
      <c r="Q294" s="11">
        <v>0</v>
      </c>
      <c r="R294" s="11">
        <v>0</v>
      </c>
      <c r="S294" s="11">
        <v>1</v>
      </c>
      <c r="T294" s="11">
        <v>2</v>
      </c>
      <c r="U294" s="11">
        <v>298</v>
      </c>
      <c r="V294" s="11">
        <v>0</v>
      </c>
      <c r="W294" s="11">
        <v>1</v>
      </c>
      <c r="X294" s="11">
        <v>0</v>
      </c>
      <c r="Y294" s="11">
        <v>0</v>
      </c>
      <c r="Z294" s="11">
        <v>0</v>
      </c>
      <c r="AA294" s="11">
        <v>0</v>
      </c>
      <c r="AB294" s="11">
        <v>1</v>
      </c>
      <c r="AC294" s="11">
        <v>1</v>
      </c>
      <c r="AD294" s="11" t="s">
        <v>5044</v>
      </c>
      <c r="AE294" s="11" t="s">
        <v>5044</v>
      </c>
      <c r="AF294" s="11" t="s">
        <v>5044</v>
      </c>
      <c r="AG294" s="11">
        <v>1</v>
      </c>
      <c r="AH294" s="11">
        <v>0</v>
      </c>
      <c r="AI294" s="11">
        <v>0</v>
      </c>
      <c r="AJ294" s="11" t="s">
        <v>5044</v>
      </c>
      <c r="AK294" s="11" t="s">
        <v>5318</v>
      </c>
      <c r="AL294" s="11">
        <v>0</v>
      </c>
      <c r="AM294" s="11">
        <v>0</v>
      </c>
      <c r="AN294" s="11" t="s">
        <v>5318</v>
      </c>
      <c r="AO294" s="11" t="s">
        <v>5318</v>
      </c>
      <c r="AP294" s="11" t="s">
        <v>5318</v>
      </c>
      <c r="AQ294" s="11" t="s">
        <v>5318</v>
      </c>
    </row>
    <row r="295" spans="1:43" ht="63" customHeight="1" x14ac:dyDescent="0.2">
      <c r="A295" s="10">
        <v>3137</v>
      </c>
      <c r="B295" s="11" t="s">
        <v>7271</v>
      </c>
      <c r="C295" s="11" t="s">
        <v>852</v>
      </c>
      <c r="D295" s="11">
        <v>2018</v>
      </c>
      <c r="E295" s="11" t="s">
        <v>5318</v>
      </c>
      <c r="F295" s="11">
        <v>267</v>
      </c>
      <c r="G295" s="11">
        <v>5</v>
      </c>
      <c r="H295" s="11" t="s">
        <v>6533</v>
      </c>
      <c r="I295" s="11" t="s">
        <v>6516</v>
      </c>
      <c r="J295" s="11" t="s">
        <v>7272</v>
      </c>
      <c r="K295" s="11" t="s">
        <v>853</v>
      </c>
      <c r="L295" s="12" t="s">
        <v>5595</v>
      </c>
      <c r="M295" s="11">
        <v>0</v>
      </c>
      <c r="N295" s="9" t="s">
        <v>5044</v>
      </c>
      <c r="O295" s="9" t="s">
        <v>5044</v>
      </c>
      <c r="P295" s="11">
        <v>0</v>
      </c>
      <c r="Q295" s="11">
        <v>0</v>
      </c>
      <c r="R295" s="11">
        <v>0</v>
      </c>
      <c r="S295" s="11">
        <v>1</v>
      </c>
      <c r="T295" s="11">
        <v>1</v>
      </c>
      <c r="U295" s="11">
        <v>100</v>
      </c>
      <c r="V295" s="11">
        <v>0</v>
      </c>
      <c r="W295" s="11">
        <v>1</v>
      </c>
      <c r="X295" s="11">
        <v>0</v>
      </c>
      <c r="Y295" s="11">
        <v>0</v>
      </c>
      <c r="Z295" s="11">
        <v>0</v>
      </c>
      <c r="AA295" s="11">
        <v>0</v>
      </c>
      <c r="AB295" s="11">
        <v>1</v>
      </c>
      <c r="AC295" s="11">
        <v>1</v>
      </c>
      <c r="AD295" s="11" t="s">
        <v>5044</v>
      </c>
      <c r="AE295" s="11" t="s">
        <v>5044</v>
      </c>
      <c r="AF295" s="11" t="s">
        <v>5044</v>
      </c>
      <c r="AG295" s="11">
        <v>1</v>
      </c>
      <c r="AH295" s="11">
        <v>0</v>
      </c>
      <c r="AI295" s="11">
        <v>0</v>
      </c>
      <c r="AJ295" s="11" t="s">
        <v>5044</v>
      </c>
      <c r="AK295" s="11" t="s">
        <v>5318</v>
      </c>
      <c r="AL295" s="11">
        <v>1</v>
      </c>
      <c r="AM295" s="11">
        <v>0</v>
      </c>
      <c r="AN295" s="11" t="s">
        <v>5318</v>
      </c>
      <c r="AO295" s="11" t="s">
        <v>5318</v>
      </c>
      <c r="AP295" s="11" t="s">
        <v>5318</v>
      </c>
      <c r="AQ295" s="11" t="s">
        <v>5318</v>
      </c>
    </row>
    <row r="296" spans="1:43" ht="63" customHeight="1" x14ac:dyDescent="0.2">
      <c r="A296" s="10">
        <v>3150</v>
      </c>
      <c r="B296" s="11" t="s">
        <v>7273</v>
      </c>
      <c r="C296" s="11" t="s">
        <v>854</v>
      </c>
      <c r="D296" s="11">
        <v>2022</v>
      </c>
      <c r="E296" s="11" t="s">
        <v>5318</v>
      </c>
      <c r="F296" s="11">
        <v>12</v>
      </c>
      <c r="G296" s="11">
        <v>11</v>
      </c>
      <c r="H296" s="11" t="s">
        <v>6519</v>
      </c>
      <c r="I296" s="11" t="s">
        <v>6516</v>
      </c>
      <c r="J296" s="11" t="s">
        <v>7274</v>
      </c>
      <c r="K296" s="11" t="s">
        <v>855</v>
      </c>
      <c r="L296" s="16" t="s">
        <v>5596</v>
      </c>
      <c r="M296" s="11">
        <v>1</v>
      </c>
      <c r="N296" s="11">
        <v>0</v>
      </c>
      <c r="O296" s="9" t="s">
        <v>5044</v>
      </c>
      <c r="P296" s="11">
        <v>0</v>
      </c>
      <c r="Q296" s="11">
        <v>0</v>
      </c>
      <c r="R296" s="11">
        <v>0</v>
      </c>
      <c r="S296" s="11">
        <v>1</v>
      </c>
      <c r="T296" s="11">
        <v>1</v>
      </c>
      <c r="U296" s="11">
        <v>112</v>
      </c>
      <c r="V296" s="11">
        <v>0</v>
      </c>
      <c r="W296" s="11">
        <v>1</v>
      </c>
      <c r="X296" s="11">
        <v>0</v>
      </c>
      <c r="Y296" s="11">
        <v>0</v>
      </c>
      <c r="Z296" s="11">
        <v>0</v>
      </c>
      <c r="AA296" s="11">
        <v>0</v>
      </c>
      <c r="AB296" s="11">
        <v>1</v>
      </c>
      <c r="AC296" s="11" t="s">
        <v>5044</v>
      </c>
      <c r="AD296" s="11" t="s">
        <v>5044</v>
      </c>
      <c r="AE296" s="11" t="s">
        <v>5044</v>
      </c>
      <c r="AF296" s="11" t="s">
        <v>5044</v>
      </c>
      <c r="AG296" s="11" t="s">
        <v>5044</v>
      </c>
      <c r="AH296" s="11" t="s">
        <v>5044</v>
      </c>
      <c r="AI296" s="11" t="s">
        <v>5044</v>
      </c>
      <c r="AJ296" s="11" t="s">
        <v>5044</v>
      </c>
      <c r="AK296" s="11" t="s">
        <v>5318</v>
      </c>
      <c r="AL296" s="11" t="s">
        <v>5044</v>
      </c>
      <c r="AM296" s="11">
        <v>0</v>
      </c>
      <c r="AN296" s="11" t="s">
        <v>5318</v>
      </c>
      <c r="AO296" s="11" t="s">
        <v>5318</v>
      </c>
      <c r="AP296" s="11" t="s">
        <v>5318</v>
      </c>
      <c r="AQ296" s="11" t="s">
        <v>5318</v>
      </c>
    </row>
    <row r="297" spans="1:43" ht="63" customHeight="1" x14ac:dyDescent="0.2">
      <c r="A297" s="10">
        <v>3152</v>
      </c>
      <c r="B297" s="22" t="s">
        <v>7275</v>
      </c>
      <c r="C297" s="11" t="s">
        <v>856</v>
      </c>
      <c r="D297" s="11">
        <v>2021</v>
      </c>
      <c r="E297" s="11" t="s">
        <v>5318</v>
      </c>
      <c r="F297" s="11">
        <v>28</v>
      </c>
      <c r="G297" s="11">
        <v>13</v>
      </c>
      <c r="H297" s="11" t="s">
        <v>6621</v>
      </c>
      <c r="I297" s="11" t="s">
        <v>6516</v>
      </c>
      <c r="J297" s="11" t="s">
        <v>7276</v>
      </c>
      <c r="K297" s="11" t="s">
        <v>857</v>
      </c>
      <c r="L297" s="12" t="s">
        <v>5597</v>
      </c>
      <c r="M297" s="11">
        <v>0</v>
      </c>
      <c r="N297" s="9" t="s">
        <v>5044</v>
      </c>
      <c r="O297" s="9" t="s">
        <v>5044</v>
      </c>
      <c r="P297" s="11">
        <v>0</v>
      </c>
      <c r="Q297" s="11">
        <v>0</v>
      </c>
      <c r="R297" s="11">
        <v>0</v>
      </c>
      <c r="S297" s="11">
        <v>5</v>
      </c>
      <c r="T297" s="11">
        <v>1</v>
      </c>
      <c r="U297" s="11">
        <v>99</v>
      </c>
      <c r="V297" s="11">
        <v>0</v>
      </c>
      <c r="W297" s="11">
        <v>1</v>
      </c>
      <c r="X297" s="11">
        <v>0</v>
      </c>
      <c r="Y297" s="11">
        <v>0</v>
      </c>
      <c r="Z297" s="11">
        <v>1</v>
      </c>
      <c r="AA297" s="11">
        <v>0</v>
      </c>
      <c r="AB297" s="11">
        <v>1</v>
      </c>
      <c r="AC297" s="11">
        <v>0</v>
      </c>
      <c r="AD297" s="11" t="s">
        <v>5044</v>
      </c>
      <c r="AE297" s="11" t="s">
        <v>5044</v>
      </c>
      <c r="AF297" s="11" t="s">
        <v>5044</v>
      </c>
      <c r="AG297" s="11">
        <v>0</v>
      </c>
      <c r="AH297" s="11" t="s">
        <v>5044</v>
      </c>
      <c r="AI297" s="11" t="s">
        <v>5044</v>
      </c>
      <c r="AJ297" s="11">
        <v>0</v>
      </c>
      <c r="AK297" s="11" t="s">
        <v>5318</v>
      </c>
      <c r="AL297" s="11">
        <v>1</v>
      </c>
      <c r="AM297" s="11">
        <v>0</v>
      </c>
      <c r="AN297" s="11" t="s">
        <v>5105</v>
      </c>
      <c r="AO297" s="11" t="s">
        <v>5318</v>
      </c>
      <c r="AP297" s="11" t="s">
        <v>5318</v>
      </c>
      <c r="AQ297" s="11" t="s">
        <v>5318</v>
      </c>
    </row>
    <row r="298" spans="1:43" ht="63" customHeight="1" x14ac:dyDescent="0.2">
      <c r="A298" s="10">
        <v>3153</v>
      </c>
      <c r="B298" s="11" t="s">
        <v>7277</v>
      </c>
      <c r="C298" s="11" t="s">
        <v>858</v>
      </c>
      <c r="D298" s="11">
        <v>2020</v>
      </c>
      <c r="E298" s="11" t="s">
        <v>5318</v>
      </c>
      <c r="F298" s="11">
        <v>136</v>
      </c>
      <c r="G298" s="11" t="s">
        <v>5318</v>
      </c>
      <c r="H298" s="11" t="s">
        <v>7195</v>
      </c>
      <c r="I298" s="11" t="s">
        <v>6516</v>
      </c>
      <c r="J298" s="11" t="s">
        <v>7278</v>
      </c>
      <c r="K298" s="11" t="s">
        <v>860</v>
      </c>
      <c r="L298" s="16" t="s">
        <v>5597</v>
      </c>
      <c r="M298" s="11">
        <v>0</v>
      </c>
      <c r="N298" s="9" t="s">
        <v>5044</v>
      </c>
      <c r="O298" s="9" t="s">
        <v>5044</v>
      </c>
      <c r="P298" s="11">
        <v>0</v>
      </c>
      <c r="Q298" s="11">
        <v>0</v>
      </c>
      <c r="R298" s="11">
        <v>0</v>
      </c>
      <c r="S298" s="11">
        <v>5</v>
      </c>
      <c r="T298" s="11">
        <v>1</v>
      </c>
      <c r="U298" s="11">
        <v>110</v>
      </c>
      <c r="V298" s="11">
        <v>0</v>
      </c>
      <c r="W298" s="11">
        <v>1</v>
      </c>
      <c r="X298" s="11">
        <v>0</v>
      </c>
      <c r="Y298" s="11">
        <v>0</v>
      </c>
      <c r="Z298" s="11">
        <v>1</v>
      </c>
      <c r="AA298" s="11">
        <v>0</v>
      </c>
      <c r="AB298" s="11">
        <v>1</v>
      </c>
      <c r="AC298" s="11">
        <v>1</v>
      </c>
      <c r="AD298" s="11" t="s">
        <v>5044</v>
      </c>
      <c r="AE298" s="11" t="s">
        <v>5044</v>
      </c>
      <c r="AF298" s="11" t="s">
        <v>5044</v>
      </c>
      <c r="AG298" s="11">
        <v>2</v>
      </c>
      <c r="AH298" s="11">
        <v>3</v>
      </c>
      <c r="AI298" s="11">
        <v>0</v>
      </c>
      <c r="AJ298" s="11">
        <v>0</v>
      </c>
      <c r="AK298" s="11">
        <v>2</v>
      </c>
      <c r="AL298" s="11">
        <v>1</v>
      </c>
      <c r="AM298" s="11">
        <v>0</v>
      </c>
      <c r="AN298" s="11" t="s">
        <v>5318</v>
      </c>
      <c r="AO298" s="11" t="s">
        <v>5318</v>
      </c>
      <c r="AP298" s="11" t="s">
        <v>5318</v>
      </c>
      <c r="AQ298" s="11" t="s">
        <v>5318</v>
      </c>
    </row>
    <row r="299" spans="1:43" ht="63" customHeight="1" x14ac:dyDescent="0.2">
      <c r="A299" s="10">
        <v>3154</v>
      </c>
      <c r="B299" s="11" t="s">
        <v>7279</v>
      </c>
      <c r="C299" s="11" t="s">
        <v>861</v>
      </c>
      <c r="D299" s="11">
        <v>2021</v>
      </c>
      <c r="E299" s="11" t="s">
        <v>5318</v>
      </c>
      <c r="F299" s="11">
        <v>10</v>
      </c>
      <c r="G299" s="11">
        <v>16</v>
      </c>
      <c r="H299" s="11" t="s">
        <v>7280</v>
      </c>
      <c r="I299" s="11" t="s">
        <v>6516</v>
      </c>
      <c r="J299" s="11" t="s">
        <v>7281</v>
      </c>
      <c r="K299" s="11" t="s">
        <v>863</v>
      </c>
      <c r="L299" s="12" t="s">
        <v>5599</v>
      </c>
      <c r="M299" s="11">
        <v>0</v>
      </c>
      <c r="N299" s="9" t="s">
        <v>5044</v>
      </c>
      <c r="O299" s="9" t="s">
        <v>5044</v>
      </c>
      <c r="P299" s="11">
        <v>0</v>
      </c>
      <c r="Q299" s="11">
        <v>0</v>
      </c>
      <c r="R299" s="11">
        <v>0</v>
      </c>
      <c r="S299" s="11">
        <v>1</v>
      </c>
      <c r="T299" s="11">
        <v>1</v>
      </c>
      <c r="U299" s="11">
        <v>170</v>
      </c>
      <c r="V299" s="11">
        <v>1</v>
      </c>
      <c r="W299" s="11">
        <v>0</v>
      </c>
      <c r="X299" s="11">
        <v>0</v>
      </c>
      <c r="Y299" s="11">
        <v>0</v>
      </c>
      <c r="Z299" s="11">
        <v>0</v>
      </c>
      <c r="AA299" s="11">
        <v>0</v>
      </c>
      <c r="AB299" s="11">
        <v>1</v>
      </c>
      <c r="AC299" s="11">
        <v>1</v>
      </c>
      <c r="AD299" s="11">
        <v>2</v>
      </c>
      <c r="AE299" s="11">
        <v>2</v>
      </c>
      <c r="AF299" s="11">
        <v>2</v>
      </c>
      <c r="AG299" s="11" t="s">
        <v>5044</v>
      </c>
      <c r="AH299" s="11" t="s">
        <v>5044</v>
      </c>
      <c r="AI299" s="11" t="s">
        <v>5044</v>
      </c>
      <c r="AJ299" s="11" t="s">
        <v>5044</v>
      </c>
      <c r="AK299" s="11" t="s">
        <v>5318</v>
      </c>
      <c r="AL299" s="11">
        <v>0</v>
      </c>
      <c r="AM299" s="11">
        <v>0</v>
      </c>
      <c r="AN299" s="11" t="s">
        <v>5318</v>
      </c>
      <c r="AO299" s="11" t="s">
        <v>5318</v>
      </c>
      <c r="AP299" s="11" t="s">
        <v>5318</v>
      </c>
      <c r="AQ299" s="11" t="s">
        <v>5318</v>
      </c>
    </row>
    <row r="300" spans="1:43" ht="63" customHeight="1" x14ac:dyDescent="0.2">
      <c r="A300" s="10">
        <v>3159</v>
      </c>
      <c r="B300" s="11" t="s">
        <v>7282</v>
      </c>
      <c r="C300" s="11" t="s">
        <v>864</v>
      </c>
      <c r="D300" s="11">
        <v>2022</v>
      </c>
      <c r="E300" s="11" t="s">
        <v>5318</v>
      </c>
      <c r="F300" s="11">
        <v>29</v>
      </c>
      <c r="G300" s="11">
        <v>12</v>
      </c>
      <c r="H300" s="11" t="s">
        <v>6621</v>
      </c>
      <c r="I300" s="11" t="s">
        <v>6516</v>
      </c>
      <c r="J300" s="11" t="s">
        <v>7283</v>
      </c>
      <c r="K300" s="11" t="s">
        <v>866</v>
      </c>
      <c r="L300" s="11" t="s">
        <v>5044</v>
      </c>
      <c r="M300" s="11">
        <v>0</v>
      </c>
      <c r="N300" s="9" t="s">
        <v>5044</v>
      </c>
      <c r="O300" s="9" t="s">
        <v>5044</v>
      </c>
      <c r="P300" s="11">
        <v>0</v>
      </c>
      <c r="Q300" s="11">
        <v>0</v>
      </c>
      <c r="R300" s="11">
        <v>0</v>
      </c>
      <c r="S300" s="11" t="s">
        <v>5708</v>
      </c>
      <c r="T300" s="11">
        <v>5</v>
      </c>
      <c r="U300" s="11">
        <v>65</v>
      </c>
      <c r="V300" s="11">
        <v>0</v>
      </c>
      <c r="W300" s="11">
        <v>1</v>
      </c>
      <c r="X300" s="11">
        <v>0</v>
      </c>
      <c r="Y300" s="11">
        <v>0</v>
      </c>
      <c r="Z300" s="11">
        <v>0</v>
      </c>
      <c r="AA300" s="11">
        <v>0</v>
      </c>
      <c r="AB300" s="11">
        <v>1</v>
      </c>
      <c r="AC300" s="11">
        <v>0</v>
      </c>
      <c r="AD300" s="11" t="s">
        <v>5044</v>
      </c>
      <c r="AE300" s="11" t="s">
        <v>5044</v>
      </c>
      <c r="AF300" s="11" t="s">
        <v>5044</v>
      </c>
      <c r="AG300" s="11">
        <v>0</v>
      </c>
      <c r="AH300" s="11" t="s">
        <v>5044</v>
      </c>
      <c r="AI300" s="11" t="s">
        <v>5044</v>
      </c>
      <c r="AJ300" s="11" t="s">
        <v>5044</v>
      </c>
      <c r="AK300" s="11" t="s">
        <v>5318</v>
      </c>
      <c r="AL300" s="11">
        <v>1</v>
      </c>
      <c r="AM300" s="11">
        <v>0</v>
      </c>
      <c r="AN300" s="11" t="s">
        <v>5318</v>
      </c>
      <c r="AO300" s="11" t="s">
        <v>5318</v>
      </c>
      <c r="AP300" s="11" t="s">
        <v>5318</v>
      </c>
      <c r="AQ300" s="11" t="s">
        <v>5318</v>
      </c>
    </row>
    <row r="301" spans="1:43" ht="63" customHeight="1" x14ac:dyDescent="0.2">
      <c r="A301" s="10">
        <v>3167</v>
      </c>
      <c r="B301" s="11" t="s">
        <v>7284</v>
      </c>
      <c r="C301" s="11" t="s">
        <v>868</v>
      </c>
      <c r="D301" s="11">
        <v>2010</v>
      </c>
      <c r="E301" s="11" t="s">
        <v>5318</v>
      </c>
      <c r="F301" s="11">
        <v>251</v>
      </c>
      <c r="G301" s="11">
        <v>6</v>
      </c>
      <c r="H301" s="11" t="s">
        <v>6533</v>
      </c>
      <c r="I301" s="11" t="s">
        <v>6516</v>
      </c>
      <c r="J301" s="11" t="s">
        <v>7285</v>
      </c>
      <c r="K301" s="11" t="s">
        <v>870</v>
      </c>
      <c r="L301" s="16" t="s">
        <v>5600</v>
      </c>
      <c r="M301" s="11">
        <v>0</v>
      </c>
      <c r="N301" s="9" t="s">
        <v>5044</v>
      </c>
      <c r="O301" s="9" t="s">
        <v>5044</v>
      </c>
      <c r="P301" s="11">
        <v>0</v>
      </c>
      <c r="Q301" s="11">
        <v>0</v>
      </c>
      <c r="R301" s="11">
        <v>0</v>
      </c>
      <c r="S301" s="11">
        <v>1</v>
      </c>
      <c r="T301" s="11">
        <v>5</v>
      </c>
      <c r="U301" s="11">
        <v>82</v>
      </c>
      <c r="V301" s="11">
        <v>0</v>
      </c>
      <c r="W301" s="11">
        <v>1</v>
      </c>
      <c r="X301" s="11">
        <v>0</v>
      </c>
      <c r="Y301" s="11">
        <v>0</v>
      </c>
      <c r="Z301" s="11">
        <v>0</v>
      </c>
      <c r="AA301" s="11">
        <v>0</v>
      </c>
      <c r="AB301" s="11">
        <v>1</v>
      </c>
      <c r="AC301" s="11">
        <v>1</v>
      </c>
      <c r="AD301" s="11" t="s">
        <v>5044</v>
      </c>
      <c r="AE301" s="11" t="s">
        <v>5044</v>
      </c>
      <c r="AF301" s="11" t="s">
        <v>5044</v>
      </c>
      <c r="AG301" s="11">
        <v>2</v>
      </c>
      <c r="AH301" s="11">
        <v>3</v>
      </c>
      <c r="AI301" s="11">
        <v>0</v>
      </c>
      <c r="AJ301" s="11" t="s">
        <v>5044</v>
      </c>
      <c r="AK301" s="11">
        <v>1</v>
      </c>
      <c r="AL301" s="11">
        <v>0</v>
      </c>
      <c r="AM301" s="11">
        <v>0</v>
      </c>
      <c r="AN301" s="11" t="s">
        <v>5318</v>
      </c>
      <c r="AO301" s="11" t="s">
        <v>5318</v>
      </c>
      <c r="AP301" s="11" t="s">
        <v>5318</v>
      </c>
      <c r="AQ301" s="11" t="s">
        <v>5318</v>
      </c>
    </row>
    <row r="302" spans="1:43" ht="63" customHeight="1" x14ac:dyDescent="0.2">
      <c r="A302" s="10">
        <v>3182</v>
      </c>
      <c r="B302" s="11" t="s">
        <v>7286</v>
      </c>
      <c r="C302" s="11" t="s">
        <v>872</v>
      </c>
      <c r="D302" s="11">
        <v>2021</v>
      </c>
      <c r="E302" s="11" t="s">
        <v>5318</v>
      </c>
      <c r="F302" s="11">
        <v>68</v>
      </c>
      <c r="G302" s="11">
        <v>12</v>
      </c>
      <c r="H302" s="11" t="s">
        <v>7287</v>
      </c>
      <c r="I302" s="11" t="s">
        <v>6516</v>
      </c>
      <c r="J302" s="11" t="s">
        <v>7288</v>
      </c>
      <c r="K302" s="11" t="s">
        <v>5318</v>
      </c>
      <c r="L302" s="12" t="s">
        <v>5601</v>
      </c>
      <c r="M302" s="11">
        <v>1</v>
      </c>
      <c r="N302" s="11">
        <v>0</v>
      </c>
      <c r="O302" s="9" t="s">
        <v>5044</v>
      </c>
      <c r="P302" s="11">
        <v>0</v>
      </c>
      <c r="Q302" s="11">
        <v>0</v>
      </c>
      <c r="R302" s="11">
        <v>0</v>
      </c>
      <c r="S302" s="11">
        <v>1</v>
      </c>
      <c r="T302" s="11">
        <v>1</v>
      </c>
      <c r="U302" s="11">
        <v>360</v>
      </c>
      <c r="V302" s="11">
        <v>0</v>
      </c>
      <c r="W302" s="11">
        <v>1</v>
      </c>
      <c r="X302" s="11">
        <v>0</v>
      </c>
      <c r="Y302" s="11">
        <v>0</v>
      </c>
      <c r="Z302" s="11">
        <v>0</v>
      </c>
      <c r="AA302" s="11">
        <v>0</v>
      </c>
      <c r="AB302" s="11">
        <v>1</v>
      </c>
      <c r="AC302" s="11" t="s">
        <v>5044</v>
      </c>
      <c r="AD302" s="11" t="s">
        <v>5044</v>
      </c>
      <c r="AE302" s="11" t="s">
        <v>5044</v>
      </c>
      <c r="AF302" s="11" t="s">
        <v>5044</v>
      </c>
      <c r="AG302" s="11" t="s">
        <v>5044</v>
      </c>
      <c r="AH302" s="11" t="s">
        <v>5044</v>
      </c>
      <c r="AI302" s="11" t="s">
        <v>5044</v>
      </c>
      <c r="AJ302" s="11" t="s">
        <v>5044</v>
      </c>
      <c r="AK302" s="11" t="s">
        <v>5318</v>
      </c>
      <c r="AL302" s="11" t="s">
        <v>5044</v>
      </c>
      <c r="AM302" s="11">
        <v>0</v>
      </c>
      <c r="AN302" s="11" t="s">
        <v>5318</v>
      </c>
      <c r="AO302" s="11" t="s">
        <v>5318</v>
      </c>
      <c r="AP302" s="11" t="s">
        <v>5318</v>
      </c>
      <c r="AQ302" s="11" t="s">
        <v>5318</v>
      </c>
    </row>
    <row r="303" spans="1:43" ht="63" customHeight="1" x14ac:dyDescent="0.2">
      <c r="A303" s="10">
        <v>3183</v>
      </c>
      <c r="B303" s="11" t="s">
        <v>7289</v>
      </c>
      <c r="C303" s="11" t="s">
        <v>874</v>
      </c>
      <c r="D303" s="11">
        <v>2022</v>
      </c>
      <c r="E303" s="11" t="s">
        <v>5318</v>
      </c>
      <c r="F303" s="11">
        <v>109</v>
      </c>
      <c r="G303" s="11">
        <v>6</v>
      </c>
      <c r="H303" s="11" t="s">
        <v>6530</v>
      </c>
      <c r="I303" s="11" t="s">
        <v>6516</v>
      </c>
      <c r="J303" s="11" t="s">
        <v>7290</v>
      </c>
      <c r="K303" s="11" t="s">
        <v>875</v>
      </c>
      <c r="L303" s="16" t="s">
        <v>5602</v>
      </c>
      <c r="M303" s="11">
        <v>0</v>
      </c>
      <c r="N303" s="9" t="s">
        <v>5044</v>
      </c>
      <c r="O303" s="9" t="s">
        <v>5044</v>
      </c>
      <c r="P303" s="11">
        <v>0</v>
      </c>
      <c r="Q303" s="11">
        <v>0</v>
      </c>
      <c r="R303" s="11">
        <v>0</v>
      </c>
      <c r="S303" s="11">
        <v>1</v>
      </c>
      <c r="T303" s="11">
        <v>1</v>
      </c>
      <c r="U303" s="11">
        <v>72</v>
      </c>
      <c r="V303" s="11">
        <v>0</v>
      </c>
      <c r="W303" s="11">
        <v>1</v>
      </c>
      <c r="X303" s="11">
        <v>0</v>
      </c>
      <c r="Y303" s="11">
        <v>0</v>
      </c>
      <c r="Z303" s="11">
        <v>0</v>
      </c>
      <c r="AA303" s="11">
        <v>0</v>
      </c>
      <c r="AB303" s="11">
        <v>1</v>
      </c>
      <c r="AC303" s="11">
        <v>1</v>
      </c>
      <c r="AD303" s="11" t="s">
        <v>5044</v>
      </c>
      <c r="AE303" s="11" t="s">
        <v>5044</v>
      </c>
      <c r="AF303" s="11" t="s">
        <v>5044</v>
      </c>
      <c r="AG303" s="11">
        <v>1</v>
      </c>
      <c r="AH303" s="11">
        <v>0</v>
      </c>
      <c r="AI303" s="11">
        <v>0</v>
      </c>
      <c r="AJ303" s="11" t="s">
        <v>5044</v>
      </c>
      <c r="AK303" s="11" t="s">
        <v>5318</v>
      </c>
      <c r="AL303" s="11">
        <v>0</v>
      </c>
      <c r="AM303" s="11">
        <v>0</v>
      </c>
      <c r="AN303" s="11" t="s">
        <v>5318</v>
      </c>
      <c r="AO303" s="11" t="s">
        <v>5318</v>
      </c>
      <c r="AP303" s="11" t="s">
        <v>5318</v>
      </c>
      <c r="AQ303" s="11" t="s">
        <v>5318</v>
      </c>
    </row>
    <row r="304" spans="1:43" ht="63" customHeight="1" x14ac:dyDescent="0.2">
      <c r="A304" s="10">
        <v>3184</v>
      </c>
      <c r="B304" s="11" t="s">
        <v>7291</v>
      </c>
      <c r="C304" s="11" t="s">
        <v>876</v>
      </c>
      <c r="D304" s="11">
        <v>2018</v>
      </c>
      <c r="E304" s="11" t="s">
        <v>5318</v>
      </c>
      <c r="F304" s="11">
        <v>319</v>
      </c>
      <c r="G304" s="11">
        <v>3</v>
      </c>
      <c r="H304" s="11" t="s">
        <v>7155</v>
      </c>
      <c r="I304" s="11" t="s">
        <v>6516</v>
      </c>
      <c r="J304" s="11" t="s">
        <v>7292</v>
      </c>
      <c r="K304" s="11" t="s">
        <v>878</v>
      </c>
      <c r="L304" s="16" t="s">
        <v>5603</v>
      </c>
      <c r="M304" s="11">
        <v>0</v>
      </c>
      <c r="N304" s="9" t="s">
        <v>5044</v>
      </c>
      <c r="O304" s="9" t="s">
        <v>5044</v>
      </c>
      <c r="P304" s="11">
        <v>0</v>
      </c>
      <c r="Q304" s="11">
        <v>0</v>
      </c>
      <c r="R304" s="11">
        <v>0</v>
      </c>
      <c r="S304" s="11">
        <v>1</v>
      </c>
      <c r="T304" s="11">
        <v>1</v>
      </c>
      <c r="U304" s="11">
        <v>240</v>
      </c>
      <c r="V304" s="11">
        <v>0</v>
      </c>
      <c r="W304" s="11">
        <v>1</v>
      </c>
      <c r="X304" s="11">
        <v>0</v>
      </c>
      <c r="Y304" s="11">
        <v>0</v>
      </c>
      <c r="Z304" s="11">
        <v>0</v>
      </c>
      <c r="AA304" s="11">
        <v>0</v>
      </c>
      <c r="AB304" s="11">
        <v>1</v>
      </c>
      <c r="AC304" s="11">
        <v>1</v>
      </c>
      <c r="AD304" s="11" t="s">
        <v>5044</v>
      </c>
      <c r="AE304" s="11" t="s">
        <v>5044</v>
      </c>
      <c r="AF304" s="11" t="s">
        <v>5044</v>
      </c>
      <c r="AG304" s="11">
        <v>2</v>
      </c>
      <c r="AH304" s="11">
        <v>2</v>
      </c>
      <c r="AI304" s="11">
        <v>3</v>
      </c>
      <c r="AJ304" s="11" t="s">
        <v>5044</v>
      </c>
      <c r="AK304" s="11" t="s">
        <v>5318</v>
      </c>
      <c r="AL304" s="11">
        <v>0</v>
      </c>
      <c r="AM304" s="11">
        <v>0</v>
      </c>
      <c r="AN304" s="11" t="s">
        <v>5318</v>
      </c>
      <c r="AO304" s="11" t="s">
        <v>5318</v>
      </c>
      <c r="AP304" s="11" t="s">
        <v>5318</v>
      </c>
      <c r="AQ304" s="11" t="s">
        <v>5318</v>
      </c>
    </row>
    <row r="305" spans="1:43" ht="63" customHeight="1" x14ac:dyDescent="0.2">
      <c r="A305" s="10">
        <v>3192</v>
      </c>
      <c r="B305" s="11" t="s">
        <v>7293</v>
      </c>
      <c r="C305" s="11" t="s">
        <v>879</v>
      </c>
      <c r="D305" s="11">
        <v>2017</v>
      </c>
      <c r="E305" s="11" t="s">
        <v>5318</v>
      </c>
      <c r="F305" s="11">
        <v>79</v>
      </c>
      <c r="G305" s="11" t="s">
        <v>5318</v>
      </c>
      <c r="H305" s="11" t="s">
        <v>7195</v>
      </c>
      <c r="I305" s="11" t="s">
        <v>6516</v>
      </c>
      <c r="J305" s="11" t="s">
        <v>7294</v>
      </c>
      <c r="K305" s="11" t="s">
        <v>880</v>
      </c>
      <c r="L305" s="16" t="s">
        <v>5604</v>
      </c>
      <c r="M305" s="11">
        <v>0</v>
      </c>
      <c r="N305" s="9" t="s">
        <v>5044</v>
      </c>
      <c r="O305" s="9" t="s">
        <v>5044</v>
      </c>
      <c r="P305" s="11">
        <v>0</v>
      </c>
      <c r="Q305" s="11">
        <v>0</v>
      </c>
      <c r="R305" s="11">
        <v>0</v>
      </c>
      <c r="S305" s="11">
        <v>5</v>
      </c>
      <c r="T305" s="11">
        <v>1</v>
      </c>
      <c r="U305" s="11">
        <v>120</v>
      </c>
      <c r="V305" s="11">
        <v>0</v>
      </c>
      <c r="W305" s="11">
        <v>1</v>
      </c>
      <c r="X305" s="11">
        <v>0</v>
      </c>
      <c r="Y305" s="11">
        <v>0</v>
      </c>
      <c r="Z305" s="11">
        <v>0</v>
      </c>
      <c r="AA305" s="11">
        <v>0</v>
      </c>
      <c r="AB305" s="11">
        <v>1</v>
      </c>
      <c r="AC305" s="11">
        <v>1</v>
      </c>
      <c r="AD305" s="11" t="s">
        <v>5044</v>
      </c>
      <c r="AE305" s="11" t="s">
        <v>5044</v>
      </c>
      <c r="AF305" s="11" t="s">
        <v>5044</v>
      </c>
      <c r="AG305" s="11">
        <v>1</v>
      </c>
      <c r="AH305" s="11">
        <v>0</v>
      </c>
      <c r="AI305" s="11">
        <v>0</v>
      </c>
      <c r="AJ305" s="11" t="s">
        <v>5044</v>
      </c>
      <c r="AK305" s="11" t="s">
        <v>5318</v>
      </c>
      <c r="AL305" s="11">
        <v>0</v>
      </c>
      <c r="AM305" s="11">
        <v>0</v>
      </c>
      <c r="AN305" s="11" t="s">
        <v>5318</v>
      </c>
      <c r="AO305" s="11" t="s">
        <v>5318</v>
      </c>
      <c r="AP305" s="11" t="s">
        <v>5318</v>
      </c>
      <c r="AQ305" s="11" t="s">
        <v>5318</v>
      </c>
    </row>
    <row r="306" spans="1:43" ht="63" customHeight="1" x14ac:dyDescent="0.2">
      <c r="A306" s="10">
        <v>3194</v>
      </c>
      <c r="B306" s="11" t="s">
        <v>7298</v>
      </c>
      <c r="C306" s="11" t="s">
        <v>884</v>
      </c>
      <c r="D306" s="11">
        <v>2022</v>
      </c>
      <c r="E306" s="11" t="s">
        <v>5318</v>
      </c>
      <c r="F306" s="11">
        <v>46</v>
      </c>
      <c r="G306" s="11">
        <v>3</v>
      </c>
      <c r="H306" s="11" t="s">
        <v>6848</v>
      </c>
      <c r="I306" s="11" t="s">
        <v>6516</v>
      </c>
      <c r="J306" s="11" t="s">
        <v>7299</v>
      </c>
      <c r="K306" s="11" t="s">
        <v>885</v>
      </c>
      <c r="L306" s="16" t="s">
        <v>5605</v>
      </c>
      <c r="M306" s="11">
        <v>0</v>
      </c>
      <c r="N306" s="9" t="s">
        <v>5044</v>
      </c>
      <c r="O306" s="9" t="s">
        <v>5044</v>
      </c>
      <c r="P306" s="11">
        <v>0</v>
      </c>
      <c r="Q306" s="11">
        <v>0</v>
      </c>
      <c r="R306" s="11">
        <v>0</v>
      </c>
      <c r="S306" s="11">
        <v>3</v>
      </c>
      <c r="T306" s="11">
        <v>1</v>
      </c>
      <c r="U306" s="11">
        <v>152</v>
      </c>
      <c r="V306" s="11">
        <v>0</v>
      </c>
      <c r="W306" s="11">
        <v>1</v>
      </c>
      <c r="X306" s="11">
        <v>0</v>
      </c>
      <c r="Y306" s="11">
        <v>0</v>
      </c>
      <c r="Z306" s="11">
        <v>0</v>
      </c>
      <c r="AA306" s="11">
        <v>0</v>
      </c>
      <c r="AB306" s="11">
        <v>1</v>
      </c>
      <c r="AC306" s="11">
        <v>1</v>
      </c>
      <c r="AD306" s="11" t="s">
        <v>5044</v>
      </c>
      <c r="AE306" s="11" t="s">
        <v>5044</v>
      </c>
      <c r="AF306" s="11" t="s">
        <v>5044</v>
      </c>
      <c r="AG306" s="11">
        <v>2</v>
      </c>
      <c r="AH306" s="11">
        <v>3</v>
      </c>
      <c r="AI306" s="11">
        <v>0</v>
      </c>
      <c r="AJ306" s="11" t="s">
        <v>5044</v>
      </c>
      <c r="AK306" s="11" t="s">
        <v>5318</v>
      </c>
      <c r="AL306" s="11">
        <v>1</v>
      </c>
      <c r="AM306" s="11">
        <v>0</v>
      </c>
      <c r="AN306" s="11" t="s">
        <v>5318</v>
      </c>
      <c r="AO306" s="11" t="s">
        <v>5318</v>
      </c>
      <c r="AP306" s="11" t="s">
        <v>5318</v>
      </c>
      <c r="AQ306" s="11" t="s">
        <v>5318</v>
      </c>
    </row>
    <row r="307" spans="1:43" ht="63" customHeight="1" x14ac:dyDescent="0.2">
      <c r="A307" s="10">
        <v>3213</v>
      </c>
      <c r="B307" s="11" t="s">
        <v>7300</v>
      </c>
      <c r="C307" s="11" t="s">
        <v>886</v>
      </c>
      <c r="D307" s="11">
        <v>2016</v>
      </c>
      <c r="E307" s="11" t="s">
        <v>5318</v>
      </c>
      <c r="F307" s="11">
        <v>20</v>
      </c>
      <c r="G307" s="11">
        <v>3</v>
      </c>
      <c r="H307" s="11" t="s">
        <v>6725</v>
      </c>
      <c r="I307" s="11" t="s">
        <v>6516</v>
      </c>
      <c r="J307" s="11" t="s">
        <v>7301</v>
      </c>
      <c r="K307" s="11" t="s">
        <v>887</v>
      </c>
      <c r="L307" s="12" t="s">
        <v>5606</v>
      </c>
      <c r="M307" s="11">
        <v>0</v>
      </c>
      <c r="N307" s="9" t="s">
        <v>5044</v>
      </c>
      <c r="O307" s="9" t="s">
        <v>5044</v>
      </c>
      <c r="P307" s="11">
        <v>0</v>
      </c>
      <c r="Q307" s="11">
        <v>0</v>
      </c>
      <c r="R307" s="11">
        <v>0</v>
      </c>
      <c r="S307" s="11">
        <v>1</v>
      </c>
      <c r="T307" s="11">
        <v>4</v>
      </c>
      <c r="U307" s="11">
        <v>101</v>
      </c>
      <c r="V307" s="11">
        <v>0</v>
      </c>
      <c r="W307" s="11">
        <v>1</v>
      </c>
      <c r="X307" s="11">
        <v>0</v>
      </c>
      <c r="Y307" s="11">
        <v>0</v>
      </c>
      <c r="Z307" s="11">
        <v>0</v>
      </c>
      <c r="AA307" s="11">
        <v>0</v>
      </c>
      <c r="AB307" s="11">
        <v>1</v>
      </c>
      <c r="AC307" s="11">
        <v>1</v>
      </c>
      <c r="AD307" s="11" t="s">
        <v>5044</v>
      </c>
      <c r="AE307" s="11" t="s">
        <v>5044</v>
      </c>
      <c r="AF307" s="11" t="s">
        <v>5044</v>
      </c>
      <c r="AG307" s="11">
        <v>0</v>
      </c>
      <c r="AH307" s="11" t="s">
        <v>5044</v>
      </c>
      <c r="AI307" s="11" t="s">
        <v>5044</v>
      </c>
      <c r="AJ307" s="11" t="s">
        <v>5044</v>
      </c>
      <c r="AK307" s="11" t="s">
        <v>5318</v>
      </c>
      <c r="AL307" s="11">
        <v>1</v>
      </c>
      <c r="AM307" s="11">
        <v>0</v>
      </c>
      <c r="AN307" s="11" t="s">
        <v>5318</v>
      </c>
      <c r="AO307" s="11" t="s">
        <v>5318</v>
      </c>
      <c r="AP307" s="11" t="s">
        <v>5318</v>
      </c>
      <c r="AQ307" s="11" t="s">
        <v>5318</v>
      </c>
    </row>
    <row r="308" spans="1:43" ht="63" customHeight="1" x14ac:dyDescent="0.2">
      <c r="A308" s="10">
        <v>3230</v>
      </c>
      <c r="B308" s="11" t="s">
        <v>7302</v>
      </c>
      <c r="C308" s="11" t="s">
        <v>888</v>
      </c>
      <c r="D308" s="11">
        <v>2016</v>
      </c>
      <c r="E308" s="11" t="s">
        <v>5318</v>
      </c>
      <c r="F308" s="11">
        <v>33</v>
      </c>
      <c r="G308" s="11">
        <v>6</v>
      </c>
      <c r="H308" s="11" t="s">
        <v>6632</v>
      </c>
      <c r="I308" s="11" t="s">
        <v>6516</v>
      </c>
      <c r="J308" s="11" t="s">
        <v>7303</v>
      </c>
      <c r="K308" s="11" t="s">
        <v>889</v>
      </c>
      <c r="L308" s="12" t="s">
        <v>5607</v>
      </c>
      <c r="M308" s="11">
        <v>0</v>
      </c>
      <c r="N308" s="9" t="s">
        <v>5044</v>
      </c>
      <c r="O308" s="9" t="s">
        <v>5044</v>
      </c>
      <c r="P308" s="11">
        <v>0</v>
      </c>
      <c r="Q308" s="11">
        <v>0</v>
      </c>
      <c r="R308" s="11">
        <v>0</v>
      </c>
      <c r="S308" s="11">
        <v>1</v>
      </c>
      <c r="T308" s="11">
        <v>4</v>
      </c>
      <c r="U308" s="11">
        <v>41</v>
      </c>
      <c r="V308" s="11">
        <v>0</v>
      </c>
      <c r="W308" s="11">
        <v>1</v>
      </c>
      <c r="X308" s="11">
        <v>0</v>
      </c>
      <c r="Y308" s="11">
        <v>0</v>
      </c>
      <c r="Z308" s="11">
        <v>0</v>
      </c>
      <c r="AA308" s="11">
        <v>0</v>
      </c>
      <c r="AB308" s="11">
        <v>1</v>
      </c>
      <c r="AC308" s="11">
        <v>1</v>
      </c>
      <c r="AD308" s="11" t="s">
        <v>5044</v>
      </c>
      <c r="AE308" s="11" t="s">
        <v>5044</v>
      </c>
      <c r="AF308" s="11" t="s">
        <v>5044</v>
      </c>
      <c r="AG308" s="11">
        <v>2</v>
      </c>
      <c r="AH308" s="11">
        <v>3</v>
      </c>
      <c r="AI308" s="11">
        <v>0</v>
      </c>
      <c r="AJ308" s="11" t="s">
        <v>5044</v>
      </c>
      <c r="AK308" s="11" t="s">
        <v>5318</v>
      </c>
      <c r="AL308" s="11">
        <v>0</v>
      </c>
      <c r="AM308" s="11">
        <v>0</v>
      </c>
      <c r="AN308" s="11" t="s">
        <v>5318</v>
      </c>
      <c r="AO308" s="11" t="s">
        <v>5318</v>
      </c>
      <c r="AP308" s="11" t="s">
        <v>5318</v>
      </c>
      <c r="AQ308" s="11" t="s">
        <v>5318</v>
      </c>
    </row>
    <row r="309" spans="1:43" ht="63" customHeight="1" x14ac:dyDescent="0.2">
      <c r="A309" s="10">
        <v>3238</v>
      </c>
      <c r="B309" s="11" t="s">
        <v>7304</v>
      </c>
      <c r="C309" s="11" t="s">
        <v>890</v>
      </c>
      <c r="D309" s="11">
        <v>2022</v>
      </c>
      <c r="E309" s="11" t="s">
        <v>5318</v>
      </c>
      <c r="F309" s="11">
        <v>50</v>
      </c>
      <c r="G309" s="11">
        <v>3</v>
      </c>
      <c r="H309" s="11" t="s">
        <v>7305</v>
      </c>
      <c r="I309" s="11" t="s">
        <v>6516</v>
      </c>
      <c r="J309" s="11" t="s">
        <v>7306</v>
      </c>
      <c r="K309" s="11" t="s">
        <v>892</v>
      </c>
      <c r="L309" s="12" t="s">
        <v>5608</v>
      </c>
      <c r="M309" s="11">
        <v>0</v>
      </c>
      <c r="N309" s="9" t="s">
        <v>5044</v>
      </c>
      <c r="O309" s="9" t="s">
        <v>5044</v>
      </c>
      <c r="P309" s="11">
        <v>0</v>
      </c>
      <c r="Q309" s="11">
        <v>0</v>
      </c>
      <c r="R309" s="11">
        <v>0</v>
      </c>
      <c r="S309" s="11">
        <v>9</v>
      </c>
      <c r="T309" s="11">
        <v>1</v>
      </c>
      <c r="U309" s="11">
        <v>63</v>
      </c>
      <c r="V309" s="11">
        <v>0</v>
      </c>
      <c r="W309" s="11">
        <v>1</v>
      </c>
      <c r="X309" s="11">
        <v>0</v>
      </c>
      <c r="Y309" s="11">
        <v>0</v>
      </c>
      <c r="Z309" s="11">
        <v>0</v>
      </c>
      <c r="AA309" s="11">
        <v>0</v>
      </c>
      <c r="AB309" s="11">
        <v>1</v>
      </c>
      <c r="AC309" s="11">
        <v>1</v>
      </c>
      <c r="AD309" s="11" t="s">
        <v>5044</v>
      </c>
      <c r="AE309" s="11" t="s">
        <v>5044</v>
      </c>
      <c r="AF309" s="11" t="s">
        <v>5044</v>
      </c>
      <c r="AG309" s="11">
        <v>2</v>
      </c>
      <c r="AH309" s="11">
        <v>3</v>
      </c>
      <c r="AI309" s="11">
        <v>0</v>
      </c>
      <c r="AJ309" s="11" t="s">
        <v>5044</v>
      </c>
      <c r="AK309" s="11">
        <v>1</v>
      </c>
      <c r="AL309" s="11">
        <v>1</v>
      </c>
      <c r="AM309" s="11">
        <v>0</v>
      </c>
      <c r="AN309" s="11" t="s">
        <v>5318</v>
      </c>
      <c r="AO309" s="11" t="s">
        <v>5318</v>
      </c>
      <c r="AP309" s="11" t="s">
        <v>5318</v>
      </c>
      <c r="AQ309" s="11" t="s">
        <v>5318</v>
      </c>
    </row>
    <row r="310" spans="1:43" ht="63" customHeight="1" x14ac:dyDescent="0.2">
      <c r="A310" s="10">
        <v>3251</v>
      </c>
      <c r="B310" s="11" t="s">
        <v>7307</v>
      </c>
      <c r="C310" s="11" t="s">
        <v>893</v>
      </c>
      <c r="D310" s="11">
        <v>2015</v>
      </c>
      <c r="E310" s="11" t="s">
        <v>5318</v>
      </c>
      <c r="F310" s="11">
        <v>21</v>
      </c>
      <c r="G310" s="11">
        <v>43</v>
      </c>
      <c r="H310" s="11" t="s">
        <v>6657</v>
      </c>
      <c r="I310" s="11" t="s">
        <v>6516</v>
      </c>
      <c r="J310" s="11" t="s">
        <v>7308</v>
      </c>
      <c r="K310" s="11" t="s">
        <v>894</v>
      </c>
      <c r="L310" s="11" t="s">
        <v>5609</v>
      </c>
      <c r="M310" s="11">
        <v>0</v>
      </c>
      <c r="N310" s="9" t="s">
        <v>5044</v>
      </c>
      <c r="O310" s="9" t="s">
        <v>5044</v>
      </c>
      <c r="P310" s="11">
        <v>0</v>
      </c>
      <c r="Q310" s="11">
        <v>0</v>
      </c>
      <c r="R310" s="11">
        <v>0</v>
      </c>
      <c r="S310" s="11">
        <v>1</v>
      </c>
      <c r="T310" s="11">
        <v>1</v>
      </c>
      <c r="U310" s="11">
        <v>35</v>
      </c>
      <c r="V310" s="11">
        <v>0</v>
      </c>
      <c r="W310" s="11">
        <v>1</v>
      </c>
      <c r="X310" s="11">
        <v>0</v>
      </c>
      <c r="Y310" s="11">
        <v>0</v>
      </c>
      <c r="Z310" s="11">
        <v>0</v>
      </c>
      <c r="AA310" s="11">
        <v>0</v>
      </c>
      <c r="AB310" s="11">
        <v>1</v>
      </c>
      <c r="AC310" s="11">
        <v>1</v>
      </c>
      <c r="AD310" s="11" t="s">
        <v>5044</v>
      </c>
      <c r="AE310" s="11" t="s">
        <v>5044</v>
      </c>
      <c r="AF310" s="11" t="s">
        <v>5044</v>
      </c>
      <c r="AG310" s="11">
        <v>2</v>
      </c>
      <c r="AH310" s="11">
        <v>3</v>
      </c>
      <c r="AI310" s="11">
        <v>0</v>
      </c>
      <c r="AJ310" s="11" t="s">
        <v>5044</v>
      </c>
      <c r="AK310" s="11" t="s">
        <v>5610</v>
      </c>
      <c r="AL310" s="11" t="s">
        <v>5044</v>
      </c>
      <c r="AM310" s="11">
        <v>0</v>
      </c>
      <c r="AN310" s="11" t="s">
        <v>5105</v>
      </c>
      <c r="AO310" s="11" t="s">
        <v>5318</v>
      </c>
      <c r="AP310" s="11" t="s">
        <v>5318</v>
      </c>
      <c r="AQ310" s="11" t="s">
        <v>5318</v>
      </c>
    </row>
    <row r="311" spans="1:43" ht="63" customHeight="1" x14ac:dyDescent="0.2">
      <c r="A311" s="10">
        <v>3254</v>
      </c>
      <c r="B311" s="11" t="s">
        <v>7309</v>
      </c>
      <c r="C311" s="11" t="s">
        <v>895</v>
      </c>
      <c r="D311" s="11">
        <v>2013</v>
      </c>
      <c r="E311" s="11" t="s">
        <v>5318</v>
      </c>
      <c r="F311" s="11">
        <v>112</v>
      </c>
      <c r="G311" s="11">
        <v>3</v>
      </c>
      <c r="H311" s="11" t="s">
        <v>7103</v>
      </c>
      <c r="I311" s="11" t="s">
        <v>6516</v>
      </c>
      <c r="J311" s="11" t="s">
        <v>7310</v>
      </c>
      <c r="K311" s="11" t="s">
        <v>896</v>
      </c>
      <c r="L311" s="11" t="s">
        <v>5044</v>
      </c>
      <c r="M311" s="11">
        <v>0</v>
      </c>
      <c r="N311" s="9" t="s">
        <v>5044</v>
      </c>
      <c r="O311" s="9" t="s">
        <v>5044</v>
      </c>
      <c r="P311" s="11">
        <v>0</v>
      </c>
      <c r="Q311" s="11">
        <v>0</v>
      </c>
      <c r="R311" s="11">
        <v>0</v>
      </c>
      <c r="S311" s="11">
        <v>3</v>
      </c>
      <c r="T311" s="11">
        <v>4</v>
      </c>
      <c r="U311" s="11">
        <v>70</v>
      </c>
      <c r="V311" s="11">
        <v>0</v>
      </c>
      <c r="W311" s="11">
        <v>1</v>
      </c>
      <c r="X311" s="11">
        <v>0</v>
      </c>
      <c r="Y311" s="11">
        <v>0</v>
      </c>
      <c r="Z311" s="11">
        <v>0</v>
      </c>
      <c r="AA311" s="11">
        <v>0</v>
      </c>
      <c r="AB311" s="11">
        <v>1</v>
      </c>
      <c r="AC311" s="11">
        <v>1</v>
      </c>
      <c r="AD311" s="11" t="s">
        <v>5044</v>
      </c>
      <c r="AE311" s="11" t="s">
        <v>5044</v>
      </c>
      <c r="AF311" s="11" t="s">
        <v>5044</v>
      </c>
      <c r="AG311" s="11">
        <v>2</v>
      </c>
      <c r="AH311" s="11">
        <v>3</v>
      </c>
      <c r="AI311" s="11">
        <v>0</v>
      </c>
      <c r="AJ311" s="11" t="s">
        <v>5044</v>
      </c>
      <c r="AK311" s="11" t="s">
        <v>5318</v>
      </c>
      <c r="AL311" s="11">
        <v>1</v>
      </c>
      <c r="AM311" s="11">
        <v>0</v>
      </c>
      <c r="AN311" s="11" t="s">
        <v>5318</v>
      </c>
      <c r="AO311" s="11" t="s">
        <v>5318</v>
      </c>
      <c r="AP311" s="11" t="s">
        <v>5318</v>
      </c>
      <c r="AQ311" s="11" t="s">
        <v>5318</v>
      </c>
    </row>
    <row r="312" spans="1:43" ht="63" customHeight="1" x14ac:dyDescent="0.2">
      <c r="A312" s="10">
        <v>3255</v>
      </c>
      <c r="B312" s="11" t="s">
        <v>7311</v>
      </c>
      <c r="C312" s="11" t="s">
        <v>897</v>
      </c>
      <c r="D312" s="11">
        <v>2020</v>
      </c>
      <c r="E312" s="11" t="s">
        <v>305</v>
      </c>
      <c r="F312" s="11">
        <v>21</v>
      </c>
      <c r="G312" s="11">
        <v>1</v>
      </c>
      <c r="H312" s="11" t="s">
        <v>6538</v>
      </c>
      <c r="I312" s="11" t="s">
        <v>6516</v>
      </c>
      <c r="J312" s="11" t="s">
        <v>7312</v>
      </c>
      <c r="K312" s="11" t="s">
        <v>898</v>
      </c>
      <c r="L312" s="16" t="s">
        <v>5611</v>
      </c>
      <c r="M312" s="11">
        <v>1</v>
      </c>
      <c r="N312" s="11">
        <v>0</v>
      </c>
      <c r="O312" s="9" t="s">
        <v>5044</v>
      </c>
      <c r="P312" s="11">
        <v>0</v>
      </c>
      <c r="Q312" s="11">
        <v>0</v>
      </c>
      <c r="R312" s="11">
        <v>0</v>
      </c>
      <c r="S312" s="11">
        <v>1</v>
      </c>
      <c r="T312" s="11">
        <v>1</v>
      </c>
      <c r="U312" s="11">
        <v>1476</v>
      </c>
      <c r="V312" s="11">
        <v>0</v>
      </c>
      <c r="W312" s="11">
        <v>1</v>
      </c>
      <c r="X312" s="11">
        <v>0</v>
      </c>
      <c r="Y312" s="11">
        <v>0</v>
      </c>
      <c r="Z312" s="11">
        <v>0</v>
      </c>
      <c r="AA312" s="11">
        <v>0</v>
      </c>
      <c r="AB312" s="11">
        <v>1</v>
      </c>
      <c r="AC312" s="11" t="s">
        <v>5044</v>
      </c>
      <c r="AD312" s="11" t="s">
        <v>5044</v>
      </c>
      <c r="AE312" s="11" t="s">
        <v>5044</v>
      </c>
      <c r="AF312" s="11" t="s">
        <v>5044</v>
      </c>
      <c r="AG312" s="11" t="s">
        <v>5044</v>
      </c>
      <c r="AH312" s="11" t="s">
        <v>5044</v>
      </c>
      <c r="AI312" s="11" t="s">
        <v>5044</v>
      </c>
      <c r="AJ312" s="11" t="s">
        <v>5044</v>
      </c>
      <c r="AK312" s="11" t="s">
        <v>5318</v>
      </c>
      <c r="AL312" s="11" t="s">
        <v>5044</v>
      </c>
      <c r="AM312" s="11">
        <v>0</v>
      </c>
      <c r="AN312" s="11" t="s">
        <v>5318</v>
      </c>
      <c r="AO312" s="11" t="s">
        <v>5318</v>
      </c>
      <c r="AP312" s="11" t="s">
        <v>5318</v>
      </c>
      <c r="AQ312" s="11" t="s">
        <v>5318</v>
      </c>
    </row>
    <row r="313" spans="1:43" ht="63" customHeight="1" x14ac:dyDescent="0.2">
      <c r="A313" s="10">
        <v>3258</v>
      </c>
      <c r="B313" s="11" t="s">
        <v>7313</v>
      </c>
      <c r="C313" s="11" t="s">
        <v>899</v>
      </c>
      <c r="D313" s="11">
        <v>2019</v>
      </c>
      <c r="E313" s="11" t="s">
        <v>5318</v>
      </c>
      <c r="F313" s="11">
        <v>270</v>
      </c>
      <c r="G313" s="11">
        <v>5</v>
      </c>
      <c r="H313" s="11" t="s">
        <v>6533</v>
      </c>
      <c r="I313" s="11" t="s">
        <v>6516</v>
      </c>
      <c r="J313" s="11" t="s">
        <v>7314</v>
      </c>
      <c r="K313" s="11" t="s">
        <v>901</v>
      </c>
      <c r="L313" s="16" t="s">
        <v>5612</v>
      </c>
      <c r="M313" s="11">
        <v>0</v>
      </c>
      <c r="N313" s="9" t="s">
        <v>5044</v>
      </c>
      <c r="O313" s="9" t="s">
        <v>5044</v>
      </c>
      <c r="P313" s="11">
        <v>0</v>
      </c>
      <c r="Q313" s="11">
        <v>0</v>
      </c>
      <c r="R313" s="11">
        <v>0</v>
      </c>
      <c r="S313" s="11">
        <v>1</v>
      </c>
      <c r="T313" s="11">
        <v>1</v>
      </c>
      <c r="U313" s="11">
        <v>176</v>
      </c>
      <c r="V313" s="11">
        <v>0</v>
      </c>
      <c r="W313" s="11">
        <v>1</v>
      </c>
      <c r="X313" s="11">
        <v>0</v>
      </c>
      <c r="Y313" s="11">
        <v>0</v>
      </c>
      <c r="Z313" s="11">
        <v>1</v>
      </c>
      <c r="AA313" s="11">
        <v>0</v>
      </c>
      <c r="AB313" s="11">
        <v>1</v>
      </c>
      <c r="AC313" s="11">
        <v>1</v>
      </c>
      <c r="AD313" s="11" t="s">
        <v>5044</v>
      </c>
      <c r="AE313" s="11" t="s">
        <v>5044</v>
      </c>
      <c r="AF313" s="11" t="s">
        <v>5044</v>
      </c>
      <c r="AG313" s="11">
        <v>2</v>
      </c>
      <c r="AH313" s="11">
        <v>2</v>
      </c>
      <c r="AI313" s="11">
        <v>2</v>
      </c>
      <c r="AJ313" s="11">
        <v>0</v>
      </c>
      <c r="AK313" s="11" t="s">
        <v>5318</v>
      </c>
      <c r="AL313" s="11">
        <v>0</v>
      </c>
      <c r="AM313" s="11">
        <v>0</v>
      </c>
      <c r="AN313" s="11" t="s">
        <v>5318</v>
      </c>
      <c r="AO313" s="11" t="s">
        <v>5318</v>
      </c>
      <c r="AP313" s="11" t="s">
        <v>5318</v>
      </c>
      <c r="AQ313" s="11" t="s">
        <v>5318</v>
      </c>
    </row>
    <row r="314" spans="1:43" ht="63" customHeight="1" x14ac:dyDescent="0.2">
      <c r="A314" s="10">
        <v>3260</v>
      </c>
      <c r="B314" s="11" t="s">
        <v>7315</v>
      </c>
      <c r="C314" s="11" t="s">
        <v>902</v>
      </c>
      <c r="D314" s="11">
        <v>2019</v>
      </c>
      <c r="E314" s="11" t="s">
        <v>305</v>
      </c>
      <c r="F314" s="11">
        <v>20</v>
      </c>
      <c r="G314" s="11">
        <v>1</v>
      </c>
      <c r="H314" s="11" t="s">
        <v>6538</v>
      </c>
      <c r="I314" s="11" t="s">
        <v>6516</v>
      </c>
      <c r="J314" s="11" t="s">
        <v>7316</v>
      </c>
      <c r="K314" s="11" t="s">
        <v>903</v>
      </c>
      <c r="L314" s="16" t="s">
        <v>5613</v>
      </c>
      <c r="M314" s="11">
        <v>1</v>
      </c>
      <c r="N314" s="11">
        <v>0</v>
      </c>
      <c r="O314" s="9" t="s">
        <v>5044</v>
      </c>
      <c r="P314" s="11">
        <v>0</v>
      </c>
      <c r="Q314" s="11">
        <v>0</v>
      </c>
      <c r="R314" s="11">
        <v>0</v>
      </c>
      <c r="S314" s="11">
        <v>1</v>
      </c>
      <c r="T314" s="11">
        <v>1</v>
      </c>
      <c r="U314" s="11">
        <v>120</v>
      </c>
      <c r="V314" s="11">
        <v>0</v>
      </c>
      <c r="W314" s="11">
        <v>1</v>
      </c>
      <c r="X314" s="11">
        <v>0</v>
      </c>
      <c r="Y314" s="11">
        <v>0</v>
      </c>
      <c r="Z314" s="11">
        <v>0</v>
      </c>
      <c r="AA314" s="11">
        <v>0</v>
      </c>
      <c r="AB314" s="11">
        <v>1</v>
      </c>
      <c r="AC314" s="11" t="s">
        <v>5044</v>
      </c>
      <c r="AD314" s="11" t="s">
        <v>5044</v>
      </c>
      <c r="AE314" s="11" t="s">
        <v>5044</v>
      </c>
      <c r="AF314" s="11" t="s">
        <v>5044</v>
      </c>
      <c r="AG314" s="11" t="s">
        <v>5044</v>
      </c>
      <c r="AH314" s="11" t="s">
        <v>5044</v>
      </c>
      <c r="AI314" s="11" t="s">
        <v>5044</v>
      </c>
      <c r="AJ314" s="11" t="s">
        <v>5044</v>
      </c>
      <c r="AK314" s="11" t="s">
        <v>5318</v>
      </c>
      <c r="AL314" s="11" t="s">
        <v>5044</v>
      </c>
      <c r="AM314" s="11">
        <v>0</v>
      </c>
      <c r="AN314" s="11" t="s">
        <v>5318</v>
      </c>
      <c r="AO314" s="11" t="s">
        <v>5318</v>
      </c>
      <c r="AP314" s="11" t="s">
        <v>5318</v>
      </c>
      <c r="AQ314" s="11" t="s">
        <v>5318</v>
      </c>
    </row>
    <row r="315" spans="1:43" ht="63" customHeight="1" x14ac:dyDescent="0.2">
      <c r="A315" s="10">
        <v>3262</v>
      </c>
      <c r="B315" s="11" t="s">
        <v>7317</v>
      </c>
      <c r="C315" s="11" t="s">
        <v>904</v>
      </c>
      <c r="D315" s="11">
        <v>2019</v>
      </c>
      <c r="E315" s="11" t="s">
        <v>5318</v>
      </c>
      <c r="F315" s="11">
        <v>86</v>
      </c>
      <c r="G315" s="11">
        <v>1</v>
      </c>
      <c r="H315" s="11" t="s">
        <v>7318</v>
      </c>
      <c r="I315" s="11" t="s">
        <v>6516</v>
      </c>
      <c r="J315" s="11" t="s">
        <v>7319</v>
      </c>
      <c r="K315" s="11" t="s">
        <v>905</v>
      </c>
      <c r="L315" s="11" t="s">
        <v>5044</v>
      </c>
      <c r="M315" s="11">
        <v>0</v>
      </c>
      <c r="N315" s="9" t="s">
        <v>5044</v>
      </c>
      <c r="O315" s="9" t="s">
        <v>5044</v>
      </c>
      <c r="P315" s="11">
        <v>0</v>
      </c>
      <c r="Q315" s="11">
        <v>0</v>
      </c>
      <c r="R315" s="11">
        <v>0</v>
      </c>
      <c r="S315" s="11">
        <v>1</v>
      </c>
      <c r="T315" s="11">
        <v>1</v>
      </c>
      <c r="U315" s="11">
        <v>80</v>
      </c>
      <c r="V315" s="11">
        <v>1</v>
      </c>
      <c r="W315" s="11">
        <v>0</v>
      </c>
      <c r="X315" s="11">
        <v>0</v>
      </c>
      <c r="Y315" s="11">
        <v>1</v>
      </c>
      <c r="Z315" s="11">
        <v>0</v>
      </c>
      <c r="AA315" s="11">
        <v>0</v>
      </c>
      <c r="AB315" s="11">
        <v>1</v>
      </c>
      <c r="AC315" s="11">
        <v>1</v>
      </c>
      <c r="AD315" s="11">
        <v>2</v>
      </c>
      <c r="AE315" s="11">
        <v>3</v>
      </c>
      <c r="AF315" s="11">
        <v>0</v>
      </c>
      <c r="AG315" s="11" t="s">
        <v>5044</v>
      </c>
      <c r="AH315" s="11" t="s">
        <v>5044</v>
      </c>
      <c r="AI315" s="11" t="s">
        <v>5044</v>
      </c>
      <c r="AJ315" s="11">
        <v>0</v>
      </c>
      <c r="AK315" s="11">
        <v>1</v>
      </c>
      <c r="AL315" s="11" t="s">
        <v>5044</v>
      </c>
      <c r="AM315" s="11">
        <v>0</v>
      </c>
      <c r="AN315" s="11" t="s">
        <v>5105</v>
      </c>
      <c r="AO315" s="11" t="s">
        <v>5318</v>
      </c>
      <c r="AP315" s="11" t="s">
        <v>5318</v>
      </c>
      <c r="AQ315" s="11" t="s">
        <v>5318</v>
      </c>
    </row>
    <row r="316" spans="1:43" ht="63" customHeight="1" x14ac:dyDescent="0.2">
      <c r="A316" s="10">
        <v>3281</v>
      </c>
      <c r="B316" s="11" t="s">
        <v>7320</v>
      </c>
      <c r="C316" s="11" t="s">
        <v>906</v>
      </c>
      <c r="D316" s="11">
        <v>2019</v>
      </c>
      <c r="E316" s="11" t="s">
        <v>5318</v>
      </c>
      <c r="F316" s="11">
        <v>8</v>
      </c>
      <c r="G316" s="11">
        <v>12</v>
      </c>
      <c r="H316" s="11" t="s">
        <v>7044</v>
      </c>
      <c r="I316" s="11" t="s">
        <v>6516</v>
      </c>
      <c r="J316" s="11" t="s">
        <v>7321</v>
      </c>
      <c r="K316" s="11" t="s">
        <v>907</v>
      </c>
      <c r="L316" s="12" t="s">
        <v>5614</v>
      </c>
      <c r="M316" s="11">
        <v>1</v>
      </c>
      <c r="N316" s="11">
        <v>0</v>
      </c>
      <c r="O316" s="9" t="s">
        <v>5044</v>
      </c>
      <c r="P316" s="11">
        <v>0</v>
      </c>
      <c r="Q316" s="11">
        <v>0</v>
      </c>
      <c r="R316" s="11">
        <v>0</v>
      </c>
      <c r="S316" s="11">
        <v>1</v>
      </c>
      <c r="T316" s="11">
        <v>1</v>
      </c>
      <c r="U316" s="11">
        <v>258</v>
      </c>
      <c r="V316" s="11">
        <v>0</v>
      </c>
      <c r="W316" s="11">
        <v>1</v>
      </c>
      <c r="X316" s="11">
        <v>0</v>
      </c>
      <c r="Y316" s="11">
        <v>0</v>
      </c>
      <c r="Z316" s="11">
        <v>1</v>
      </c>
      <c r="AA316" s="11">
        <v>0</v>
      </c>
      <c r="AB316" s="11">
        <v>1</v>
      </c>
      <c r="AC316" s="11" t="s">
        <v>5044</v>
      </c>
      <c r="AD316" s="11" t="s">
        <v>5044</v>
      </c>
      <c r="AE316" s="11" t="s">
        <v>5044</v>
      </c>
      <c r="AF316" s="11" t="s">
        <v>5044</v>
      </c>
      <c r="AG316" s="11" t="s">
        <v>5044</v>
      </c>
      <c r="AH316" s="11" t="s">
        <v>5044</v>
      </c>
      <c r="AI316" s="11" t="s">
        <v>5044</v>
      </c>
      <c r="AJ316" s="11" t="s">
        <v>5044</v>
      </c>
      <c r="AK316" s="11" t="s">
        <v>5318</v>
      </c>
      <c r="AL316" s="11" t="s">
        <v>5044</v>
      </c>
      <c r="AM316" s="11">
        <v>0</v>
      </c>
      <c r="AN316" s="11" t="s">
        <v>5318</v>
      </c>
      <c r="AO316" s="11" t="s">
        <v>5318</v>
      </c>
      <c r="AP316" s="11" t="s">
        <v>5318</v>
      </c>
      <c r="AQ316" s="11" t="s">
        <v>5318</v>
      </c>
    </row>
    <row r="317" spans="1:43" ht="63" customHeight="1" x14ac:dyDescent="0.2">
      <c r="A317" s="10">
        <v>3282</v>
      </c>
      <c r="B317" s="11" t="s">
        <v>7322</v>
      </c>
      <c r="C317" s="11" t="s">
        <v>908</v>
      </c>
      <c r="D317" s="11">
        <v>2016</v>
      </c>
      <c r="E317" s="11" t="s">
        <v>5318</v>
      </c>
      <c r="F317" s="11">
        <v>31</v>
      </c>
      <c r="G317" s="11">
        <v>8</v>
      </c>
      <c r="H317" s="11" t="s">
        <v>6855</v>
      </c>
      <c r="I317" s="11" t="s">
        <v>6516</v>
      </c>
      <c r="J317" s="11" t="s">
        <v>7323</v>
      </c>
      <c r="K317" s="11" t="s">
        <v>909</v>
      </c>
      <c r="L317" s="11" t="s">
        <v>5044</v>
      </c>
      <c r="M317" s="11">
        <v>0</v>
      </c>
      <c r="N317" s="9" t="s">
        <v>5044</v>
      </c>
      <c r="O317" s="9" t="s">
        <v>5044</v>
      </c>
      <c r="P317" s="11">
        <v>0</v>
      </c>
      <c r="Q317" s="11">
        <v>0</v>
      </c>
      <c r="R317" s="11">
        <v>0</v>
      </c>
      <c r="S317" s="11">
        <v>1</v>
      </c>
      <c r="T317" s="11">
        <v>4</v>
      </c>
      <c r="U317" s="11">
        <v>86</v>
      </c>
      <c r="V317" s="11">
        <v>0</v>
      </c>
      <c r="W317" s="11">
        <v>1</v>
      </c>
      <c r="X317" s="11">
        <v>0</v>
      </c>
      <c r="Y317" s="11">
        <v>0</v>
      </c>
      <c r="Z317" s="11">
        <v>0</v>
      </c>
      <c r="AA317" s="11">
        <v>0</v>
      </c>
      <c r="AB317" s="11">
        <v>1</v>
      </c>
      <c r="AC317" s="11">
        <v>1</v>
      </c>
      <c r="AD317" s="11" t="s">
        <v>5044</v>
      </c>
      <c r="AE317" s="11" t="s">
        <v>5044</v>
      </c>
      <c r="AF317" s="11" t="s">
        <v>5044</v>
      </c>
      <c r="AG317" s="11">
        <v>1</v>
      </c>
      <c r="AH317" s="11">
        <v>0</v>
      </c>
      <c r="AI317" s="11">
        <v>0</v>
      </c>
      <c r="AJ317" s="11" t="s">
        <v>5044</v>
      </c>
      <c r="AK317" s="11" t="s">
        <v>5318</v>
      </c>
      <c r="AL317" s="11">
        <v>1</v>
      </c>
      <c r="AM317" s="11">
        <v>0</v>
      </c>
      <c r="AN317" s="11" t="s">
        <v>5318</v>
      </c>
      <c r="AO317" s="11" t="s">
        <v>5318</v>
      </c>
      <c r="AP317" s="11" t="s">
        <v>5318</v>
      </c>
      <c r="AQ317" s="11" t="s">
        <v>5318</v>
      </c>
    </row>
    <row r="318" spans="1:43" ht="63" customHeight="1" x14ac:dyDescent="0.2">
      <c r="A318" s="10">
        <v>3289</v>
      </c>
      <c r="B318" s="11" t="s">
        <v>7324</v>
      </c>
      <c r="C318" s="11" t="s">
        <v>910</v>
      </c>
      <c r="D318" s="11">
        <v>2014</v>
      </c>
      <c r="E318" s="11" t="s">
        <v>5318</v>
      </c>
      <c r="F318" s="11">
        <v>18</v>
      </c>
      <c r="G318" s="11">
        <v>10</v>
      </c>
      <c r="H318" s="11" t="s">
        <v>7325</v>
      </c>
      <c r="I318" s="11" t="s">
        <v>6516</v>
      </c>
      <c r="J318" s="11" t="s">
        <v>7326</v>
      </c>
      <c r="K318" s="11" t="s">
        <v>912</v>
      </c>
      <c r="L318" s="11" t="s">
        <v>5044</v>
      </c>
      <c r="M318" s="11">
        <v>0</v>
      </c>
      <c r="N318" s="9" t="s">
        <v>5044</v>
      </c>
      <c r="O318" s="9" t="s">
        <v>5044</v>
      </c>
      <c r="P318" s="11">
        <v>0</v>
      </c>
      <c r="Q318" s="11">
        <v>0</v>
      </c>
      <c r="R318" s="11">
        <v>0</v>
      </c>
      <c r="S318" s="11">
        <v>11</v>
      </c>
      <c r="T318" s="11">
        <v>1</v>
      </c>
      <c r="U318" s="11">
        <v>176</v>
      </c>
      <c r="V318" s="11">
        <v>0</v>
      </c>
      <c r="W318" s="11">
        <v>1</v>
      </c>
      <c r="X318" s="11">
        <v>0</v>
      </c>
      <c r="Y318" s="11">
        <v>0</v>
      </c>
      <c r="Z318" s="11">
        <v>0</v>
      </c>
      <c r="AA318" s="11">
        <v>0</v>
      </c>
      <c r="AB318" s="11">
        <v>1</v>
      </c>
      <c r="AC318" s="11">
        <v>1</v>
      </c>
      <c r="AD318" s="11" t="s">
        <v>5044</v>
      </c>
      <c r="AE318" s="11" t="s">
        <v>5044</v>
      </c>
      <c r="AF318" s="11" t="s">
        <v>5044</v>
      </c>
      <c r="AG318" s="11">
        <v>2</v>
      </c>
      <c r="AH318" s="11">
        <v>2</v>
      </c>
      <c r="AI318" s="11">
        <v>2</v>
      </c>
      <c r="AJ318" s="11" t="s">
        <v>5044</v>
      </c>
      <c r="AK318" s="11" t="s">
        <v>5318</v>
      </c>
      <c r="AL318" s="11">
        <v>0</v>
      </c>
      <c r="AM318" s="11">
        <v>0</v>
      </c>
      <c r="AN318" s="11" t="s">
        <v>5318</v>
      </c>
      <c r="AO318" s="11" t="s">
        <v>5318</v>
      </c>
      <c r="AP318" s="11" t="s">
        <v>5318</v>
      </c>
      <c r="AQ318" s="11" t="s">
        <v>5318</v>
      </c>
    </row>
    <row r="319" spans="1:43" ht="63" customHeight="1" x14ac:dyDescent="0.2">
      <c r="A319" s="10">
        <v>3291</v>
      </c>
      <c r="B319" s="11" t="s">
        <v>7327</v>
      </c>
      <c r="C319" s="11" t="s">
        <v>913</v>
      </c>
      <c r="D319" s="11">
        <v>2019</v>
      </c>
      <c r="E319" s="11" t="s">
        <v>5318</v>
      </c>
      <c r="F319" s="11">
        <v>9</v>
      </c>
      <c r="G319" s="11">
        <v>5</v>
      </c>
      <c r="H319" s="11" t="s">
        <v>6519</v>
      </c>
      <c r="I319" s="11" t="s">
        <v>6516</v>
      </c>
      <c r="J319" s="11" t="s">
        <v>7328</v>
      </c>
      <c r="K319" s="11" t="s">
        <v>914</v>
      </c>
      <c r="L319" s="16" t="s">
        <v>5615</v>
      </c>
      <c r="M319" s="11">
        <v>1</v>
      </c>
      <c r="N319" s="11">
        <v>0</v>
      </c>
      <c r="O319" s="9" t="s">
        <v>5044</v>
      </c>
      <c r="P319" s="11">
        <v>0</v>
      </c>
      <c r="Q319" s="11">
        <v>0</v>
      </c>
      <c r="R319" s="11">
        <v>0</v>
      </c>
      <c r="S319" s="11">
        <v>1</v>
      </c>
      <c r="T319" s="11">
        <v>1</v>
      </c>
      <c r="U319" s="11">
        <v>85</v>
      </c>
      <c r="V319" s="11">
        <v>0</v>
      </c>
      <c r="W319" s="11">
        <v>1</v>
      </c>
      <c r="X319" s="11">
        <v>0</v>
      </c>
      <c r="Y319" s="11">
        <v>0</v>
      </c>
      <c r="Z319" s="11">
        <v>0</v>
      </c>
      <c r="AA319" s="11">
        <v>0</v>
      </c>
      <c r="AB319" s="11">
        <v>1</v>
      </c>
      <c r="AC319" s="11" t="s">
        <v>5044</v>
      </c>
      <c r="AD319" s="11" t="s">
        <v>5044</v>
      </c>
      <c r="AE319" s="11" t="s">
        <v>5044</v>
      </c>
      <c r="AF319" s="11" t="s">
        <v>5044</v>
      </c>
      <c r="AG319" s="11" t="s">
        <v>5044</v>
      </c>
      <c r="AH319" s="11" t="s">
        <v>5044</v>
      </c>
      <c r="AI319" s="11" t="s">
        <v>5044</v>
      </c>
      <c r="AJ319" s="11" t="s">
        <v>5044</v>
      </c>
      <c r="AK319" s="11" t="s">
        <v>5318</v>
      </c>
      <c r="AL319" s="11" t="s">
        <v>5044</v>
      </c>
      <c r="AM319" s="11">
        <v>0</v>
      </c>
      <c r="AN319" s="11" t="s">
        <v>5318</v>
      </c>
      <c r="AO319" s="11" t="s">
        <v>5318</v>
      </c>
      <c r="AP319" s="11" t="s">
        <v>5318</v>
      </c>
      <c r="AQ319" s="11" t="s">
        <v>5318</v>
      </c>
    </row>
    <row r="320" spans="1:43" ht="63" customHeight="1" x14ac:dyDescent="0.2">
      <c r="A320" s="10">
        <v>3295</v>
      </c>
      <c r="B320" s="11" t="s">
        <v>7329</v>
      </c>
      <c r="C320" s="11" t="s">
        <v>915</v>
      </c>
      <c r="D320" s="11">
        <v>2014</v>
      </c>
      <c r="E320" s="11" t="s">
        <v>5318</v>
      </c>
      <c r="F320" s="11">
        <v>66</v>
      </c>
      <c r="G320" s="11">
        <v>3</v>
      </c>
      <c r="H320" s="11" t="s">
        <v>7330</v>
      </c>
      <c r="I320" s="11" t="s">
        <v>6516</v>
      </c>
      <c r="J320" s="11" t="s">
        <v>7331</v>
      </c>
      <c r="K320" s="11" t="s">
        <v>917</v>
      </c>
      <c r="L320" s="11" t="s">
        <v>5044</v>
      </c>
      <c r="M320" s="11">
        <v>0</v>
      </c>
      <c r="N320" s="9" t="s">
        <v>5044</v>
      </c>
      <c r="O320" s="9" t="s">
        <v>5044</v>
      </c>
      <c r="P320" s="11">
        <v>0</v>
      </c>
      <c r="Q320" s="11">
        <v>0</v>
      </c>
      <c r="R320" s="11">
        <v>0</v>
      </c>
      <c r="S320" s="11">
        <v>1</v>
      </c>
      <c r="T320" s="11">
        <v>1</v>
      </c>
      <c r="U320" s="11">
        <v>44</v>
      </c>
      <c r="V320" s="11">
        <v>0</v>
      </c>
      <c r="W320" s="11">
        <v>1</v>
      </c>
      <c r="X320" s="11">
        <v>0</v>
      </c>
      <c r="Y320" s="11">
        <v>0</v>
      </c>
      <c r="Z320" s="11">
        <v>0</v>
      </c>
      <c r="AA320" s="11">
        <v>0</v>
      </c>
      <c r="AB320" s="11">
        <v>1</v>
      </c>
      <c r="AC320" s="11">
        <v>1</v>
      </c>
      <c r="AD320" s="11" t="s">
        <v>5044</v>
      </c>
      <c r="AE320" s="11" t="s">
        <v>5044</v>
      </c>
      <c r="AF320" s="11" t="s">
        <v>5044</v>
      </c>
      <c r="AG320" s="11">
        <v>2</v>
      </c>
      <c r="AH320" s="11">
        <v>3</v>
      </c>
      <c r="AI320" s="11">
        <v>0</v>
      </c>
      <c r="AJ320" s="11" t="s">
        <v>5044</v>
      </c>
      <c r="AK320" s="11">
        <v>1</v>
      </c>
      <c r="AL320" s="11">
        <v>0</v>
      </c>
      <c r="AM320" s="11">
        <v>0</v>
      </c>
      <c r="AN320" s="11" t="s">
        <v>5318</v>
      </c>
      <c r="AO320" s="11" t="s">
        <v>5318</v>
      </c>
      <c r="AP320" s="11" t="s">
        <v>5318</v>
      </c>
      <c r="AQ320" s="11" t="s">
        <v>5318</v>
      </c>
    </row>
    <row r="321" spans="1:43" ht="63" customHeight="1" x14ac:dyDescent="0.2">
      <c r="A321" s="10">
        <v>3304</v>
      </c>
      <c r="B321" s="11" t="s">
        <v>7332</v>
      </c>
      <c r="C321" s="11" t="s">
        <v>918</v>
      </c>
      <c r="D321" s="11">
        <v>2017</v>
      </c>
      <c r="E321" s="11" t="s">
        <v>5318</v>
      </c>
      <c r="F321" s="11">
        <v>390</v>
      </c>
      <c r="G321" s="11">
        <v>10093</v>
      </c>
      <c r="H321" s="11" t="s">
        <v>6349</v>
      </c>
      <c r="I321" s="11" t="s">
        <v>6516</v>
      </c>
      <c r="J321" s="11" t="s">
        <v>7333</v>
      </c>
      <c r="K321" s="11" t="s">
        <v>919</v>
      </c>
      <c r="L321" s="16" t="s">
        <v>5616</v>
      </c>
      <c r="M321" s="11">
        <v>0</v>
      </c>
      <c r="N321" s="9" t="s">
        <v>5044</v>
      </c>
      <c r="O321" s="9" t="s">
        <v>5044</v>
      </c>
      <c r="P321" s="11">
        <v>0</v>
      </c>
      <c r="Q321" s="11">
        <v>0</v>
      </c>
      <c r="R321" s="11">
        <v>0</v>
      </c>
      <c r="S321" s="11">
        <v>1</v>
      </c>
      <c r="T321" s="11">
        <v>1</v>
      </c>
      <c r="U321" s="11">
        <v>148</v>
      </c>
      <c r="V321" s="11">
        <v>1</v>
      </c>
      <c r="W321" s="11">
        <v>0</v>
      </c>
      <c r="X321" s="11">
        <v>0</v>
      </c>
      <c r="Y321" s="11">
        <v>0</v>
      </c>
      <c r="Z321" s="11">
        <v>0</v>
      </c>
      <c r="AA321" s="11">
        <v>0</v>
      </c>
      <c r="AB321" s="11">
        <v>1</v>
      </c>
      <c r="AC321" s="11">
        <v>1</v>
      </c>
      <c r="AD321" s="11">
        <v>2</v>
      </c>
      <c r="AE321" s="11">
        <v>1</v>
      </c>
      <c r="AF321" s="11">
        <v>2</v>
      </c>
      <c r="AG321" s="11" t="s">
        <v>5044</v>
      </c>
      <c r="AH321" s="11" t="s">
        <v>5044</v>
      </c>
      <c r="AI321" s="11" t="s">
        <v>5044</v>
      </c>
      <c r="AJ321" s="11" t="s">
        <v>5044</v>
      </c>
      <c r="AK321" s="11" t="s">
        <v>5318</v>
      </c>
      <c r="AL321" s="11">
        <v>0</v>
      </c>
      <c r="AM321" s="11">
        <v>0</v>
      </c>
      <c r="AN321" s="11" t="s">
        <v>5318</v>
      </c>
      <c r="AO321" s="11" t="s">
        <v>5318</v>
      </c>
      <c r="AP321" s="11" t="s">
        <v>5318</v>
      </c>
      <c r="AQ321" s="11" t="s">
        <v>5318</v>
      </c>
    </row>
    <row r="322" spans="1:43" ht="63" customHeight="1" x14ac:dyDescent="0.2">
      <c r="A322" s="10">
        <v>3323</v>
      </c>
      <c r="B322" s="11" t="s">
        <v>7334</v>
      </c>
      <c r="C322" s="11" t="s">
        <v>920</v>
      </c>
      <c r="D322" s="11">
        <v>2013</v>
      </c>
      <c r="E322" s="11" t="s">
        <v>5318</v>
      </c>
      <c r="F322" s="11">
        <v>100</v>
      </c>
      <c r="G322" s="11">
        <v>10</v>
      </c>
      <c r="H322" s="11" t="s">
        <v>6530</v>
      </c>
      <c r="I322" s="11" t="s">
        <v>6516</v>
      </c>
      <c r="J322" s="11" t="s">
        <v>7335</v>
      </c>
      <c r="K322" s="11" t="s">
        <v>921</v>
      </c>
      <c r="L322" s="12" t="s">
        <v>5617</v>
      </c>
      <c r="M322" s="11">
        <v>0</v>
      </c>
      <c r="N322" s="9" t="s">
        <v>5044</v>
      </c>
      <c r="O322" s="9" t="s">
        <v>5044</v>
      </c>
      <c r="P322" s="11">
        <v>0</v>
      </c>
      <c r="Q322" s="11">
        <v>0</v>
      </c>
      <c r="R322" s="11">
        <v>0</v>
      </c>
      <c r="S322" s="11">
        <v>1</v>
      </c>
      <c r="T322" s="11">
        <v>1</v>
      </c>
      <c r="U322" s="11">
        <v>74</v>
      </c>
      <c r="V322" s="11">
        <v>0</v>
      </c>
      <c r="W322" s="11">
        <v>1</v>
      </c>
      <c r="X322" s="11">
        <v>0</v>
      </c>
      <c r="Y322" s="11">
        <v>0</v>
      </c>
      <c r="Z322" s="11">
        <v>0</v>
      </c>
      <c r="AA322" s="11">
        <v>0</v>
      </c>
      <c r="AB322" s="11">
        <v>1</v>
      </c>
      <c r="AC322" s="11">
        <v>1</v>
      </c>
      <c r="AD322" s="11" t="s">
        <v>5044</v>
      </c>
      <c r="AE322" s="11" t="s">
        <v>5044</v>
      </c>
      <c r="AF322" s="11" t="s">
        <v>5044</v>
      </c>
      <c r="AG322" s="11">
        <v>1</v>
      </c>
      <c r="AH322" s="11">
        <v>0</v>
      </c>
      <c r="AI322" s="11">
        <v>0</v>
      </c>
      <c r="AJ322" s="11" t="s">
        <v>5044</v>
      </c>
      <c r="AK322" s="11" t="s">
        <v>5318</v>
      </c>
      <c r="AL322" s="11">
        <v>1</v>
      </c>
      <c r="AM322" s="11">
        <v>0</v>
      </c>
      <c r="AN322" s="11" t="s">
        <v>5318</v>
      </c>
      <c r="AO322" s="11" t="s">
        <v>5318</v>
      </c>
      <c r="AP322" s="11" t="s">
        <v>5318</v>
      </c>
      <c r="AQ322" s="11" t="s">
        <v>5318</v>
      </c>
    </row>
    <row r="323" spans="1:43" ht="63" customHeight="1" x14ac:dyDescent="0.2">
      <c r="A323" s="10">
        <v>3325</v>
      </c>
      <c r="B323" s="11" t="s">
        <v>7336</v>
      </c>
      <c r="C323" s="11" t="s">
        <v>922</v>
      </c>
      <c r="D323" s="11">
        <v>2016</v>
      </c>
      <c r="E323" s="11" t="s">
        <v>305</v>
      </c>
      <c r="F323" s="11">
        <v>6</v>
      </c>
      <c r="G323" s="11">
        <v>12</v>
      </c>
      <c r="H323" s="11" t="s">
        <v>6519</v>
      </c>
      <c r="I323" s="11" t="s">
        <v>6516</v>
      </c>
      <c r="J323" s="11" t="s">
        <v>7337</v>
      </c>
      <c r="K323" s="11" t="s">
        <v>923</v>
      </c>
      <c r="L323" s="16" t="s">
        <v>5618</v>
      </c>
      <c r="M323" s="11">
        <v>1</v>
      </c>
      <c r="N323" s="11">
        <v>1</v>
      </c>
      <c r="O323" s="11">
        <v>1</v>
      </c>
      <c r="P323" s="11">
        <v>0</v>
      </c>
      <c r="Q323" s="11">
        <v>0</v>
      </c>
      <c r="R323" s="11">
        <v>0</v>
      </c>
      <c r="S323" s="11">
        <v>1</v>
      </c>
      <c r="T323" s="11">
        <v>1</v>
      </c>
      <c r="U323" s="11">
        <v>120</v>
      </c>
      <c r="V323" s="11">
        <v>0</v>
      </c>
      <c r="W323" s="11">
        <v>1</v>
      </c>
      <c r="X323" s="11">
        <v>0</v>
      </c>
      <c r="Y323" s="11">
        <v>0</v>
      </c>
      <c r="Z323" s="11">
        <v>1</v>
      </c>
      <c r="AA323" s="11">
        <v>0</v>
      </c>
      <c r="AB323" s="11">
        <v>1</v>
      </c>
      <c r="AC323" s="11" t="s">
        <v>5044</v>
      </c>
      <c r="AD323" s="11" t="s">
        <v>5044</v>
      </c>
      <c r="AE323" s="11" t="s">
        <v>5044</v>
      </c>
      <c r="AF323" s="11" t="s">
        <v>5044</v>
      </c>
      <c r="AG323" s="11" t="s">
        <v>5044</v>
      </c>
      <c r="AH323" s="11" t="s">
        <v>5044</v>
      </c>
      <c r="AI323" s="11" t="s">
        <v>5044</v>
      </c>
      <c r="AJ323" s="11" t="s">
        <v>5044</v>
      </c>
      <c r="AK323" s="11" t="s">
        <v>5318</v>
      </c>
      <c r="AL323" s="11" t="s">
        <v>5044</v>
      </c>
      <c r="AM323" s="11">
        <v>0</v>
      </c>
      <c r="AN323" s="11"/>
      <c r="AO323" s="11" t="s">
        <v>5318</v>
      </c>
      <c r="AP323" s="11" t="s">
        <v>5318</v>
      </c>
      <c r="AQ323" s="11" t="s">
        <v>5318</v>
      </c>
    </row>
    <row r="324" spans="1:43" ht="63" customHeight="1" x14ac:dyDescent="0.2">
      <c r="A324" s="10">
        <v>3330</v>
      </c>
      <c r="B324" s="11" t="s">
        <v>7338</v>
      </c>
      <c r="C324" s="11" t="s">
        <v>924</v>
      </c>
      <c r="D324" s="11">
        <v>2019</v>
      </c>
      <c r="E324" s="11" t="s">
        <v>5318</v>
      </c>
      <c r="F324" s="11">
        <v>19</v>
      </c>
      <c r="G324" s="11">
        <v>1</v>
      </c>
      <c r="H324" s="11" t="s">
        <v>6595</v>
      </c>
      <c r="I324" s="11" t="s">
        <v>6516</v>
      </c>
      <c r="J324" s="11" t="s">
        <v>7339</v>
      </c>
      <c r="K324" s="11" t="s">
        <v>925</v>
      </c>
      <c r="L324" s="16" t="s">
        <v>5619</v>
      </c>
      <c r="M324" s="11">
        <v>1</v>
      </c>
      <c r="N324" s="11">
        <v>0</v>
      </c>
      <c r="O324" s="9" t="s">
        <v>5044</v>
      </c>
      <c r="P324" s="11">
        <v>0</v>
      </c>
      <c r="Q324" s="11">
        <v>0</v>
      </c>
      <c r="R324" s="11">
        <v>0</v>
      </c>
      <c r="S324" s="11">
        <v>1</v>
      </c>
      <c r="T324" s="11">
        <v>1</v>
      </c>
      <c r="U324" s="11">
        <v>358</v>
      </c>
      <c r="V324" s="11">
        <v>0</v>
      </c>
      <c r="W324" s="11">
        <v>1</v>
      </c>
      <c r="X324" s="11">
        <v>0</v>
      </c>
      <c r="Y324" s="11">
        <v>0</v>
      </c>
      <c r="Z324" s="11">
        <v>0</v>
      </c>
      <c r="AA324" s="11">
        <v>0</v>
      </c>
      <c r="AB324" s="11">
        <v>1</v>
      </c>
      <c r="AC324" s="11" t="s">
        <v>5044</v>
      </c>
      <c r="AD324" s="11" t="s">
        <v>5044</v>
      </c>
      <c r="AE324" s="11" t="s">
        <v>5044</v>
      </c>
      <c r="AF324" s="11" t="s">
        <v>5044</v>
      </c>
      <c r="AG324" s="11" t="s">
        <v>5044</v>
      </c>
      <c r="AH324" s="11" t="s">
        <v>5044</v>
      </c>
      <c r="AI324" s="11" t="s">
        <v>5044</v>
      </c>
      <c r="AJ324" s="11" t="s">
        <v>5044</v>
      </c>
      <c r="AK324" s="11" t="s">
        <v>5318</v>
      </c>
      <c r="AL324" s="11" t="s">
        <v>5044</v>
      </c>
      <c r="AM324" s="11">
        <v>0</v>
      </c>
      <c r="AN324" s="11" t="s">
        <v>5318</v>
      </c>
      <c r="AO324" s="11" t="s">
        <v>5318</v>
      </c>
      <c r="AP324" s="11" t="s">
        <v>5318</v>
      </c>
      <c r="AQ324" s="11" t="s">
        <v>5318</v>
      </c>
    </row>
    <row r="325" spans="1:43" ht="63" customHeight="1" x14ac:dyDescent="0.2">
      <c r="A325" s="10">
        <v>3331</v>
      </c>
      <c r="B325" s="11" t="s">
        <v>7340</v>
      </c>
      <c r="C325" s="11" t="s">
        <v>926</v>
      </c>
      <c r="D325" s="11">
        <v>2021</v>
      </c>
      <c r="E325" s="11" t="s">
        <v>5318</v>
      </c>
      <c r="F325" s="11">
        <v>156</v>
      </c>
      <c r="G325" s="11">
        <v>8</v>
      </c>
      <c r="H325" s="11" t="s">
        <v>6676</v>
      </c>
      <c r="I325" s="11" t="s">
        <v>6516</v>
      </c>
      <c r="J325" s="11" t="s">
        <v>7341</v>
      </c>
      <c r="K325" s="11" t="s">
        <v>927</v>
      </c>
      <c r="L325" s="16" t="s">
        <v>5619</v>
      </c>
      <c r="M325" s="11">
        <v>0</v>
      </c>
      <c r="N325" s="9" t="s">
        <v>5044</v>
      </c>
      <c r="O325" s="9" t="s">
        <v>5044</v>
      </c>
      <c r="P325" s="11">
        <v>0</v>
      </c>
      <c r="Q325" s="11">
        <v>0</v>
      </c>
      <c r="R325" s="11">
        <v>0</v>
      </c>
      <c r="S325" s="11">
        <v>1</v>
      </c>
      <c r="T325" s="11">
        <v>1</v>
      </c>
      <c r="U325" s="11">
        <v>80</v>
      </c>
      <c r="V325" s="11">
        <v>1</v>
      </c>
      <c r="W325" s="11">
        <v>1</v>
      </c>
      <c r="X325" s="11">
        <v>0</v>
      </c>
      <c r="Y325" s="11">
        <v>0</v>
      </c>
      <c r="Z325" s="11">
        <v>0</v>
      </c>
      <c r="AA325" s="11">
        <v>0</v>
      </c>
      <c r="AB325" s="11">
        <v>1</v>
      </c>
      <c r="AC325" s="11">
        <v>1</v>
      </c>
      <c r="AD325" s="11">
        <v>2</v>
      </c>
      <c r="AE325" s="11">
        <v>1</v>
      </c>
      <c r="AF325" s="11">
        <v>2</v>
      </c>
      <c r="AG325" s="11">
        <v>2</v>
      </c>
      <c r="AH325" s="11">
        <v>3</v>
      </c>
      <c r="AI325" s="11">
        <v>0</v>
      </c>
      <c r="AJ325" s="11" t="s">
        <v>5044</v>
      </c>
      <c r="AK325" s="11">
        <v>1</v>
      </c>
      <c r="AL325" s="11">
        <v>0</v>
      </c>
      <c r="AM325" s="11">
        <v>0</v>
      </c>
      <c r="AN325" s="11" t="s">
        <v>5318</v>
      </c>
      <c r="AO325" s="11" t="s">
        <v>5318</v>
      </c>
      <c r="AP325" s="11" t="s">
        <v>5318</v>
      </c>
      <c r="AQ325" s="11" t="s">
        <v>5318</v>
      </c>
    </row>
    <row r="326" spans="1:43" ht="63" customHeight="1" x14ac:dyDescent="0.2">
      <c r="A326" s="10">
        <v>3337</v>
      </c>
      <c r="B326" s="11" t="s">
        <v>7342</v>
      </c>
      <c r="C326" s="11" t="s">
        <v>928</v>
      </c>
      <c r="D326" s="11">
        <v>2016</v>
      </c>
      <c r="E326" s="11" t="s">
        <v>5318</v>
      </c>
      <c r="F326" s="11">
        <v>264</v>
      </c>
      <c r="G326" s="11">
        <v>5</v>
      </c>
      <c r="H326" s="11" t="s">
        <v>6533</v>
      </c>
      <c r="I326" s="11" t="s">
        <v>6516</v>
      </c>
      <c r="J326" s="11" t="s">
        <v>7343</v>
      </c>
      <c r="K326" s="11" t="s">
        <v>930</v>
      </c>
      <c r="L326" s="16" t="s">
        <v>5620</v>
      </c>
      <c r="M326" s="11">
        <v>0</v>
      </c>
      <c r="N326" s="9" t="s">
        <v>5044</v>
      </c>
      <c r="O326" s="9" t="s">
        <v>5044</v>
      </c>
      <c r="P326" s="11">
        <v>0</v>
      </c>
      <c r="Q326" s="11">
        <v>0</v>
      </c>
      <c r="R326" s="11">
        <v>0</v>
      </c>
      <c r="S326" s="11">
        <v>1</v>
      </c>
      <c r="T326" s="11">
        <v>1</v>
      </c>
      <c r="U326" s="11">
        <v>86</v>
      </c>
      <c r="V326" s="11">
        <v>1</v>
      </c>
      <c r="W326" s="11">
        <v>1</v>
      </c>
      <c r="X326" s="11">
        <v>0</v>
      </c>
      <c r="Y326" s="11">
        <v>0</v>
      </c>
      <c r="Z326" s="11">
        <v>0</v>
      </c>
      <c r="AA326" s="11">
        <v>0</v>
      </c>
      <c r="AB326" s="11">
        <v>1</v>
      </c>
      <c r="AC326" s="11">
        <v>1</v>
      </c>
      <c r="AD326" s="11">
        <v>2</v>
      </c>
      <c r="AE326" s="11">
        <v>3</v>
      </c>
      <c r="AF326" s="11">
        <v>0</v>
      </c>
      <c r="AG326" s="11">
        <v>2</v>
      </c>
      <c r="AH326" s="11">
        <v>3</v>
      </c>
      <c r="AI326" s="11">
        <v>0</v>
      </c>
      <c r="AJ326" s="11" t="s">
        <v>5044</v>
      </c>
      <c r="AK326" s="11">
        <v>1</v>
      </c>
      <c r="AL326" s="11">
        <v>1</v>
      </c>
      <c r="AM326" s="11">
        <v>0</v>
      </c>
      <c r="AN326" s="11" t="s">
        <v>5318</v>
      </c>
      <c r="AO326" s="11" t="s">
        <v>5318</v>
      </c>
      <c r="AP326" s="11" t="s">
        <v>5318</v>
      </c>
      <c r="AQ326" s="11" t="s">
        <v>5318</v>
      </c>
    </row>
    <row r="327" spans="1:43" ht="63" customHeight="1" x14ac:dyDescent="0.2">
      <c r="A327" s="10">
        <v>3343</v>
      </c>
      <c r="B327" s="11" t="s">
        <v>7344</v>
      </c>
      <c r="C327" s="11" t="s">
        <v>931</v>
      </c>
      <c r="D327" s="11">
        <v>2020</v>
      </c>
      <c r="E327" s="11" t="s">
        <v>5318</v>
      </c>
      <c r="F327" s="11">
        <v>107</v>
      </c>
      <c r="G327" s="11">
        <v>8</v>
      </c>
      <c r="H327" s="11" t="s">
        <v>6530</v>
      </c>
      <c r="I327" s="11" t="s">
        <v>6516</v>
      </c>
      <c r="J327" s="11" t="s">
        <v>7345</v>
      </c>
      <c r="K327" s="11" t="s">
        <v>933</v>
      </c>
      <c r="L327" s="16" t="s">
        <v>5621</v>
      </c>
      <c r="M327" s="11">
        <v>0</v>
      </c>
      <c r="N327" s="9" t="s">
        <v>5044</v>
      </c>
      <c r="O327" s="9" t="s">
        <v>5044</v>
      </c>
      <c r="P327" s="11">
        <v>0</v>
      </c>
      <c r="Q327" s="11">
        <v>0</v>
      </c>
      <c r="R327" s="11">
        <v>0</v>
      </c>
      <c r="S327" s="11">
        <v>1</v>
      </c>
      <c r="T327" s="11">
        <v>1</v>
      </c>
      <c r="U327" s="11">
        <v>138</v>
      </c>
      <c r="V327" s="11">
        <v>0</v>
      </c>
      <c r="W327" s="11">
        <v>1</v>
      </c>
      <c r="X327" s="11">
        <v>0</v>
      </c>
      <c r="Y327" s="11">
        <v>0</v>
      </c>
      <c r="Z327" s="11">
        <v>0</v>
      </c>
      <c r="AA327" s="11">
        <v>0</v>
      </c>
      <c r="AB327" s="11">
        <v>1</v>
      </c>
      <c r="AC327" s="11">
        <v>1</v>
      </c>
      <c r="AD327" s="11" t="s">
        <v>5044</v>
      </c>
      <c r="AE327" s="11" t="s">
        <v>5044</v>
      </c>
      <c r="AF327" s="11" t="s">
        <v>5044</v>
      </c>
      <c r="AG327" s="11">
        <v>1</v>
      </c>
      <c r="AH327" s="11">
        <v>0</v>
      </c>
      <c r="AI327" s="11">
        <v>0</v>
      </c>
      <c r="AJ327" s="11" t="s">
        <v>5044</v>
      </c>
      <c r="AK327" s="11" t="s">
        <v>5318</v>
      </c>
      <c r="AL327" s="11">
        <v>1</v>
      </c>
      <c r="AM327" s="11">
        <v>0</v>
      </c>
      <c r="AN327" s="11" t="s">
        <v>5318</v>
      </c>
      <c r="AO327" s="11" t="s">
        <v>5318</v>
      </c>
      <c r="AP327" s="11" t="s">
        <v>5318</v>
      </c>
      <c r="AQ327" s="11" t="s">
        <v>5318</v>
      </c>
    </row>
    <row r="328" spans="1:43" ht="63" customHeight="1" x14ac:dyDescent="0.2">
      <c r="A328" s="10">
        <v>3344</v>
      </c>
      <c r="B328" s="11" t="s">
        <v>7346</v>
      </c>
      <c r="C328" s="11" t="s">
        <v>934</v>
      </c>
      <c r="D328" s="11">
        <v>2012</v>
      </c>
      <c r="E328" s="11" t="s">
        <v>5318</v>
      </c>
      <c r="F328" s="11">
        <v>13</v>
      </c>
      <c r="G328" s="11" t="s">
        <v>5318</v>
      </c>
      <c r="H328" s="11" t="s">
        <v>6538</v>
      </c>
      <c r="I328" s="11" t="s">
        <v>6516</v>
      </c>
      <c r="J328" s="11" t="s">
        <v>7347</v>
      </c>
      <c r="K328" s="11" t="s">
        <v>935</v>
      </c>
      <c r="L328" s="12" t="s">
        <v>5622</v>
      </c>
      <c r="M328" s="11">
        <v>1</v>
      </c>
      <c r="N328" s="11">
        <v>0</v>
      </c>
      <c r="O328" s="9" t="s">
        <v>5044</v>
      </c>
      <c r="P328" s="11">
        <v>0</v>
      </c>
      <c r="Q328" s="11">
        <v>0</v>
      </c>
      <c r="R328" s="11">
        <v>0</v>
      </c>
      <c r="S328" s="11">
        <v>1</v>
      </c>
      <c r="T328" s="11">
        <v>1</v>
      </c>
      <c r="U328" s="11">
        <v>130</v>
      </c>
      <c r="V328" s="11">
        <v>0</v>
      </c>
      <c r="W328" s="11">
        <v>1</v>
      </c>
      <c r="X328" s="11">
        <v>0</v>
      </c>
      <c r="Y328" s="11">
        <v>0</v>
      </c>
      <c r="Z328" s="11">
        <v>0</v>
      </c>
      <c r="AA328" s="11">
        <v>0</v>
      </c>
      <c r="AB328" s="11">
        <v>1</v>
      </c>
      <c r="AC328" s="11" t="s">
        <v>5044</v>
      </c>
      <c r="AD328" s="11" t="s">
        <v>5044</v>
      </c>
      <c r="AE328" s="11" t="s">
        <v>5044</v>
      </c>
      <c r="AF328" s="11" t="s">
        <v>5044</v>
      </c>
      <c r="AG328" s="11" t="s">
        <v>5044</v>
      </c>
      <c r="AH328" s="11" t="s">
        <v>5044</v>
      </c>
      <c r="AI328" s="11" t="s">
        <v>5044</v>
      </c>
      <c r="AJ328" s="11" t="s">
        <v>5044</v>
      </c>
      <c r="AK328" s="11" t="s">
        <v>5318</v>
      </c>
      <c r="AL328" s="11" t="s">
        <v>5044</v>
      </c>
      <c r="AM328" s="11">
        <v>0</v>
      </c>
      <c r="AN328" s="11" t="s">
        <v>5318</v>
      </c>
      <c r="AO328" s="11" t="s">
        <v>5318</v>
      </c>
      <c r="AP328" s="11" t="s">
        <v>5318</v>
      </c>
      <c r="AQ328" s="11" t="s">
        <v>5318</v>
      </c>
    </row>
    <row r="329" spans="1:43" ht="63" customHeight="1" x14ac:dyDescent="0.2">
      <c r="A329" s="10">
        <v>3350</v>
      </c>
      <c r="B329" s="11" t="s">
        <v>7348</v>
      </c>
      <c r="C329" s="11" t="s">
        <v>936</v>
      </c>
      <c r="D329" s="11">
        <v>2011</v>
      </c>
      <c r="E329" s="11" t="s">
        <v>5318</v>
      </c>
      <c r="F329" s="11">
        <v>59</v>
      </c>
      <c r="G329" s="11">
        <v>2</v>
      </c>
      <c r="H329" s="11" t="s">
        <v>6515</v>
      </c>
      <c r="I329" s="11" t="s">
        <v>6516</v>
      </c>
      <c r="J329" s="11" t="s">
        <v>7349</v>
      </c>
      <c r="K329" s="11" t="s">
        <v>937</v>
      </c>
      <c r="L329" s="11" t="s">
        <v>5044</v>
      </c>
      <c r="M329" s="11">
        <v>0</v>
      </c>
      <c r="N329" s="9" t="s">
        <v>5044</v>
      </c>
      <c r="O329" s="9" t="s">
        <v>5044</v>
      </c>
      <c r="P329" s="11">
        <v>0</v>
      </c>
      <c r="Q329" s="11">
        <v>0</v>
      </c>
      <c r="R329" s="11">
        <v>0</v>
      </c>
      <c r="S329" s="11">
        <v>3</v>
      </c>
      <c r="T329" s="11">
        <v>1</v>
      </c>
      <c r="U329" s="11">
        <v>200</v>
      </c>
      <c r="V329" s="11">
        <v>0</v>
      </c>
      <c r="W329" s="11">
        <v>1</v>
      </c>
      <c r="X329" s="11">
        <v>0</v>
      </c>
      <c r="Y329" s="11">
        <v>0</v>
      </c>
      <c r="Z329" s="11">
        <v>0</v>
      </c>
      <c r="AA329" s="11">
        <v>0</v>
      </c>
      <c r="AB329" s="11">
        <v>1</v>
      </c>
      <c r="AC329" s="11">
        <v>1</v>
      </c>
      <c r="AD329" s="11" t="s">
        <v>5044</v>
      </c>
      <c r="AE329" s="11" t="s">
        <v>5044</v>
      </c>
      <c r="AF329" s="11" t="s">
        <v>5044</v>
      </c>
      <c r="AG329" s="11">
        <v>1</v>
      </c>
      <c r="AH329" s="11">
        <v>0</v>
      </c>
      <c r="AI329" s="11">
        <v>0</v>
      </c>
      <c r="AJ329" s="11" t="s">
        <v>5044</v>
      </c>
      <c r="AK329" s="11" t="s">
        <v>5318</v>
      </c>
      <c r="AL329" s="11">
        <v>1</v>
      </c>
      <c r="AM329" s="11">
        <v>0</v>
      </c>
      <c r="AN329" s="11" t="s">
        <v>5105</v>
      </c>
      <c r="AO329" s="11" t="s">
        <v>5318</v>
      </c>
      <c r="AP329" s="11" t="s">
        <v>5318</v>
      </c>
      <c r="AQ329" s="11" t="s">
        <v>5318</v>
      </c>
    </row>
    <row r="330" spans="1:43" ht="63" customHeight="1" x14ac:dyDescent="0.2">
      <c r="A330" s="10">
        <v>3374</v>
      </c>
      <c r="B330" s="22" t="s">
        <v>7350</v>
      </c>
      <c r="C330" s="11" t="s">
        <v>938</v>
      </c>
      <c r="D330" s="11">
        <v>2017</v>
      </c>
      <c r="E330" s="11" t="s">
        <v>5318</v>
      </c>
      <c r="F330" s="11">
        <v>17</v>
      </c>
      <c r="G330" s="11">
        <v>1</v>
      </c>
      <c r="H330" s="11" t="s">
        <v>6547</v>
      </c>
      <c r="I330" s="11" t="s">
        <v>6516</v>
      </c>
      <c r="J330" s="11" t="s">
        <v>7351</v>
      </c>
      <c r="K330" s="11" t="s">
        <v>939</v>
      </c>
      <c r="L330" s="16" t="s">
        <v>5623</v>
      </c>
      <c r="M330" s="11">
        <v>0</v>
      </c>
      <c r="N330" s="9" t="s">
        <v>5044</v>
      </c>
      <c r="O330" s="9" t="s">
        <v>5044</v>
      </c>
      <c r="P330" s="11">
        <v>0</v>
      </c>
      <c r="Q330" s="11">
        <v>0</v>
      </c>
      <c r="R330" s="11">
        <v>0</v>
      </c>
      <c r="S330" s="11">
        <v>1</v>
      </c>
      <c r="T330" s="11">
        <v>1</v>
      </c>
      <c r="U330" s="11">
        <v>355</v>
      </c>
      <c r="V330" s="11">
        <v>0</v>
      </c>
      <c r="W330" s="11">
        <v>1</v>
      </c>
      <c r="X330" s="11">
        <v>0</v>
      </c>
      <c r="Y330" s="11">
        <v>0</v>
      </c>
      <c r="Z330" s="11">
        <v>0</v>
      </c>
      <c r="AA330" s="11">
        <v>0</v>
      </c>
      <c r="AB330" s="11">
        <v>1</v>
      </c>
      <c r="AC330" s="11">
        <v>0</v>
      </c>
      <c r="AD330" s="11" t="s">
        <v>5044</v>
      </c>
      <c r="AE330" s="11" t="s">
        <v>5044</v>
      </c>
      <c r="AF330" s="11" t="s">
        <v>5044</v>
      </c>
      <c r="AG330" s="11">
        <v>0</v>
      </c>
      <c r="AH330" s="11" t="s">
        <v>5044</v>
      </c>
      <c r="AI330" s="11" t="s">
        <v>5044</v>
      </c>
      <c r="AJ330" s="11" t="s">
        <v>5044</v>
      </c>
      <c r="AK330" s="11" t="s">
        <v>5318</v>
      </c>
      <c r="AL330" s="11">
        <v>1</v>
      </c>
      <c r="AM330" s="11">
        <v>0</v>
      </c>
      <c r="AN330" s="11" t="s">
        <v>5318</v>
      </c>
      <c r="AO330" s="11" t="s">
        <v>5318</v>
      </c>
      <c r="AP330" s="11" t="s">
        <v>5318</v>
      </c>
      <c r="AQ330" s="11" t="s">
        <v>5318</v>
      </c>
    </row>
    <row r="331" spans="1:43" ht="63" customHeight="1" x14ac:dyDescent="0.2">
      <c r="A331" s="10">
        <v>3378</v>
      </c>
      <c r="B331" s="11" t="s">
        <v>7352</v>
      </c>
      <c r="C331" s="11" t="s">
        <v>940</v>
      </c>
      <c r="D331" s="11">
        <v>2022</v>
      </c>
      <c r="E331" s="11" t="s">
        <v>5318</v>
      </c>
      <c r="F331" s="11">
        <v>157</v>
      </c>
      <c r="G331" s="11">
        <v>4</v>
      </c>
      <c r="H331" s="11" t="s">
        <v>6676</v>
      </c>
      <c r="I331" s="11" t="s">
        <v>6516</v>
      </c>
      <c r="J331" s="11" t="s">
        <v>7353</v>
      </c>
      <c r="K331" s="11" t="s">
        <v>942</v>
      </c>
      <c r="L331" s="16" t="s">
        <v>5624</v>
      </c>
      <c r="M331" s="11">
        <v>0</v>
      </c>
      <c r="N331" s="9" t="s">
        <v>5044</v>
      </c>
      <c r="O331" s="9" t="s">
        <v>5044</v>
      </c>
      <c r="P331" s="11">
        <v>0</v>
      </c>
      <c r="Q331" s="11">
        <v>0</v>
      </c>
      <c r="R331" s="11">
        <v>0</v>
      </c>
      <c r="S331" s="11">
        <v>1</v>
      </c>
      <c r="T331" s="11">
        <v>1</v>
      </c>
      <c r="U331" s="11">
        <v>253</v>
      </c>
      <c r="V331" s="11">
        <v>0</v>
      </c>
      <c r="W331" s="11">
        <v>1</v>
      </c>
      <c r="X331" s="11">
        <v>0</v>
      </c>
      <c r="Y331" s="11">
        <v>0</v>
      </c>
      <c r="Z331" s="11">
        <v>1</v>
      </c>
      <c r="AA331" s="11">
        <v>0</v>
      </c>
      <c r="AB331" s="11">
        <v>1</v>
      </c>
      <c r="AC331" s="11">
        <v>1</v>
      </c>
      <c r="AD331" s="11" t="s">
        <v>5044</v>
      </c>
      <c r="AE331" s="11" t="s">
        <v>5044</v>
      </c>
      <c r="AF331" s="11" t="s">
        <v>5044</v>
      </c>
      <c r="AG331" s="11">
        <v>0</v>
      </c>
      <c r="AH331" s="11" t="s">
        <v>5044</v>
      </c>
      <c r="AI331" s="11" t="s">
        <v>5044</v>
      </c>
      <c r="AJ331" s="11">
        <v>0</v>
      </c>
      <c r="AK331" s="11" t="s">
        <v>5318</v>
      </c>
      <c r="AL331" s="11">
        <v>1</v>
      </c>
      <c r="AM331" s="11">
        <v>0</v>
      </c>
      <c r="AN331" s="11" t="s">
        <v>5318</v>
      </c>
      <c r="AO331" s="11" t="s">
        <v>5318</v>
      </c>
      <c r="AP331" s="11" t="s">
        <v>5318</v>
      </c>
      <c r="AQ331" s="11" t="s">
        <v>5318</v>
      </c>
    </row>
    <row r="332" spans="1:43" ht="63" customHeight="1" x14ac:dyDescent="0.2">
      <c r="A332" s="10">
        <v>3390</v>
      </c>
      <c r="B332" s="11" t="s">
        <v>7354</v>
      </c>
      <c r="C332" s="11" t="s">
        <v>943</v>
      </c>
      <c r="D332" s="11">
        <v>2020</v>
      </c>
      <c r="E332" s="11" t="s">
        <v>5318</v>
      </c>
      <c r="F332" s="11">
        <v>63</v>
      </c>
      <c r="G332" s="11">
        <v>5</v>
      </c>
      <c r="H332" s="11" t="s">
        <v>6598</v>
      </c>
      <c r="I332" s="11" t="s">
        <v>6516</v>
      </c>
      <c r="J332" s="11" t="s">
        <v>7355</v>
      </c>
      <c r="K332" s="11" t="s">
        <v>945</v>
      </c>
      <c r="L332" s="16" t="s">
        <v>5625</v>
      </c>
      <c r="M332" s="11">
        <v>0</v>
      </c>
      <c r="N332" s="9" t="s">
        <v>5044</v>
      </c>
      <c r="O332" s="9" t="s">
        <v>5044</v>
      </c>
      <c r="P332" s="11">
        <v>0</v>
      </c>
      <c r="Q332" s="11">
        <v>0</v>
      </c>
      <c r="R332" s="11">
        <v>0</v>
      </c>
      <c r="S332" s="11">
        <v>1</v>
      </c>
      <c r="T332" s="11">
        <v>1</v>
      </c>
      <c r="U332" s="11">
        <v>102</v>
      </c>
      <c r="V332" s="11">
        <v>0</v>
      </c>
      <c r="W332" s="11">
        <v>1</v>
      </c>
      <c r="X332" s="11">
        <v>0</v>
      </c>
      <c r="Y332" s="11">
        <v>0</v>
      </c>
      <c r="Z332" s="11">
        <v>0</v>
      </c>
      <c r="AA332" s="11">
        <v>0</v>
      </c>
      <c r="AB332" s="11">
        <v>1</v>
      </c>
      <c r="AC332" s="11">
        <v>1</v>
      </c>
      <c r="AD332" s="11" t="s">
        <v>5044</v>
      </c>
      <c r="AE332" s="11" t="s">
        <v>5044</v>
      </c>
      <c r="AF332" s="11" t="s">
        <v>5044</v>
      </c>
      <c r="AG332" s="11">
        <v>1</v>
      </c>
      <c r="AH332" s="11">
        <v>0</v>
      </c>
      <c r="AI332" s="11">
        <v>0</v>
      </c>
      <c r="AJ332" s="11" t="s">
        <v>5044</v>
      </c>
      <c r="AK332" s="11" t="s">
        <v>5318</v>
      </c>
      <c r="AL332" s="11">
        <v>0</v>
      </c>
      <c r="AM332" s="11">
        <v>0</v>
      </c>
      <c r="AN332" s="11" t="s">
        <v>5318</v>
      </c>
      <c r="AO332" s="11" t="s">
        <v>5318</v>
      </c>
      <c r="AP332" s="11" t="s">
        <v>5318</v>
      </c>
      <c r="AQ332" s="11" t="s">
        <v>5318</v>
      </c>
    </row>
    <row r="333" spans="1:43" ht="63" customHeight="1" x14ac:dyDescent="0.2">
      <c r="A333" s="10">
        <v>3399</v>
      </c>
      <c r="B333" s="11" t="s">
        <v>7356</v>
      </c>
      <c r="C333" s="11" t="s">
        <v>946</v>
      </c>
      <c r="D333" s="11">
        <v>2015</v>
      </c>
      <c r="E333" s="11" t="s">
        <v>5318</v>
      </c>
      <c r="F333" s="11">
        <v>26</v>
      </c>
      <c r="G333" s="11">
        <v>8</v>
      </c>
      <c r="H333" s="11" t="s">
        <v>6568</v>
      </c>
      <c r="I333" s="11" t="s">
        <v>6516</v>
      </c>
      <c r="J333" s="11" t="s">
        <v>7357</v>
      </c>
      <c r="K333" s="11" t="s">
        <v>947</v>
      </c>
      <c r="L333" s="11" t="s">
        <v>5044</v>
      </c>
      <c r="M333" s="11">
        <v>0</v>
      </c>
      <c r="N333" s="9" t="s">
        <v>5044</v>
      </c>
      <c r="O333" s="9" t="s">
        <v>5044</v>
      </c>
      <c r="P333" s="11">
        <v>0</v>
      </c>
      <c r="Q333" s="11">
        <v>0</v>
      </c>
      <c r="R333" s="11">
        <v>0</v>
      </c>
      <c r="S333" s="11">
        <v>5</v>
      </c>
      <c r="T333" s="11">
        <v>3</v>
      </c>
      <c r="U333" s="11">
        <v>124</v>
      </c>
      <c r="V333" s="11">
        <v>0</v>
      </c>
      <c r="W333" s="11">
        <v>1</v>
      </c>
      <c r="X333" s="11">
        <v>0</v>
      </c>
      <c r="Y333" s="11">
        <v>0</v>
      </c>
      <c r="Z333" s="11">
        <v>0</v>
      </c>
      <c r="AA333" s="11">
        <v>0</v>
      </c>
      <c r="AB333" s="11">
        <v>1</v>
      </c>
      <c r="AC333" s="11">
        <v>1</v>
      </c>
      <c r="AD333" s="11" t="s">
        <v>5044</v>
      </c>
      <c r="AE333" s="11" t="s">
        <v>5044</v>
      </c>
      <c r="AF333" s="11" t="s">
        <v>5044</v>
      </c>
      <c r="AG333" s="11">
        <v>1</v>
      </c>
      <c r="AH333" s="11">
        <v>0</v>
      </c>
      <c r="AI333" s="11">
        <v>0</v>
      </c>
      <c r="AJ333" s="11" t="s">
        <v>5044</v>
      </c>
      <c r="AK333" s="11" t="s">
        <v>5318</v>
      </c>
      <c r="AL333" s="11">
        <v>1</v>
      </c>
      <c r="AM333" s="11">
        <v>0</v>
      </c>
      <c r="AN333" s="11" t="s">
        <v>5318</v>
      </c>
      <c r="AO333" s="11" t="s">
        <v>5318</v>
      </c>
      <c r="AP333" s="11" t="s">
        <v>5318</v>
      </c>
      <c r="AQ333" s="11" t="s">
        <v>5318</v>
      </c>
    </row>
    <row r="334" spans="1:43" ht="63" customHeight="1" x14ac:dyDescent="0.2">
      <c r="A334" s="10">
        <v>3410</v>
      </c>
      <c r="B334" s="11" t="s">
        <v>7358</v>
      </c>
      <c r="C334" s="11" t="s">
        <v>948</v>
      </c>
      <c r="D334" s="11">
        <v>2018</v>
      </c>
      <c r="E334" s="11" t="s">
        <v>5318</v>
      </c>
      <c r="F334" s="11">
        <v>33</v>
      </c>
      <c r="G334" s="11">
        <v>1</v>
      </c>
      <c r="H334" s="11" t="s">
        <v>7359</v>
      </c>
      <c r="I334" s="11" t="s">
        <v>6516</v>
      </c>
      <c r="J334" s="11" t="s">
        <v>7360</v>
      </c>
      <c r="K334" s="11" t="s">
        <v>949</v>
      </c>
      <c r="L334" s="16" t="s">
        <v>5626</v>
      </c>
      <c r="M334" s="11">
        <v>0</v>
      </c>
      <c r="N334" s="9" t="s">
        <v>5044</v>
      </c>
      <c r="O334" s="9" t="s">
        <v>5044</v>
      </c>
      <c r="P334" s="11">
        <v>0</v>
      </c>
      <c r="Q334" s="11">
        <v>0</v>
      </c>
      <c r="R334" s="11">
        <v>0</v>
      </c>
      <c r="S334" s="11">
        <v>5</v>
      </c>
      <c r="T334" s="11">
        <v>1</v>
      </c>
      <c r="U334" s="11">
        <v>60</v>
      </c>
      <c r="V334" s="11">
        <v>0</v>
      </c>
      <c r="W334" s="11">
        <v>1</v>
      </c>
      <c r="X334" s="11">
        <v>0</v>
      </c>
      <c r="Y334" s="11">
        <v>0</v>
      </c>
      <c r="Z334" s="11">
        <v>0</v>
      </c>
      <c r="AA334" s="11">
        <v>0</v>
      </c>
      <c r="AB334" s="11">
        <v>1</v>
      </c>
      <c r="AC334" s="11">
        <v>1</v>
      </c>
      <c r="AD334" s="11" t="s">
        <v>5044</v>
      </c>
      <c r="AE334" s="11" t="s">
        <v>5044</v>
      </c>
      <c r="AF334" s="11" t="s">
        <v>5044</v>
      </c>
      <c r="AG334" s="11">
        <v>2</v>
      </c>
      <c r="AH334" s="11">
        <v>3</v>
      </c>
      <c r="AI334" s="11">
        <v>0</v>
      </c>
      <c r="AJ334" s="11" t="s">
        <v>5044</v>
      </c>
      <c r="AK334" s="11">
        <v>1</v>
      </c>
      <c r="AL334" s="11">
        <v>0</v>
      </c>
      <c r="AM334" s="11">
        <v>0</v>
      </c>
      <c r="AN334" s="11" t="s">
        <v>5318</v>
      </c>
      <c r="AO334" s="11" t="s">
        <v>5318</v>
      </c>
      <c r="AP334" s="11" t="s">
        <v>5318</v>
      </c>
      <c r="AQ334" s="11" t="s">
        <v>5318</v>
      </c>
    </row>
    <row r="335" spans="1:43" ht="63" customHeight="1" x14ac:dyDescent="0.2">
      <c r="A335" s="10">
        <v>3420</v>
      </c>
      <c r="B335" s="11" t="s">
        <v>7361</v>
      </c>
      <c r="C335" s="11" t="s">
        <v>950</v>
      </c>
      <c r="D335" s="11">
        <v>2021</v>
      </c>
      <c r="E335" s="11" t="s">
        <v>5318</v>
      </c>
      <c r="F335" s="11">
        <v>39</v>
      </c>
      <c r="G335" s="11">
        <v>7</v>
      </c>
      <c r="H335" s="11" t="s">
        <v>6582</v>
      </c>
      <c r="I335" s="11" t="s">
        <v>6516</v>
      </c>
      <c r="J335" s="11" t="s">
        <v>7362</v>
      </c>
      <c r="K335" s="11" t="s">
        <v>951</v>
      </c>
      <c r="L335" s="12" t="s">
        <v>5627</v>
      </c>
      <c r="M335" s="11">
        <v>0</v>
      </c>
      <c r="N335" s="9" t="s">
        <v>5044</v>
      </c>
      <c r="O335" s="9" t="s">
        <v>5044</v>
      </c>
      <c r="P335" s="11">
        <v>0</v>
      </c>
      <c r="Q335" s="11">
        <v>0</v>
      </c>
      <c r="R335" s="11">
        <v>0</v>
      </c>
      <c r="S335" s="11">
        <v>3</v>
      </c>
      <c r="T335" s="11">
        <v>2</v>
      </c>
      <c r="U335" s="11">
        <v>201</v>
      </c>
      <c r="V335" s="11">
        <v>0</v>
      </c>
      <c r="W335" s="11">
        <v>1</v>
      </c>
      <c r="X335" s="11">
        <v>0</v>
      </c>
      <c r="Y335" s="11">
        <v>0</v>
      </c>
      <c r="Z335" s="11">
        <v>0</v>
      </c>
      <c r="AA335" s="11">
        <v>0</v>
      </c>
      <c r="AB335" s="11">
        <v>1</v>
      </c>
      <c r="AC335" s="11">
        <v>1</v>
      </c>
      <c r="AD335" s="11" t="s">
        <v>5044</v>
      </c>
      <c r="AE335" s="11" t="s">
        <v>5044</v>
      </c>
      <c r="AF335" s="11" t="s">
        <v>5044</v>
      </c>
      <c r="AG335" s="11">
        <v>1</v>
      </c>
      <c r="AH335" s="11">
        <v>0</v>
      </c>
      <c r="AI335" s="11">
        <v>0</v>
      </c>
      <c r="AJ335" s="11" t="s">
        <v>5044</v>
      </c>
      <c r="AK335" s="11" t="s">
        <v>5318</v>
      </c>
      <c r="AL335" s="11">
        <v>0</v>
      </c>
      <c r="AM335" s="11">
        <v>0</v>
      </c>
      <c r="AN335" s="11" t="s">
        <v>5318</v>
      </c>
      <c r="AO335" s="11" t="s">
        <v>5318</v>
      </c>
      <c r="AP335" s="11" t="s">
        <v>5318</v>
      </c>
      <c r="AQ335" s="11" t="s">
        <v>5318</v>
      </c>
    </row>
    <row r="336" spans="1:43" ht="63" customHeight="1" x14ac:dyDescent="0.2">
      <c r="A336" s="10">
        <v>3422</v>
      </c>
      <c r="B336" s="11" t="s">
        <v>7363</v>
      </c>
      <c r="C336" s="11" t="s">
        <v>952</v>
      </c>
      <c r="D336" s="11">
        <v>2013</v>
      </c>
      <c r="E336" s="11" t="s">
        <v>5318</v>
      </c>
      <c r="F336" s="11">
        <v>258</v>
      </c>
      <c r="G336" s="11">
        <v>1</v>
      </c>
      <c r="H336" s="11" t="s">
        <v>6533</v>
      </c>
      <c r="I336" s="11" t="s">
        <v>6516</v>
      </c>
      <c r="J336" s="11" t="s">
        <v>7364</v>
      </c>
      <c r="K336" s="11" t="s">
        <v>954</v>
      </c>
      <c r="L336" s="16" t="s">
        <v>5628</v>
      </c>
      <c r="M336" s="11">
        <v>0</v>
      </c>
      <c r="N336" s="9" t="s">
        <v>5044</v>
      </c>
      <c r="O336" s="9" t="s">
        <v>5044</v>
      </c>
      <c r="P336" s="11">
        <v>0</v>
      </c>
      <c r="Q336" s="11">
        <v>0</v>
      </c>
      <c r="R336" s="11">
        <v>0</v>
      </c>
      <c r="S336" s="11">
        <v>1</v>
      </c>
      <c r="T336" s="11">
        <v>1</v>
      </c>
      <c r="U336" s="11">
        <v>157</v>
      </c>
      <c r="V336" s="11">
        <v>0</v>
      </c>
      <c r="W336" s="11">
        <v>1</v>
      </c>
      <c r="X336" s="11">
        <v>0</v>
      </c>
      <c r="Y336" s="11">
        <v>0</v>
      </c>
      <c r="Z336" s="11">
        <v>0</v>
      </c>
      <c r="AA336" s="11">
        <v>0</v>
      </c>
      <c r="AB336" s="11">
        <v>1</v>
      </c>
      <c r="AC336" s="11">
        <v>1</v>
      </c>
      <c r="AD336" s="11" t="s">
        <v>5044</v>
      </c>
      <c r="AE336" s="11" t="s">
        <v>5044</v>
      </c>
      <c r="AF336" s="11" t="s">
        <v>5044</v>
      </c>
      <c r="AG336" s="11">
        <v>1</v>
      </c>
      <c r="AH336" s="11">
        <v>0</v>
      </c>
      <c r="AI336" s="11">
        <v>0</v>
      </c>
      <c r="AJ336" s="11" t="s">
        <v>5044</v>
      </c>
      <c r="AK336" s="11" t="s">
        <v>5318</v>
      </c>
      <c r="AL336" s="11">
        <v>0</v>
      </c>
      <c r="AM336" s="11">
        <v>0</v>
      </c>
      <c r="AN336" s="11" t="s">
        <v>5318</v>
      </c>
      <c r="AO336" s="11" t="s">
        <v>5318</v>
      </c>
      <c r="AP336" s="11" t="s">
        <v>5318</v>
      </c>
      <c r="AQ336" s="11" t="s">
        <v>5318</v>
      </c>
    </row>
    <row r="337" spans="1:43" ht="63" customHeight="1" x14ac:dyDescent="0.2">
      <c r="A337" s="10">
        <v>3427</v>
      </c>
      <c r="B337" s="11" t="s">
        <v>7365</v>
      </c>
      <c r="C337" s="11" t="s">
        <v>955</v>
      </c>
      <c r="D337" s="11">
        <v>2019</v>
      </c>
      <c r="E337" s="11" t="s">
        <v>305</v>
      </c>
      <c r="F337" s="11">
        <v>19</v>
      </c>
      <c r="G337" s="11">
        <v>1</v>
      </c>
      <c r="H337" s="11" t="s">
        <v>7366</v>
      </c>
      <c r="I337" s="11" t="s">
        <v>6516</v>
      </c>
      <c r="J337" s="11" t="s">
        <v>7367</v>
      </c>
      <c r="K337" s="11" t="s">
        <v>956</v>
      </c>
      <c r="L337" s="16" t="s">
        <v>5629</v>
      </c>
      <c r="M337" s="11">
        <v>1</v>
      </c>
      <c r="N337" s="11">
        <v>0</v>
      </c>
      <c r="O337" s="9" t="s">
        <v>5044</v>
      </c>
      <c r="P337" s="11">
        <v>0</v>
      </c>
      <c r="Q337" s="11">
        <v>0</v>
      </c>
      <c r="R337" s="11">
        <v>0</v>
      </c>
      <c r="S337" s="11">
        <v>1</v>
      </c>
      <c r="T337" s="11">
        <v>1</v>
      </c>
      <c r="U337" s="11">
        <v>60</v>
      </c>
      <c r="V337" s="11">
        <v>0</v>
      </c>
      <c r="W337" s="11">
        <v>1</v>
      </c>
      <c r="X337" s="11">
        <v>0</v>
      </c>
      <c r="Y337" s="11">
        <v>0</v>
      </c>
      <c r="Z337" s="11">
        <v>0</v>
      </c>
      <c r="AA337" s="11">
        <v>0</v>
      </c>
      <c r="AB337" s="11">
        <v>1</v>
      </c>
      <c r="AC337" s="11" t="s">
        <v>5044</v>
      </c>
      <c r="AD337" s="11" t="s">
        <v>5044</v>
      </c>
      <c r="AE337" s="11" t="s">
        <v>5044</v>
      </c>
      <c r="AF337" s="11" t="s">
        <v>5044</v>
      </c>
      <c r="AG337" s="11" t="s">
        <v>5044</v>
      </c>
      <c r="AH337" s="11" t="s">
        <v>5044</v>
      </c>
      <c r="AI337" s="11" t="s">
        <v>5044</v>
      </c>
      <c r="AJ337" s="11" t="s">
        <v>5044</v>
      </c>
      <c r="AK337" s="11" t="s">
        <v>5318</v>
      </c>
      <c r="AL337" s="11" t="s">
        <v>5044</v>
      </c>
      <c r="AM337" s="11">
        <v>0</v>
      </c>
      <c r="AN337" s="11" t="s">
        <v>5318</v>
      </c>
      <c r="AO337" s="11" t="s">
        <v>5318</v>
      </c>
      <c r="AP337" s="11" t="s">
        <v>5318</v>
      </c>
      <c r="AQ337" s="11" t="s">
        <v>5318</v>
      </c>
    </row>
    <row r="338" spans="1:43" ht="63" customHeight="1" x14ac:dyDescent="0.2">
      <c r="A338" s="10">
        <v>3435</v>
      </c>
      <c r="B338" s="11" t="s">
        <v>7368</v>
      </c>
      <c r="C338" s="11" t="s">
        <v>957</v>
      </c>
      <c r="D338" s="11">
        <v>2011</v>
      </c>
      <c r="E338" s="11" t="s">
        <v>5318</v>
      </c>
      <c r="F338" s="11">
        <v>185</v>
      </c>
      <c r="G338" s="11">
        <v>6</v>
      </c>
      <c r="H338" s="11" t="s">
        <v>7152</v>
      </c>
      <c r="I338" s="11" t="s">
        <v>6516</v>
      </c>
      <c r="J338" s="11" t="s">
        <v>7369</v>
      </c>
      <c r="K338" s="11" t="s">
        <v>958</v>
      </c>
      <c r="L338" s="12">
        <v>65812524</v>
      </c>
      <c r="M338" s="11">
        <v>0</v>
      </c>
      <c r="N338" s="9" t="s">
        <v>5044</v>
      </c>
      <c r="O338" s="9" t="s">
        <v>5044</v>
      </c>
      <c r="P338" s="11">
        <v>0</v>
      </c>
      <c r="Q338" s="11">
        <v>0</v>
      </c>
      <c r="R338" s="11">
        <v>0</v>
      </c>
      <c r="S338" s="11">
        <v>3</v>
      </c>
      <c r="T338" s="11">
        <v>2</v>
      </c>
      <c r="U338" s="11">
        <v>150</v>
      </c>
      <c r="V338" s="11">
        <v>0</v>
      </c>
      <c r="W338" s="11">
        <v>1</v>
      </c>
      <c r="X338" s="11">
        <v>0</v>
      </c>
      <c r="Y338" s="11">
        <v>0</v>
      </c>
      <c r="Z338" s="11">
        <v>0</v>
      </c>
      <c r="AA338" s="11">
        <v>0</v>
      </c>
      <c r="AB338" s="11">
        <v>1</v>
      </c>
      <c r="AC338" s="11">
        <v>1</v>
      </c>
      <c r="AD338" s="11" t="s">
        <v>5044</v>
      </c>
      <c r="AE338" s="11" t="s">
        <v>5044</v>
      </c>
      <c r="AF338" s="11" t="s">
        <v>5044</v>
      </c>
      <c r="AG338" s="11">
        <v>1</v>
      </c>
      <c r="AH338" s="11">
        <v>0</v>
      </c>
      <c r="AI338" s="11">
        <v>0</v>
      </c>
      <c r="AJ338" s="11" t="s">
        <v>5044</v>
      </c>
      <c r="AK338" s="11" t="s">
        <v>5318</v>
      </c>
      <c r="AL338" s="11">
        <v>1</v>
      </c>
      <c r="AM338" s="11">
        <v>0</v>
      </c>
      <c r="AN338" s="11" t="s">
        <v>5318</v>
      </c>
      <c r="AO338" s="11" t="s">
        <v>5318</v>
      </c>
      <c r="AP338" s="11" t="s">
        <v>5318</v>
      </c>
      <c r="AQ338" s="11" t="s">
        <v>5318</v>
      </c>
    </row>
    <row r="339" spans="1:43" ht="63" customHeight="1" x14ac:dyDescent="0.2">
      <c r="A339" s="10">
        <v>3437</v>
      </c>
      <c r="B339" s="11" t="s">
        <v>7370</v>
      </c>
      <c r="C339" s="11" t="s">
        <v>959</v>
      </c>
      <c r="D339" s="11">
        <v>2015</v>
      </c>
      <c r="E339" s="11" t="s">
        <v>5318</v>
      </c>
      <c r="F339" s="11">
        <v>157</v>
      </c>
      <c r="G339" s="11">
        <v>2</v>
      </c>
      <c r="H339" s="11" t="s">
        <v>6553</v>
      </c>
      <c r="I339" s="11" t="s">
        <v>6516</v>
      </c>
      <c r="J339" s="11" t="s">
        <v>7371</v>
      </c>
      <c r="K339" s="11" t="s">
        <v>960</v>
      </c>
      <c r="L339" s="11" t="s">
        <v>5044</v>
      </c>
      <c r="M339" s="11">
        <v>0</v>
      </c>
      <c r="N339" s="9" t="s">
        <v>5044</v>
      </c>
      <c r="O339" s="9" t="s">
        <v>5044</v>
      </c>
      <c r="P339" s="11">
        <v>0</v>
      </c>
      <c r="Q339" s="11">
        <v>0</v>
      </c>
      <c r="R339" s="11">
        <v>0</v>
      </c>
      <c r="S339" s="11">
        <v>9</v>
      </c>
      <c r="T339" s="11">
        <v>1</v>
      </c>
      <c r="U339" s="11">
        <v>121</v>
      </c>
      <c r="V339" s="11">
        <v>0</v>
      </c>
      <c r="W339" s="11">
        <v>1</v>
      </c>
      <c r="X339" s="11">
        <v>0</v>
      </c>
      <c r="Y339" s="11">
        <v>0</v>
      </c>
      <c r="Z339" s="11">
        <v>0</v>
      </c>
      <c r="AA339" s="11">
        <v>0</v>
      </c>
      <c r="AB339" s="11">
        <v>1</v>
      </c>
      <c r="AC339" s="11">
        <v>1</v>
      </c>
      <c r="AD339" s="11" t="s">
        <v>5044</v>
      </c>
      <c r="AE339" s="11" t="s">
        <v>5044</v>
      </c>
      <c r="AF339" s="11" t="s">
        <v>5044</v>
      </c>
      <c r="AG339" s="11">
        <v>2</v>
      </c>
      <c r="AH339" s="11">
        <v>2</v>
      </c>
      <c r="AI339" s="11">
        <v>2</v>
      </c>
      <c r="AJ339" s="11" t="s">
        <v>5044</v>
      </c>
      <c r="AK339" s="11" t="s">
        <v>5318</v>
      </c>
      <c r="AL339" s="11">
        <v>0</v>
      </c>
      <c r="AM339" s="11">
        <v>0</v>
      </c>
      <c r="AN339" s="11" t="s">
        <v>5105</v>
      </c>
      <c r="AO339" s="11" t="s">
        <v>5318</v>
      </c>
      <c r="AP339" s="11" t="s">
        <v>5318</v>
      </c>
      <c r="AQ339" s="11" t="s">
        <v>5318</v>
      </c>
    </row>
    <row r="340" spans="1:43" ht="63" customHeight="1" x14ac:dyDescent="0.2">
      <c r="A340" s="10">
        <v>3448</v>
      </c>
      <c r="B340" s="11" t="s">
        <v>7372</v>
      </c>
      <c r="C340" s="11" t="s">
        <v>961</v>
      </c>
      <c r="D340" s="11">
        <v>2019</v>
      </c>
      <c r="E340" s="11" t="s">
        <v>5318</v>
      </c>
      <c r="F340" s="11">
        <v>33</v>
      </c>
      <c r="G340" s="11">
        <v>12</v>
      </c>
      <c r="H340" s="11" t="s">
        <v>6624</v>
      </c>
      <c r="I340" s="11" t="s">
        <v>6516</v>
      </c>
      <c r="J340" s="11" t="s">
        <v>7373</v>
      </c>
      <c r="K340" s="11" t="s">
        <v>962</v>
      </c>
      <c r="L340" s="16" t="s">
        <v>5630</v>
      </c>
      <c r="M340" s="11">
        <v>0</v>
      </c>
      <c r="N340" s="9" t="s">
        <v>5044</v>
      </c>
      <c r="O340" s="9" t="s">
        <v>5044</v>
      </c>
      <c r="P340" s="11">
        <v>0</v>
      </c>
      <c r="Q340" s="11">
        <v>0</v>
      </c>
      <c r="R340" s="11">
        <v>0</v>
      </c>
      <c r="S340" s="11">
        <v>1</v>
      </c>
      <c r="T340" s="11">
        <v>1</v>
      </c>
      <c r="U340" s="11">
        <v>204</v>
      </c>
      <c r="V340" s="11">
        <v>1</v>
      </c>
      <c r="W340" s="11">
        <v>0</v>
      </c>
      <c r="X340" s="11">
        <v>0</v>
      </c>
      <c r="Y340" s="11">
        <v>0</v>
      </c>
      <c r="Z340" s="11">
        <v>0</v>
      </c>
      <c r="AA340" s="11">
        <v>0</v>
      </c>
      <c r="AB340" s="11">
        <v>1</v>
      </c>
      <c r="AC340" s="11">
        <v>1</v>
      </c>
      <c r="AD340" s="11">
        <v>1</v>
      </c>
      <c r="AE340" s="11">
        <v>0</v>
      </c>
      <c r="AF340" s="11">
        <v>0</v>
      </c>
      <c r="AG340" s="11" t="s">
        <v>5044</v>
      </c>
      <c r="AH340" s="11" t="s">
        <v>5044</v>
      </c>
      <c r="AI340" s="11" t="s">
        <v>5044</v>
      </c>
      <c r="AJ340" s="11" t="s">
        <v>5044</v>
      </c>
      <c r="AK340" s="11" t="s">
        <v>5318</v>
      </c>
      <c r="AL340" s="11">
        <v>1</v>
      </c>
      <c r="AM340" s="11">
        <v>0</v>
      </c>
      <c r="AN340" s="11" t="s">
        <v>5318</v>
      </c>
      <c r="AO340" s="11" t="s">
        <v>5318</v>
      </c>
      <c r="AP340" s="11" t="s">
        <v>5318</v>
      </c>
      <c r="AQ340" s="11" t="s">
        <v>5318</v>
      </c>
    </row>
    <row r="341" spans="1:43" ht="63" customHeight="1" x14ac:dyDescent="0.2">
      <c r="A341" s="10">
        <v>3457</v>
      </c>
      <c r="B341" s="11" t="s">
        <v>7374</v>
      </c>
      <c r="C341" s="11" t="s">
        <v>963</v>
      </c>
      <c r="D341" s="11">
        <v>2020</v>
      </c>
      <c r="E341" s="11" t="s">
        <v>5318</v>
      </c>
      <c r="F341" s="11">
        <v>10</v>
      </c>
      <c r="G341" s="11">
        <v>9</v>
      </c>
      <c r="H341" s="11" t="s">
        <v>6519</v>
      </c>
      <c r="I341" s="11" t="s">
        <v>6516</v>
      </c>
      <c r="J341" s="11" t="s">
        <v>7375</v>
      </c>
      <c r="K341" s="11" t="s">
        <v>964</v>
      </c>
      <c r="L341" s="16" t="s">
        <v>5631</v>
      </c>
      <c r="M341" s="11">
        <v>1</v>
      </c>
      <c r="N341" s="11">
        <v>0</v>
      </c>
      <c r="O341" s="9" t="s">
        <v>5044</v>
      </c>
      <c r="P341" s="11">
        <v>0</v>
      </c>
      <c r="Q341" s="11">
        <v>0</v>
      </c>
      <c r="R341" s="11">
        <v>0</v>
      </c>
      <c r="S341" s="11">
        <v>1</v>
      </c>
      <c r="T341" s="11">
        <v>1</v>
      </c>
      <c r="U341" s="11">
        <v>266</v>
      </c>
      <c r="V341" s="11">
        <v>0</v>
      </c>
      <c r="W341" s="11">
        <v>1</v>
      </c>
      <c r="X341" s="11">
        <v>0</v>
      </c>
      <c r="Y341" s="11">
        <v>0</v>
      </c>
      <c r="Z341" s="11">
        <v>0</v>
      </c>
      <c r="AA341" s="11">
        <v>0</v>
      </c>
      <c r="AB341" s="11">
        <v>1</v>
      </c>
      <c r="AC341" s="11" t="s">
        <v>5044</v>
      </c>
      <c r="AD341" s="11" t="s">
        <v>5044</v>
      </c>
      <c r="AE341" s="11" t="s">
        <v>5044</v>
      </c>
      <c r="AF341" s="11" t="s">
        <v>5044</v>
      </c>
      <c r="AG341" s="11" t="s">
        <v>5044</v>
      </c>
      <c r="AH341" s="11" t="s">
        <v>5044</v>
      </c>
      <c r="AI341" s="11" t="s">
        <v>5044</v>
      </c>
      <c r="AJ341" s="11" t="s">
        <v>5044</v>
      </c>
      <c r="AK341" s="11" t="s">
        <v>5318</v>
      </c>
      <c r="AL341" s="11" t="s">
        <v>5044</v>
      </c>
      <c r="AM341" s="11">
        <v>0</v>
      </c>
      <c r="AN341" s="11" t="s">
        <v>5318</v>
      </c>
      <c r="AO341" s="11" t="s">
        <v>5318</v>
      </c>
      <c r="AP341" s="11" t="s">
        <v>5318</v>
      </c>
      <c r="AQ341" s="11" t="s">
        <v>5318</v>
      </c>
    </row>
    <row r="342" spans="1:43" ht="63" customHeight="1" x14ac:dyDescent="0.2">
      <c r="A342" s="10">
        <v>3458</v>
      </c>
      <c r="B342" s="11" t="s">
        <v>7376</v>
      </c>
      <c r="C342" s="11" t="s">
        <v>965</v>
      </c>
      <c r="D342" s="11">
        <v>2018</v>
      </c>
      <c r="E342" s="11" t="s">
        <v>5318</v>
      </c>
      <c r="F342" s="11">
        <v>36</v>
      </c>
      <c r="G342" s="11">
        <v>6</v>
      </c>
      <c r="H342" s="11" t="s">
        <v>6582</v>
      </c>
      <c r="I342" s="11" t="s">
        <v>6516</v>
      </c>
      <c r="J342" s="11" t="s">
        <v>7377</v>
      </c>
      <c r="K342" s="11" t="s">
        <v>966</v>
      </c>
      <c r="L342" s="16" t="s">
        <v>5632</v>
      </c>
      <c r="M342" s="11">
        <v>0</v>
      </c>
      <c r="N342" s="9" t="s">
        <v>5044</v>
      </c>
      <c r="O342" s="9" t="s">
        <v>5044</v>
      </c>
      <c r="P342" s="11">
        <v>0</v>
      </c>
      <c r="Q342" s="11">
        <v>0</v>
      </c>
      <c r="R342" s="11">
        <v>0</v>
      </c>
      <c r="S342" s="11">
        <v>3</v>
      </c>
      <c r="T342" s="11">
        <v>1</v>
      </c>
      <c r="U342" s="11">
        <v>127</v>
      </c>
      <c r="V342" s="11">
        <v>0</v>
      </c>
      <c r="W342" s="11">
        <v>1</v>
      </c>
      <c r="X342" s="11">
        <v>0</v>
      </c>
      <c r="Y342" s="11">
        <v>0</v>
      </c>
      <c r="Z342" s="11">
        <v>0</v>
      </c>
      <c r="AA342" s="11">
        <v>0</v>
      </c>
      <c r="AB342" s="11">
        <v>1</v>
      </c>
      <c r="AC342" s="11">
        <v>1</v>
      </c>
      <c r="AD342" s="11" t="s">
        <v>5044</v>
      </c>
      <c r="AE342" s="11" t="s">
        <v>5044</v>
      </c>
      <c r="AF342" s="11" t="s">
        <v>5044</v>
      </c>
      <c r="AG342" s="11">
        <v>2</v>
      </c>
      <c r="AH342" s="11">
        <v>1</v>
      </c>
      <c r="AI342" s="11">
        <v>2</v>
      </c>
      <c r="AJ342" s="11" t="s">
        <v>5044</v>
      </c>
      <c r="AK342" s="11" t="s">
        <v>5318</v>
      </c>
      <c r="AL342" s="11">
        <v>1</v>
      </c>
      <c r="AM342" s="11">
        <v>0</v>
      </c>
      <c r="AN342" s="11" t="s">
        <v>5318</v>
      </c>
      <c r="AO342" s="11" t="s">
        <v>5318</v>
      </c>
      <c r="AP342" s="11" t="s">
        <v>5318</v>
      </c>
      <c r="AQ342" s="11" t="s">
        <v>5318</v>
      </c>
    </row>
    <row r="343" spans="1:43" ht="63" customHeight="1" x14ac:dyDescent="0.2">
      <c r="A343" s="10">
        <v>3466</v>
      </c>
      <c r="B343" s="11" t="s">
        <v>7378</v>
      </c>
      <c r="C343" s="11" t="s">
        <v>967</v>
      </c>
      <c r="D343" s="11">
        <v>2019</v>
      </c>
      <c r="E343" s="11" t="s">
        <v>5318</v>
      </c>
      <c r="F343" s="11">
        <v>201</v>
      </c>
      <c r="G343" s="11">
        <v>3</v>
      </c>
      <c r="H343" s="11" t="s">
        <v>7152</v>
      </c>
      <c r="I343" s="11" t="s">
        <v>6516</v>
      </c>
      <c r="J343" s="11" t="s">
        <v>7379</v>
      </c>
      <c r="K343" s="11" t="s">
        <v>968</v>
      </c>
      <c r="L343" s="12" t="s">
        <v>5633</v>
      </c>
      <c r="M343" s="11">
        <v>0</v>
      </c>
      <c r="N343" s="9" t="s">
        <v>5044</v>
      </c>
      <c r="O343" s="9" t="s">
        <v>5044</v>
      </c>
      <c r="P343" s="11">
        <v>0</v>
      </c>
      <c r="Q343" s="11">
        <v>0</v>
      </c>
      <c r="R343" s="11">
        <v>0</v>
      </c>
      <c r="S343" s="11">
        <v>3</v>
      </c>
      <c r="T343" s="11">
        <v>2</v>
      </c>
      <c r="U343" s="11">
        <v>61</v>
      </c>
      <c r="V343" s="11">
        <v>0</v>
      </c>
      <c r="W343" s="11">
        <v>1</v>
      </c>
      <c r="X343" s="11">
        <v>0</v>
      </c>
      <c r="Y343" s="11">
        <v>0</v>
      </c>
      <c r="Z343" s="11">
        <v>0</v>
      </c>
      <c r="AA343" s="11">
        <v>0</v>
      </c>
      <c r="AB343" s="11">
        <v>1</v>
      </c>
      <c r="AC343" s="11">
        <v>1</v>
      </c>
      <c r="AD343" s="11" t="s">
        <v>5044</v>
      </c>
      <c r="AE343" s="11" t="s">
        <v>5044</v>
      </c>
      <c r="AF343" s="11" t="s">
        <v>5044</v>
      </c>
      <c r="AG343" s="11">
        <v>2</v>
      </c>
      <c r="AH343" s="11">
        <v>2</v>
      </c>
      <c r="AI343" s="11">
        <v>2</v>
      </c>
      <c r="AJ343" s="11" t="s">
        <v>5044</v>
      </c>
      <c r="AK343" s="11" t="s">
        <v>5318</v>
      </c>
      <c r="AL343" s="11">
        <v>0</v>
      </c>
      <c r="AM343" s="11">
        <v>0</v>
      </c>
      <c r="AN343" s="11" t="s">
        <v>5318</v>
      </c>
      <c r="AO343" s="11" t="s">
        <v>5318</v>
      </c>
      <c r="AP343" s="11" t="s">
        <v>5318</v>
      </c>
      <c r="AQ343" s="11" t="s">
        <v>5318</v>
      </c>
    </row>
    <row r="344" spans="1:43" ht="63" customHeight="1" x14ac:dyDescent="0.2">
      <c r="A344" s="10">
        <v>3483</v>
      </c>
      <c r="B344" s="11" t="s">
        <v>7380</v>
      </c>
      <c r="C344" s="11" t="s">
        <v>969</v>
      </c>
      <c r="D344" s="11">
        <v>2023</v>
      </c>
      <c r="E344" s="11" t="s">
        <v>5318</v>
      </c>
      <c r="F344" s="11">
        <v>277</v>
      </c>
      <c r="G344" s="11">
        <v>1</v>
      </c>
      <c r="H344" s="11" t="s">
        <v>6533</v>
      </c>
      <c r="I344" s="11" t="s">
        <v>6516</v>
      </c>
      <c r="J344" s="11" t="s">
        <v>7381</v>
      </c>
      <c r="K344" s="11" t="s">
        <v>970</v>
      </c>
      <c r="L344" s="11" t="s">
        <v>5044</v>
      </c>
      <c r="M344" s="11">
        <v>0</v>
      </c>
      <c r="N344" s="9" t="s">
        <v>5044</v>
      </c>
      <c r="O344" s="9" t="s">
        <v>5044</v>
      </c>
      <c r="P344" s="11">
        <v>0</v>
      </c>
      <c r="Q344" s="11">
        <v>0</v>
      </c>
      <c r="R344" s="11">
        <v>0</v>
      </c>
      <c r="S344" s="11">
        <v>1</v>
      </c>
      <c r="T344" s="11">
        <v>1</v>
      </c>
      <c r="U344" s="11">
        <v>232</v>
      </c>
      <c r="V344" s="11">
        <v>0</v>
      </c>
      <c r="W344" s="11">
        <v>1</v>
      </c>
      <c r="X344" s="11">
        <v>0</v>
      </c>
      <c r="Y344" s="11">
        <v>0</v>
      </c>
      <c r="Z344" s="11">
        <v>0</v>
      </c>
      <c r="AA344" s="11">
        <v>0</v>
      </c>
      <c r="AB344" s="11">
        <v>1</v>
      </c>
      <c r="AC344" s="11">
        <v>0</v>
      </c>
      <c r="AD344" s="11" t="s">
        <v>5044</v>
      </c>
      <c r="AE344" s="11" t="s">
        <v>5044</v>
      </c>
      <c r="AF344" s="11" t="s">
        <v>5044</v>
      </c>
      <c r="AG344" s="11">
        <v>0</v>
      </c>
      <c r="AH344" s="11" t="s">
        <v>5044</v>
      </c>
      <c r="AI344" s="11" t="s">
        <v>5044</v>
      </c>
      <c r="AJ344" s="11" t="s">
        <v>5044</v>
      </c>
      <c r="AK344" s="11" t="s">
        <v>5318</v>
      </c>
      <c r="AL344" s="11">
        <v>0</v>
      </c>
      <c r="AM344" s="11">
        <v>0</v>
      </c>
      <c r="AN344" s="11" t="s">
        <v>5318</v>
      </c>
      <c r="AO344" s="11" t="s">
        <v>5318</v>
      </c>
      <c r="AP344" s="11" t="s">
        <v>5318</v>
      </c>
      <c r="AQ344" s="11" t="s">
        <v>5318</v>
      </c>
    </row>
    <row r="345" spans="1:43" ht="63" customHeight="1" x14ac:dyDescent="0.2">
      <c r="A345" s="10">
        <v>3491</v>
      </c>
      <c r="B345" s="11" t="s">
        <v>7382</v>
      </c>
      <c r="C345" s="11" t="s">
        <v>971</v>
      </c>
      <c r="D345" s="11">
        <v>2010</v>
      </c>
      <c r="E345" s="11" t="s">
        <v>5318</v>
      </c>
      <c r="F345" s="11">
        <v>362</v>
      </c>
      <c r="G345" s="11">
        <v>22</v>
      </c>
      <c r="H345" s="11" t="s">
        <v>7383</v>
      </c>
      <c r="I345" s="11" t="s">
        <v>6516</v>
      </c>
      <c r="J345" s="11" t="s">
        <v>7384</v>
      </c>
      <c r="K345" s="11" t="s">
        <v>973</v>
      </c>
      <c r="L345" s="16" t="s">
        <v>5402</v>
      </c>
      <c r="M345" s="11">
        <v>0</v>
      </c>
      <c r="N345" s="9" t="s">
        <v>5044</v>
      </c>
      <c r="O345" s="9" t="s">
        <v>5044</v>
      </c>
      <c r="P345" s="11">
        <v>0</v>
      </c>
      <c r="Q345" s="11">
        <v>0</v>
      </c>
      <c r="R345" s="11">
        <v>0</v>
      </c>
      <c r="S345" s="11">
        <v>5</v>
      </c>
      <c r="T345" s="11">
        <v>1</v>
      </c>
      <c r="U345" s="11">
        <v>597</v>
      </c>
      <c r="V345" s="11">
        <v>0</v>
      </c>
      <c r="W345" s="11">
        <v>1</v>
      </c>
      <c r="X345" s="11">
        <v>0</v>
      </c>
      <c r="Y345" s="11">
        <v>0</v>
      </c>
      <c r="Z345" s="11">
        <v>0</v>
      </c>
      <c r="AA345" s="11">
        <v>0</v>
      </c>
      <c r="AB345" s="11">
        <v>1</v>
      </c>
      <c r="AC345" s="11">
        <v>1</v>
      </c>
      <c r="AD345" s="11" t="s">
        <v>5044</v>
      </c>
      <c r="AE345" s="11" t="s">
        <v>5044</v>
      </c>
      <c r="AF345" s="11" t="s">
        <v>5044</v>
      </c>
      <c r="AG345" s="11">
        <v>2</v>
      </c>
      <c r="AH345" s="11">
        <v>2</v>
      </c>
      <c r="AI345" s="11">
        <v>2</v>
      </c>
      <c r="AJ345" s="11" t="s">
        <v>5044</v>
      </c>
      <c r="AK345" s="11" t="s">
        <v>5318</v>
      </c>
      <c r="AL345" s="11">
        <v>1</v>
      </c>
      <c r="AM345" s="11">
        <v>0</v>
      </c>
      <c r="AN345" s="11" t="s">
        <v>5318</v>
      </c>
      <c r="AO345" s="11" t="s">
        <v>5318</v>
      </c>
      <c r="AP345" s="11" t="s">
        <v>5318</v>
      </c>
      <c r="AQ345" s="11" t="s">
        <v>5318</v>
      </c>
    </row>
    <row r="346" spans="1:43" ht="63" customHeight="1" x14ac:dyDescent="0.2">
      <c r="A346" s="10">
        <v>3507</v>
      </c>
      <c r="B346" s="11" t="s">
        <v>7385</v>
      </c>
      <c r="C346" s="11" t="s">
        <v>974</v>
      </c>
      <c r="D346" s="11">
        <v>2022</v>
      </c>
      <c r="E346" s="11" t="s">
        <v>5318</v>
      </c>
      <c r="F346" s="11">
        <v>26</v>
      </c>
      <c r="G346" s="11">
        <v>12</v>
      </c>
      <c r="H346" s="11" t="s">
        <v>6725</v>
      </c>
      <c r="I346" s="11" t="s">
        <v>6516</v>
      </c>
      <c r="J346" s="11" t="s">
        <v>7386</v>
      </c>
      <c r="K346" s="11" t="s">
        <v>975</v>
      </c>
      <c r="L346" s="16" t="s">
        <v>5634</v>
      </c>
      <c r="M346" s="11">
        <v>0</v>
      </c>
      <c r="N346" s="9" t="s">
        <v>5044</v>
      </c>
      <c r="O346" s="9" t="s">
        <v>5044</v>
      </c>
      <c r="P346" s="11">
        <v>0</v>
      </c>
      <c r="Q346" s="11">
        <v>0</v>
      </c>
      <c r="R346" s="11">
        <v>0</v>
      </c>
      <c r="S346" s="11">
        <v>11</v>
      </c>
      <c r="T346" s="11">
        <v>3</v>
      </c>
      <c r="U346" s="11">
        <v>65</v>
      </c>
      <c r="V346" s="11">
        <v>0</v>
      </c>
      <c r="W346" s="11">
        <v>1</v>
      </c>
      <c r="X346" s="11">
        <v>0</v>
      </c>
      <c r="Y346" s="11">
        <v>0</v>
      </c>
      <c r="Z346" s="11">
        <v>0</v>
      </c>
      <c r="AA346" s="11">
        <v>0</v>
      </c>
      <c r="AB346" s="11">
        <v>1</v>
      </c>
      <c r="AC346" s="11">
        <v>1</v>
      </c>
      <c r="AD346" s="11" t="s">
        <v>5044</v>
      </c>
      <c r="AE346" s="11" t="s">
        <v>5044</v>
      </c>
      <c r="AF346" s="11" t="s">
        <v>5044</v>
      </c>
      <c r="AG346" s="11">
        <v>2</v>
      </c>
      <c r="AH346" s="11">
        <v>2</v>
      </c>
      <c r="AI346" s="11">
        <v>2</v>
      </c>
      <c r="AJ346" s="11" t="s">
        <v>5044</v>
      </c>
      <c r="AK346" s="11" t="s">
        <v>5318</v>
      </c>
      <c r="AL346" s="11">
        <v>1</v>
      </c>
      <c r="AM346" s="11">
        <v>0</v>
      </c>
      <c r="AN346" s="11" t="s">
        <v>5318</v>
      </c>
      <c r="AO346" s="11" t="s">
        <v>5318</v>
      </c>
      <c r="AP346" s="11" t="s">
        <v>5318</v>
      </c>
      <c r="AQ346" s="11" t="s">
        <v>5318</v>
      </c>
    </row>
    <row r="347" spans="1:43" ht="63" customHeight="1" x14ac:dyDescent="0.2">
      <c r="A347" s="10">
        <v>3517</v>
      </c>
      <c r="B347" s="11" t="s">
        <v>7387</v>
      </c>
      <c r="C347" s="11" t="s">
        <v>976</v>
      </c>
      <c r="D347" s="11">
        <v>2012</v>
      </c>
      <c r="E347" s="11" t="s">
        <v>5318</v>
      </c>
      <c r="F347" s="11">
        <v>14</v>
      </c>
      <c r="G347" s="11">
        <v>9</v>
      </c>
      <c r="H347" s="11" t="s">
        <v>6867</v>
      </c>
      <c r="I347" s="11" t="s">
        <v>6516</v>
      </c>
      <c r="J347" s="11" t="s">
        <v>7388</v>
      </c>
      <c r="K347" s="11" t="s">
        <v>977</v>
      </c>
      <c r="L347" s="16" t="s">
        <v>5636</v>
      </c>
      <c r="M347" s="11">
        <v>0</v>
      </c>
      <c r="N347" s="9" t="s">
        <v>5044</v>
      </c>
      <c r="O347" s="9" t="s">
        <v>5044</v>
      </c>
      <c r="P347" s="11">
        <v>0</v>
      </c>
      <c r="Q347" s="11">
        <v>0</v>
      </c>
      <c r="R347" s="11">
        <v>0</v>
      </c>
      <c r="S347" s="11">
        <v>1</v>
      </c>
      <c r="T347" s="11">
        <v>1</v>
      </c>
      <c r="U347" s="11">
        <v>65</v>
      </c>
      <c r="V347" s="11">
        <v>0</v>
      </c>
      <c r="W347" s="11">
        <v>1</v>
      </c>
      <c r="X347" s="11">
        <v>0</v>
      </c>
      <c r="Y347" s="11">
        <v>0</v>
      </c>
      <c r="Z347" s="11">
        <v>0</v>
      </c>
      <c r="AA347" s="11">
        <v>0</v>
      </c>
      <c r="AB347" s="11">
        <v>1</v>
      </c>
      <c r="AC347" s="11">
        <v>1</v>
      </c>
      <c r="AD347" s="11" t="s">
        <v>5044</v>
      </c>
      <c r="AE347" s="11" t="s">
        <v>5044</v>
      </c>
      <c r="AF347" s="11" t="s">
        <v>5044</v>
      </c>
      <c r="AG347" s="11">
        <v>1</v>
      </c>
      <c r="AH347" s="11">
        <v>0</v>
      </c>
      <c r="AI347" s="11">
        <v>0</v>
      </c>
      <c r="AJ347" s="11" t="s">
        <v>5044</v>
      </c>
      <c r="AK347" s="11" t="s">
        <v>5318</v>
      </c>
      <c r="AL347" s="11">
        <v>1</v>
      </c>
      <c r="AM347" s="11">
        <v>0</v>
      </c>
      <c r="AN347" s="11" t="s">
        <v>5318</v>
      </c>
      <c r="AO347" s="11" t="s">
        <v>5318</v>
      </c>
      <c r="AP347" s="11" t="s">
        <v>5318</v>
      </c>
      <c r="AQ347" s="11" t="s">
        <v>5318</v>
      </c>
    </row>
    <row r="348" spans="1:43" ht="63" customHeight="1" x14ac:dyDescent="0.2">
      <c r="A348" s="10">
        <v>3525</v>
      </c>
      <c r="B348" s="11" t="s">
        <v>7389</v>
      </c>
      <c r="C348" s="11" t="s">
        <v>978</v>
      </c>
      <c r="D348" s="11">
        <v>2021</v>
      </c>
      <c r="E348" s="11" t="s">
        <v>5318</v>
      </c>
      <c r="F348" s="11">
        <v>11</v>
      </c>
      <c r="G348" s="11">
        <v>11</v>
      </c>
      <c r="H348" s="11" t="s">
        <v>6519</v>
      </c>
      <c r="I348" s="11" t="s">
        <v>6516</v>
      </c>
      <c r="J348" s="11" t="s">
        <v>7390</v>
      </c>
      <c r="K348" s="11" t="s">
        <v>979</v>
      </c>
      <c r="L348" s="12" t="s">
        <v>5637</v>
      </c>
      <c r="M348" s="11">
        <v>1</v>
      </c>
      <c r="N348" s="11">
        <v>0</v>
      </c>
      <c r="O348" s="9" t="s">
        <v>5044</v>
      </c>
      <c r="P348" s="11">
        <v>0</v>
      </c>
      <c r="Q348" s="11">
        <v>0</v>
      </c>
      <c r="R348" s="11">
        <v>0</v>
      </c>
      <c r="S348" s="11">
        <v>1</v>
      </c>
      <c r="T348" s="11">
        <v>1</v>
      </c>
      <c r="U348" s="11">
        <v>984</v>
      </c>
      <c r="V348" s="11">
        <v>0</v>
      </c>
      <c r="W348" s="11">
        <v>1</v>
      </c>
      <c r="X348" s="11">
        <v>0</v>
      </c>
      <c r="Y348" s="11">
        <v>0</v>
      </c>
      <c r="Z348" s="11">
        <v>0</v>
      </c>
      <c r="AA348" s="11">
        <v>0</v>
      </c>
      <c r="AB348" s="11">
        <v>1</v>
      </c>
      <c r="AC348" s="11" t="s">
        <v>5044</v>
      </c>
      <c r="AD348" s="11" t="s">
        <v>5044</v>
      </c>
      <c r="AE348" s="11" t="s">
        <v>5044</v>
      </c>
      <c r="AF348" s="11" t="s">
        <v>5044</v>
      </c>
      <c r="AG348" s="11" t="s">
        <v>5044</v>
      </c>
      <c r="AH348" s="11" t="s">
        <v>5044</v>
      </c>
      <c r="AI348" s="11" t="s">
        <v>5044</v>
      </c>
      <c r="AJ348" s="11" t="s">
        <v>5044</v>
      </c>
      <c r="AK348" s="11" t="s">
        <v>5318</v>
      </c>
      <c r="AL348" s="11" t="s">
        <v>5044</v>
      </c>
      <c r="AM348" s="11">
        <v>0</v>
      </c>
      <c r="AN348" s="11" t="s">
        <v>5318</v>
      </c>
      <c r="AO348" s="11" t="s">
        <v>5318</v>
      </c>
      <c r="AP348" s="11" t="s">
        <v>5318</v>
      </c>
      <c r="AQ348" s="11" t="s">
        <v>5318</v>
      </c>
    </row>
    <row r="349" spans="1:43" ht="63" customHeight="1" x14ac:dyDescent="0.2">
      <c r="A349" s="10">
        <v>3528</v>
      </c>
      <c r="B349" s="11" t="s">
        <v>7391</v>
      </c>
      <c r="C349" s="11" t="s">
        <v>980</v>
      </c>
      <c r="D349" s="11">
        <v>2018</v>
      </c>
      <c r="E349" s="11" t="s">
        <v>5318</v>
      </c>
      <c r="F349" s="11">
        <v>3</v>
      </c>
      <c r="G349" s="11">
        <v>6</v>
      </c>
      <c r="H349" s="11" t="s">
        <v>6807</v>
      </c>
      <c r="I349" s="11" t="s">
        <v>6516</v>
      </c>
      <c r="J349" s="11" t="s">
        <v>7392</v>
      </c>
      <c r="K349" s="11" t="s">
        <v>981</v>
      </c>
      <c r="L349" s="16" t="s">
        <v>5638</v>
      </c>
      <c r="M349" s="11">
        <v>0</v>
      </c>
      <c r="N349" s="9" t="s">
        <v>5044</v>
      </c>
      <c r="O349" s="9" t="s">
        <v>5044</v>
      </c>
      <c r="P349" s="11">
        <v>0</v>
      </c>
      <c r="Q349" s="11">
        <v>0</v>
      </c>
      <c r="R349" s="11">
        <v>0</v>
      </c>
      <c r="S349" s="11" t="s">
        <v>5708</v>
      </c>
      <c r="T349" s="11">
        <v>1</v>
      </c>
      <c r="U349" s="11">
        <v>88</v>
      </c>
      <c r="V349" s="11">
        <v>0</v>
      </c>
      <c r="W349" s="11">
        <v>1</v>
      </c>
      <c r="X349" s="11">
        <v>0</v>
      </c>
      <c r="Y349" s="11">
        <v>0</v>
      </c>
      <c r="Z349" s="11">
        <v>0</v>
      </c>
      <c r="AA349" s="11">
        <v>0</v>
      </c>
      <c r="AB349" s="11">
        <v>1</v>
      </c>
      <c r="AC349" s="11">
        <v>1</v>
      </c>
      <c r="AD349" s="11" t="s">
        <v>5044</v>
      </c>
      <c r="AE349" s="11" t="s">
        <v>5044</v>
      </c>
      <c r="AF349" s="11" t="s">
        <v>5044</v>
      </c>
      <c r="AG349" s="11">
        <v>2</v>
      </c>
      <c r="AH349" s="11">
        <v>2</v>
      </c>
      <c r="AI349" s="11">
        <v>2</v>
      </c>
      <c r="AJ349" s="11" t="s">
        <v>5044</v>
      </c>
      <c r="AK349" s="11" t="s">
        <v>5318</v>
      </c>
      <c r="AL349" s="11" t="s">
        <v>5044</v>
      </c>
      <c r="AM349" s="11">
        <v>0</v>
      </c>
      <c r="AN349" s="11" t="s">
        <v>5639</v>
      </c>
      <c r="AO349" s="11" t="s">
        <v>5318</v>
      </c>
      <c r="AP349" s="11" t="s">
        <v>5318</v>
      </c>
      <c r="AQ349" s="11" t="s">
        <v>5318</v>
      </c>
    </row>
    <row r="350" spans="1:43" ht="63" customHeight="1" x14ac:dyDescent="0.2">
      <c r="A350" s="10">
        <v>3531</v>
      </c>
      <c r="B350" s="11" t="s">
        <v>7393</v>
      </c>
      <c r="C350" s="11" t="s">
        <v>982</v>
      </c>
      <c r="D350" s="11">
        <v>2021</v>
      </c>
      <c r="E350" s="11" t="s">
        <v>5318</v>
      </c>
      <c r="F350" s="11">
        <v>28</v>
      </c>
      <c r="G350" s="11">
        <v>9</v>
      </c>
      <c r="H350" s="11" t="s">
        <v>7076</v>
      </c>
      <c r="I350" s="11" t="s">
        <v>6516</v>
      </c>
      <c r="J350" s="11" t="s">
        <v>7394</v>
      </c>
      <c r="K350" s="11" t="s">
        <v>983</v>
      </c>
      <c r="L350" s="12" t="s">
        <v>5640</v>
      </c>
      <c r="M350" s="11">
        <v>0</v>
      </c>
      <c r="N350" s="9" t="s">
        <v>5044</v>
      </c>
      <c r="O350" s="9" t="s">
        <v>5044</v>
      </c>
      <c r="P350" s="11">
        <v>0</v>
      </c>
      <c r="Q350" s="11">
        <v>0</v>
      </c>
      <c r="R350" s="11">
        <v>0</v>
      </c>
      <c r="S350" s="11">
        <v>5</v>
      </c>
      <c r="T350" s="11">
        <v>2</v>
      </c>
      <c r="U350" s="11">
        <v>144</v>
      </c>
      <c r="V350" s="11">
        <v>0</v>
      </c>
      <c r="W350" s="11">
        <v>1</v>
      </c>
      <c r="X350" s="11">
        <v>0</v>
      </c>
      <c r="Y350" s="11">
        <v>0</v>
      </c>
      <c r="Z350" s="11">
        <v>0</v>
      </c>
      <c r="AA350" s="11">
        <v>0</v>
      </c>
      <c r="AB350" s="11">
        <v>1</v>
      </c>
      <c r="AC350" s="11">
        <v>0</v>
      </c>
      <c r="AD350" s="11" t="s">
        <v>5044</v>
      </c>
      <c r="AE350" s="11" t="s">
        <v>5044</v>
      </c>
      <c r="AF350" s="11" t="s">
        <v>5044</v>
      </c>
      <c r="AG350" s="11">
        <v>0</v>
      </c>
      <c r="AH350" s="11" t="s">
        <v>5044</v>
      </c>
      <c r="AI350" s="11" t="s">
        <v>5044</v>
      </c>
      <c r="AJ350" s="11" t="s">
        <v>5044</v>
      </c>
      <c r="AK350" s="11" t="s">
        <v>5318</v>
      </c>
      <c r="AL350" s="11">
        <v>1</v>
      </c>
      <c r="AM350" s="11">
        <v>0</v>
      </c>
      <c r="AN350" s="11" t="s">
        <v>5318</v>
      </c>
      <c r="AO350" s="11" t="s">
        <v>5318</v>
      </c>
      <c r="AP350" s="11" t="s">
        <v>5318</v>
      </c>
      <c r="AQ350" s="11" t="s">
        <v>5318</v>
      </c>
    </row>
    <row r="351" spans="1:43" ht="63" customHeight="1" x14ac:dyDescent="0.2">
      <c r="A351" s="10">
        <v>3537</v>
      </c>
      <c r="B351" s="11" t="s">
        <v>7395</v>
      </c>
      <c r="C351" s="11" t="s">
        <v>984</v>
      </c>
      <c r="D351" s="11">
        <v>2017</v>
      </c>
      <c r="E351" s="11" t="s">
        <v>5318</v>
      </c>
      <c r="F351" s="11">
        <v>162</v>
      </c>
      <c r="G351" s="11">
        <v>1</v>
      </c>
      <c r="H351" s="11" t="s">
        <v>6553</v>
      </c>
      <c r="I351" s="11" t="s">
        <v>6878</v>
      </c>
      <c r="J351" s="11" t="s">
        <v>7396</v>
      </c>
      <c r="K351" s="11" t="s">
        <v>986</v>
      </c>
      <c r="L351" s="16" t="s">
        <v>5641</v>
      </c>
      <c r="M351" s="11">
        <v>0</v>
      </c>
      <c r="N351" s="9" t="s">
        <v>5044</v>
      </c>
      <c r="O351" s="9" t="s">
        <v>5044</v>
      </c>
      <c r="P351" s="11">
        <v>0</v>
      </c>
      <c r="Q351" s="11">
        <v>0</v>
      </c>
      <c r="R351" s="11">
        <v>0</v>
      </c>
      <c r="S351" s="11">
        <v>1</v>
      </c>
      <c r="T351" s="11">
        <v>1</v>
      </c>
      <c r="U351" s="11">
        <v>18</v>
      </c>
      <c r="V351" s="11">
        <v>0</v>
      </c>
      <c r="W351" s="11">
        <v>1</v>
      </c>
      <c r="X351" s="11">
        <v>0</v>
      </c>
      <c r="Y351" s="11">
        <v>0</v>
      </c>
      <c r="Z351" s="11">
        <v>1</v>
      </c>
      <c r="AA351" s="11">
        <v>0</v>
      </c>
      <c r="AB351" s="11">
        <v>1</v>
      </c>
      <c r="AC351" s="11">
        <v>1</v>
      </c>
      <c r="AD351" s="11" t="s">
        <v>5044</v>
      </c>
      <c r="AE351" s="11" t="s">
        <v>5044</v>
      </c>
      <c r="AF351" s="11" t="s">
        <v>5044</v>
      </c>
      <c r="AG351" s="11">
        <v>0</v>
      </c>
      <c r="AH351" s="11" t="s">
        <v>5044</v>
      </c>
      <c r="AI351" s="11" t="s">
        <v>5044</v>
      </c>
      <c r="AJ351" s="11">
        <v>0</v>
      </c>
      <c r="AK351" s="11" t="s">
        <v>5318</v>
      </c>
      <c r="AL351" s="11">
        <v>0</v>
      </c>
      <c r="AM351" s="11">
        <v>0</v>
      </c>
      <c r="AN351" s="11" t="s">
        <v>5318</v>
      </c>
      <c r="AO351" s="11" t="s">
        <v>5318</v>
      </c>
      <c r="AP351" s="11" t="s">
        <v>5318</v>
      </c>
      <c r="AQ351" s="11" t="s">
        <v>5318</v>
      </c>
    </row>
    <row r="352" spans="1:43" ht="63" customHeight="1" x14ac:dyDescent="0.2">
      <c r="A352" s="10">
        <v>3538</v>
      </c>
      <c r="B352" s="22" t="s">
        <v>7397</v>
      </c>
      <c r="C352" s="11" t="s">
        <v>987</v>
      </c>
      <c r="D352" s="11">
        <v>2022</v>
      </c>
      <c r="E352" s="11" t="s">
        <v>5318</v>
      </c>
      <c r="F352" s="11">
        <v>23</v>
      </c>
      <c r="G352" s="11">
        <v>1</v>
      </c>
      <c r="H352" s="11" t="s">
        <v>6538</v>
      </c>
      <c r="I352" s="11" t="s">
        <v>6516</v>
      </c>
      <c r="J352" s="11" t="s">
        <v>7398</v>
      </c>
      <c r="K352" s="11" t="s">
        <v>988</v>
      </c>
      <c r="L352" s="16" t="s">
        <v>5642</v>
      </c>
      <c r="M352" s="11">
        <v>1</v>
      </c>
      <c r="N352" s="9" t="s">
        <v>5044</v>
      </c>
      <c r="O352" s="9" t="s">
        <v>5044</v>
      </c>
      <c r="P352" s="11">
        <v>0</v>
      </c>
      <c r="Q352" s="11">
        <v>0</v>
      </c>
      <c r="R352" s="11">
        <v>0</v>
      </c>
      <c r="S352" s="11" t="s">
        <v>5708</v>
      </c>
      <c r="T352" s="11">
        <v>1</v>
      </c>
      <c r="U352" s="11">
        <v>34</v>
      </c>
      <c r="V352" s="11">
        <v>0</v>
      </c>
      <c r="W352" s="11">
        <v>1</v>
      </c>
      <c r="X352" s="11">
        <v>0</v>
      </c>
      <c r="Y352" s="11">
        <v>0</v>
      </c>
      <c r="Z352" s="11">
        <v>0</v>
      </c>
      <c r="AA352" s="11">
        <v>0</v>
      </c>
      <c r="AB352" s="11">
        <v>1</v>
      </c>
      <c r="AC352" s="11" t="s">
        <v>5044</v>
      </c>
      <c r="AD352" s="11" t="s">
        <v>5044</v>
      </c>
      <c r="AE352" s="11" t="s">
        <v>5044</v>
      </c>
      <c r="AF352" s="11" t="s">
        <v>5044</v>
      </c>
      <c r="AG352" s="11" t="s">
        <v>5044</v>
      </c>
      <c r="AH352" s="11" t="s">
        <v>5044</v>
      </c>
      <c r="AI352" s="11" t="s">
        <v>5044</v>
      </c>
      <c r="AJ352" s="11" t="s">
        <v>5044</v>
      </c>
      <c r="AK352" s="11" t="s">
        <v>5318</v>
      </c>
      <c r="AL352" s="11" t="s">
        <v>5044</v>
      </c>
      <c r="AM352" s="11">
        <v>0</v>
      </c>
      <c r="AN352" s="11" t="s">
        <v>5318</v>
      </c>
      <c r="AO352" s="11" t="s">
        <v>5318</v>
      </c>
      <c r="AP352" s="11" t="s">
        <v>5318</v>
      </c>
      <c r="AQ352" s="11" t="s">
        <v>5318</v>
      </c>
    </row>
    <row r="353" spans="1:43" ht="63" customHeight="1" x14ac:dyDescent="0.2">
      <c r="A353" s="10">
        <v>3549</v>
      </c>
      <c r="B353" s="11" t="s">
        <v>7399</v>
      </c>
      <c r="C353" s="11" t="s">
        <v>989</v>
      </c>
      <c r="D353" s="11">
        <v>2022</v>
      </c>
      <c r="E353" s="11" t="s">
        <v>5318</v>
      </c>
      <c r="F353" s="11">
        <v>11</v>
      </c>
      <c r="G353" s="11">
        <v>5</v>
      </c>
      <c r="H353" s="11" t="s">
        <v>7044</v>
      </c>
      <c r="I353" s="11" t="s">
        <v>6516</v>
      </c>
      <c r="J353" s="11" t="s">
        <v>7400</v>
      </c>
      <c r="K353" s="11" t="s">
        <v>990</v>
      </c>
      <c r="L353" s="16" t="s">
        <v>5643</v>
      </c>
      <c r="M353" s="11">
        <v>1</v>
      </c>
      <c r="N353" s="11">
        <v>0</v>
      </c>
      <c r="O353" s="9" t="s">
        <v>5044</v>
      </c>
      <c r="P353" s="11">
        <v>0</v>
      </c>
      <c r="Q353" s="11">
        <v>0</v>
      </c>
      <c r="R353" s="11">
        <v>0</v>
      </c>
      <c r="S353" s="11">
        <v>11</v>
      </c>
      <c r="T353" s="11">
        <v>1</v>
      </c>
      <c r="U353" s="11">
        <v>144</v>
      </c>
      <c r="V353" s="11">
        <v>1</v>
      </c>
      <c r="W353" s="11">
        <v>0</v>
      </c>
      <c r="X353" s="11">
        <v>0</v>
      </c>
      <c r="Y353" s="11">
        <v>0</v>
      </c>
      <c r="Z353" s="11">
        <v>0</v>
      </c>
      <c r="AA353" s="11">
        <v>0</v>
      </c>
      <c r="AB353" s="11">
        <v>1</v>
      </c>
      <c r="AC353" s="11" t="s">
        <v>5044</v>
      </c>
      <c r="AD353" s="11" t="s">
        <v>5044</v>
      </c>
      <c r="AE353" s="11" t="s">
        <v>5044</v>
      </c>
      <c r="AF353" s="11" t="s">
        <v>5044</v>
      </c>
      <c r="AG353" s="11" t="s">
        <v>5044</v>
      </c>
      <c r="AH353" s="11" t="s">
        <v>5044</v>
      </c>
      <c r="AI353" s="11" t="s">
        <v>5044</v>
      </c>
      <c r="AJ353" s="11" t="s">
        <v>5044</v>
      </c>
      <c r="AK353" s="11" t="s">
        <v>5318</v>
      </c>
      <c r="AL353" s="11" t="s">
        <v>5044</v>
      </c>
      <c r="AM353" s="11">
        <v>0</v>
      </c>
      <c r="AN353" s="11" t="s">
        <v>5318</v>
      </c>
      <c r="AO353" s="11" t="s">
        <v>5318</v>
      </c>
      <c r="AP353" s="11" t="s">
        <v>5318</v>
      </c>
      <c r="AQ353" s="11" t="s">
        <v>5318</v>
      </c>
    </row>
    <row r="354" spans="1:43" ht="63" customHeight="1" x14ac:dyDescent="0.2">
      <c r="A354" s="10">
        <v>3552</v>
      </c>
      <c r="B354" s="11" t="s">
        <v>7401</v>
      </c>
      <c r="C354" s="11" t="s">
        <v>991</v>
      </c>
      <c r="D354" s="11">
        <v>2014</v>
      </c>
      <c r="E354" s="11" t="s">
        <v>5318</v>
      </c>
      <c r="F354" s="11">
        <v>312</v>
      </c>
      <c r="G354" s="11">
        <v>2</v>
      </c>
      <c r="H354" s="11" t="s">
        <v>7402</v>
      </c>
      <c r="I354" s="11" t="s">
        <v>6516</v>
      </c>
      <c r="J354" s="11" t="s">
        <v>7403</v>
      </c>
      <c r="K354" s="11" t="s">
        <v>994</v>
      </c>
      <c r="L354" s="16" t="s">
        <v>5471</v>
      </c>
      <c r="M354" s="11">
        <v>0</v>
      </c>
      <c r="N354" s="9" t="s">
        <v>5044</v>
      </c>
      <c r="O354" s="9" t="s">
        <v>5044</v>
      </c>
      <c r="P354" s="11">
        <v>0</v>
      </c>
      <c r="Q354" s="11">
        <v>0</v>
      </c>
      <c r="R354" s="11">
        <v>0</v>
      </c>
      <c r="S354" s="11">
        <v>1</v>
      </c>
      <c r="T354" s="11">
        <v>1</v>
      </c>
      <c r="U354" s="11">
        <v>414</v>
      </c>
      <c r="V354" s="11">
        <v>0</v>
      </c>
      <c r="W354" s="11">
        <v>1</v>
      </c>
      <c r="X354" s="11">
        <v>0</v>
      </c>
      <c r="Y354" s="11">
        <v>0</v>
      </c>
      <c r="Z354" s="11">
        <v>0</v>
      </c>
      <c r="AA354" s="11">
        <v>0</v>
      </c>
      <c r="AB354" s="11">
        <v>1</v>
      </c>
      <c r="AC354" s="11">
        <v>1</v>
      </c>
      <c r="AD354" s="11" t="s">
        <v>5044</v>
      </c>
      <c r="AE354" s="11" t="s">
        <v>5044</v>
      </c>
      <c r="AF354" s="11" t="s">
        <v>5044</v>
      </c>
      <c r="AG354" s="11">
        <v>1</v>
      </c>
      <c r="AH354" s="11">
        <v>0</v>
      </c>
      <c r="AI354" s="11">
        <v>0</v>
      </c>
      <c r="AJ354" s="11" t="s">
        <v>5044</v>
      </c>
      <c r="AK354" s="11" t="s">
        <v>5318</v>
      </c>
      <c r="AL354" s="11">
        <v>1</v>
      </c>
      <c r="AM354" s="11">
        <v>0</v>
      </c>
      <c r="AN354" s="11" t="s">
        <v>5318</v>
      </c>
      <c r="AO354" s="11" t="s">
        <v>5318</v>
      </c>
      <c r="AP354" s="11" t="s">
        <v>5318</v>
      </c>
      <c r="AQ354" s="11" t="s">
        <v>5318</v>
      </c>
    </row>
    <row r="355" spans="1:43" ht="63" customHeight="1" x14ac:dyDescent="0.2">
      <c r="A355" s="10">
        <v>3560</v>
      </c>
      <c r="B355" s="11" t="s">
        <v>7404</v>
      </c>
      <c r="C355" s="11" t="s">
        <v>995</v>
      </c>
      <c r="D355" s="11">
        <v>2021</v>
      </c>
      <c r="E355" s="11" t="s">
        <v>5318</v>
      </c>
      <c r="F355" s="11">
        <v>23</v>
      </c>
      <c r="G355" s="11">
        <v>12</v>
      </c>
      <c r="H355" s="11" t="s">
        <v>6749</v>
      </c>
      <c r="I355" s="11" t="s">
        <v>6516</v>
      </c>
      <c r="J355" s="11" t="s">
        <v>7405</v>
      </c>
      <c r="K355" s="11" t="s">
        <v>996</v>
      </c>
      <c r="L355" s="12" t="s">
        <v>5644</v>
      </c>
      <c r="M355" s="11">
        <v>0</v>
      </c>
      <c r="N355" s="9" t="s">
        <v>5044</v>
      </c>
      <c r="O355" s="9" t="s">
        <v>5044</v>
      </c>
      <c r="P355" s="11">
        <v>1</v>
      </c>
      <c r="Q355" s="11">
        <v>0</v>
      </c>
      <c r="R355" s="11">
        <v>0</v>
      </c>
      <c r="S355" s="11" t="s">
        <v>5728</v>
      </c>
      <c r="T355" s="11">
        <v>1</v>
      </c>
      <c r="U355" s="11">
        <v>40</v>
      </c>
      <c r="V355" s="11">
        <v>0</v>
      </c>
      <c r="W355" s="11">
        <v>1</v>
      </c>
      <c r="X355" s="11">
        <v>0</v>
      </c>
      <c r="Y355" s="11">
        <v>0</v>
      </c>
      <c r="Z355" s="11">
        <v>1</v>
      </c>
      <c r="AA355" s="11">
        <v>0</v>
      </c>
      <c r="AB355" s="11">
        <v>1</v>
      </c>
      <c r="AC355" s="11">
        <v>1</v>
      </c>
      <c r="AD355" s="11" t="s">
        <v>5044</v>
      </c>
      <c r="AE355" s="11" t="s">
        <v>5044</v>
      </c>
      <c r="AF355" s="11" t="s">
        <v>5044</v>
      </c>
      <c r="AG355" s="11">
        <v>1</v>
      </c>
      <c r="AH355" s="11">
        <v>0</v>
      </c>
      <c r="AI355" s="11">
        <v>0</v>
      </c>
      <c r="AJ355" s="11">
        <v>0</v>
      </c>
      <c r="AK355" s="11" t="s">
        <v>5318</v>
      </c>
      <c r="AL355" s="11" t="s">
        <v>5044</v>
      </c>
      <c r="AM355" s="11">
        <v>0</v>
      </c>
      <c r="AN355" s="11" t="s">
        <v>3714</v>
      </c>
      <c r="AO355" s="11" t="s">
        <v>5318</v>
      </c>
      <c r="AP355" s="11" t="s">
        <v>5318</v>
      </c>
      <c r="AQ355" s="11" t="s">
        <v>5318</v>
      </c>
    </row>
    <row r="356" spans="1:43" ht="63" customHeight="1" x14ac:dyDescent="0.2">
      <c r="A356" s="10">
        <v>3625</v>
      </c>
      <c r="B356" s="11" t="s">
        <v>7406</v>
      </c>
      <c r="C356" s="11" t="s">
        <v>997</v>
      </c>
      <c r="D356" s="11">
        <v>2016</v>
      </c>
      <c r="E356" s="11" t="s">
        <v>5318</v>
      </c>
      <c r="F356" s="11">
        <v>18</v>
      </c>
      <c r="G356" s="11">
        <v>2</v>
      </c>
      <c r="H356" s="11" t="s">
        <v>6867</v>
      </c>
      <c r="I356" s="11" t="s">
        <v>6516</v>
      </c>
      <c r="J356" s="11" t="s">
        <v>7407</v>
      </c>
      <c r="K356" s="11" t="s">
        <v>998</v>
      </c>
      <c r="L356" s="11" t="s">
        <v>5044</v>
      </c>
      <c r="M356" s="11">
        <v>0</v>
      </c>
      <c r="N356" s="9" t="s">
        <v>5044</v>
      </c>
      <c r="O356" s="9" t="s">
        <v>5044</v>
      </c>
      <c r="P356" s="11">
        <v>0</v>
      </c>
      <c r="Q356" s="11">
        <v>0</v>
      </c>
      <c r="R356" s="11">
        <v>0</v>
      </c>
      <c r="S356" s="11">
        <v>1</v>
      </c>
      <c r="T356" s="11">
        <v>1</v>
      </c>
      <c r="U356" s="11">
        <v>90</v>
      </c>
      <c r="V356" s="11">
        <v>0</v>
      </c>
      <c r="W356" s="11">
        <v>1</v>
      </c>
      <c r="X356" s="11">
        <v>0</v>
      </c>
      <c r="Y356" s="11">
        <v>0</v>
      </c>
      <c r="Z356" s="11">
        <v>0</v>
      </c>
      <c r="AA356" s="11">
        <v>0</v>
      </c>
      <c r="AB356" s="11">
        <v>1</v>
      </c>
      <c r="AC356" s="11">
        <v>1</v>
      </c>
      <c r="AD356" s="11" t="s">
        <v>5044</v>
      </c>
      <c r="AE356" s="11" t="s">
        <v>5044</v>
      </c>
      <c r="AF356" s="11" t="s">
        <v>5044</v>
      </c>
      <c r="AG356" s="11">
        <v>2</v>
      </c>
      <c r="AH356" s="11">
        <v>3</v>
      </c>
      <c r="AI356" s="11">
        <v>0</v>
      </c>
      <c r="AJ356" s="11" t="s">
        <v>5044</v>
      </c>
      <c r="AK356" s="11" t="s">
        <v>5318</v>
      </c>
      <c r="AL356" s="11">
        <v>1</v>
      </c>
      <c r="AM356" s="11">
        <v>0</v>
      </c>
      <c r="AN356" s="11" t="s">
        <v>5318</v>
      </c>
      <c r="AO356" s="11" t="s">
        <v>5318</v>
      </c>
      <c r="AP356" s="11" t="s">
        <v>5318</v>
      </c>
      <c r="AQ356" s="11" t="s">
        <v>5318</v>
      </c>
    </row>
    <row r="357" spans="1:43" ht="63" customHeight="1" x14ac:dyDescent="0.2">
      <c r="A357" s="10">
        <v>3633</v>
      </c>
      <c r="B357" s="11" t="s">
        <v>7408</v>
      </c>
      <c r="C357" s="11" t="s">
        <v>999</v>
      </c>
      <c r="D357" s="11">
        <v>2021</v>
      </c>
      <c r="E357" s="11" t="s">
        <v>5318</v>
      </c>
      <c r="F357" s="11">
        <v>8</v>
      </c>
      <c r="G357" s="11">
        <v>3</v>
      </c>
      <c r="H357" s="11" t="s">
        <v>7409</v>
      </c>
      <c r="I357" s="11" t="s">
        <v>6516</v>
      </c>
      <c r="J357" s="11" t="s">
        <v>7410</v>
      </c>
      <c r="K357" s="11" t="s">
        <v>1000</v>
      </c>
      <c r="L357" s="11" t="s">
        <v>5044</v>
      </c>
      <c r="M357" s="11">
        <v>0</v>
      </c>
      <c r="N357" s="9" t="s">
        <v>5044</v>
      </c>
      <c r="O357" s="9" t="s">
        <v>5044</v>
      </c>
      <c r="P357" s="11">
        <v>0</v>
      </c>
      <c r="Q357" s="11">
        <v>0</v>
      </c>
      <c r="R357" s="11">
        <v>0</v>
      </c>
      <c r="S357" s="11">
        <v>3</v>
      </c>
      <c r="T357" s="11">
        <v>4</v>
      </c>
      <c r="U357" s="11">
        <v>96</v>
      </c>
      <c r="V357" s="11">
        <v>0</v>
      </c>
      <c r="W357" s="11">
        <v>1</v>
      </c>
      <c r="X357" s="11">
        <v>0</v>
      </c>
      <c r="Y357" s="11">
        <v>0</v>
      </c>
      <c r="Z357" s="11">
        <v>0</v>
      </c>
      <c r="AA357" s="11">
        <v>0</v>
      </c>
      <c r="AB357" s="11">
        <v>1</v>
      </c>
      <c r="AC357" s="11">
        <v>0</v>
      </c>
      <c r="AD357" s="11" t="s">
        <v>5044</v>
      </c>
      <c r="AE357" s="11" t="s">
        <v>5044</v>
      </c>
      <c r="AF357" s="11" t="s">
        <v>5044</v>
      </c>
      <c r="AG357" s="11">
        <v>0</v>
      </c>
      <c r="AH357" s="11" t="s">
        <v>5044</v>
      </c>
      <c r="AI357" s="11" t="s">
        <v>5044</v>
      </c>
      <c r="AJ357" s="11" t="s">
        <v>5044</v>
      </c>
      <c r="AK357" s="11" t="s">
        <v>5318</v>
      </c>
      <c r="AL357" s="11">
        <v>1</v>
      </c>
      <c r="AM357" s="11">
        <v>0</v>
      </c>
      <c r="AN357" s="11" t="s">
        <v>5318</v>
      </c>
      <c r="AO357" s="11" t="s">
        <v>5318</v>
      </c>
      <c r="AP357" s="11" t="s">
        <v>5318</v>
      </c>
      <c r="AQ357" s="11" t="s">
        <v>5318</v>
      </c>
    </row>
    <row r="358" spans="1:43" ht="63" customHeight="1" x14ac:dyDescent="0.2">
      <c r="A358" s="10">
        <v>3648</v>
      </c>
      <c r="B358" s="11" t="s">
        <v>7411</v>
      </c>
      <c r="C358" s="11" t="s">
        <v>1001</v>
      </c>
      <c r="D358" s="11">
        <v>2022</v>
      </c>
      <c r="E358" s="11" t="s">
        <v>5318</v>
      </c>
      <c r="F358" s="11">
        <v>12</v>
      </c>
      <c r="G358" s="11">
        <v>4</v>
      </c>
      <c r="H358" s="11" t="s">
        <v>6519</v>
      </c>
      <c r="I358" s="11" t="s">
        <v>6516</v>
      </c>
      <c r="J358" s="11" t="s">
        <v>7412</v>
      </c>
      <c r="K358" s="11" t="s">
        <v>1002</v>
      </c>
      <c r="L358" s="16" t="s">
        <v>5646</v>
      </c>
      <c r="M358" s="11">
        <v>1</v>
      </c>
      <c r="N358" s="11">
        <v>0</v>
      </c>
      <c r="O358" s="9" t="s">
        <v>5044</v>
      </c>
      <c r="P358" s="11">
        <v>0</v>
      </c>
      <c r="Q358" s="11">
        <v>0</v>
      </c>
      <c r="R358" s="11">
        <v>0</v>
      </c>
      <c r="S358" s="11">
        <v>5</v>
      </c>
      <c r="T358" s="11">
        <v>1</v>
      </c>
      <c r="U358" s="11">
        <v>352</v>
      </c>
      <c r="V358" s="11">
        <v>0</v>
      </c>
      <c r="W358" s="11">
        <v>1</v>
      </c>
      <c r="X358" s="11">
        <v>0</v>
      </c>
      <c r="Y358" s="11">
        <v>0</v>
      </c>
      <c r="Z358" s="11">
        <v>0</v>
      </c>
      <c r="AA358" s="11">
        <v>0</v>
      </c>
      <c r="AB358" s="11">
        <v>1</v>
      </c>
      <c r="AC358" s="11" t="s">
        <v>5044</v>
      </c>
      <c r="AD358" s="11" t="s">
        <v>5044</v>
      </c>
      <c r="AE358" s="11" t="s">
        <v>5044</v>
      </c>
      <c r="AF358" s="11" t="s">
        <v>5044</v>
      </c>
      <c r="AG358" s="11" t="s">
        <v>5044</v>
      </c>
      <c r="AH358" s="11" t="s">
        <v>5044</v>
      </c>
      <c r="AI358" s="11" t="s">
        <v>5044</v>
      </c>
      <c r="AJ358" s="11" t="s">
        <v>5044</v>
      </c>
      <c r="AK358" s="11" t="s">
        <v>5318</v>
      </c>
      <c r="AL358" s="11" t="s">
        <v>5044</v>
      </c>
      <c r="AM358" s="11">
        <v>0</v>
      </c>
      <c r="AN358" s="11" t="s">
        <v>5318</v>
      </c>
      <c r="AO358" s="11" t="s">
        <v>5318</v>
      </c>
      <c r="AP358" s="11" t="s">
        <v>5318</v>
      </c>
      <c r="AQ358" s="11" t="s">
        <v>5318</v>
      </c>
    </row>
    <row r="359" spans="1:43" ht="63" customHeight="1" x14ac:dyDescent="0.2">
      <c r="A359" s="10">
        <v>3652</v>
      </c>
      <c r="B359" s="11" t="s">
        <v>7413</v>
      </c>
      <c r="C359" s="11" t="s">
        <v>1003</v>
      </c>
      <c r="D359" s="11">
        <v>2022</v>
      </c>
      <c r="E359" s="11" t="s">
        <v>5318</v>
      </c>
      <c r="F359" s="11">
        <v>12</v>
      </c>
      <c r="G359" s="11">
        <v>1</v>
      </c>
      <c r="H359" s="11" t="s">
        <v>6519</v>
      </c>
      <c r="I359" s="11" t="s">
        <v>6516</v>
      </c>
      <c r="J359" s="11" t="s">
        <v>7414</v>
      </c>
      <c r="K359" s="11" t="s">
        <v>1004</v>
      </c>
      <c r="L359" s="16" t="s">
        <v>5647</v>
      </c>
      <c r="M359" s="11">
        <v>1</v>
      </c>
      <c r="N359" s="11">
        <v>0</v>
      </c>
      <c r="O359" s="9" t="s">
        <v>5044</v>
      </c>
      <c r="P359" s="11">
        <v>0</v>
      </c>
      <c r="Q359" s="11">
        <v>0</v>
      </c>
      <c r="R359" s="11">
        <v>0</v>
      </c>
      <c r="S359" s="11">
        <v>4</v>
      </c>
      <c r="T359" s="11">
        <v>1</v>
      </c>
      <c r="U359" s="11">
        <v>68</v>
      </c>
      <c r="V359" s="11">
        <v>0</v>
      </c>
      <c r="W359" s="11">
        <v>1</v>
      </c>
      <c r="X359" s="11">
        <v>0</v>
      </c>
      <c r="Y359" s="11">
        <v>0</v>
      </c>
      <c r="Z359" s="11">
        <v>0</v>
      </c>
      <c r="AA359" s="11">
        <v>0</v>
      </c>
      <c r="AB359" s="11">
        <v>1</v>
      </c>
      <c r="AC359" s="11" t="s">
        <v>5044</v>
      </c>
      <c r="AD359" s="11" t="s">
        <v>5044</v>
      </c>
      <c r="AE359" s="11" t="s">
        <v>5044</v>
      </c>
      <c r="AF359" s="11" t="s">
        <v>5044</v>
      </c>
      <c r="AG359" s="11" t="s">
        <v>5044</v>
      </c>
      <c r="AH359" s="11" t="s">
        <v>5044</v>
      </c>
      <c r="AI359" s="11" t="s">
        <v>5044</v>
      </c>
      <c r="AJ359" s="11" t="s">
        <v>5044</v>
      </c>
      <c r="AK359" s="11" t="s">
        <v>5318</v>
      </c>
      <c r="AL359" s="11" t="s">
        <v>5044</v>
      </c>
      <c r="AM359" s="11">
        <v>0</v>
      </c>
      <c r="AN359" s="11" t="s">
        <v>5318</v>
      </c>
      <c r="AO359" s="11" t="s">
        <v>5318</v>
      </c>
      <c r="AP359" s="11" t="s">
        <v>5318</v>
      </c>
      <c r="AQ359" s="11" t="s">
        <v>5318</v>
      </c>
    </row>
    <row r="360" spans="1:43" ht="63" customHeight="1" x14ac:dyDescent="0.2">
      <c r="A360" s="10">
        <v>3701</v>
      </c>
      <c r="B360" s="11" t="s">
        <v>7415</v>
      </c>
      <c r="C360" s="11" t="s">
        <v>1005</v>
      </c>
      <c r="D360" s="11">
        <v>2019</v>
      </c>
      <c r="E360" s="11" t="s">
        <v>5318</v>
      </c>
      <c r="F360" s="11">
        <v>17</v>
      </c>
      <c r="G360" s="11">
        <v>1</v>
      </c>
      <c r="H360" s="11" t="s">
        <v>6609</v>
      </c>
      <c r="I360" s="11" t="s">
        <v>6516</v>
      </c>
      <c r="J360" s="11" t="s">
        <v>7416</v>
      </c>
      <c r="K360" s="11" t="s">
        <v>1006</v>
      </c>
      <c r="L360" s="16" t="s">
        <v>5648</v>
      </c>
      <c r="M360" s="11">
        <v>0</v>
      </c>
      <c r="N360" s="9" t="s">
        <v>5044</v>
      </c>
      <c r="O360" s="9" t="s">
        <v>5044</v>
      </c>
      <c r="P360" s="11">
        <v>0</v>
      </c>
      <c r="Q360" s="11">
        <v>0</v>
      </c>
      <c r="R360" s="11">
        <v>0</v>
      </c>
      <c r="S360" s="11" t="s">
        <v>5728</v>
      </c>
      <c r="T360" s="11">
        <v>1</v>
      </c>
      <c r="U360" s="11">
        <v>198</v>
      </c>
      <c r="V360" s="11">
        <v>0</v>
      </c>
      <c r="W360" s="11">
        <v>1</v>
      </c>
      <c r="X360" s="11">
        <v>0</v>
      </c>
      <c r="Y360" s="11">
        <v>0</v>
      </c>
      <c r="Z360" s="11">
        <v>0</v>
      </c>
      <c r="AA360" s="11">
        <v>0</v>
      </c>
      <c r="AB360" s="11">
        <v>1</v>
      </c>
      <c r="AC360" s="11">
        <v>1</v>
      </c>
      <c r="AD360" s="11" t="s">
        <v>5044</v>
      </c>
      <c r="AE360" s="11" t="s">
        <v>5044</v>
      </c>
      <c r="AF360" s="11" t="s">
        <v>5044</v>
      </c>
      <c r="AG360" s="11">
        <v>2</v>
      </c>
      <c r="AH360" s="11">
        <v>1</v>
      </c>
      <c r="AI360" s="11">
        <v>2</v>
      </c>
      <c r="AJ360" s="11" t="s">
        <v>5044</v>
      </c>
      <c r="AK360" s="11" t="s">
        <v>5318</v>
      </c>
      <c r="AL360" s="11">
        <v>0</v>
      </c>
      <c r="AM360" s="11">
        <v>0</v>
      </c>
      <c r="AN360" s="11" t="s">
        <v>5318</v>
      </c>
      <c r="AO360" s="11" t="s">
        <v>5318</v>
      </c>
      <c r="AP360" s="11" t="s">
        <v>5318</v>
      </c>
      <c r="AQ360" s="11" t="s">
        <v>5318</v>
      </c>
    </row>
    <row r="361" spans="1:43" ht="63" customHeight="1" x14ac:dyDescent="0.2">
      <c r="A361" s="10">
        <v>3704</v>
      </c>
      <c r="B361" s="11" t="s">
        <v>7417</v>
      </c>
      <c r="C361" s="11" t="s">
        <v>1007</v>
      </c>
      <c r="D361" s="11">
        <v>2011</v>
      </c>
      <c r="E361" s="11" t="s">
        <v>5318</v>
      </c>
      <c r="F361" s="11">
        <v>253</v>
      </c>
      <c r="G361" s="11">
        <v>6</v>
      </c>
      <c r="H361" s="11" t="s">
        <v>6533</v>
      </c>
      <c r="I361" s="11" t="s">
        <v>6516</v>
      </c>
      <c r="J361" s="11" t="s">
        <v>7418</v>
      </c>
      <c r="K361" s="11" t="s">
        <v>1009</v>
      </c>
      <c r="L361" s="16" t="s">
        <v>5649</v>
      </c>
      <c r="M361" s="11">
        <v>0</v>
      </c>
      <c r="N361" s="9" t="s">
        <v>5044</v>
      </c>
      <c r="O361" s="9" t="s">
        <v>5044</v>
      </c>
      <c r="P361" s="11">
        <v>0</v>
      </c>
      <c r="Q361" s="11">
        <v>0</v>
      </c>
      <c r="R361" s="11">
        <v>0</v>
      </c>
      <c r="S361" s="11">
        <v>1</v>
      </c>
      <c r="T361" s="11">
        <v>1</v>
      </c>
      <c r="U361" s="11">
        <v>152</v>
      </c>
      <c r="V361" s="11">
        <v>0</v>
      </c>
      <c r="W361" s="11">
        <v>1</v>
      </c>
      <c r="X361" s="11">
        <v>0</v>
      </c>
      <c r="Y361" s="11">
        <v>0</v>
      </c>
      <c r="Z361" s="11">
        <v>0</v>
      </c>
      <c r="AA361" s="11">
        <v>0</v>
      </c>
      <c r="AB361" s="11">
        <v>1</v>
      </c>
      <c r="AC361" s="11">
        <v>1</v>
      </c>
      <c r="AD361" s="11" t="s">
        <v>5044</v>
      </c>
      <c r="AE361" s="11" t="s">
        <v>5044</v>
      </c>
      <c r="AF361" s="11" t="s">
        <v>5044</v>
      </c>
      <c r="AG361" s="11">
        <v>1</v>
      </c>
      <c r="AH361" s="11">
        <v>0</v>
      </c>
      <c r="AI361" s="11">
        <v>0</v>
      </c>
      <c r="AJ361" s="11" t="s">
        <v>5044</v>
      </c>
      <c r="AK361" s="11" t="s">
        <v>5318</v>
      </c>
      <c r="AL361" s="11">
        <v>1</v>
      </c>
      <c r="AM361" s="11">
        <v>0</v>
      </c>
      <c r="AN361" s="11" t="s">
        <v>5318</v>
      </c>
      <c r="AO361" s="11" t="s">
        <v>5318</v>
      </c>
      <c r="AP361" s="11" t="s">
        <v>5318</v>
      </c>
      <c r="AQ361" s="11" t="s">
        <v>5318</v>
      </c>
    </row>
    <row r="362" spans="1:43" ht="63" customHeight="1" x14ac:dyDescent="0.2">
      <c r="A362" s="10">
        <v>3705</v>
      </c>
      <c r="B362" s="11" t="s">
        <v>7419</v>
      </c>
      <c r="C362" s="11" t="s">
        <v>1010</v>
      </c>
      <c r="D362" s="11">
        <v>2014</v>
      </c>
      <c r="E362" s="11" t="s">
        <v>5318</v>
      </c>
      <c r="F362" s="11">
        <v>101</v>
      </c>
      <c r="G362" s="11">
        <v>3</v>
      </c>
      <c r="H362" s="11" t="s">
        <v>6530</v>
      </c>
      <c r="I362" s="11" t="s">
        <v>6516</v>
      </c>
      <c r="J362" s="11" t="s">
        <v>7420</v>
      </c>
      <c r="K362" s="11" t="s">
        <v>1011</v>
      </c>
      <c r="L362" s="16" t="s">
        <v>5650</v>
      </c>
      <c r="M362" s="11">
        <v>0</v>
      </c>
      <c r="N362" s="9" t="s">
        <v>5044</v>
      </c>
      <c r="O362" s="9" t="s">
        <v>5044</v>
      </c>
      <c r="P362" s="11">
        <v>0</v>
      </c>
      <c r="Q362" s="11">
        <v>0</v>
      </c>
      <c r="R362" s="11">
        <v>0</v>
      </c>
      <c r="S362" s="11">
        <v>1</v>
      </c>
      <c r="T362" s="11">
        <v>1</v>
      </c>
      <c r="U362" s="11">
        <v>130</v>
      </c>
      <c r="V362" s="11">
        <v>0</v>
      </c>
      <c r="W362" s="11">
        <v>1</v>
      </c>
      <c r="X362" s="11">
        <v>0</v>
      </c>
      <c r="Y362" s="11">
        <v>0</v>
      </c>
      <c r="Z362" s="11">
        <v>0</v>
      </c>
      <c r="AA362" s="11">
        <v>0</v>
      </c>
      <c r="AB362" s="11">
        <v>1</v>
      </c>
      <c r="AC362" s="11">
        <v>1</v>
      </c>
      <c r="AD362" s="11" t="s">
        <v>5044</v>
      </c>
      <c r="AE362" s="11" t="s">
        <v>5044</v>
      </c>
      <c r="AF362" s="11" t="s">
        <v>5044</v>
      </c>
      <c r="AG362" s="11">
        <v>1</v>
      </c>
      <c r="AH362" s="11">
        <v>0</v>
      </c>
      <c r="AI362" s="11">
        <v>0</v>
      </c>
      <c r="AJ362" s="11" t="s">
        <v>5044</v>
      </c>
      <c r="AK362" s="11" t="s">
        <v>5318</v>
      </c>
      <c r="AL362" s="11">
        <v>0</v>
      </c>
      <c r="AM362" s="11">
        <v>0</v>
      </c>
      <c r="AN362" s="11" t="s">
        <v>5318</v>
      </c>
      <c r="AO362" s="11" t="s">
        <v>5318</v>
      </c>
      <c r="AP362" s="11" t="s">
        <v>5318</v>
      </c>
      <c r="AQ362" s="11" t="s">
        <v>5318</v>
      </c>
    </row>
    <row r="363" spans="1:43" ht="63" customHeight="1" x14ac:dyDescent="0.2">
      <c r="A363" s="10">
        <v>3706</v>
      </c>
      <c r="B363" s="11" t="s">
        <v>7421</v>
      </c>
      <c r="C363" s="11" t="s">
        <v>1012</v>
      </c>
      <c r="D363" s="11">
        <v>2020</v>
      </c>
      <c r="E363" s="11" t="s">
        <v>5318</v>
      </c>
      <c r="F363" s="11">
        <v>22</v>
      </c>
      <c r="G363" s="11">
        <v>7</v>
      </c>
      <c r="H363" s="11" t="s">
        <v>6867</v>
      </c>
      <c r="I363" s="11" t="s">
        <v>6516</v>
      </c>
      <c r="J363" s="11" t="s">
        <v>7422</v>
      </c>
      <c r="K363" s="11" t="s">
        <v>1013</v>
      </c>
      <c r="L363" s="16" t="s">
        <v>5651</v>
      </c>
      <c r="M363" s="11">
        <v>0</v>
      </c>
      <c r="N363" s="9" t="s">
        <v>5044</v>
      </c>
      <c r="O363" s="9" t="s">
        <v>5044</v>
      </c>
      <c r="P363" s="11">
        <v>0</v>
      </c>
      <c r="Q363" s="11">
        <v>0</v>
      </c>
      <c r="R363" s="11">
        <v>0</v>
      </c>
      <c r="S363" s="11">
        <v>1</v>
      </c>
      <c r="T363" s="11">
        <v>1</v>
      </c>
      <c r="U363" s="11">
        <v>102</v>
      </c>
      <c r="V363" s="11">
        <v>0</v>
      </c>
      <c r="W363" s="11">
        <v>1</v>
      </c>
      <c r="X363" s="11">
        <v>0</v>
      </c>
      <c r="Y363" s="11">
        <v>0</v>
      </c>
      <c r="Z363" s="11">
        <v>0</v>
      </c>
      <c r="AA363" s="11">
        <v>0</v>
      </c>
      <c r="AB363" s="11">
        <v>1</v>
      </c>
      <c r="AC363" s="11">
        <v>1</v>
      </c>
      <c r="AD363" s="11" t="s">
        <v>5044</v>
      </c>
      <c r="AE363" s="11" t="s">
        <v>5044</v>
      </c>
      <c r="AF363" s="11" t="s">
        <v>5044</v>
      </c>
      <c r="AG363" s="11">
        <v>2</v>
      </c>
      <c r="AH363" s="11">
        <v>3</v>
      </c>
      <c r="AI363" s="11">
        <v>0</v>
      </c>
      <c r="AJ363" s="11" t="s">
        <v>5044</v>
      </c>
      <c r="AK363" s="11">
        <v>1</v>
      </c>
      <c r="AL363" s="11">
        <v>1</v>
      </c>
      <c r="AM363" s="11">
        <v>0</v>
      </c>
      <c r="AN363" s="11" t="s">
        <v>5318</v>
      </c>
      <c r="AO363" s="11" t="s">
        <v>5318</v>
      </c>
      <c r="AP363" s="11" t="s">
        <v>5318</v>
      </c>
      <c r="AQ363" s="11" t="s">
        <v>5318</v>
      </c>
    </row>
    <row r="364" spans="1:43" ht="63" customHeight="1" x14ac:dyDescent="0.2">
      <c r="A364" s="10">
        <v>3718</v>
      </c>
      <c r="B364" s="11" t="s">
        <v>7423</v>
      </c>
      <c r="C364" s="11" t="s">
        <v>1014</v>
      </c>
      <c r="D364" s="11">
        <v>2019</v>
      </c>
      <c r="E364" s="11" t="s">
        <v>5318</v>
      </c>
      <c r="F364" s="11">
        <v>126</v>
      </c>
      <c r="G364" s="11">
        <v>10</v>
      </c>
      <c r="H364" s="11" t="s">
        <v>7111</v>
      </c>
      <c r="I364" s="11" t="s">
        <v>6516</v>
      </c>
      <c r="J364" s="11" t="s">
        <v>7424</v>
      </c>
      <c r="K364" s="11" t="s">
        <v>1016</v>
      </c>
      <c r="L364" s="12" t="s">
        <v>5652</v>
      </c>
      <c r="M364" s="11">
        <v>0</v>
      </c>
      <c r="N364" s="9" t="s">
        <v>5044</v>
      </c>
      <c r="O364" s="9" t="s">
        <v>5044</v>
      </c>
      <c r="P364" s="11">
        <v>0</v>
      </c>
      <c r="Q364" s="11">
        <v>0</v>
      </c>
      <c r="R364" s="11">
        <v>0</v>
      </c>
      <c r="S364" s="11">
        <v>5</v>
      </c>
      <c r="T364" s="11">
        <v>1</v>
      </c>
      <c r="U364" s="11">
        <v>207</v>
      </c>
      <c r="V364" s="11">
        <v>0</v>
      </c>
      <c r="W364" s="11">
        <v>1</v>
      </c>
      <c r="X364" s="11">
        <v>0</v>
      </c>
      <c r="Y364" s="11">
        <v>0</v>
      </c>
      <c r="Z364" s="11">
        <v>0</v>
      </c>
      <c r="AA364" s="11">
        <v>0</v>
      </c>
      <c r="AB364" s="11">
        <v>1</v>
      </c>
      <c r="AC364" s="11">
        <v>1</v>
      </c>
      <c r="AD364" s="11" t="s">
        <v>5044</v>
      </c>
      <c r="AE364" s="11" t="s">
        <v>5044</v>
      </c>
      <c r="AF364" s="11" t="s">
        <v>5044</v>
      </c>
      <c r="AG364" s="11">
        <v>2</v>
      </c>
      <c r="AH364" s="11">
        <v>2</v>
      </c>
      <c r="AI364" s="11">
        <v>2</v>
      </c>
      <c r="AJ364" s="11" t="s">
        <v>5044</v>
      </c>
      <c r="AK364" s="11" t="s">
        <v>5318</v>
      </c>
      <c r="AL364" s="11">
        <v>1</v>
      </c>
      <c r="AM364" s="11">
        <v>0</v>
      </c>
      <c r="AN364" s="11" t="s">
        <v>5318</v>
      </c>
      <c r="AO364" s="11" t="s">
        <v>5318</v>
      </c>
      <c r="AP364" s="11" t="s">
        <v>5318</v>
      </c>
      <c r="AQ364" s="11" t="s">
        <v>5318</v>
      </c>
    </row>
    <row r="365" spans="1:43" ht="63" customHeight="1" x14ac:dyDescent="0.2">
      <c r="A365" s="10">
        <v>3719</v>
      </c>
      <c r="B365" s="11" t="s">
        <v>7425</v>
      </c>
      <c r="C365" s="11" t="s">
        <v>1017</v>
      </c>
      <c r="D365" s="11">
        <v>2013</v>
      </c>
      <c r="E365" s="11" t="s">
        <v>5318</v>
      </c>
      <c r="F365" s="11">
        <v>171</v>
      </c>
      <c r="G365" s="11">
        <v>1</v>
      </c>
      <c r="H365" s="11" t="s">
        <v>7426</v>
      </c>
      <c r="I365" s="11" t="s">
        <v>6516</v>
      </c>
      <c r="J365" s="11" t="s">
        <v>7427</v>
      </c>
      <c r="K365" s="11" t="s">
        <v>1018</v>
      </c>
      <c r="L365" s="11" t="s">
        <v>5044</v>
      </c>
      <c r="M365" s="11">
        <v>0</v>
      </c>
      <c r="N365" s="9" t="s">
        <v>5044</v>
      </c>
      <c r="O365" s="9" t="s">
        <v>5044</v>
      </c>
      <c r="P365" s="11">
        <v>0</v>
      </c>
      <c r="Q365" s="11">
        <v>0</v>
      </c>
      <c r="R365" s="11">
        <v>0</v>
      </c>
      <c r="S365" s="11">
        <v>5</v>
      </c>
      <c r="T365" s="11">
        <v>1</v>
      </c>
      <c r="U365" s="11">
        <v>293</v>
      </c>
      <c r="V365" s="11">
        <v>0</v>
      </c>
      <c r="W365" s="11">
        <v>1</v>
      </c>
      <c r="X365" s="11">
        <v>0</v>
      </c>
      <c r="Y365" s="11">
        <v>0</v>
      </c>
      <c r="Z365" s="11">
        <v>0</v>
      </c>
      <c r="AA365" s="11">
        <v>0</v>
      </c>
      <c r="AB365" s="11">
        <v>1</v>
      </c>
      <c r="AC365" s="11">
        <v>1</v>
      </c>
      <c r="AD365" s="11" t="s">
        <v>5044</v>
      </c>
      <c r="AE365" s="11" t="s">
        <v>5044</v>
      </c>
      <c r="AF365" s="11" t="s">
        <v>5044</v>
      </c>
      <c r="AG365" s="11">
        <v>2</v>
      </c>
      <c r="AH365" s="11">
        <v>3</v>
      </c>
      <c r="AI365" s="11">
        <v>0</v>
      </c>
      <c r="AJ365" s="11" t="s">
        <v>5044</v>
      </c>
      <c r="AK365" s="11">
        <v>1</v>
      </c>
      <c r="AL365" s="11">
        <v>1</v>
      </c>
      <c r="AM365" s="11">
        <v>0</v>
      </c>
      <c r="AN365" s="11" t="s">
        <v>5105</v>
      </c>
      <c r="AO365" s="11" t="s">
        <v>5318</v>
      </c>
      <c r="AP365" s="11" t="s">
        <v>5318</v>
      </c>
      <c r="AQ365" s="11" t="s">
        <v>5318</v>
      </c>
    </row>
    <row r="366" spans="1:43" ht="63" customHeight="1" x14ac:dyDescent="0.2">
      <c r="A366" s="10">
        <v>3728</v>
      </c>
      <c r="B366" s="11" t="s">
        <v>7428</v>
      </c>
      <c r="C366" s="11" t="s">
        <v>1019</v>
      </c>
      <c r="D366" s="11">
        <v>2022</v>
      </c>
      <c r="E366" s="11" t="s">
        <v>5318</v>
      </c>
      <c r="F366" s="11">
        <v>22</v>
      </c>
      <c r="G366" s="11">
        <v>1</v>
      </c>
      <c r="H366" s="11" t="s">
        <v>7082</v>
      </c>
      <c r="I366" s="11" t="s">
        <v>6516</v>
      </c>
      <c r="J366" s="11" t="s">
        <v>7429</v>
      </c>
      <c r="K366" s="11" t="s">
        <v>1020</v>
      </c>
      <c r="L366" s="16" t="s">
        <v>5653</v>
      </c>
      <c r="M366" s="11">
        <v>0</v>
      </c>
      <c r="N366" s="9" t="s">
        <v>5044</v>
      </c>
      <c r="O366" s="9" t="s">
        <v>5044</v>
      </c>
      <c r="P366" s="11">
        <v>0</v>
      </c>
      <c r="Q366" s="11">
        <v>0</v>
      </c>
      <c r="R366" s="11">
        <v>0</v>
      </c>
      <c r="S366" s="11">
        <v>1</v>
      </c>
      <c r="T366" s="11">
        <v>6</v>
      </c>
      <c r="U366" s="11">
        <v>56</v>
      </c>
      <c r="V366" s="11">
        <v>0</v>
      </c>
      <c r="W366" s="11">
        <v>1</v>
      </c>
      <c r="X366" s="11">
        <v>0</v>
      </c>
      <c r="Y366" s="11">
        <v>0</v>
      </c>
      <c r="Z366" s="11">
        <v>0</v>
      </c>
      <c r="AA366" s="11">
        <v>0</v>
      </c>
      <c r="AB366" s="11">
        <v>1</v>
      </c>
      <c r="AC366" s="11">
        <v>1</v>
      </c>
      <c r="AD366" s="11" t="s">
        <v>5044</v>
      </c>
      <c r="AE366" s="11" t="s">
        <v>5044</v>
      </c>
      <c r="AF366" s="11" t="s">
        <v>5044</v>
      </c>
      <c r="AG366" s="11">
        <v>1</v>
      </c>
      <c r="AH366" s="11">
        <v>0</v>
      </c>
      <c r="AI366" s="11">
        <v>0</v>
      </c>
      <c r="AJ366" s="11" t="s">
        <v>5044</v>
      </c>
      <c r="AK366" s="11" t="s">
        <v>5318</v>
      </c>
      <c r="AL366" s="11">
        <v>0</v>
      </c>
      <c r="AM366" s="11">
        <v>0</v>
      </c>
      <c r="AN366" s="11" t="s">
        <v>5318</v>
      </c>
      <c r="AO366" s="11" t="s">
        <v>5318</v>
      </c>
      <c r="AP366" s="11" t="s">
        <v>5318</v>
      </c>
      <c r="AQ366" s="11" t="s">
        <v>5318</v>
      </c>
    </row>
    <row r="367" spans="1:43" ht="63" customHeight="1" x14ac:dyDescent="0.2">
      <c r="A367" s="10">
        <v>3752</v>
      </c>
      <c r="B367" s="11" t="s">
        <v>7430</v>
      </c>
      <c r="C367" s="11" t="s">
        <v>1021</v>
      </c>
      <c r="D367" s="11">
        <v>2020</v>
      </c>
      <c r="E367" s="11" t="s">
        <v>5318</v>
      </c>
      <c r="F367" s="11">
        <v>126</v>
      </c>
      <c r="G367" s="11">
        <v>5</v>
      </c>
      <c r="H367" s="11" t="s">
        <v>7103</v>
      </c>
      <c r="I367" s="11" t="s">
        <v>6516</v>
      </c>
      <c r="J367" s="11" t="s">
        <v>7431</v>
      </c>
      <c r="K367" s="11" t="s">
        <v>1022</v>
      </c>
      <c r="L367" s="11" t="s">
        <v>5044</v>
      </c>
      <c r="M367" s="11">
        <v>0</v>
      </c>
      <c r="N367" s="9" t="s">
        <v>5044</v>
      </c>
      <c r="O367" s="9" t="s">
        <v>5044</v>
      </c>
      <c r="P367" s="11">
        <v>0</v>
      </c>
      <c r="Q367" s="11">
        <v>0</v>
      </c>
      <c r="R367" s="11">
        <v>0</v>
      </c>
      <c r="S367" s="11">
        <v>3</v>
      </c>
      <c r="T367" s="11">
        <v>4</v>
      </c>
      <c r="U367" s="11">
        <v>110</v>
      </c>
      <c r="V367" s="11">
        <v>0</v>
      </c>
      <c r="W367" s="11">
        <v>1</v>
      </c>
      <c r="X367" s="11">
        <v>0</v>
      </c>
      <c r="Y367" s="11">
        <v>0</v>
      </c>
      <c r="Z367" s="11">
        <v>0</v>
      </c>
      <c r="AA367" s="11">
        <v>0</v>
      </c>
      <c r="AB367" s="11">
        <v>1</v>
      </c>
      <c r="AC367" s="11">
        <v>1</v>
      </c>
      <c r="AD367" s="11" t="s">
        <v>5044</v>
      </c>
      <c r="AE367" s="11" t="s">
        <v>5044</v>
      </c>
      <c r="AF367" s="11" t="s">
        <v>5044</v>
      </c>
      <c r="AG367" s="11">
        <v>1</v>
      </c>
      <c r="AH367" s="11">
        <v>0</v>
      </c>
      <c r="AI367" s="11">
        <v>0</v>
      </c>
      <c r="AJ367" s="11" t="s">
        <v>5044</v>
      </c>
      <c r="AK367" s="11" t="s">
        <v>5318</v>
      </c>
      <c r="AL367" s="11">
        <v>1</v>
      </c>
      <c r="AM367" s="11">
        <v>0</v>
      </c>
      <c r="AN367" s="11" t="s">
        <v>5318</v>
      </c>
      <c r="AO367" s="11" t="s">
        <v>5318</v>
      </c>
      <c r="AP367" s="11" t="s">
        <v>5318</v>
      </c>
      <c r="AQ367" s="11" t="s">
        <v>5318</v>
      </c>
    </row>
    <row r="368" spans="1:43" ht="63" customHeight="1" x14ac:dyDescent="0.2">
      <c r="A368" s="10">
        <v>3763</v>
      </c>
      <c r="B368" s="11" t="s">
        <v>7432</v>
      </c>
      <c r="C368" s="11" t="s">
        <v>1023</v>
      </c>
      <c r="D368" s="11">
        <v>2018</v>
      </c>
      <c r="E368" s="11" t="s">
        <v>5318</v>
      </c>
      <c r="F368" s="11">
        <v>32</v>
      </c>
      <c r="G368" s="11">
        <v>6</v>
      </c>
      <c r="H368" s="11" t="s">
        <v>7433</v>
      </c>
      <c r="I368" s="11" t="s">
        <v>6516</v>
      </c>
      <c r="J368" s="11" t="s">
        <v>7434</v>
      </c>
      <c r="K368" s="11" t="s">
        <v>1024</v>
      </c>
      <c r="L368" s="11" t="s">
        <v>5044</v>
      </c>
      <c r="M368" s="11">
        <v>0</v>
      </c>
      <c r="N368" s="9" t="s">
        <v>5044</v>
      </c>
      <c r="O368" s="9" t="s">
        <v>5044</v>
      </c>
      <c r="P368" s="11">
        <v>0</v>
      </c>
      <c r="Q368" s="11">
        <v>0</v>
      </c>
      <c r="R368" s="11">
        <v>0</v>
      </c>
      <c r="S368" s="11">
        <v>1</v>
      </c>
      <c r="T368" s="11">
        <v>4</v>
      </c>
      <c r="U368" s="11">
        <v>160</v>
      </c>
      <c r="V368" s="11">
        <v>1</v>
      </c>
      <c r="W368" s="11">
        <v>0</v>
      </c>
      <c r="X368" s="11">
        <v>0</v>
      </c>
      <c r="Y368" s="11">
        <v>0</v>
      </c>
      <c r="Z368" s="11">
        <v>0</v>
      </c>
      <c r="AA368" s="11">
        <v>0</v>
      </c>
      <c r="AB368" s="11">
        <v>1</v>
      </c>
      <c r="AC368" s="11">
        <v>1</v>
      </c>
      <c r="AD368" s="11">
        <v>1</v>
      </c>
      <c r="AE368" s="11">
        <v>0</v>
      </c>
      <c r="AF368" s="11">
        <v>0</v>
      </c>
      <c r="AG368" s="11" t="s">
        <v>5044</v>
      </c>
      <c r="AH368" s="11" t="s">
        <v>5044</v>
      </c>
      <c r="AI368" s="11" t="s">
        <v>5044</v>
      </c>
      <c r="AJ368" s="11" t="s">
        <v>5044</v>
      </c>
      <c r="AK368" s="11" t="s">
        <v>5318</v>
      </c>
      <c r="AL368" s="11">
        <v>1</v>
      </c>
      <c r="AM368" s="11">
        <v>0</v>
      </c>
      <c r="AN368" s="11" t="s">
        <v>5318</v>
      </c>
      <c r="AO368" s="11" t="s">
        <v>5318</v>
      </c>
      <c r="AP368" s="11" t="s">
        <v>5318</v>
      </c>
      <c r="AQ368" s="11" t="s">
        <v>5318</v>
      </c>
    </row>
    <row r="369" spans="1:43" ht="63" customHeight="1" x14ac:dyDescent="0.2">
      <c r="A369" s="10">
        <v>3765</v>
      </c>
      <c r="B369" s="11" t="s">
        <v>7435</v>
      </c>
      <c r="C369" s="11" t="s">
        <v>1025</v>
      </c>
      <c r="D369" s="11">
        <v>2021</v>
      </c>
      <c r="E369" s="11" t="s">
        <v>5318</v>
      </c>
      <c r="F369" s="11">
        <v>27</v>
      </c>
      <c r="G369" s="11">
        <v>4</v>
      </c>
      <c r="H369" s="11" t="s">
        <v>6657</v>
      </c>
      <c r="I369" s="11" t="s">
        <v>6516</v>
      </c>
      <c r="J369" s="11" t="s">
        <v>7436</v>
      </c>
      <c r="K369" s="11" t="s">
        <v>1026</v>
      </c>
      <c r="L369" s="11" t="s">
        <v>5044</v>
      </c>
      <c r="M369" s="11">
        <v>0</v>
      </c>
      <c r="N369" s="9" t="s">
        <v>5044</v>
      </c>
      <c r="O369" s="9" t="s">
        <v>5044</v>
      </c>
      <c r="P369" s="11">
        <v>0</v>
      </c>
      <c r="Q369" s="11">
        <v>0</v>
      </c>
      <c r="R369" s="11">
        <v>0</v>
      </c>
      <c r="S369" s="11">
        <v>9</v>
      </c>
      <c r="T369" s="11">
        <v>4</v>
      </c>
      <c r="U369" s="11">
        <v>110</v>
      </c>
      <c r="V369" s="11">
        <v>0</v>
      </c>
      <c r="W369" s="11">
        <v>1</v>
      </c>
      <c r="X369" s="11">
        <v>0</v>
      </c>
      <c r="Y369" s="11">
        <v>0</v>
      </c>
      <c r="Z369" s="11">
        <v>0</v>
      </c>
      <c r="AA369" s="11">
        <v>0</v>
      </c>
      <c r="AB369" s="11">
        <v>1</v>
      </c>
      <c r="AC369" s="11">
        <v>1</v>
      </c>
      <c r="AD369" s="11" t="s">
        <v>5044</v>
      </c>
      <c r="AE369" s="11" t="s">
        <v>5044</v>
      </c>
      <c r="AF369" s="11" t="s">
        <v>5044</v>
      </c>
      <c r="AG369" s="11">
        <v>2</v>
      </c>
      <c r="AH369" s="11">
        <v>2</v>
      </c>
      <c r="AI369" s="11">
        <v>3</v>
      </c>
      <c r="AJ369" s="11" t="s">
        <v>5044</v>
      </c>
      <c r="AK369" s="11" t="s">
        <v>5318</v>
      </c>
      <c r="AL369" s="11">
        <v>0</v>
      </c>
      <c r="AM369" s="11">
        <v>0</v>
      </c>
      <c r="AN369" s="11" t="s">
        <v>5318</v>
      </c>
      <c r="AO369" s="11" t="s">
        <v>5318</v>
      </c>
      <c r="AP369" s="11" t="s">
        <v>5318</v>
      </c>
      <c r="AQ369" s="11" t="s">
        <v>5318</v>
      </c>
    </row>
    <row r="370" spans="1:43" ht="63" customHeight="1" x14ac:dyDescent="0.2">
      <c r="A370" s="10">
        <v>3780</v>
      </c>
      <c r="B370" s="11" t="s">
        <v>7437</v>
      </c>
      <c r="C370" s="11" t="s">
        <v>1027</v>
      </c>
      <c r="D370" s="11">
        <v>2017</v>
      </c>
      <c r="E370" s="11" t="s">
        <v>5318</v>
      </c>
      <c r="F370" s="11">
        <v>265</v>
      </c>
      <c r="G370" s="11">
        <v>5</v>
      </c>
      <c r="H370" s="11" t="s">
        <v>6533</v>
      </c>
      <c r="I370" s="11" t="s">
        <v>6516</v>
      </c>
      <c r="J370" s="11" t="s">
        <v>7438</v>
      </c>
      <c r="K370" s="11" t="s">
        <v>1029</v>
      </c>
      <c r="L370" s="11" t="s">
        <v>5468</v>
      </c>
      <c r="M370" s="11">
        <v>0</v>
      </c>
      <c r="N370" s="9" t="s">
        <v>5044</v>
      </c>
      <c r="O370" s="9" t="s">
        <v>5044</v>
      </c>
      <c r="P370" s="11">
        <v>0</v>
      </c>
      <c r="Q370" s="11">
        <v>0</v>
      </c>
      <c r="R370" s="11">
        <v>0</v>
      </c>
      <c r="S370" s="11">
        <v>1</v>
      </c>
      <c r="T370" s="11">
        <v>5</v>
      </c>
      <c r="U370" s="11">
        <v>41</v>
      </c>
      <c r="V370" s="11">
        <v>0</v>
      </c>
      <c r="W370" s="11">
        <v>1</v>
      </c>
      <c r="X370" s="11">
        <v>0</v>
      </c>
      <c r="Y370" s="11">
        <v>0</v>
      </c>
      <c r="Z370" s="11">
        <v>0</v>
      </c>
      <c r="AA370" s="11">
        <v>0</v>
      </c>
      <c r="AB370" s="11">
        <v>1</v>
      </c>
      <c r="AC370" s="11">
        <v>0</v>
      </c>
      <c r="AD370" s="11" t="s">
        <v>5044</v>
      </c>
      <c r="AE370" s="11" t="s">
        <v>5044</v>
      </c>
      <c r="AF370" s="11" t="s">
        <v>5044</v>
      </c>
      <c r="AG370" s="11">
        <v>0</v>
      </c>
      <c r="AH370" s="11" t="s">
        <v>5044</v>
      </c>
      <c r="AI370" s="11" t="s">
        <v>5044</v>
      </c>
      <c r="AJ370" s="11" t="s">
        <v>5044</v>
      </c>
      <c r="AK370" s="11" t="s">
        <v>5318</v>
      </c>
      <c r="AL370" s="11">
        <v>1</v>
      </c>
      <c r="AM370" s="11">
        <v>0</v>
      </c>
      <c r="AN370" s="11" t="s">
        <v>5318</v>
      </c>
      <c r="AO370" s="11" t="s">
        <v>5318</v>
      </c>
      <c r="AP370" s="11" t="s">
        <v>5318</v>
      </c>
      <c r="AQ370" s="11" t="s">
        <v>5318</v>
      </c>
    </row>
    <row r="371" spans="1:43" ht="63" customHeight="1" x14ac:dyDescent="0.2">
      <c r="A371" s="10">
        <v>3797</v>
      </c>
      <c r="B371" s="11" t="s">
        <v>7439</v>
      </c>
      <c r="C371" s="11" t="s">
        <v>1030</v>
      </c>
      <c r="D371" s="11">
        <v>2020</v>
      </c>
      <c r="E371" s="11" t="s">
        <v>5318</v>
      </c>
      <c r="F371" s="11">
        <v>405</v>
      </c>
      <c r="G371" s="11">
        <v>4</v>
      </c>
      <c r="H371" s="11" t="s">
        <v>7023</v>
      </c>
      <c r="I371" s="11" t="s">
        <v>6516</v>
      </c>
      <c r="J371" s="11" t="s">
        <v>7440</v>
      </c>
      <c r="K371" s="11" t="s">
        <v>1032</v>
      </c>
      <c r="L371" s="11" t="s">
        <v>5440</v>
      </c>
      <c r="M371" s="11">
        <v>0</v>
      </c>
      <c r="N371" s="9" t="s">
        <v>5044</v>
      </c>
      <c r="O371" s="9" t="s">
        <v>5044</v>
      </c>
      <c r="P371" s="11">
        <v>1</v>
      </c>
      <c r="Q371" s="11">
        <v>0</v>
      </c>
      <c r="R371" s="11">
        <v>0</v>
      </c>
      <c r="S371" s="11">
        <v>1</v>
      </c>
      <c r="T371" s="11">
        <v>1</v>
      </c>
      <c r="U371" s="11">
        <v>100</v>
      </c>
      <c r="V371" s="11">
        <v>0</v>
      </c>
      <c r="W371" s="11">
        <v>1</v>
      </c>
      <c r="X371" s="11">
        <v>0</v>
      </c>
      <c r="Y371" s="11">
        <v>0</v>
      </c>
      <c r="Z371" s="11">
        <v>1</v>
      </c>
      <c r="AA371" s="11">
        <v>0</v>
      </c>
      <c r="AB371" s="11">
        <v>1</v>
      </c>
      <c r="AC371" s="11">
        <v>1</v>
      </c>
      <c r="AD371" s="11" t="s">
        <v>5044</v>
      </c>
      <c r="AE371" s="11" t="s">
        <v>5044</v>
      </c>
      <c r="AF371" s="11" t="s">
        <v>5044</v>
      </c>
      <c r="AG371" s="11">
        <v>1</v>
      </c>
      <c r="AH371" s="11">
        <v>0</v>
      </c>
      <c r="AI371" s="11">
        <v>0</v>
      </c>
      <c r="AJ371" s="11">
        <v>0</v>
      </c>
      <c r="AK371" s="11" t="s">
        <v>5318</v>
      </c>
      <c r="AL371" s="11" t="s">
        <v>5044</v>
      </c>
      <c r="AM371" s="11">
        <v>0</v>
      </c>
      <c r="AN371" s="11" t="s">
        <v>5318</v>
      </c>
      <c r="AO371" s="11" t="s">
        <v>5318</v>
      </c>
      <c r="AP371" s="11" t="s">
        <v>5318</v>
      </c>
      <c r="AQ371" s="11" t="s">
        <v>5318</v>
      </c>
    </row>
    <row r="372" spans="1:43" ht="63" customHeight="1" x14ac:dyDescent="0.2">
      <c r="A372" s="10">
        <v>3798</v>
      </c>
      <c r="B372" s="11" t="s">
        <v>7441</v>
      </c>
      <c r="C372" s="11" t="s">
        <v>1033</v>
      </c>
      <c r="D372" s="11">
        <v>2021</v>
      </c>
      <c r="E372" s="11" t="s">
        <v>305</v>
      </c>
      <c r="F372" s="11">
        <v>11</v>
      </c>
      <c r="G372" s="11">
        <v>2</v>
      </c>
      <c r="H372" s="11" t="s">
        <v>6519</v>
      </c>
      <c r="I372" s="11" t="s">
        <v>6516</v>
      </c>
      <c r="J372" s="11" t="s">
        <v>7442</v>
      </c>
      <c r="K372" s="11" t="s">
        <v>1034</v>
      </c>
      <c r="L372" s="11" t="s">
        <v>5469</v>
      </c>
      <c r="M372" s="11">
        <v>1</v>
      </c>
      <c r="N372" s="11">
        <v>0</v>
      </c>
      <c r="O372" s="9" t="s">
        <v>5044</v>
      </c>
      <c r="P372" s="11">
        <v>0</v>
      </c>
      <c r="Q372" s="11">
        <v>0</v>
      </c>
      <c r="R372" s="11">
        <v>0</v>
      </c>
      <c r="S372" s="11">
        <v>1</v>
      </c>
      <c r="T372" s="11">
        <v>1</v>
      </c>
      <c r="U372" s="11">
        <v>294</v>
      </c>
      <c r="V372" s="11">
        <v>0</v>
      </c>
      <c r="W372" s="11">
        <v>1</v>
      </c>
      <c r="X372" s="11">
        <v>0</v>
      </c>
      <c r="Y372" s="11">
        <v>1</v>
      </c>
      <c r="Z372" s="11">
        <v>0</v>
      </c>
      <c r="AA372" s="11">
        <v>0</v>
      </c>
      <c r="AB372" s="11">
        <v>1</v>
      </c>
      <c r="AC372" s="11" t="s">
        <v>5044</v>
      </c>
      <c r="AD372" s="11" t="s">
        <v>5044</v>
      </c>
      <c r="AE372" s="11" t="s">
        <v>5044</v>
      </c>
      <c r="AF372" s="11" t="s">
        <v>5044</v>
      </c>
      <c r="AG372" s="11" t="s">
        <v>5044</v>
      </c>
      <c r="AH372" s="11" t="s">
        <v>5044</v>
      </c>
      <c r="AI372" s="11" t="s">
        <v>5044</v>
      </c>
      <c r="AJ372" s="11" t="s">
        <v>5044</v>
      </c>
      <c r="AK372" s="11" t="s">
        <v>5318</v>
      </c>
      <c r="AL372" s="11" t="s">
        <v>5044</v>
      </c>
      <c r="AM372" s="11">
        <v>0</v>
      </c>
      <c r="AN372" s="11" t="s">
        <v>6490</v>
      </c>
      <c r="AO372" s="11" t="s">
        <v>5318</v>
      </c>
      <c r="AP372" s="11" t="s">
        <v>5318</v>
      </c>
      <c r="AQ372" s="11" t="s">
        <v>5318</v>
      </c>
    </row>
    <row r="373" spans="1:43" ht="63" customHeight="1" x14ac:dyDescent="0.2">
      <c r="A373" s="10">
        <v>3801</v>
      </c>
      <c r="B373" s="11" t="s">
        <v>7443</v>
      </c>
      <c r="C373" s="11" t="s">
        <v>1035</v>
      </c>
      <c r="D373" s="11">
        <v>2016</v>
      </c>
      <c r="E373" s="11" t="s">
        <v>5318</v>
      </c>
      <c r="F373" s="11">
        <v>20</v>
      </c>
      <c r="G373" s="11" t="s">
        <v>5318</v>
      </c>
      <c r="H373" s="11" t="s">
        <v>7444</v>
      </c>
      <c r="I373" s="11" t="s">
        <v>6516</v>
      </c>
      <c r="J373" s="11" t="s">
        <v>5318</v>
      </c>
      <c r="K373" s="11" t="s">
        <v>1036</v>
      </c>
      <c r="L373" s="11" t="s">
        <v>5470</v>
      </c>
      <c r="M373" s="11">
        <v>0</v>
      </c>
      <c r="N373" s="9" t="s">
        <v>5044</v>
      </c>
      <c r="O373" s="9" t="s">
        <v>5044</v>
      </c>
      <c r="P373" s="11">
        <v>1</v>
      </c>
      <c r="Q373" s="11">
        <v>0</v>
      </c>
      <c r="R373" s="11">
        <v>0</v>
      </c>
      <c r="S373" s="11">
        <v>1</v>
      </c>
      <c r="T373" s="11">
        <v>1</v>
      </c>
      <c r="U373" s="11">
        <v>20</v>
      </c>
      <c r="V373" s="11">
        <v>0</v>
      </c>
      <c r="W373" s="11">
        <v>1</v>
      </c>
      <c r="X373" s="11">
        <v>0</v>
      </c>
      <c r="Y373" s="11">
        <v>0</v>
      </c>
      <c r="Z373" s="11">
        <v>1</v>
      </c>
      <c r="AA373" s="11">
        <v>0</v>
      </c>
      <c r="AB373" s="11">
        <v>1</v>
      </c>
      <c r="AC373" s="11">
        <v>1</v>
      </c>
      <c r="AD373" s="11" t="s">
        <v>5044</v>
      </c>
      <c r="AE373" s="11" t="s">
        <v>5044</v>
      </c>
      <c r="AF373" s="11" t="s">
        <v>5044</v>
      </c>
      <c r="AG373" s="11">
        <v>1</v>
      </c>
      <c r="AH373" s="11">
        <v>0</v>
      </c>
      <c r="AI373" s="11">
        <v>0</v>
      </c>
      <c r="AJ373" s="11">
        <v>0</v>
      </c>
      <c r="AK373" s="11" t="s">
        <v>5318</v>
      </c>
      <c r="AL373" s="11" t="s">
        <v>5044</v>
      </c>
      <c r="AM373" s="11">
        <v>0</v>
      </c>
      <c r="AN373" s="11" t="s">
        <v>7445</v>
      </c>
      <c r="AO373" s="11" t="s">
        <v>5318</v>
      </c>
      <c r="AP373" s="11" t="s">
        <v>5318</v>
      </c>
      <c r="AQ373" s="11" t="s">
        <v>5318</v>
      </c>
    </row>
    <row r="374" spans="1:43" ht="63" customHeight="1" x14ac:dyDescent="0.2">
      <c r="A374" s="10">
        <v>3818</v>
      </c>
      <c r="B374" s="11" t="s">
        <v>7448</v>
      </c>
      <c r="C374" s="11" t="s">
        <v>1039</v>
      </c>
      <c r="D374" s="11">
        <v>2022</v>
      </c>
      <c r="E374" s="11" t="s">
        <v>5318</v>
      </c>
      <c r="F374" s="11">
        <v>26</v>
      </c>
      <c r="G374" s="11">
        <v>1</v>
      </c>
      <c r="H374" s="11" t="s">
        <v>6725</v>
      </c>
      <c r="I374" s="11" t="s">
        <v>6516</v>
      </c>
      <c r="J374" s="11" t="s">
        <v>7449</v>
      </c>
      <c r="K374" s="11" t="s">
        <v>1040</v>
      </c>
      <c r="L374" s="11" t="s">
        <v>5472</v>
      </c>
      <c r="M374" s="11">
        <v>0</v>
      </c>
      <c r="N374" s="9" t="s">
        <v>5044</v>
      </c>
      <c r="O374" s="9" t="s">
        <v>5044</v>
      </c>
      <c r="P374" s="11">
        <v>0</v>
      </c>
      <c r="Q374" s="11">
        <v>0</v>
      </c>
      <c r="R374" s="11">
        <v>0</v>
      </c>
      <c r="S374" s="11">
        <v>1</v>
      </c>
      <c r="T374" s="11">
        <v>4</v>
      </c>
      <c r="U374" s="11">
        <v>120</v>
      </c>
      <c r="V374" s="11">
        <v>0</v>
      </c>
      <c r="W374" s="11">
        <v>1</v>
      </c>
      <c r="X374" s="11">
        <v>0</v>
      </c>
      <c r="Y374" s="11">
        <v>0</v>
      </c>
      <c r="Z374" s="11">
        <v>0</v>
      </c>
      <c r="AA374" s="11">
        <v>0</v>
      </c>
      <c r="AB374" s="11">
        <v>1</v>
      </c>
      <c r="AC374" s="11">
        <v>1</v>
      </c>
      <c r="AD374" s="11" t="s">
        <v>5044</v>
      </c>
      <c r="AE374" s="11" t="s">
        <v>5044</v>
      </c>
      <c r="AF374" s="11" t="s">
        <v>5044</v>
      </c>
      <c r="AG374" s="11">
        <v>2</v>
      </c>
      <c r="AH374" s="11">
        <v>3</v>
      </c>
      <c r="AI374" s="11">
        <v>0</v>
      </c>
      <c r="AJ374" s="11" t="s">
        <v>5044</v>
      </c>
      <c r="AK374" s="11" t="s">
        <v>5318</v>
      </c>
      <c r="AL374" s="11">
        <v>1</v>
      </c>
      <c r="AM374" s="11">
        <v>0</v>
      </c>
      <c r="AN374" s="11" t="s">
        <v>5318</v>
      </c>
      <c r="AO374" s="11" t="s">
        <v>5318</v>
      </c>
      <c r="AP374" s="11" t="s">
        <v>5318</v>
      </c>
      <c r="AQ374" s="11" t="s">
        <v>5318</v>
      </c>
    </row>
    <row r="375" spans="1:43" ht="63" customHeight="1" x14ac:dyDescent="0.2">
      <c r="A375" s="10">
        <v>3820</v>
      </c>
      <c r="B375" s="11" t="s">
        <v>7450</v>
      </c>
      <c r="C375" s="11" t="s">
        <v>1041</v>
      </c>
      <c r="D375" s="11">
        <v>2014</v>
      </c>
      <c r="E375" s="11" t="s">
        <v>5318</v>
      </c>
      <c r="F375" s="11">
        <v>42</v>
      </c>
      <c r="G375" s="11">
        <v>2</v>
      </c>
      <c r="H375" s="11" t="s">
        <v>7451</v>
      </c>
      <c r="I375" s="11" t="s">
        <v>6516</v>
      </c>
      <c r="J375" s="11" t="s">
        <v>7452</v>
      </c>
      <c r="K375" s="11" t="s">
        <v>1044</v>
      </c>
      <c r="L375" s="11" t="s">
        <v>5044</v>
      </c>
      <c r="M375" s="11">
        <v>0</v>
      </c>
      <c r="N375" s="9" t="s">
        <v>5044</v>
      </c>
      <c r="O375" s="9" t="s">
        <v>5044</v>
      </c>
      <c r="P375" s="11">
        <v>0</v>
      </c>
      <c r="Q375" s="11">
        <v>0</v>
      </c>
      <c r="R375" s="11">
        <v>0</v>
      </c>
      <c r="S375" s="11">
        <v>3</v>
      </c>
      <c r="T375" s="11">
        <v>4</v>
      </c>
      <c r="U375" s="11">
        <v>70</v>
      </c>
      <c r="V375" s="11">
        <v>0</v>
      </c>
      <c r="W375" s="11">
        <v>1</v>
      </c>
      <c r="X375" s="11">
        <v>0</v>
      </c>
      <c r="Y375" s="11">
        <v>0</v>
      </c>
      <c r="Z375" s="11">
        <v>0</v>
      </c>
      <c r="AA375" s="11">
        <v>0</v>
      </c>
      <c r="AB375" s="11">
        <v>0</v>
      </c>
      <c r="AC375" s="11">
        <v>1</v>
      </c>
      <c r="AD375" s="11" t="s">
        <v>5044</v>
      </c>
      <c r="AE375" s="11" t="s">
        <v>5044</v>
      </c>
      <c r="AF375" s="11" t="s">
        <v>5044</v>
      </c>
      <c r="AG375" s="11">
        <v>1</v>
      </c>
      <c r="AH375" s="11">
        <v>0</v>
      </c>
      <c r="AI375" s="11">
        <v>0</v>
      </c>
      <c r="AJ375" s="11" t="s">
        <v>5044</v>
      </c>
      <c r="AK375" s="11" t="s">
        <v>5318</v>
      </c>
      <c r="AL375" s="11" t="s">
        <v>5044</v>
      </c>
      <c r="AM375" s="11">
        <v>0</v>
      </c>
      <c r="AN375" s="11" t="s">
        <v>5318</v>
      </c>
      <c r="AO375" s="11" t="s">
        <v>5318</v>
      </c>
      <c r="AP375" s="11" t="s">
        <v>5318</v>
      </c>
      <c r="AQ375" s="11" t="s">
        <v>5318</v>
      </c>
    </row>
    <row r="376" spans="1:43" ht="63" customHeight="1" x14ac:dyDescent="0.2">
      <c r="A376" s="10">
        <v>3823</v>
      </c>
      <c r="B376" s="11" t="s">
        <v>7453</v>
      </c>
      <c r="C376" s="11" t="s">
        <v>1045</v>
      </c>
      <c r="D376" s="11">
        <v>2023</v>
      </c>
      <c r="E376" s="11" t="s">
        <v>5318</v>
      </c>
      <c r="F376" s="11">
        <v>24</v>
      </c>
      <c r="G376" s="11">
        <v>1</v>
      </c>
      <c r="H376" s="11" t="s">
        <v>6538</v>
      </c>
      <c r="I376" s="11" t="s">
        <v>6516</v>
      </c>
      <c r="J376" s="11" t="s">
        <v>7454</v>
      </c>
      <c r="K376" s="11" t="s">
        <v>1046</v>
      </c>
      <c r="L376" s="11" t="s">
        <v>5473</v>
      </c>
      <c r="M376" s="11">
        <v>1</v>
      </c>
      <c r="N376" s="11">
        <v>0</v>
      </c>
      <c r="O376" s="9" t="s">
        <v>5044</v>
      </c>
      <c r="P376" s="11">
        <v>0</v>
      </c>
      <c r="Q376" s="11">
        <v>0</v>
      </c>
      <c r="R376" s="11">
        <v>0</v>
      </c>
      <c r="S376" s="11">
        <v>1</v>
      </c>
      <c r="T376" s="11">
        <v>1</v>
      </c>
      <c r="U376" s="11">
        <v>238</v>
      </c>
      <c r="V376" s="11">
        <v>0</v>
      </c>
      <c r="W376" s="11">
        <v>1</v>
      </c>
      <c r="X376" s="11">
        <v>0</v>
      </c>
      <c r="Y376" s="11">
        <v>0</v>
      </c>
      <c r="Z376" s="11">
        <v>1</v>
      </c>
      <c r="AA376" s="11">
        <v>0</v>
      </c>
      <c r="AB376" s="11">
        <v>1</v>
      </c>
      <c r="AC376" s="11" t="s">
        <v>5044</v>
      </c>
      <c r="AD376" s="11" t="s">
        <v>5044</v>
      </c>
      <c r="AE376" s="11" t="s">
        <v>5044</v>
      </c>
      <c r="AF376" s="11" t="s">
        <v>5044</v>
      </c>
      <c r="AG376" s="11" t="s">
        <v>5044</v>
      </c>
      <c r="AH376" s="11" t="s">
        <v>5044</v>
      </c>
      <c r="AI376" s="11" t="s">
        <v>5044</v>
      </c>
      <c r="AJ376" s="11" t="s">
        <v>5044</v>
      </c>
      <c r="AK376" s="11" t="s">
        <v>5318</v>
      </c>
      <c r="AL376" s="11" t="s">
        <v>5044</v>
      </c>
      <c r="AM376" s="11">
        <v>0</v>
      </c>
      <c r="AN376" s="11" t="s">
        <v>5318</v>
      </c>
      <c r="AO376" s="11" t="s">
        <v>5318</v>
      </c>
      <c r="AP376" s="11" t="s">
        <v>5318</v>
      </c>
      <c r="AQ376" s="11" t="s">
        <v>5318</v>
      </c>
    </row>
    <row r="377" spans="1:43" ht="63" customHeight="1" x14ac:dyDescent="0.2">
      <c r="A377" s="10">
        <v>3837</v>
      </c>
      <c r="B377" s="11" t="s">
        <v>7455</v>
      </c>
      <c r="C377" s="11" t="s">
        <v>1047</v>
      </c>
      <c r="D377" s="11">
        <v>2018</v>
      </c>
      <c r="E377" s="11" t="s">
        <v>5318</v>
      </c>
      <c r="F377" s="11">
        <v>268</v>
      </c>
      <c r="G377" s="11">
        <v>5</v>
      </c>
      <c r="H377" s="11" t="s">
        <v>6533</v>
      </c>
      <c r="I377" s="11" t="s">
        <v>6878</v>
      </c>
      <c r="J377" s="11" t="s">
        <v>7456</v>
      </c>
      <c r="K377" s="11" t="s">
        <v>1049</v>
      </c>
      <c r="L377" s="11" t="s">
        <v>5474</v>
      </c>
      <c r="M377" s="11">
        <v>0</v>
      </c>
      <c r="N377" s="9" t="s">
        <v>5044</v>
      </c>
      <c r="O377" s="9" t="s">
        <v>5044</v>
      </c>
      <c r="P377" s="11">
        <v>0</v>
      </c>
      <c r="Q377" s="11">
        <v>0</v>
      </c>
      <c r="R377" s="11">
        <v>0</v>
      </c>
      <c r="S377" s="11">
        <v>1</v>
      </c>
      <c r="T377" s="11">
        <v>1</v>
      </c>
      <c r="U377" s="11">
        <v>66</v>
      </c>
      <c r="V377" s="11">
        <v>0</v>
      </c>
      <c r="W377" s="11">
        <v>1</v>
      </c>
      <c r="X377" s="11">
        <v>0</v>
      </c>
      <c r="Y377" s="11">
        <v>0</v>
      </c>
      <c r="Z377" s="11">
        <v>1</v>
      </c>
      <c r="AA377" s="11">
        <v>0</v>
      </c>
      <c r="AB377" s="11">
        <v>1</v>
      </c>
      <c r="AC377" s="11">
        <v>1</v>
      </c>
      <c r="AD377" s="11" t="s">
        <v>5044</v>
      </c>
      <c r="AE377" s="11" t="s">
        <v>5044</v>
      </c>
      <c r="AF377" s="11" t="s">
        <v>5044</v>
      </c>
      <c r="AG377" s="11">
        <v>2</v>
      </c>
      <c r="AH377" s="11">
        <v>3</v>
      </c>
      <c r="AI377" s="11">
        <v>0</v>
      </c>
      <c r="AJ377" s="11">
        <v>0</v>
      </c>
      <c r="AK377" s="11">
        <v>2</v>
      </c>
      <c r="AL377" s="11">
        <v>1</v>
      </c>
      <c r="AM377" s="11">
        <v>0</v>
      </c>
      <c r="AN377" s="11" t="s">
        <v>5318</v>
      </c>
      <c r="AO377" s="11" t="s">
        <v>5318</v>
      </c>
      <c r="AP377" s="11" t="s">
        <v>5318</v>
      </c>
      <c r="AQ377" s="11" t="s">
        <v>5318</v>
      </c>
    </row>
    <row r="378" spans="1:43" ht="63" customHeight="1" x14ac:dyDescent="0.2">
      <c r="A378" s="10">
        <v>3844</v>
      </c>
      <c r="B378" s="11" t="s">
        <v>7457</v>
      </c>
      <c r="C378" s="11" t="s">
        <v>1050</v>
      </c>
      <c r="D378" s="11">
        <v>2012</v>
      </c>
      <c r="E378" s="11" t="s">
        <v>5318</v>
      </c>
      <c r="F378" s="11">
        <v>136</v>
      </c>
      <c r="G378" s="11">
        <v>2</v>
      </c>
      <c r="H378" s="11" t="s">
        <v>7458</v>
      </c>
      <c r="I378" s="11" t="s">
        <v>6516</v>
      </c>
      <c r="J378" s="11" t="s">
        <v>7459</v>
      </c>
      <c r="K378" s="11" t="s">
        <v>1051</v>
      </c>
      <c r="L378" s="11" t="s">
        <v>5044</v>
      </c>
      <c r="M378" s="11">
        <v>0</v>
      </c>
      <c r="N378" s="9" t="s">
        <v>5044</v>
      </c>
      <c r="O378" s="9" t="s">
        <v>5044</v>
      </c>
      <c r="P378" s="11">
        <v>0</v>
      </c>
      <c r="Q378" s="11">
        <v>0</v>
      </c>
      <c r="R378" s="11">
        <v>0</v>
      </c>
      <c r="S378" s="11">
        <v>1</v>
      </c>
      <c r="T378" s="11">
        <v>1</v>
      </c>
      <c r="U378" s="11">
        <v>333</v>
      </c>
      <c r="V378" s="11">
        <v>0</v>
      </c>
      <c r="W378" s="11">
        <v>1</v>
      </c>
      <c r="X378" s="11">
        <v>0</v>
      </c>
      <c r="Y378" s="11">
        <v>0</v>
      </c>
      <c r="Z378" s="11">
        <v>0</v>
      </c>
      <c r="AA378" s="11">
        <v>0</v>
      </c>
      <c r="AB378" s="11">
        <v>1</v>
      </c>
      <c r="AC378" s="11">
        <v>0</v>
      </c>
      <c r="AD378" s="11" t="s">
        <v>5044</v>
      </c>
      <c r="AE378" s="11" t="s">
        <v>5044</v>
      </c>
      <c r="AF378" s="11" t="s">
        <v>5044</v>
      </c>
      <c r="AG378" s="11">
        <v>0</v>
      </c>
      <c r="AH378" s="11" t="s">
        <v>5044</v>
      </c>
      <c r="AI378" s="11" t="s">
        <v>5044</v>
      </c>
      <c r="AJ378" s="11" t="s">
        <v>5044</v>
      </c>
      <c r="AK378" s="11" t="s">
        <v>5318</v>
      </c>
      <c r="AL378" s="11">
        <v>0</v>
      </c>
      <c r="AM378" s="11">
        <v>0</v>
      </c>
      <c r="AN378" s="11" t="s">
        <v>5318</v>
      </c>
      <c r="AO378" s="11" t="s">
        <v>5318</v>
      </c>
      <c r="AP378" s="11" t="s">
        <v>5318</v>
      </c>
      <c r="AQ378" s="11" t="s">
        <v>5318</v>
      </c>
    </row>
    <row r="379" spans="1:43" ht="63" customHeight="1" x14ac:dyDescent="0.2">
      <c r="A379" s="10">
        <v>3847</v>
      </c>
      <c r="B379" s="11" t="s">
        <v>7460</v>
      </c>
      <c r="C379" s="11" t="s">
        <v>1052</v>
      </c>
      <c r="D379" s="11">
        <v>2017</v>
      </c>
      <c r="E379" s="11" t="s">
        <v>5318</v>
      </c>
      <c r="F379" s="11">
        <v>24</v>
      </c>
      <c r="G379" s="11">
        <v>11</v>
      </c>
      <c r="H379" s="11" t="s">
        <v>6621</v>
      </c>
      <c r="I379" s="11" t="s">
        <v>6516</v>
      </c>
      <c r="J379" s="11" t="s">
        <v>7461</v>
      </c>
      <c r="K379" s="11" t="s">
        <v>1053</v>
      </c>
      <c r="L379" s="11" t="s">
        <v>5476</v>
      </c>
      <c r="M379" s="11">
        <v>0</v>
      </c>
      <c r="N379" s="9" t="s">
        <v>5044</v>
      </c>
      <c r="O379" s="9" t="s">
        <v>5044</v>
      </c>
      <c r="P379" s="11">
        <v>0</v>
      </c>
      <c r="Q379" s="11">
        <v>0</v>
      </c>
      <c r="R379" s="11">
        <v>0</v>
      </c>
      <c r="S379" s="11">
        <v>1</v>
      </c>
      <c r="T379" s="11">
        <v>1</v>
      </c>
      <c r="U379" s="11">
        <v>102</v>
      </c>
      <c r="V379" s="11">
        <v>1</v>
      </c>
      <c r="W379" s="11">
        <v>0</v>
      </c>
      <c r="X379" s="11">
        <v>0</v>
      </c>
      <c r="Y379" s="11">
        <v>0</v>
      </c>
      <c r="Z379" s="11">
        <v>0</v>
      </c>
      <c r="AA379" s="11">
        <v>0</v>
      </c>
      <c r="AB379" s="11">
        <v>1</v>
      </c>
      <c r="AC379" s="11">
        <v>1</v>
      </c>
      <c r="AD379" s="11">
        <v>2</v>
      </c>
      <c r="AE379" s="11">
        <v>3</v>
      </c>
      <c r="AF379" s="11">
        <v>0</v>
      </c>
      <c r="AG379" s="11" t="s">
        <v>5044</v>
      </c>
      <c r="AH379" s="11" t="s">
        <v>5044</v>
      </c>
      <c r="AI379" s="11" t="s">
        <v>5044</v>
      </c>
      <c r="AJ379" s="11" t="s">
        <v>5044</v>
      </c>
      <c r="AK379" s="11" t="s">
        <v>5318</v>
      </c>
      <c r="AL379" s="11">
        <v>0</v>
      </c>
      <c r="AM379" s="11">
        <v>0</v>
      </c>
      <c r="AN379" s="11" t="s">
        <v>5318</v>
      </c>
      <c r="AO379" s="11" t="s">
        <v>5318</v>
      </c>
      <c r="AP379" s="11" t="s">
        <v>5318</v>
      </c>
      <c r="AQ379" s="11" t="s">
        <v>5318</v>
      </c>
    </row>
    <row r="380" spans="1:43" ht="63" customHeight="1" x14ac:dyDescent="0.2">
      <c r="A380" s="10">
        <v>3856</v>
      </c>
      <c r="B380" s="11" t="s">
        <v>7462</v>
      </c>
      <c r="C380" s="11" t="s">
        <v>1054</v>
      </c>
      <c r="D380" s="11">
        <v>2017</v>
      </c>
      <c r="E380" s="11" t="s">
        <v>5318</v>
      </c>
      <c r="F380" s="11">
        <v>27</v>
      </c>
      <c r="G380" s="11">
        <v>3</v>
      </c>
      <c r="H380" s="11" t="s">
        <v>6482</v>
      </c>
      <c r="I380" s="11" t="s">
        <v>6516</v>
      </c>
      <c r="J380" s="11" t="s">
        <v>7463</v>
      </c>
      <c r="K380" s="11" t="s">
        <v>1055</v>
      </c>
      <c r="L380" s="11" t="s">
        <v>5044</v>
      </c>
      <c r="M380" s="11">
        <v>0</v>
      </c>
      <c r="N380" s="9" t="s">
        <v>5044</v>
      </c>
      <c r="O380" s="9" t="s">
        <v>5044</v>
      </c>
      <c r="P380" s="11">
        <v>0</v>
      </c>
      <c r="Q380" s="11">
        <v>0</v>
      </c>
      <c r="R380" s="11">
        <v>0</v>
      </c>
      <c r="S380" s="11">
        <v>1</v>
      </c>
      <c r="T380" s="11">
        <v>1</v>
      </c>
      <c r="U380" s="11">
        <v>130</v>
      </c>
      <c r="V380" s="11">
        <v>0</v>
      </c>
      <c r="W380" s="11">
        <v>1</v>
      </c>
      <c r="X380" s="11">
        <v>0</v>
      </c>
      <c r="Y380" s="11">
        <v>0</v>
      </c>
      <c r="Z380" s="11">
        <v>0</v>
      </c>
      <c r="AA380" s="11">
        <v>0</v>
      </c>
      <c r="AB380" s="11">
        <v>1</v>
      </c>
      <c r="AC380" s="11">
        <v>1</v>
      </c>
      <c r="AD380" s="11" t="s">
        <v>5044</v>
      </c>
      <c r="AE380" s="11" t="s">
        <v>5044</v>
      </c>
      <c r="AF380" s="11" t="s">
        <v>5044</v>
      </c>
      <c r="AG380" s="11">
        <v>2</v>
      </c>
      <c r="AH380" s="11">
        <v>3</v>
      </c>
      <c r="AI380" s="11">
        <v>0</v>
      </c>
      <c r="AJ380" s="11" t="s">
        <v>5044</v>
      </c>
      <c r="AK380" s="11" t="s">
        <v>5318</v>
      </c>
      <c r="AL380" s="11" t="s">
        <v>5044</v>
      </c>
      <c r="AM380" s="11">
        <v>0</v>
      </c>
      <c r="AN380" s="11" t="s">
        <v>5318</v>
      </c>
      <c r="AO380" s="11" t="s">
        <v>5318</v>
      </c>
      <c r="AP380" s="11" t="s">
        <v>5318</v>
      </c>
      <c r="AQ380" s="11" t="s">
        <v>5318</v>
      </c>
    </row>
    <row r="381" spans="1:43" ht="63" customHeight="1" x14ac:dyDescent="0.2">
      <c r="A381" s="10">
        <v>3857</v>
      </c>
      <c r="B381" s="11" t="s">
        <v>7464</v>
      </c>
      <c r="C381" s="11" t="s">
        <v>1056</v>
      </c>
      <c r="D381" s="11">
        <v>2020</v>
      </c>
      <c r="E381" s="11" t="s">
        <v>5318</v>
      </c>
      <c r="F381" s="11">
        <v>20</v>
      </c>
      <c r="G381" s="11">
        <v>1</v>
      </c>
      <c r="H381" s="11" t="s">
        <v>6595</v>
      </c>
      <c r="I381" s="11" t="s">
        <v>6516</v>
      </c>
      <c r="J381" s="11" t="s">
        <v>7465</v>
      </c>
      <c r="K381" s="11" t="s">
        <v>1057</v>
      </c>
      <c r="L381" s="11" t="s">
        <v>5477</v>
      </c>
      <c r="M381" s="11">
        <v>1</v>
      </c>
      <c r="N381" s="11">
        <v>0</v>
      </c>
      <c r="O381" s="9" t="s">
        <v>5044</v>
      </c>
      <c r="P381" s="11">
        <v>0</v>
      </c>
      <c r="Q381" s="11">
        <v>0</v>
      </c>
      <c r="R381" s="11">
        <v>0</v>
      </c>
      <c r="S381" s="11" t="s">
        <v>7669</v>
      </c>
      <c r="T381" s="11">
        <v>1</v>
      </c>
      <c r="U381" s="11">
        <v>120</v>
      </c>
      <c r="V381" s="11">
        <v>0</v>
      </c>
      <c r="W381" s="11">
        <v>1</v>
      </c>
      <c r="X381" s="11">
        <v>0</v>
      </c>
      <c r="Y381" s="11">
        <v>0</v>
      </c>
      <c r="Z381" s="11">
        <v>0</v>
      </c>
      <c r="AA381" s="11">
        <v>0</v>
      </c>
      <c r="AB381" s="11">
        <v>1</v>
      </c>
      <c r="AC381" s="11" t="s">
        <v>5044</v>
      </c>
      <c r="AD381" s="11" t="s">
        <v>5044</v>
      </c>
      <c r="AE381" s="11" t="s">
        <v>5044</v>
      </c>
      <c r="AF381" s="11" t="s">
        <v>5044</v>
      </c>
      <c r="AG381" s="11" t="s">
        <v>5044</v>
      </c>
      <c r="AH381" s="11" t="s">
        <v>5044</v>
      </c>
      <c r="AI381" s="11" t="s">
        <v>5044</v>
      </c>
      <c r="AJ381" s="11" t="s">
        <v>5044</v>
      </c>
      <c r="AK381" s="11" t="s">
        <v>5318</v>
      </c>
      <c r="AL381" s="11" t="s">
        <v>5044</v>
      </c>
      <c r="AM381" s="11">
        <v>0</v>
      </c>
      <c r="AN381" s="11" t="s">
        <v>5318</v>
      </c>
      <c r="AO381" s="11" t="s">
        <v>5318</v>
      </c>
      <c r="AP381" s="11" t="s">
        <v>5318</v>
      </c>
      <c r="AQ381" s="11" t="s">
        <v>5318</v>
      </c>
    </row>
    <row r="382" spans="1:43" ht="63" customHeight="1" x14ac:dyDescent="0.2">
      <c r="A382" s="10">
        <v>3878</v>
      </c>
      <c r="B382" s="11" t="s">
        <v>7466</v>
      </c>
      <c r="C382" s="11" t="s">
        <v>1058</v>
      </c>
      <c r="D382" s="11">
        <v>2021</v>
      </c>
      <c r="E382" s="11" t="s">
        <v>5318</v>
      </c>
      <c r="F382" s="11">
        <v>35</v>
      </c>
      <c r="G382" s="11">
        <v>6</v>
      </c>
      <c r="H382" s="11" t="s">
        <v>6692</v>
      </c>
      <c r="I382" s="11" t="s">
        <v>6516</v>
      </c>
      <c r="J382" s="11" t="s">
        <v>7467</v>
      </c>
      <c r="K382" s="11" t="s">
        <v>1059</v>
      </c>
      <c r="L382" s="11" t="s">
        <v>5044</v>
      </c>
      <c r="M382" s="11">
        <v>0</v>
      </c>
      <c r="N382" s="9" t="s">
        <v>5044</v>
      </c>
      <c r="O382" s="9" t="s">
        <v>5044</v>
      </c>
      <c r="P382" s="11">
        <v>0</v>
      </c>
      <c r="Q382" s="11">
        <v>0</v>
      </c>
      <c r="R382" s="11">
        <v>0</v>
      </c>
      <c r="S382" s="11">
        <v>3</v>
      </c>
      <c r="T382" s="11">
        <v>1</v>
      </c>
      <c r="U382" s="11">
        <v>112</v>
      </c>
      <c r="V382" s="11">
        <v>1</v>
      </c>
      <c r="W382" s="11">
        <v>0</v>
      </c>
      <c r="X382" s="11">
        <v>0</v>
      </c>
      <c r="Y382" s="11">
        <v>0</v>
      </c>
      <c r="Z382" s="11">
        <v>0</v>
      </c>
      <c r="AA382" s="11">
        <v>0</v>
      </c>
      <c r="AB382" s="11">
        <v>1</v>
      </c>
      <c r="AC382" s="11">
        <v>1</v>
      </c>
      <c r="AD382" s="11">
        <v>1</v>
      </c>
      <c r="AE382" s="11">
        <v>0</v>
      </c>
      <c r="AF382" s="11">
        <v>0</v>
      </c>
      <c r="AG382" s="11" t="s">
        <v>5044</v>
      </c>
      <c r="AH382" s="11" t="s">
        <v>5044</v>
      </c>
      <c r="AI382" s="11" t="s">
        <v>5044</v>
      </c>
      <c r="AJ382" s="11" t="s">
        <v>5044</v>
      </c>
      <c r="AK382" s="11" t="s">
        <v>5318</v>
      </c>
      <c r="AL382" s="11" t="s">
        <v>5044</v>
      </c>
      <c r="AM382" s="11">
        <v>0</v>
      </c>
      <c r="AN382" s="11" t="s">
        <v>5478</v>
      </c>
      <c r="AO382" s="11" t="s">
        <v>5318</v>
      </c>
      <c r="AP382" s="11" t="s">
        <v>5318</v>
      </c>
      <c r="AQ382" s="11" t="s">
        <v>5318</v>
      </c>
    </row>
    <row r="383" spans="1:43" ht="63" customHeight="1" x14ac:dyDescent="0.2">
      <c r="A383" s="10">
        <v>3891</v>
      </c>
      <c r="B383" s="11" t="s">
        <v>7468</v>
      </c>
      <c r="C383" s="11" t="s">
        <v>1060</v>
      </c>
      <c r="D383" s="11">
        <v>2018</v>
      </c>
      <c r="E383" s="11" t="s">
        <v>5318</v>
      </c>
      <c r="F383" s="11">
        <v>42</v>
      </c>
      <c r="G383" s="11">
        <v>5</v>
      </c>
      <c r="H383" s="11" t="s">
        <v>6745</v>
      </c>
      <c r="I383" s="11" t="s">
        <v>6516</v>
      </c>
      <c r="J383" s="11" t="s">
        <v>7469</v>
      </c>
      <c r="K383" s="11" t="s">
        <v>1061</v>
      </c>
      <c r="L383" s="11" t="s">
        <v>5479</v>
      </c>
      <c r="M383" s="11">
        <v>0</v>
      </c>
      <c r="N383" s="9" t="s">
        <v>5044</v>
      </c>
      <c r="O383" s="9" t="s">
        <v>5044</v>
      </c>
      <c r="P383" s="11">
        <v>0</v>
      </c>
      <c r="Q383" s="11">
        <v>0</v>
      </c>
      <c r="R383" s="11">
        <v>0</v>
      </c>
      <c r="S383" s="11">
        <v>1</v>
      </c>
      <c r="T383" s="11">
        <v>1</v>
      </c>
      <c r="U383" s="11">
        <v>352</v>
      </c>
      <c r="V383" s="11">
        <v>1</v>
      </c>
      <c r="W383" s="11">
        <v>0</v>
      </c>
      <c r="X383" s="11">
        <v>0</v>
      </c>
      <c r="Y383" s="11">
        <v>0</v>
      </c>
      <c r="Z383" s="11">
        <v>0</v>
      </c>
      <c r="AA383" s="11">
        <v>0</v>
      </c>
      <c r="AB383" s="11">
        <v>0</v>
      </c>
      <c r="AC383" s="11">
        <v>1</v>
      </c>
      <c r="AD383" s="11">
        <v>2</v>
      </c>
      <c r="AE383" s="11">
        <v>3</v>
      </c>
      <c r="AF383" s="11">
        <v>0</v>
      </c>
      <c r="AG383" s="11" t="s">
        <v>5044</v>
      </c>
      <c r="AH383" s="11" t="s">
        <v>5044</v>
      </c>
      <c r="AI383" s="11" t="s">
        <v>5044</v>
      </c>
      <c r="AJ383" s="11" t="s">
        <v>5044</v>
      </c>
      <c r="AK383" s="11" t="s">
        <v>5480</v>
      </c>
      <c r="AL383" s="11">
        <v>0</v>
      </c>
      <c r="AM383" s="11">
        <v>0</v>
      </c>
      <c r="AN383" s="11" t="s">
        <v>5318</v>
      </c>
      <c r="AO383" s="11" t="s">
        <v>5318</v>
      </c>
      <c r="AP383" s="11" t="s">
        <v>5318</v>
      </c>
      <c r="AQ383" s="11" t="s">
        <v>5318</v>
      </c>
    </row>
    <row r="384" spans="1:43" ht="63" customHeight="1" x14ac:dyDescent="0.2">
      <c r="A384" s="10">
        <v>3894</v>
      </c>
      <c r="B384" s="11" t="s">
        <v>7470</v>
      </c>
      <c r="C384" s="11" t="s">
        <v>1062</v>
      </c>
      <c r="D384" s="11">
        <v>2017</v>
      </c>
      <c r="E384" s="11" t="s">
        <v>5318</v>
      </c>
      <c r="F384" s="11">
        <v>2</v>
      </c>
      <c r="G384" s="11">
        <v>11</v>
      </c>
      <c r="H384" s="11" t="s">
        <v>6807</v>
      </c>
      <c r="I384" s="11" t="s">
        <v>6516</v>
      </c>
      <c r="J384" s="11" t="s">
        <v>7471</v>
      </c>
      <c r="K384" s="11" t="s">
        <v>1063</v>
      </c>
      <c r="L384" s="11" t="s">
        <v>5481</v>
      </c>
      <c r="M384" s="11">
        <v>0</v>
      </c>
      <c r="N384" s="9" t="s">
        <v>5044</v>
      </c>
      <c r="O384" s="9" t="s">
        <v>5044</v>
      </c>
      <c r="P384" s="11">
        <v>0</v>
      </c>
      <c r="Q384" s="11">
        <v>0</v>
      </c>
      <c r="R384" s="11">
        <v>0</v>
      </c>
      <c r="S384" s="11">
        <v>1</v>
      </c>
      <c r="T384" s="11">
        <v>1</v>
      </c>
      <c r="U384" s="11">
        <v>143</v>
      </c>
      <c r="V384" s="11">
        <v>0</v>
      </c>
      <c r="W384" s="11">
        <v>1</v>
      </c>
      <c r="X384" s="11">
        <v>0</v>
      </c>
      <c r="Y384" s="11">
        <v>0</v>
      </c>
      <c r="Z384" s="11">
        <v>0</v>
      </c>
      <c r="AA384" s="11">
        <v>0</v>
      </c>
      <c r="AB384" s="11">
        <v>1</v>
      </c>
      <c r="AC384" s="11">
        <v>1</v>
      </c>
      <c r="AD384" s="11" t="s">
        <v>5044</v>
      </c>
      <c r="AE384" s="11" t="s">
        <v>5044</v>
      </c>
      <c r="AF384" s="11" t="s">
        <v>5044</v>
      </c>
      <c r="AG384" s="11">
        <v>2</v>
      </c>
      <c r="AH384" s="11">
        <v>1</v>
      </c>
      <c r="AI384" s="11">
        <v>2</v>
      </c>
      <c r="AJ384" s="11" t="s">
        <v>5044</v>
      </c>
      <c r="AK384" s="11" t="s">
        <v>5318</v>
      </c>
      <c r="AL384" s="11">
        <v>0</v>
      </c>
      <c r="AM384" s="11">
        <v>0</v>
      </c>
      <c r="AN384" s="11" t="s">
        <v>5318</v>
      </c>
      <c r="AO384" s="11" t="s">
        <v>5318</v>
      </c>
      <c r="AP384" s="11" t="s">
        <v>5318</v>
      </c>
      <c r="AQ384" s="11" t="s">
        <v>5318</v>
      </c>
    </row>
    <row r="385" spans="1:43" ht="63" customHeight="1" x14ac:dyDescent="0.2">
      <c r="A385" s="10">
        <v>3941</v>
      </c>
      <c r="B385" s="11" t="s">
        <v>7472</v>
      </c>
      <c r="C385" s="11" t="s">
        <v>1064</v>
      </c>
      <c r="D385" s="11">
        <v>2019</v>
      </c>
      <c r="E385" s="11" t="s">
        <v>5318</v>
      </c>
      <c r="F385" s="11">
        <v>123</v>
      </c>
      <c r="G385" s="11">
        <v>4</v>
      </c>
      <c r="H385" s="11" t="s">
        <v>7103</v>
      </c>
      <c r="I385" s="11" t="s">
        <v>6516</v>
      </c>
      <c r="J385" s="11" t="s">
        <v>7473</v>
      </c>
      <c r="K385" s="11" t="s">
        <v>1065</v>
      </c>
      <c r="L385" s="11" t="s">
        <v>5482</v>
      </c>
      <c r="M385" s="11">
        <v>0</v>
      </c>
      <c r="N385" s="9" t="s">
        <v>5044</v>
      </c>
      <c r="O385" s="9" t="s">
        <v>5044</v>
      </c>
      <c r="P385" s="11">
        <v>0</v>
      </c>
      <c r="Q385" s="11">
        <v>0</v>
      </c>
      <c r="R385" s="11">
        <v>0</v>
      </c>
      <c r="S385" s="11">
        <v>3</v>
      </c>
      <c r="T385" s="11">
        <v>2</v>
      </c>
      <c r="U385" s="11">
        <v>184</v>
      </c>
      <c r="V385" s="11">
        <v>1</v>
      </c>
      <c r="W385" s="11">
        <v>0</v>
      </c>
      <c r="X385" s="11">
        <v>0</v>
      </c>
      <c r="Y385" s="11">
        <v>0</v>
      </c>
      <c r="Z385" s="11">
        <v>0</v>
      </c>
      <c r="AA385" s="11">
        <v>0</v>
      </c>
      <c r="AB385" s="11">
        <v>1</v>
      </c>
      <c r="AC385" s="11">
        <v>1</v>
      </c>
      <c r="AD385" s="11">
        <v>2</v>
      </c>
      <c r="AE385" s="11">
        <v>3</v>
      </c>
      <c r="AF385" s="11">
        <v>0</v>
      </c>
      <c r="AG385" s="11" t="s">
        <v>5044</v>
      </c>
      <c r="AH385" s="11" t="s">
        <v>5044</v>
      </c>
      <c r="AI385" s="11" t="s">
        <v>5044</v>
      </c>
      <c r="AJ385" s="11" t="s">
        <v>5044</v>
      </c>
      <c r="AK385" s="11" t="s">
        <v>5318</v>
      </c>
      <c r="AL385" s="11">
        <v>0</v>
      </c>
      <c r="AM385" s="11">
        <v>0</v>
      </c>
      <c r="AN385" s="11" t="s">
        <v>5318</v>
      </c>
      <c r="AO385" s="11" t="s">
        <v>5318</v>
      </c>
      <c r="AP385" s="11" t="s">
        <v>5318</v>
      </c>
      <c r="AQ385" s="11" t="s">
        <v>5318</v>
      </c>
    </row>
    <row r="386" spans="1:43" ht="63" customHeight="1" x14ac:dyDescent="0.2">
      <c r="A386" s="10">
        <v>3943</v>
      </c>
      <c r="B386" s="11" t="s">
        <v>7474</v>
      </c>
      <c r="C386" s="11" t="s">
        <v>1066</v>
      </c>
      <c r="D386" s="11">
        <v>2015</v>
      </c>
      <c r="E386" s="11" t="s">
        <v>5318</v>
      </c>
      <c r="F386" s="11">
        <v>61</v>
      </c>
      <c r="G386" s="11">
        <v>2</v>
      </c>
      <c r="H386" s="11" t="s">
        <v>7475</v>
      </c>
      <c r="I386" s="11" t="s">
        <v>6516</v>
      </c>
      <c r="J386" s="11" t="s">
        <v>7476</v>
      </c>
      <c r="K386" s="11" t="s">
        <v>1067</v>
      </c>
      <c r="L386" s="11" t="s">
        <v>5483</v>
      </c>
      <c r="M386" s="11">
        <v>0</v>
      </c>
      <c r="N386" s="9" t="s">
        <v>5044</v>
      </c>
      <c r="O386" s="9" t="s">
        <v>5044</v>
      </c>
      <c r="P386" s="11">
        <v>0</v>
      </c>
      <c r="Q386" s="11">
        <v>0</v>
      </c>
      <c r="R386" s="11">
        <v>0</v>
      </c>
      <c r="S386" s="11">
        <v>1</v>
      </c>
      <c r="T386" s="11">
        <v>5</v>
      </c>
      <c r="U386" s="11">
        <v>120</v>
      </c>
      <c r="V386" s="11">
        <v>0</v>
      </c>
      <c r="W386" s="11">
        <v>1</v>
      </c>
      <c r="X386" s="11">
        <v>0</v>
      </c>
      <c r="Y386" s="11">
        <v>0</v>
      </c>
      <c r="Z386" s="11">
        <v>0</v>
      </c>
      <c r="AA386" s="11">
        <v>0</v>
      </c>
      <c r="AB386" s="11">
        <v>1</v>
      </c>
      <c r="AC386" s="11">
        <v>1</v>
      </c>
      <c r="AD386" s="11" t="s">
        <v>5044</v>
      </c>
      <c r="AE386" s="11" t="s">
        <v>5044</v>
      </c>
      <c r="AF386" s="11" t="s">
        <v>5044</v>
      </c>
      <c r="AG386" s="11">
        <v>1</v>
      </c>
      <c r="AH386" s="11">
        <v>0</v>
      </c>
      <c r="AI386" s="11">
        <v>0</v>
      </c>
      <c r="AJ386" s="11" t="s">
        <v>5044</v>
      </c>
      <c r="AK386" s="11" t="s">
        <v>5318</v>
      </c>
      <c r="AL386" s="11">
        <v>0</v>
      </c>
      <c r="AM386" s="11">
        <v>0</v>
      </c>
      <c r="AN386" s="11" t="s">
        <v>5318</v>
      </c>
      <c r="AO386" s="11" t="s">
        <v>5318</v>
      </c>
      <c r="AP386" s="11" t="s">
        <v>5318</v>
      </c>
      <c r="AQ386" s="11" t="s">
        <v>5318</v>
      </c>
    </row>
    <row r="387" spans="1:43" ht="63" customHeight="1" x14ac:dyDescent="0.2">
      <c r="A387" s="10">
        <v>3944</v>
      </c>
      <c r="B387" s="11" t="s">
        <v>7477</v>
      </c>
      <c r="C387" s="11" t="s">
        <v>1068</v>
      </c>
      <c r="D387" s="11">
        <v>2022</v>
      </c>
      <c r="E387" s="11" t="s">
        <v>5318</v>
      </c>
      <c r="F387" s="11">
        <v>275</v>
      </c>
      <c r="G387" s="11">
        <v>2</v>
      </c>
      <c r="H387" s="11" t="s">
        <v>6533</v>
      </c>
      <c r="I387" s="11" t="s">
        <v>6516</v>
      </c>
      <c r="J387" s="11" t="s">
        <v>7478</v>
      </c>
      <c r="K387" s="11" t="s">
        <v>1069</v>
      </c>
      <c r="L387" s="11" t="s">
        <v>5484</v>
      </c>
      <c r="M387" s="11">
        <v>0</v>
      </c>
      <c r="N387" s="9" t="s">
        <v>5044</v>
      </c>
      <c r="O387" s="9" t="s">
        <v>5044</v>
      </c>
      <c r="P387" s="11">
        <v>0</v>
      </c>
      <c r="Q387" s="11">
        <v>0</v>
      </c>
      <c r="R387" s="11">
        <v>0</v>
      </c>
      <c r="S387" s="11">
        <v>1</v>
      </c>
      <c r="T387" s="11">
        <v>1</v>
      </c>
      <c r="U387" s="11">
        <v>94</v>
      </c>
      <c r="V387" s="11">
        <v>0</v>
      </c>
      <c r="W387" s="11">
        <v>1</v>
      </c>
      <c r="X387" s="11">
        <v>0</v>
      </c>
      <c r="Y387" s="11">
        <v>0</v>
      </c>
      <c r="Z387" s="11">
        <v>0</v>
      </c>
      <c r="AA387" s="11">
        <v>0</v>
      </c>
      <c r="AB387" s="11">
        <v>1</v>
      </c>
      <c r="AC387" s="11">
        <v>1</v>
      </c>
      <c r="AD387" s="11" t="s">
        <v>5044</v>
      </c>
      <c r="AE387" s="11" t="s">
        <v>5044</v>
      </c>
      <c r="AF387" s="11" t="s">
        <v>5044</v>
      </c>
      <c r="AG387" s="11">
        <v>1</v>
      </c>
      <c r="AH387" s="11">
        <v>0</v>
      </c>
      <c r="AI387" s="11">
        <v>0</v>
      </c>
      <c r="AJ387" s="11" t="s">
        <v>5044</v>
      </c>
      <c r="AK387" s="11" t="s">
        <v>5318</v>
      </c>
      <c r="AL387" s="11">
        <v>0</v>
      </c>
      <c r="AM387" s="11">
        <v>0</v>
      </c>
      <c r="AN387" s="11" t="s">
        <v>5318</v>
      </c>
      <c r="AO387" s="11" t="s">
        <v>5318</v>
      </c>
      <c r="AP387" s="11" t="s">
        <v>5318</v>
      </c>
      <c r="AQ387" s="11" t="s">
        <v>5318</v>
      </c>
    </row>
    <row r="388" spans="1:43" ht="63" customHeight="1" x14ac:dyDescent="0.2">
      <c r="A388" s="10">
        <v>3945</v>
      </c>
      <c r="B388" s="11" t="s">
        <v>7479</v>
      </c>
      <c r="C388" s="11" t="s">
        <v>1070</v>
      </c>
      <c r="D388" s="11">
        <v>2020</v>
      </c>
      <c r="E388" s="11" t="s">
        <v>5318</v>
      </c>
      <c r="F388" s="11">
        <v>83</v>
      </c>
      <c r="G388" s="11" t="s">
        <v>5318</v>
      </c>
      <c r="H388" s="11" t="s">
        <v>7001</v>
      </c>
      <c r="I388" s="11" t="s">
        <v>6516</v>
      </c>
      <c r="J388" s="11" t="s">
        <v>7480</v>
      </c>
      <c r="K388" s="11" t="s">
        <v>1071</v>
      </c>
      <c r="L388" s="11" t="s">
        <v>5485</v>
      </c>
      <c r="M388" s="11">
        <v>0</v>
      </c>
      <c r="N388" s="9" t="s">
        <v>5044</v>
      </c>
      <c r="O388" s="9" t="s">
        <v>5044</v>
      </c>
      <c r="P388" s="11">
        <v>0</v>
      </c>
      <c r="Q388" s="11">
        <v>0</v>
      </c>
      <c r="R388" s="11">
        <v>0</v>
      </c>
      <c r="S388" s="11">
        <v>1</v>
      </c>
      <c r="T388" s="11">
        <v>1</v>
      </c>
      <c r="U388" s="11">
        <v>68</v>
      </c>
      <c r="V388" s="11">
        <v>0</v>
      </c>
      <c r="W388" s="11">
        <v>1</v>
      </c>
      <c r="X388" s="11">
        <v>0</v>
      </c>
      <c r="Y388" s="11">
        <v>0</v>
      </c>
      <c r="Z388" s="11">
        <v>0</v>
      </c>
      <c r="AA388" s="11">
        <v>0</v>
      </c>
      <c r="AB388" s="11">
        <v>1</v>
      </c>
      <c r="AC388" s="11">
        <v>1</v>
      </c>
      <c r="AD388" s="11" t="s">
        <v>5044</v>
      </c>
      <c r="AE388" s="11" t="s">
        <v>5044</v>
      </c>
      <c r="AF388" s="11" t="s">
        <v>5044</v>
      </c>
      <c r="AG388" s="11">
        <v>1</v>
      </c>
      <c r="AH388" s="11">
        <v>0</v>
      </c>
      <c r="AI388" s="11">
        <v>0</v>
      </c>
      <c r="AJ388" s="11" t="s">
        <v>5044</v>
      </c>
      <c r="AK388" s="11" t="s">
        <v>5318</v>
      </c>
      <c r="AL388" s="11">
        <v>0</v>
      </c>
      <c r="AM388" s="11">
        <v>0</v>
      </c>
      <c r="AN388" s="11" t="s">
        <v>5318</v>
      </c>
      <c r="AO388" s="11" t="s">
        <v>5318</v>
      </c>
      <c r="AP388" s="11" t="s">
        <v>5318</v>
      </c>
      <c r="AQ388" s="11" t="s">
        <v>5318</v>
      </c>
    </row>
    <row r="389" spans="1:43" ht="63" customHeight="1" x14ac:dyDescent="0.2">
      <c r="A389" s="10">
        <v>3949</v>
      </c>
      <c r="B389" s="11" t="s">
        <v>7481</v>
      </c>
      <c r="C389" s="11" t="s">
        <v>1072</v>
      </c>
      <c r="D389" s="11">
        <v>2020</v>
      </c>
      <c r="E389" s="11" t="s">
        <v>5318</v>
      </c>
      <c r="F389" s="11">
        <v>30</v>
      </c>
      <c r="G389" s="11">
        <v>11</v>
      </c>
      <c r="H389" s="11" t="s">
        <v>6482</v>
      </c>
      <c r="I389" s="11" t="s">
        <v>6516</v>
      </c>
      <c r="J389" s="11" t="s">
        <v>7482</v>
      </c>
      <c r="K389" s="11" t="s">
        <v>1073</v>
      </c>
      <c r="L389" s="11" t="s">
        <v>5044</v>
      </c>
      <c r="M389" s="11">
        <v>0</v>
      </c>
      <c r="N389" s="9" t="s">
        <v>5044</v>
      </c>
      <c r="O389" s="9" t="s">
        <v>5044</v>
      </c>
      <c r="P389" s="11">
        <v>0</v>
      </c>
      <c r="Q389" s="11">
        <v>0</v>
      </c>
      <c r="R389" s="11">
        <v>0</v>
      </c>
      <c r="S389" s="11">
        <v>1</v>
      </c>
      <c r="T389" s="11">
        <v>1</v>
      </c>
      <c r="U389" s="11">
        <v>190</v>
      </c>
      <c r="V389" s="11">
        <v>0</v>
      </c>
      <c r="W389" s="11">
        <v>1</v>
      </c>
      <c r="X389" s="11">
        <v>0</v>
      </c>
      <c r="Y389" s="11">
        <v>0</v>
      </c>
      <c r="Z389" s="11">
        <v>0</v>
      </c>
      <c r="AA389" s="11">
        <v>0</v>
      </c>
      <c r="AB389" s="11">
        <v>1</v>
      </c>
      <c r="AC389" s="11">
        <v>1</v>
      </c>
      <c r="AD389" s="11" t="s">
        <v>5044</v>
      </c>
      <c r="AE389" s="11" t="s">
        <v>5044</v>
      </c>
      <c r="AF389" s="11" t="s">
        <v>5044</v>
      </c>
      <c r="AG389" s="11">
        <v>2</v>
      </c>
      <c r="AH389" s="11">
        <v>3</v>
      </c>
      <c r="AI389" s="11">
        <v>0</v>
      </c>
      <c r="AJ389" s="11" t="s">
        <v>5044</v>
      </c>
      <c r="AK389" s="11" t="s">
        <v>5318</v>
      </c>
      <c r="AL389" s="11">
        <v>1</v>
      </c>
      <c r="AM389" s="11">
        <v>0</v>
      </c>
      <c r="AN389" s="11" t="s">
        <v>5318</v>
      </c>
      <c r="AO389" s="11" t="s">
        <v>5318</v>
      </c>
      <c r="AP389" s="11" t="s">
        <v>5318</v>
      </c>
      <c r="AQ389" s="11" t="s">
        <v>5318</v>
      </c>
    </row>
    <row r="390" spans="1:43" ht="63" customHeight="1" x14ac:dyDescent="0.2">
      <c r="A390" s="10">
        <v>3950</v>
      </c>
      <c r="B390" s="11" t="s">
        <v>7483</v>
      </c>
      <c r="C390" s="11" t="s">
        <v>1074</v>
      </c>
      <c r="D390" s="11">
        <v>2021</v>
      </c>
      <c r="E390" s="11" t="s">
        <v>5318</v>
      </c>
      <c r="F390" s="11">
        <v>35</v>
      </c>
      <c r="G390" s="11">
        <v>7</v>
      </c>
      <c r="H390" s="11" t="s">
        <v>6624</v>
      </c>
      <c r="I390" s="11" t="s">
        <v>6516</v>
      </c>
      <c r="J390" s="11" t="s">
        <v>7484</v>
      </c>
      <c r="K390" s="11" t="s">
        <v>1075</v>
      </c>
      <c r="L390" s="11" t="s">
        <v>5486</v>
      </c>
      <c r="M390" s="11">
        <v>0</v>
      </c>
      <c r="N390" s="9" t="s">
        <v>5044</v>
      </c>
      <c r="O390" s="9" t="s">
        <v>5044</v>
      </c>
      <c r="P390" s="11">
        <v>0</v>
      </c>
      <c r="Q390" s="11">
        <v>0</v>
      </c>
      <c r="R390" s="11">
        <v>0</v>
      </c>
      <c r="S390" s="11">
        <v>1</v>
      </c>
      <c r="T390" s="11">
        <v>1</v>
      </c>
      <c r="U390" s="11">
        <v>150</v>
      </c>
      <c r="V390" s="11">
        <v>0</v>
      </c>
      <c r="W390" s="11">
        <v>1</v>
      </c>
      <c r="X390" s="11">
        <v>0</v>
      </c>
      <c r="Y390" s="11">
        <v>0</v>
      </c>
      <c r="Z390" s="11">
        <v>0</v>
      </c>
      <c r="AA390" s="11">
        <v>0</v>
      </c>
      <c r="AB390" s="11">
        <v>1</v>
      </c>
      <c r="AC390" s="11">
        <v>0</v>
      </c>
      <c r="AD390" s="11" t="s">
        <v>5044</v>
      </c>
      <c r="AE390" s="11" t="s">
        <v>5044</v>
      </c>
      <c r="AF390" s="11" t="s">
        <v>5044</v>
      </c>
      <c r="AG390" s="11">
        <v>0</v>
      </c>
      <c r="AH390" s="11" t="s">
        <v>5044</v>
      </c>
      <c r="AI390" s="11" t="s">
        <v>5044</v>
      </c>
      <c r="AJ390" s="11" t="s">
        <v>5044</v>
      </c>
      <c r="AK390" s="11" t="s">
        <v>5318</v>
      </c>
      <c r="AL390" s="11">
        <v>1</v>
      </c>
      <c r="AM390" s="11">
        <v>0</v>
      </c>
      <c r="AN390" s="11" t="s">
        <v>5318</v>
      </c>
      <c r="AO390" s="11" t="s">
        <v>5318</v>
      </c>
      <c r="AP390" s="11" t="s">
        <v>5318</v>
      </c>
      <c r="AQ390" s="11" t="s">
        <v>5318</v>
      </c>
    </row>
    <row r="391" spans="1:43" ht="63" customHeight="1" x14ac:dyDescent="0.2">
      <c r="A391" s="10">
        <v>3951</v>
      </c>
      <c r="B391" s="11" t="s">
        <v>7485</v>
      </c>
      <c r="C391" s="11" t="s">
        <v>1076</v>
      </c>
      <c r="D391" s="11">
        <v>2022</v>
      </c>
      <c r="E391" s="11" t="s">
        <v>5318</v>
      </c>
      <c r="F391" s="11">
        <v>26</v>
      </c>
      <c r="G391" s="11">
        <v>2</v>
      </c>
      <c r="H391" s="11" t="s">
        <v>7486</v>
      </c>
      <c r="I391" s="11" t="s">
        <v>6516</v>
      </c>
      <c r="J391" s="11" t="s">
        <v>7487</v>
      </c>
      <c r="K391" s="11" t="s">
        <v>1078</v>
      </c>
      <c r="L391" s="11" t="s">
        <v>5487</v>
      </c>
      <c r="M391" s="11">
        <v>0</v>
      </c>
      <c r="N391" s="9" t="s">
        <v>5044</v>
      </c>
      <c r="O391" s="9" t="s">
        <v>5044</v>
      </c>
      <c r="P391" s="11">
        <v>0</v>
      </c>
      <c r="Q391" s="11">
        <v>0</v>
      </c>
      <c r="R391" s="11">
        <v>0</v>
      </c>
      <c r="S391" s="11">
        <v>1</v>
      </c>
      <c r="T391" s="11">
        <v>1</v>
      </c>
      <c r="U391" s="11">
        <v>110</v>
      </c>
      <c r="V391" s="11">
        <v>0</v>
      </c>
      <c r="W391" s="11">
        <v>1</v>
      </c>
      <c r="X391" s="11">
        <v>0</v>
      </c>
      <c r="Y391" s="11">
        <v>0</v>
      </c>
      <c r="Z391" s="11">
        <v>0</v>
      </c>
      <c r="AA391" s="11">
        <v>0</v>
      </c>
      <c r="AB391" s="11">
        <v>0</v>
      </c>
      <c r="AC391" s="11">
        <v>1</v>
      </c>
      <c r="AD391" s="11" t="s">
        <v>5044</v>
      </c>
      <c r="AE391" s="11" t="s">
        <v>5044</v>
      </c>
      <c r="AF391" s="11" t="s">
        <v>5044</v>
      </c>
      <c r="AG391" s="11">
        <v>2</v>
      </c>
      <c r="AH391" s="11">
        <v>3</v>
      </c>
      <c r="AI391" s="11">
        <v>0</v>
      </c>
      <c r="AJ391" s="11" t="s">
        <v>5044</v>
      </c>
      <c r="AK391" s="11" t="s">
        <v>5318</v>
      </c>
      <c r="AL391" s="11">
        <v>1</v>
      </c>
      <c r="AM391" s="11">
        <v>0</v>
      </c>
      <c r="AN391" s="11" t="s">
        <v>5318</v>
      </c>
      <c r="AO391" s="11" t="s">
        <v>5318</v>
      </c>
      <c r="AP391" s="11" t="s">
        <v>5318</v>
      </c>
      <c r="AQ391" s="11" t="s">
        <v>5318</v>
      </c>
    </row>
    <row r="392" spans="1:43" ht="63" customHeight="1" x14ac:dyDescent="0.2">
      <c r="A392" s="10">
        <v>3953</v>
      </c>
      <c r="B392" s="11" t="s">
        <v>7488</v>
      </c>
      <c r="C392" s="11" t="s">
        <v>1079</v>
      </c>
      <c r="D392" s="11">
        <v>2020</v>
      </c>
      <c r="E392" s="11" t="s">
        <v>5318</v>
      </c>
      <c r="F392" s="11">
        <v>24</v>
      </c>
      <c r="G392" s="11">
        <v>1</v>
      </c>
      <c r="H392" s="11" t="s">
        <v>7486</v>
      </c>
      <c r="I392" s="11" t="s">
        <v>6516</v>
      </c>
      <c r="J392" s="11" t="s">
        <v>7489</v>
      </c>
      <c r="K392" s="11" t="s">
        <v>1080</v>
      </c>
      <c r="L392" s="11" t="s">
        <v>5044</v>
      </c>
      <c r="M392" s="11">
        <v>0</v>
      </c>
      <c r="N392" s="9" t="s">
        <v>5044</v>
      </c>
      <c r="O392" s="9" t="s">
        <v>5044</v>
      </c>
      <c r="P392" s="11">
        <v>0</v>
      </c>
      <c r="Q392" s="11">
        <v>0</v>
      </c>
      <c r="R392" s="11">
        <v>0</v>
      </c>
      <c r="S392" s="11">
        <v>1</v>
      </c>
      <c r="T392" s="11">
        <v>1</v>
      </c>
      <c r="U392" s="11">
        <v>100</v>
      </c>
      <c r="V392" s="11">
        <v>0</v>
      </c>
      <c r="W392" s="11">
        <v>1</v>
      </c>
      <c r="X392" s="11">
        <v>0</v>
      </c>
      <c r="Y392" s="11">
        <v>0</v>
      </c>
      <c r="Z392" s="11">
        <v>0</v>
      </c>
      <c r="AA392" s="11">
        <v>0</v>
      </c>
      <c r="AB392" s="11">
        <v>1</v>
      </c>
      <c r="AC392" s="11">
        <v>0</v>
      </c>
      <c r="AD392" s="11" t="s">
        <v>5044</v>
      </c>
      <c r="AE392" s="11" t="s">
        <v>5044</v>
      </c>
      <c r="AF392" s="11" t="s">
        <v>5044</v>
      </c>
      <c r="AG392" s="11">
        <v>0</v>
      </c>
      <c r="AH392" s="11" t="s">
        <v>5044</v>
      </c>
      <c r="AI392" s="11" t="s">
        <v>5044</v>
      </c>
      <c r="AJ392" s="11" t="s">
        <v>5044</v>
      </c>
      <c r="AK392" s="11" t="s">
        <v>5318</v>
      </c>
      <c r="AL392" s="11">
        <v>1</v>
      </c>
      <c r="AM392" s="11">
        <v>0</v>
      </c>
      <c r="AN392" s="11" t="s">
        <v>5318</v>
      </c>
      <c r="AO392" s="11" t="s">
        <v>5318</v>
      </c>
      <c r="AP392" s="11" t="s">
        <v>5318</v>
      </c>
      <c r="AQ392" s="11" t="s">
        <v>5318</v>
      </c>
    </row>
    <row r="393" spans="1:43" ht="63" customHeight="1" x14ac:dyDescent="0.2">
      <c r="A393" s="10">
        <v>3960</v>
      </c>
      <c r="B393" s="11" t="s">
        <v>7490</v>
      </c>
      <c r="C393" s="11" t="s">
        <v>1081</v>
      </c>
      <c r="D393" s="11">
        <v>2022</v>
      </c>
      <c r="E393" s="11" t="s">
        <v>5318</v>
      </c>
      <c r="F393" s="11">
        <v>77</v>
      </c>
      <c r="G393" s="11">
        <v>4</v>
      </c>
      <c r="H393" s="11" t="s">
        <v>7491</v>
      </c>
      <c r="I393" s="11" t="s">
        <v>6516</v>
      </c>
      <c r="J393" s="11" t="s">
        <v>7492</v>
      </c>
      <c r="K393" s="11" t="s">
        <v>1084</v>
      </c>
      <c r="L393" s="11" t="s">
        <v>5044</v>
      </c>
      <c r="M393" s="11">
        <v>0</v>
      </c>
      <c r="N393" s="9" t="s">
        <v>5044</v>
      </c>
      <c r="O393" s="9" t="s">
        <v>5044</v>
      </c>
      <c r="P393" s="11">
        <v>1</v>
      </c>
      <c r="Q393" s="11">
        <v>0</v>
      </c>
      <c r="R393" s="11">
        <v>0</v>
      </c>
      <c r="S393" s="11">
        <v>9</v>
      </c>
      <c r="T393" s="11">
        <v>5</v>
      </c>
      <c r="U393" s="11">
        <v>51</v>
      </c>
      <c r="V393" s="11">
        <v>0</v>
      </c>
      <c r="W393" s="11">
        <v>1</v>
      </c>
      <c r="X393" s="11">
        <v>0</v>
      </c>
      <c r="Y393" s="11">
        <v>0</v>
      </c>
      <c r="Z393" s="11">
        <v>0</v>
      </c>
      <c r="AA393" s="11">
        <v>0</v>
      </c>
      <c r="AB393" s="11">
        <v>1</v>
      </c>
      <c r="AC393" s="11">
        <v>1</v>
      </c>
      <c r="AD393" s="11" t="s">
        <v>5044</v>
      </c>
      <c r="AE393" s="11" t="s">
        <v>5044</v>
      </c>
      <c r="AF393" s="11" t="s">
        <v>5044</v>
      </c>
      <c r="AG393" s="11">
        <v>1</v>
      </c>
      <c r="AH393" s="11">
        <v>0</v>
      </c>
      <c r="AI393" s="11">
        <v>0</v>
      </c>
      <c r="AJ393" s="11" t="s">
        <v>5044</v>
      </c>
      <c r="AK393" s="11" t="s">
        <v>5318</v>
      </c>
      <c r="AL393" s="11" t="s">
        <v>5044</v>
      </c>
      <c r="AM393" s="11">
        <v>0</v>
      </c>
      <c r="AN393" s="11" t="s">
        <v>5318</v>
      </c>
      <c r="AO393" s="11" t="s">
        <v>5318</v>
      </c>
      <c r="AP393" s="11" t="s">
        <v>5318</v>
      </c>
      <c r="AQ393" s="11" t="s">
        <v>5318</v>
      </c>
    </row>
    <row r="394" spans="1:43" ht="63" customHeight="1" x14ac:dyDescent="0.2">
      <c r="A394" s="10">
        <v>3965</v>
      </c>
      <c r="B394" s="11" t="s">
        <v>7493</v>
      </c>
      <c r="C394" s="11" t="s">
        <v>1085</v>
      </c>
      <c r="D394" s="11">
        <v>2022</v>
      </c>
      <c r="E394" s="11" t="s">
        <v>5318</v>
      </c>
      <c r="F394" s="11">
        <v>17</v>
      </c>
      <c r="G394" s="11" t="s">
        <v>7494</v>
      </c>
      <c r="H394" s="11" t="s">
        <v>6772</v>
      </c>
      <c r="I394" s="11" t="s">
        <v>6516</v>
      </c>
      <c r="J394" s="11" t="s">
        <v>7495</v>
      </c>
      <c r="K394" s="11" t="s">
        <v>1086</v>
      </c>
      <c r="L394" s="11" t="s">
        <v>5489</v>
      </c>
      <c r="M394" s="11">
        <v>1</v>
      </c>
      <c r="N394" s="11">
        <v>0</v>
      </c>
      <c r="O394" s="9" t="s">
        <v>5044</v>
      </c>
      <c r="P394" s="11">
        <v>0</v>
      </c>
      <c r="Q394" s="11">
        <v>0</v>
      </c>
      <c r="R394" s="11">
        <v>0</v>
      </c>
      <c r="S394" s="11" t="s">
        <v>5488</v>
      </c>
      <c r="T394" s="11">
        <v>1</v>
      </c>
      <c r="U394" s="11">
        <v>2400</v>
      </c>
      <c r="V394" s="11">
        <v>0</v>
      </c>
      <c r="W394" s="11">
        <v>1</v>
      </c>
      <c r="X394" s="11">
        <v>0</v>
      </c>
      <c r="Y394" s="11">
        <v>0</v>
      </c>
      <c r="Z394" s="11">
        <v>0</v>
      </c>
      <c r="AA394" s="11">
        <v>0</v>
      </c>
      <c r="AB394" s="11">
        <v>1</v>
      </c>
      <c r="AC394" s="11" t="s">
        <v>5044</v>
      </c>
      <c r="AD394" s="11" t="s">
        <v>5044</v>
      </c>
      <c r="AE394" s="11" t="s">
        <v>5044</v>
      </c>
      <c r="AF394" s="11" t="s">
        <v>5044</v>
      </c>
      <c r="AG394" s="11" t="s">
        <v>5044</v>
      </c>
      <c r="AH394" s="11" t="s">
        <v>5044</v>
      </c>
      <c r="AI394" s="11" t="s">
        <v>5044</v>
      </c>
      <c r="AJ394" s="11" t="s">
        <v>5044</v>
      </c>
      <c r="AK394" s="11" t="s">
        <v>5318</v>
      </c>
      <c r="AL394" s="11" t="s">
        <v>5044</v>
      </c>
      <c r="AM394" s="11">
        <v>0</v>
      </c>
      <c r="AN394" s="11" t="s">
        <v>5318</v>
      </c>
      <c r="AO394" s="11" t="s">
        <v>5318</v>
      </c>
      <c r="AP394" s="11" t="s">
        <v>5318</v>
      </c>
      <c r="AQ394" s="11" t="s">
        <v>5318</v>
      </c>
    </row>
    <row r="395" spans="1:43" ht="63" customHeight="1" x14ac:dyDescent="0.2">
      <c r="A395" s="10">
        <v>3986</v>
      </c>
      <c r="B395" s="11" t="s">
        <v>7496</v>
      </c>
      <c r="C395" s="11" t="s">
        <v>1087</v>
      </c>
      <c r="D395" s="11">
        <v>2013</v>
      </c>
      <c r="E395" s="11" t="s">
        <v>5318</v>
      </c>
      <c r="F395" s="11">
        <v>13</v>
      </c>
      <c r="G395" s="11" t="s">
        <v>5318</v>
      </c>
      <c r="H395" s="11" t="s">
        <v>6595</v>
      </c>
      <c r="I395" s="11" t="s">
        <v>6516</v>
      </c>
      <c r="J395" s="11" t="s">
        <v>7497</v>
      </c>
      <c r="K395" s="11" t="s">
        <v>1088</v>
      </c>
      <c r="L395" s="11" t="s">
        <v>5490</v>
      </c>
      <c r="M395" s="11">
        <v>1</v>
      </c>
      <c r="N395" s="11">
        <v>0</v>
      </c>
      <c r="O395" s="9" t="s">
        <v>5044</v>
      </c>
      <c r="P395" s="11">
        <v>0</v>
      </c>
      <c r="Q395" s="11">
        <v>0</v>
      </c>
      <c r="R395" s="11">
        <v>0</v>
      </c>
      <c r="S395" s="11">
        <v>1</v>
      </c>
      <c r="T395" s="11">
        <v>1</v>
      </c>
      <c r="U395" s="11">
        <v>314</v>
      </c>
      <c r="V395" s="11">
        <v>0</v>
      </c>
      <c r="W395" s="11">
        <v>1</v>
      </c>
      <c r="X395" s="11">
        <v>0</v>
      </c>
      <c r="Y395" s="11">
        <v>0</v>
      </c>
      <c r="Z395" s="11">
        <v>0</v>
      </c>
      <c r="AA395" s="11">
        <v>0</v>
      </c>
      <c r="AB395" s="11">
        <v>1</v>
      </c>
      <c r="AC395" s="11" t="s">
        <v>5044</v>
      </c>
      <c r="AD395" s="11" t="s">
        <v>5044</v>
      </c>
      <c r="AE395" s="11" t="s">
        <v>5044</v>
      </c>
      <c r="AF395" s="11" t="s">
        <v>5044</v>
      </c>
      <c r="AG395" s="11" t="s">
        <v>5044</v>
      </c>
      <c r="AH395" s="11" t="s">
        <v>5044</v>
      </c>
      <c r="AI395" s="11" t="s">
        <v>5044</v>
      </c>
      <c r="AJ395" s="11" t="s">
        <v>5044</v>
      </c>
      <c r="AK395" s="11" t="s">
        <v>5318</v>
      </c>
      <c r="AL395" s="11" t="s">
        <v>5044</v>
      </c>
      <c r="AM395" s="11">
        <v>0</v>
      </c>
      <c r="AN395" s="11" t="s">
        <v>5318</v>
      </c>
      <c r="AO395" s="11" t="s">
        <v>5318</v>
      </c>
      <c r="AP395" s="11" t="s">
        <v>5318</v>
      </c>
      <c r="AQ395" s="11" t="s">
        <v>5318</v>
      </c>
    </row>
    <row r="396" spans="1:43" ht="63" customHeight="1" x14ac:dyDescent="0.2">
      <c r="A396" s="10">
        <v>3995</v>
      </c>
      <c r="B396" s="11" t="s">
        <v>7498</v>
      </c>
      <c r="C396" s="11" t="s">
        <v>1089</v>
      </c>
      <c r="D396" s="11">
        <v>2020</v>
      </c>
      <c r="E396" s="11" t="s">
        <v>5318</v>
      </c>
      <c r="F396" s="11">
        <v>24</v>
      </c>
      <c r="G396" s="11">
        <v>61</v>
      </c>
      <c r="H396" s="11" t="s">
        <v>6708</v>
      </c>
      <c r="I396" s="11" t="s">
        <v>6516</v>
      </c>
      <c r="J396" s="11" t="s">
        <v>7499</v>
      </c>
      <c r="K396" s="11" t="s">
        <v>1090</v>
      </c>
      <c r="L396" s="11" t="s">
        <v>5491</v>
      </c>
      <c r="M396" s="11">
        <v>0</v>
      </c>
      <c r="N396" s="9" t="s">
        <v>5044</v>
      </c>
      <c r="O396" s="9" t="s">
        <v>5044</v>
      </c>
      <c r="P396" s="11">
        <v>0</v>
      </c>
      <c r="Q396" s="11">
        <v>0</v>
      </c>
      <c r="R396" s="11">
        <v>0</v>
      </c>
      <c r="S396" s="11">
        <v>3</v>
      </c>
      <c r="T396" s="11">
        <v>1</v>
      </c>
      <c r="U396" s="11">
        <v>202</v>
      </c>
      <c r="V396" s="11">
        <v>0</v>
      </c>
      <c r="W396" s="11">
        <v>1</v>
      </c>
      <c r="X396" s="11">
        <v>0</v>
      </c>
      <c r="Y396" s="11">
        <v>0</v>
      </c>
      <c r="Z396" s="11">
        <v>0</v>
      </c>
      <c r="AA396" s="11">
        <v>0</v>
      </c>
      <c r="AB396" s="11">
        <v>1</v>
      </c>
      <c r="AC396" s="11">
        <v>1</v>
      </c>
      <c r="AD396" s="11" t="s">
        <v>5044</v>
      </c>
      <c r="AE396" s="11" t="s">
        <v>5044</v>
      </c>
      <c r="AF396" s="11" t="s">
        <v>5044</v>
      </c>
      <c r="AG396" s="11">
        <v>2</v>
      </c>
      <c r="AH396" s="11">
        <v>3</v>
      </c>
      <c r="AI396" s="11">
        <v>0</v>
      </c>
      <c r="AJ396" s="11" t="s">
        <v>5044</v>
      </c>
      <c r="AK396" s="11" t="s">
        <v>5318</v>
      </c>
      <c r="AL396" s="11">
        <v>0</v>
      </c>
      <c r="AM396" s="11">
        <v>0</v>
      </c>
      <c r="AN396" s="11" t="s">
        <v>5318</v>
      </c>
      <c r="AO396" s="11" t="s">
        <v>5318</v>
      </c>
      <c r="AP396" s="11" t="s">
        <v>5318</v>
      </c>
      <c r="AQ396" s="11" t="s">
        <v>5318</v>
      </c>
    </row>
    <row r="397" spans="1:43" ht="63" customHeight="1" x14ac:dyDescent="0.2">
      <c r="A397" s="10">
        <v>4026</v>
      </c>
      <c r="B397" s="11" t="s">
        <v>7500</v>
      </c>
      <c r="C397" s="11" t="s">
        <v>1091</v>
      </c>
      <c r="D397" s="11">
        <v>2006</v>
      </c>
      <c r="E397" s="11" t="s">
        <v>5318</v>
      </c>
      <c r="F397" s="11">
        <v>244</v>
      </c>
      <c r="G397" s="11">
        <v>6</v>
      </c>
      <c r="H397" s="11" t="s">
        <v>6533</v>
      </c>
      <c r="I397" s="11" t="s">
        <v>6516</v>
      </c>
      <c r="J397" s="11" t="s">
        <v>7501</v>
      </c>
      <c r="K397" s="11" t="s">
        <v>1093</v>
      </c>
      <c r="L397" s="11" t="s">
        <v>5044</v>
      </c>
      <c r="M397" s="11">
        <v>0</v>
      </c>
      <c r="N397" s="9" t="s">
        <v>5044</v>
      </c>
      <c r="O397" s="9" t="s">
        <v>5044</v>
      </c>
      <c r="P397" s="11">
        <v>0</v>
      </c>
      <c r="Q397" s="11">
        <v>0</v>
      </c>
      <c r="R397" s="11">
        <v>0</v>
      </c>
      <c r="S397" s="11">
        <v>1</v>
      </c>
      <c r="T397" s="11">
        <v>1</v>
      </c>
      <c r="U397" s="11">
        <v>73</v>
      </c>
      <c r="V397" s="11">
        <v>0</v>
      </c>
      <c r="W397" s="11">
        <v>1</v>
      </c>
      <c r="X397" s="11">
        <v>0</v>
      </c>
      <c r="Y397" s="11">
        <v>0</v>
      </c>
      <c r="Z397" s="11">
        <v>0</v>
      </c>
      <c r="AA397" s="11">
        <v>0</v>
      </c>
      <c r="AB397" s="11">
        <v>1</v>
      </c>
      <c r="AC397" s="11">
        <v>1</v>
      </c>
      <c r="AD397" s="11" t="s">
        <v>5044</v>
      </c>
      <c r="AE397" s="11" t="s">
        <v>5044</v>
      </c>
      <c r="AF397" s="11" t="s">
        <v>5044</v>
      </c>
      <c r="AG397" s="11">
        <v>2</v>
      </c>
      <c r="AH397" s="11">
        <v>2</v>
      </c>
      <c r="AI397" s="11">
        <v>2</v>
      </c>
      <c r="AJ397" s="11" t="s">
        <v>5044</v>
      </c>
      <c r="AK397" s="11" t="s">
        <v>5318</v>
      </c>
      <c r="AL397" s="11">
        <v>0</v>
      </c>
      <c r="AM397" s="11">
        <v>0</v>
      </c>
      <c r="AN397" s="11" t="s">
        <v>5318</v>
      </c>
      <c r="AO397" s="11" t="s">
        <v>5318</v>
      </c>
      <c r="AP397" s="11" t="s">
        <v>5318</v>
      </c>
      <c r="AQ397" s="11" t="s">
        <v>5318</v>
      </c>
    </row>
    <row r="398" spans="1:43" ht="63" customHeight="1" x14ac:dyDescent="0.2">
      <c r="A398" s="10">
        <v>4028</v>
      </c>
      <c r="B398" s="11" t="s">
        <v>7502</v>
      </c>
      <c r="C398" s="11" t="s">
        <v>1094</v>
      </c>
      <c r="D398" s="11">
        <v>2010</v>
      </c>
      <c r="E398" s="11" t="s">
        <v>5318</v>
      </c>
      <c r="F398" s="11">
        <v>252</v>
      </c>
      <c r="G398" s="11">
        <v>5</v>
      </c>
      <c r="H398" s="11" t="s">
        <v>6533</v>
      </c>
      <c r="I398" s="11" t="s">
        <v>6878</v>
      </c>
      <c r="J398" s="11" t="s">
        <v>7503</v>
      </c>
      <c r="K398" s="11" t="s">
        <v>1096</v>
      </c>
      <c r="L398" s="11" t="s">
        <v>5044</v>
      </c>
      <c r="M398" s="11">
        <v>0</v>
      </c>
      <c r="N398" s="9" t="s">
        <v>5044</v>
      </c>
      <c r="O398" s="9" t="s">
        <v>5044</v>
      </c>
      <c r="P398" s="11">
        <v>0</v>
      </c>
      <c r="Q398" s="11">
        <v>0</v>
      </c>
      <c r="R398" s="11">
        <v>0</v>
      </c>
      <c r="S398" s="11">
        <v>1</v>
      </c>
      <c r="T398" s="11">
        <v>1</v>
      </c>
      <c r="U398" s="11">
        <v>115</v>
      </c>
      <c r="V398" s="11">
        <v>0</v>
      </c>
      <c r="W398" s="11">
        <v>1</v>
      </c>
      <c r="X398" s="11">
        <v>0</v>
      </c>
      <c r="Y398" s="11">
        <v>0</v>
      </c>
      <c r="Z398" s="11">
        <v>0</v>
      </c>
      <c r="AA398" s="11">
        <v>0</v>
      </c>
      <c r="AB398" s="11">
        <v>1</v>
      </c>
      <c r="AC398" s="11">
        <v>1</v>
      </c>
      <c r="AD398" s="11" t="s">
        <v>5044</v>
      </c>
      <c r="AE398" s="11" t="s">
        <v>5044</v>
      </c>
      <c r="AF398" s="11" t="s">
        <v>5044</v>
      </c>
      <c r="AG398" s="11">
        <v>1</v>
      </c>
      <c r="AH398" s="11">
        <v>0</v>
      </c>
      <c r="AI398" s="11">
        <v>0</v>
      </c>
      <c r="AJ398" s="11" t="s">
        <v>5044</v>
      </c>
      <c r="AK398" s="11" t="s">
        <v>5318</v>
      </c>
      <c r="AL398" s="11">
        <v>1</v>
      </c>
      <c r="AM398" s="11">
        <v>0</v>
      </c>
      <c r="AN398" s="11" t="s">
        <v>5318</v>
      </c>
      <c r="AO398" s="11" t="s">
        <v>5318</v>
      </c>
      <c r="AP398" s="11" t="s">
        <v>5318</v>
      </c>
      <c r="AQ398" s="11" t="s">
        <v>5318</v>
      </c>
    </row>
    <row r="399" spans="1:43" ht="63" customHeight="1" x14ac:dyDescent="0.2">
      <c r="A399" s="10">
        <v>4042</v>
      </c>
      <c r="B399" s="11" t="s">
        <v>7504</v>
      </c>
      <c r="C399" s="11" t="s">
        <v>1097</v>
      </c>
      <c r="D399" s="11">
        <v>2018</v>
      </c>
      <c r="E399" s="11" t="s">
        <v>5318</v>
      </c>
      <c r="F399" s="11">
        <v>3</v>
      </c>
      <c r="G399" s="11">
        <v>4</v>
      </c>
      <c r="H399" s="11" t="s">
        <v>6807</v>
      </c>
      <c r="I399" s="11" t="s">
        <v>6516</v>
      </c>
      <c r="J399" s="11" t="s">
        <v>7505</v>
      </c>
      <c r="K399" s="11" t="s">
        <v>1098</v>
      </c>
      <c r="L399" s="11" t="s">
        <v>5492</v>
      </c>
      <c r="M399" s="11">
        <v>0</v>
      </c>
      <c r="N399" s="9" t="s">
        <v>5044</v>
      </c>
      <c r="O399" s="9" t="s">
        <v>5044</v>
      </c>
      <c r="P399" s="11">
        <v>0</v>
      </c>
      <c r="Q399" s="11">
        <v>0</v>
      </c>
      <c r="R399" s="11">
        <v>0</v>
      </c>
      <c r="S399" s="11">
        <v>1</v>
      </c>
      <c r="T399" s="11">
        <v>1</v>
      </c>
      <c r="U399" s="11">
        <v>280</v>
      </c>
      <c r="V399" s="11">
        <v>0</v>
      </c>
      <c r="W399" s="11">
        <v>1</v>
      </c>
      <c r="X399" s="11">
        <v>0</v>
      </c>
      <c r="Y399" s="11">
        <v>0</v>
      </c>
      <c r="Z399" s="11">
        <v>0</v>
      </c>
      <c r="AA399" s="11">
        <v>0</v>
      </c>
      <c r="AB399" s="11">
        <v>1</v>
      </c>
      <c r="AC399" s="11">
        <v>1</v>
      </c>
      <c r="AD399" s="11" t="s">
        <v>5044</v>
      </c>
      <c r="AE399" s="11" t="s">
        <v>5044</v>
      </c>
      <c r="AF399" s="11" t="s">
        <v>5044</v>
      </c>
      <c r="AG399" s="11">
        <v>1</v>
      </c>
      <c r="AH399" s="11">
        <v>0</v>
      </c>
      <c r="AI399" s="11">
        <v>0</v>
      </c>
      <c r="AJ399" s="11" t="s">
        <v>5044</v>
      </c>
      <c r="AK399" s="11" t="s">
        <v>5318</v>
      </c>
      <c r="AL399" s="11">
        <v>0</v>
      </c>
      <c r="AM399" s="11">
        <v>0</v>
      </c>
      <c r="AN399" s="11" t="s">
        <v>5318</v>
      </c>
      <c r="AO399" s="11" t="s">
        <v>5318</v>
      </c>
      <c r="AP399" s="11" t="s">
        <v>5318</v>
      </c>
      <c r="AQ399" s="11" t="s">
        <v>5318</v>
      </c>
    </row>
    <row r="400" spans="1:43" ht="63" customHeight="1" x14ac:dyDescent="0.2">
      <c r="A400" s="10">
        <v>4046</v>
      </c>
      <c r="B400" s="11" t="s">
        <v>7506</v>
      </c>
      <c r="C400" s="11" t="s">
        <v>1099</v>
      </c>
      <c r="D400" s="11">
        <v>2013</v>
      </c>
      <c r="E400" s="11" t="s">
        <v>5318</v>
      </c>
      <c r="F400" s="11">
        <v>258</v>
      </c>
      <c r="G400" s="11">
        <v>5</v>
      </c>
      <c r="H400" s="11" t="s">
        <v>6533</v>
      </c>
      <c r="I400" s="11" t="s">
        <v>6516</v>
      </c>
      <c r="J400" s="11" t="s">
        <v>7507</v>
      </c>
      <c r="K400" s="11" t="s">
        <v>1100</v>
      </c>
      <c r="L400" s="11" t="s">
        <v>5044</v>
      </c>
      <c r="M400" s="11">
        <v>0</v>
      </c>
      <c r="N400" s="9" t="s">
        <v>5044</v>
      </c>
      <c r="O400" s="9" t="s">
        <v>5044</v>
      </c>
      <c r="P400" s="11">
        <v>0</v>
      </c>
      <c r="Q400" s="11">
        <v>0</v>
      </c>
      <c r="R400" s="11">
        <v>0</v>
      </c>
      <c r="S400" s="11">
        <v>1</v>
      </c>
      <c r="T400" s="11">
        <v>1</v>
      </c>
      <c r="U400" s="11">
        <v>217</v>
      </c>
      <c r="V400" s="11">
        <v>0</v>
      </c>
      <c r="W400" s="11">
        <v>1</v>
      </c>
      <c r="X400" s="11">
        <v>0</v>
      </c>
      <c r="Y400" s="11">
        <v>0</v>
      </c>
      <c r="Z400" s="11">
        <v>0</v>
      </c>
      <c r="AA400" s="11">
        <v>0</v>
      </c>
      <c r="AB400" s="11">
        <v>1</v>
      </c>
      <c r="AC400" s="11">
        <v>1</v>
      </c>
      <c r="AD400" s="11" t="s">
        <v>5044</v>
      </c>
      <c r="AE400" s="11" t="s">
        <v>5044</v>
      </c>
      <c r="AF400" s="11" t="s">
        <v>5044</v>
      </c>
      <c r="AG400" s="11">
        <v>2</v>
      </c>
      <c r="AH400" s="11">
        <v>3</v>
      </c>
      <c r="AI400" s="11">
        <v>0</v>
      </c>
      <c r="AJ400" s="11" t="s">
        <v>5044</v>
      </c>
      <c r="AK400" s="11">
        <v>1</v>
      </c>
      <c r="AL400" s="11">
        <v>0</v>
      </c>
      <c r="AM400" s="11">
        <v>0</v>
      </c>
      <c r="AN400" s="11" t="s">
        <v>5318</v>
      </c>
      <c r="AO400" s="11" t="s">
        <v>5318</v>
      </c>
      <c r="AP400" s="11" t="s">
        <v>5318</v>
      </c>
      <c r="AQ400" s="11" t="s">
        <v>5318</v>
      </c>
    </row>
    <row r="401" spans="1:43" ht="63" customHeight="1" x14ac:dyDescent="0.2">
      <c r="A401" s="10">
        <v>4049</v>
      </c>
      <c r="B401" s="11" t="s">
        <v>7508</v>
      </c>
      <c r="C401" s="11" t="s">
        <v>1101</v>
      </c>
      <c r="D401" s="11">
        <v>2011</v>
      </c>
      <c r="E401" s="11" t="s">
        <v>5318</v>
      </c>
      <c r="F401" s="11">
        <v>253</v>
      </c>
      <c r="G401" s="11">
        <v>5</v>
      </c>
      <c r="H401" s="11" t="s">
        <v>6533</v>
      </c>
      <c r="I401" s="11" t="s">
        <v>6516</v>
      </c>
      <c r="J401" s="11" t="s">
        <v>7509</v>
      </c>
      <c r="K401" s="11" t="s">
        <v>1102</v>
      </c>
      <c r="L401" s="11" t="s">
        <v>5493</v>
      </c>
      <c r="M401" s="11">
        <v>0</v>
      </c>
      <c r="N401" s="9" t="s">
        <v>5044</v>
      </c>
      <c r="O401" s="9" t="s">
        <v>5044</v>
      </c>
      <c r="P401" s="11">
        <v>0</v>
      </c>
      <c r="Q401" s="11">
        <v>0</v>
      </c>
      <c r="R401" s="11">
        <v>0</v>
      </c>
      <c r="S401" s="11">
        <v>1</v>
      </c>
      <c r="T401" s="11">
        <v>1</v>
      </c>
      <c r="U401" s="11">
        <v>158</v>
      </c>
      <c r="V401" s="11">
        <v>0</v>
      </c>
      <c r="W401" s="11">
        <v>1</v>
      </c>
      <c r="X401" s="11">
        <v>0</v>
      </c>
      <c r="Y401" s="11">
        <v>0</v>
      </c>
      <c r="Z401" s="11">
        <v>0</v>
      </c>
      <c r="AA401" s="11">
        <v>0</v>
      </c>
      <c r="AB401" s="11">
        <v>1</v>
      </c>
      <c r="AC401" s="11">
        <v>1</v>
      </c>
      <c r="AD401" s="11" t="s">
        <v>5044</v>
      </c>
      <c r="AE401" s="11" t="s">
        <v>5044</v>
      </c>
      <c r="AF401" s="11" t="s">
        <v>5044</v>
      </c>
      <c r="AG401" s="11">
        <v>2</v>
      </c>
      <c r="AH401" s="11">
        <v>3</v>
      </c>
      <c r="AI401" s="11">
        <v>0</v>
      </c>
      <c r="AJ401" s="11" t="s">
        <v>5044</v>
      </c>
      <c r="AK401" s="11" t="s">
        <v>5318</v>
      </c>
      <c r="AL401" s="11">
        <v>1</v>
      </c>
      <c r="AM401" s="11">
        <v>0</v>
      </c>
      <c r="AN401" s="11" t="s">
        <v>5318</v>
      </c>
      <c r="AO401" s="11" t="s">
        <v>5318</v>
      </c>
      <c r="AP401" s="11" t="s">
        <v>5318</v>
      </c>
      <c r="AQ401" s="11" t="s">
        <v>5318</v>
      </c>
    </row>
    <row r="402" spans="1:43" ht="63" customHeight="1" x14ac:dyDescent="0.2">
      <c r="A402" s="10">
        <v>4050</v>
      </c>
      <c r="B402" s="11" t="s">
        <v>7510</v>
      </c>
      <c r="C402" s="11" t="s">
        <v>1103</v>
      </c>
      <c r="D402" s="11">
        <v>2007</v>
      </c>
      <c r="E402" s="11" t="s">
        <v>5318</v>
      </c>
      <c r="F402" s="11">
        <v>94</v>
      </c>
      <c r="G402" s="11">
        <v>3</v>
      </c>
      <c r="H402" s="11" t="s">
        <v>6530</v>
      </c>
      <c r="I402" s="11" t="s">
        <v>6516</v>
      </c>
      <c r="J402" s="11" t="s">
        <v>7511</v>
      </c>
      <c r="K402" s="11" t="s">
        <v>1104</v>
      </c>
      <c r="L402" s="11" t="s">
        <v>5044</v>
      </c>
      <c r="M402" s="11">
        <v>0</v>
      </c>
      <c r="N402" s="9" t="s">
        <v>5044</v>
      </c>
      <c r="O402" s="9" t="s">
        <v>5044</v>
      </c>
      <c r="P402" s="11">
        <v>0</v>
      </c>
      <c r="Q402" s="11">
        <v>0</v>
      </c>
      <c r="R402" s="11">
        <v>0</v>
      </c>
      <c r="S402" s="11">
        <v>1</v>
      </c>
      <c r="T402" s="11">
        <v>1</v>
      </c>
      <c r="U402" s="11">
        <v>200</v>
      </c>
      <c r="V402" s="11">
        <v>1</v>
      </c>
      <c r="W402" s="11">
        <v>0</v>
      </c>
      <c r="X402" s="11">
        <v>0</v>
      </c>
      <c r="Y402" s="11">
        <v>0</v>
      </c>
      <c r="Z402" s="11">
        <v>0</v>
      </c>
      <c r="AA402" s="11">
        <v>0</v>
      </c>
      <c r="AB402" s="11">
        <v>1</v>
      </c>
      <c r="AC402" s="11">
        <v>1</v>
      </c>
      <c r="AD402" s="11">
        <v>2</v>
      </c>
      <c r="AE402" s="11">
        <v>3</v>
      </c>
      <c r="AF402" s="11">
        <v>0</v>
      </c>
      <c r="AG402" s="11" t="s">
        <v>5044</v>
      </c>
      <c r="AH402" s="11" t="s">
        <v>5044</v>
      </c>
      <c r="AI402" s="11" t="s">
        <v>5044</v>
      </c>
      <c r="AJ402" s="11" t="s">
        <v>5044</v>
      </c>
      <c r="AK402" s="11" t="s">
        <v>6504</v>
      </c>
      <c r="AL402" s="11">
        <v>0</v>
      </c>
      <c r="AM402" s="11">
        <v>0</v>
      </c>
      <c r="AN402" s="11" t="s">
        <v>5318</v>
      </c>
      <c r="AO402" s="11" t="s">
        <v>5318</v>
      </c>
      <c r="AP402" s="11" t="s">
        <v>5318</v>
      </c>
      <c r="AQ402" s="11" t="s">
        <v>5318</v>
      </c>
    </row>
    <row r="403" spans="1:43" ht="63" customHeight="1" x14ac:dyDescent="0.2">
      <c r="A403" s="10">
        <v>4067</v>
      </c>
      <c r="B403" s="11" t="s">
        <v>7512</v>
      </c>
      <c r="C403" s="11" t="s">
        <v>1105</v>
      </c>
      <c r="D403" s="11">
        <v>2016</v>
      </c>
      <c r="E403" s="11" t="s">
        <v>5318</v>
      </c>
      <c r="F403" s="11">
        <v>264</v>
      </c>
      <c r="G403" s="11">
        <v>5</v>
      </c>
      <c r="H403" s="11" t="s">
        <v>6533</v>
      </c>
      <c r="I403" s="11" t="s">
        <v>6516</v>
      </c>
      <c r="J403" s="11" t="s">
        <v>7513</v>
      </c>
      <c r="K403" s="11" t="s">
        <v>1106</v>
      </c>
      <c r="L403" s="11" t="s">
        <v>5044</v>
      </c>
      <c r="M403" s="11">
        <v>0</v>
      </c>
      <c r="N403" s="9" t="s">
        <v>5044</v>
      </c>
      <c r="O403" s="9" t="s">
        <v>5044</v>
      </c>
      <c r="P403" s="11">
        <v>0</v>
      </c>
      <c r="Q403" s="11">
        <v>0</v>
      </c>
      <c r="R403" s="11">
        <v>0</v>
      </c>
      <c r="S403" s="11">
        <v>1</v>
      </c>
      <c r="T403" s="11">
        <v>1</v>
      </c>
      <c r="U403" s="11">
        <v>212</v>
      </c>
      <c r="V403" s="11">
        <v>1</v>
      </c>
      <c r="W403" s="11">
        <v>0</v>
      </c>
      <c r="X403" s="11">
        <v>0</v>
      </c>
      <c r="Y403" s="11">
        <v>0</v>
      </c>
      <c r="Z403" s="11">
        <v>1</v>
      </c>
      <c r="AA403" s="11">
        <v>0</v>
      </c>
      <c r="AB403" s="11">
        <v>1</v>
      </c>
      <c r="AC403" s="11">
        <v>1</v>
      </c>
      <c r="AD403" s="11">
        <v>2</v>
      </c>
      <c r="AE403" s="11">
        <v>2</v>
      </c>
      <c r="AF403" s="11">
        <v>2</v>
      </c>
      <c r="AG403" s="11" t="s">
        <v>5044</v>
      </c>
      <c r="AH403" s="11" t="s">
        <v>5044</v>
      </c>
      <c r="AI403" s="11" t="s">
        <v>5044</v>
      </c>
      <c r="AJ403" s="11">
        <v>0</v>
      </c>
      <c r="AK403" s="11" t="s">
        <v>5318</v>
      </c>
      <c r="AL403" s="11">
        <v>1</v>
      </c>
      <c r="AM403" s="11">
        <v>0</v>
      </c>
      <c r="AN403" s="11" t="s">
        <v>5318</v>
      </c>
      <c r="AO403" s="11" t="s">
        <v>5318</v>
      </c>
      <c r="AP403" s="11" t="s">
        <v>5318</v>
      </c>
      <c r="AQ403" s="11" t="s">
        <v>5318</v>
      </c>
    </row>
    <row r="404" spans="1:43" ht="63" customHeight="1" x14ac:dyDescent="0.2">
      <c r="A404" s="10">
        <v>4103</v>
      </c>
      <c r="B404" s="11" t="s">
        <v>7514</v>
      </c>
      <c r="C404" s="11" t="s">
        <v>1107</v>
      </c>
      <c r="D404" s="11">
        <v>2021</v>
      </c>
      <c r="E404" s="11" t="s">
        <v>5318</v>
      </c>
      <c r="F404" s="11">
        <v>10</v>
      </c>
      <c r="G404" s="11">
        <v>9</v>
      </c>
      <c r="H404" s="11" t="s">
        <v>7515</v>
      </c>
      <c r="I404" s="11" t="s">
        <v>6516</v>
      </c>
      <c r="J404" s="11" t="s">
        <v>7516</v>
      </c>
      <c r="K404" s="11" t="s">
        <v>1108</v>
      </c>
      <c r="L404" s="11" t="s">
        <v>5494</v>
      </c>
      <c r="M404" s="11">
        <v>0</v>
      </c>
      <c r="N404" s="9" t="s">
        <v>5044</v>
      </c>
      <c r="O404" s="9" t="s">
        <v>5044</v>
      </c>
      <c r="P404" s="11">
        <v>0</v>
      </c>
      <c r="Q404" s="11">
        <v>0</v>
      </c>
      <c r="R404" s="11">
        <v>0</v>
      </c>
      <c r="S404" s="11">
        <v>9</v>
      </c>
      <c r="T404" s="11">
        <v>4</v>
      </c>
      <c r="U404" s="11">
        <v>42</v>
      </c>
      <c r="V404" s="11">
        <v>0</v>
      </c>
      <c r="W404" s="11">
        <v>1</v>
      </c>
      <c r="X404" s="11">
        <v>0</v>
      </c>
      <c r="Y404" s="11">
        <v>0</v>
      </c>
      <c r="Z404" s="11">
        <v>0</v>
      </c>
      <c r="AA404" s="11">
        <v>0</v>
      </c>
      <c r="AB404" s="11">
        <v>1</v>
      </c>
      <c r="AC404" s="11">
        <v>0</v>
      </c>
      <c r="AD404" s="11" t="s">
        <v>5044</v>
      </c>
      <c r="AE404" s="11" t="s">
        <v>5044</v>
      </c>
      <c r="AF404" s="11" t="s">
        <v>5044</v>
      </c>
      <c r="AG404" s="11">
        <v>0</v>
      </c>
      <c r="AH404" s="11" t="s">
        <v>5044</v>
      </c>
      <c r="AI404" s="11" t="s">
        <v>5044</v>
      </c>
      <c r="AJ404" s="11" t="s">
        <v>5044</v>
      </c>
      <c r="AK404" s="11" t="s">
        <v>5318</v>
      </c>
      <c r="AL404" s="11">
        <v>1</v>
      </c>
      <c r="AM404" s="11">
        <v>0</v>
      </c>
      <c r="AN404" s="11" t="s">
        <v>5318</v>
      </c>
      <c r="AO404" s="11" t="s">
        <v>5318</v>
      </c>
      <c r="AP404" s="11" t="s">
        <v>5318</v>
      </c>
      <c r="AQ404" s="11" t="s">
        <v>5318</v>
      </c>
    </row>
    <row r="405" spans="1:43" ht="63" customHeight="1" x14ac:dyDescent="0.2">
      <c r="A405" s="10">
        <v>4105</v>
      </c>
      <c r="B405" s="11" t="s">
        <v>7517</v>
      </c>
      <c r="C405" s="11" t="s">
        <v>1109</v>
      </c>
      <c r="D405" s="11">
        <v>2022</v>
      </c>
      <c r="E405" s="11" t="s">
        <v>5318</v>
      </c>
      <c r="F405" s="11">
        <v>107</v>
      </c>
      <c r="G405" s="11" t="s">
        <v>5318</v>
      </c>
      <c r="H405" s="11" t="s">
        <v>7001</v>
      </c>
      <c r="I405" s="11" t="s">
        <v>6516</v>
      </c>
      <c r="J405" s="11" t="s">
        <v>7518</v>
      </c>
      <c r="K405" s="11" t="s">
        <v>1110</v>
      </c>
      <c r="L405" s="11" t="s">
        <v>5495</v>
      </c>
      <c r="M405" s="11">
        <v>0</v>
      </c>
      <c r="N405" s="9" t="s">
        <v>5044</v>
      </c>
      <c r="O405" s="9" t="s">
        <v>5044</v>
      </c>
      <c r="P405" s="11">
        <v>0</v>
      </c>
      <c r="Q405" s="11">
        <v>0</v>
      </c>
      <c r="R405" s="11">
        <v>0</v>
      </c>
      <c r="S405" s="11">
        <v>1</v>
      </c>
      <c r="T405" s="11">
        <v>4</v>
      </c>
      <c r="U405" s="11">
        <v>258</v>
      </c>
      <c r="V405" s="11">
        <v>1</v>
      </c>
      <c r="W405" s="11">
        <v>0</v>
      </c>
      <c r="X405" s="11">
        <v>0</v>
      </c>
      <c r="Y405" s="11">
        <v>0</v>
      </c>
      <c r="Z405" s="11">
        <v>0</v>
      </c>
      <c r="AA405" s="11">
        <v>0</v>
      </c>
      <c r="AB405" s="11">
        <v>1</v>
      </c>
      <c r="AC405" s="11">
        <v>0</v>
      </c>
      <c r="AD405" s="11">
        <v>0</v>
      </c>
      <c r="AE405" s="11" t="s">
        <v>5044</v>
      </c>
      <c r="AF405" s="11" t="s">
        <v>5044</v>
      </c>
      <c r="AG405" s="11" t="s">
        <v>5044</v>
      </c>
      <c r="AH405" s="11" t="s">
        <v>5044</v>
      </c>
      <c r="AI405" s="11" t="s">
        <v>5044</v>
      </c>
      <c r="AJ405" s="11" t="s">
        <v>5044</v>
      </c>
      <c r="AK405" s="11" t="s">
        <v>5318</v>
      </c>
      <c r="AL405" s="11" t="s">
        <v>5044</v>
      </c>
      <c r="AM405" s="11">
        <v>0</v>
      </c>
      <c r="AN405" s="11" t="s">
        <v>5105</v>
      </c>
      <c r="AO405" s="11" t="s">
        <v>5318</v>
      </c>
      <c r="AP405" s="11" t="s">
        <v>5318</v>
      </c>
      <c r="AQ405" s="11" t="s">
        <v>5318</v>
      </c>
    </row>
    <row r="406" spans="1:43" ht="63" customHeight="1" x14ac:dyDescent="0.2">
      <c r="A406" s="10">
        <v>4110</v>
      </c>
      <c r="B406" s="11" t="s">
        <v>7519</v>
      </c>
      <c r="C406" s="11" t="s">
        <v>1111</v>
      </c>
      <c r="D406" s="11">
        <v>2016</v>
      </c>
      <c r="E406" s="11" t="s">
        <v>5318</v>
      </c>
      <c r="F406" s="11">
        <v>87</v>
      </c>
      <c r="G406" s="11" t="s">
        <v>5318</v>
      </c>
      <c r="H406" s="11" t="s">
        <v>6926</v>
      </c>
      <c r="I406" s="11" t="s">
        <v>6516</v>
      </c>
      <c r="J406" s="11" t="s">
        <v>7520</v>
      </c>
      <c r="K406" s="11" t="s">
        <v>1112</v>
      </c>
      <c r="L406" s="11" t="s">
        <v>5044</v>
      </c>
      <c r="M406" s="11">
        <v>0</v>
      </c>
      <c r="N406" s="9" t="s">
        <v>5044</v>
      </c>
      <c r="O406" s="9" t="s">
        <v>5044</v>
      </c>
      <c r="P406" s="11">
        <v>0</v>
      </c>
      <c r="Q406" s="11">
        <v>0</v>
      </c>
      <c r="R406" s="11">
        <v>0</v>
      </c>
      <c r="S406" s="11">
        <v>3</v>
      </c>
      <c r="T406" s="11">
        <v>4</v>
      </c>
      <c r="U406" s="11">
        <v>120</v>
      </c>
      <c r="V406" s="11">
        <v>0</v>
      </c>
      <c r="W406" s="11">
        <v>1</v>
      </c>
      <c r="X406" s="11">
        <v>0</v>
      </c>
      <c r="Y406" s="11">
        <v>0</v>
      </c>
      <c r="Z406" s="11">
        <v>0</v>
      </c>
      <c r="AA406" s="11">
        <v>0</v>
      </c>
      <c r="AB406" s="11">
        <v>0</v>
      </c>
      <c r="AC406" s="11">
        <v>1</v>
      </c>
      <c r="AD406" s="11" t="s">
        <v>5044</v>
      </c>
      <c r="AE406" s="11" t="s">
        <v>5044</v>
      </c>
      <c r="AF406" s="11" t="s">
        <v>5044</v>
      </c>
      <c r="AG406" s="11">
        <v>1</v>
      </c>
      <c r="AH406" s="11">
        <v>0</v>
      </c>
      <c r="AI406" s="11">
        <v>0</v>
      </c>
      <c r="AJ406" s="11" t="s">
        <v>5044</v>
      </c>
      <c r="AK406" s="11" t="s">
        <v>5318</v>
      </c>
      <c r="AL406" s="11" t="s">
        <v>5044</v>
      </c>
      <c r="AM406" s="11">
        <v>0</v>
      </c>
      <c r="AN406" s="11" t="s">
        <v>5105</v>
      </c>
      <c r="AO406" s="11" t="s">
        <v>5318</v>
      </c>
      <c r="AP406" s="11" t="s">
        <v>5318</v>
      </c>
      <c r="AQ406" s="11" t="s">
        <v>5318</v>
      </c>
    </row>
    <row r="407" spans="1:43" ht="63" customHeight="1" x14ac:dyDescent="0.2">
      <c r="A407" s="10">
        <v>4130</v>
      </c>
      <c r="B407" s="11" t="s">
        <v>7521</v>
      </c>
      <c r="C407" s="11" t="s">
        <v>1113</v>
      </c>
      <c r="D407" s="11">
        <v>2021</v>
      </c>
      <c r="E407" s="11" t="s">
        <v>5318</v>
      </c>
      <c r="F407" s="11">
        <v>23</v>
      </c>
      <c r="G407" s="11">
        <v>8</v>
      </c>
      <c r="H407" s="11" t="s">
        <v>6749</v>
      </c>
      <c r="I407" s="11" t="s">
        <v>6516</v>
      </c>
      <c r="J407" s="11" t="s">
        <v>7522</v>
      </c>
      <c r="K407" s="11" t="s">
        <v>1114</v>
      </c>
      <c r="L407" s="11" t="s">
        <v>5496</v>
      </c>
      <c r="M407" s="11">
        <v>1</v>
      </c>
      <c r="N407" s="11">
        <v>0</v>
      </c>
      <c r="O407" s="9" t="s">
        <v>5044</v>
      </c>
      <c r="P407" s="11">
        <v>0</v>
      </c>
      <c r="Q407" s="11">
        <v>0</v>
      </c>
      <c r="R407" s="11">
        <v>0</v>
      </c>
      <c r="S407" s="11">
        <v>1</v>
      </c>
      <c r="T407" s="11">
        <v>1</v>
      </c>
      <c r="U407" s="11">
        <v>968</v>
      </c>
      <c r="V407" s="11">
        <v>0</v>
      </c>
      <c r="W407" s="11">
        <v>1</v>
      </c>
      <c r="X407" s="11">
        <v>0</v>
      </c>
      <c r="Y407" s="11">
        <v>0</v>
      </c>
      <c r="Z407" s="11">
        <v>1</v>
      </c>
      <c r="AA407" s="11">
        <v>0</v>
      </c>
      <c r="AB407" s="11">
        <v>1</v>
      </c>
      <c r="AC407" s="11" t="s">
        <v>5044</v>
      </c>
      <c r="AD407" s="11" t="s">
        <v>5044</v>
      </c>
      <c r="AE407" s="11" t="s">
        <v>5044</v>
      </c>
      <c r="AF407" s="11" t="s">
        <v>5044</v>
      </c>
      <c r="AG407" s="11" t="s">
        <v>5044</v>
      </c>
      <c r="AH407" s="11" t="s">
        <v>5044</v>
      </c>
      <c r="AI407" s="11" t="s">
        <v>5044</v>
      </c>
      <c r="AJ407" s="11" t="s">
        <v>5044</v>
      </c>
      <c r="AK407" s="11" t="s">
        <v>5318</v>
      </c>
      <c r="AL407" s="11" t="s">
        <v>5044</v>
      </c>
      <c r="AM407" s="11">
        <v>0</v>
      </c>
      <c r="AN407" s="11" t="s">
        <v>5318</v>
      </c>
      <c r="AO407" s="11" t="s">
        <v>5318</v>
      </c>
      <c r="AP407" s="11" t="s">
        <v>5318</v>
      </c>
      <c r="AQ407" s="11" t="s">
        <v>5318</v>
      </c>
    </row>
    <row r="408" spans="1:43" ht="63" customHeight="1" x14ac:dyDescent="0.2">
      <c r="A408" s="10">
        <v>4171</v>
      </c>
      <c r="B408" s="11" t="s">
        <v>7525</v>
      </c>
      <c r="C408" s="11" t="s">
        <v>1117</v>
      </c>
      <c r="D408" s="11">
        <v>2016</v>
      </c>
      <c r="E408" s="11" t="s">
        <v>5318</v>
      </c>
      <c r="F408" s="11">
        <v>30</v>
      </c>
      <c r="G408" s="11">
        <v>1</v>
      </c>
      <c r="H408" s="11" t="s">
        <v>7526</v>
      </c>
      <c r="I408" s="11" t="s">
        <v>6516</v>
      </c>
      <c r="J408" s="11" t="s">
        <v>7527</v>
      </c>
      <c r="K408" s="11" t="s">
        <v>1119</v>
      </c>
      <c r="L408" s="11" t="s">
        <v>5497</v>
      </c>
      <c r="M408" s="11">
        <v>0</v>
      </c>
      <c r="N408" s="9" t="s">
        <v>5044</v>
      </c>
      <c r="O408" s="9" t="s">
        <v>5044</v>
      </c>
      <c r="P408" s="11">
        <v>1</v>
      </c>
      <c r="Q408" s="11">
        <v>0</v>
      </c>
      <c r="R408" s="11">
        <v>0</v>
      </c>
      <c r="S408" s="11">
        <v>9</v>
      </c>
      <c r="T408" s="11">
        <v>1</v>
      </c>
      <c r="U408" s="11">
        <v>50</v>
      </c>
      <c r="V408" s="11">
        <v>0</v>
      </c>
      <c r="W408" s="11">
        <v>1</v>
      </c>
      <c r="X408" s="11">
        <v>0</v>
      </c>
      <c r="Y408" s="11">
        <v>0</v>
      </c>
      <c r="Z408" s="11">
        <v>0</v>
      </c>
      <c r="AA408" s="11">
        <v>0</v>
      </c>
      <c r="AB408" s="11">
        <v>1</v>
      </c>
      <c r="AC408" s="11">
        <v>0</v>
      </c>
      <c r="AD408" s="11" t="s">
        <v>5044</v>
      </c>
      <c r="AE408" s="11" t="s">
        <v>5044</v>
      </c>
      <c r="AF408" s="11" t="s">
        <v>5044</v>
      </c>
      <c r="AG408" s="11">
        <v>0</v>
      </c>
      <c r="AH408" s="11" t="s">
        <v>5044</v>
      </c>
      <c r="AI408" s="11" t="s">
        <v>5044</v>
      </c>
      <c r="AJ408" s="11" t="s">
        <v>5044</v>
      </c>
      <c r="AK408" s="11" t="s">
        <v>5318</v>
      </c>
      <c r="AL408" s="11" t="s">
        <v>5044</v>
      </c>
      <c r="AM408" s="11">
        <v>0</v>
      </c>
      <c r="AN408" s="11" t="s">
        <v>5318</v>
      </c>
      <c r="AO408" s="11" t="s">
        <v>5318</v>
      </c>
      <c r="AP408" s="11" t="s">
        <v>5318</v>
      </c>
      <c r="AQ408" s="11" t="s">
        <v>5318</v>
      </c>
    </row>
    <row r="409" spans="1:43" ht="63" customHeight="1" x14ac:dyDescent="0.2">
      <c r="A409" s="10">
        <v>4195</v>
      </c>
      <c r="B409" s="11" t="s">
        <v>7528</v>
      </c>
      <c r="C409" s="11" t="s">
        <v>1120</v>
      </c>
      <c r="D409" s="11">
        <v>2022</v>
      </c>
      <c r="E409" s="11" t="s">
        <v>5318</v>
      </c>
      <c r="F409" s="11">
        <v>23</v>
      </c>
      <c r="G409" s="11">
        <v>1</v>
      </c>
      <c r="H409" s="11" t="s">
        <v>6538</v>
      </c>
      <c r="I409" s="11" t="s">
        <v>6516</v>
      </c>
      <c r="J409" s="11" t="s">
        <v>7529</v>
      </c>
      <c r="K409" s="11" t="s">
        <v>1121</v>
      </c>
      <c r="L409" s="12" t="s">
        <v>5654</v>
      </c>
      <c r="M409" s="11">
        <v>1</v>
      </c>
      <c r="N409" s="11">
        <v>0</v>
      </c>
      <c r="O409" s="9" t="s">
        <v>5044</v>
      </c>
      <c r="P409" s="11">
        <v>0</v>
      </c>
      <c r="Q409" s="11">
        <v>0</v>
      </c>
      <c r="R409" s="11">
        <v>0</v>
      </c>
      <c r="S409" s="11" t="s">
        <v>7670</v>
      </c>
      <c r="T409" s="11">
        <v>1</v>
      </c>
      <c r="U409" s="11">
        <v>562</v>
      </c>
      <c r="V409" s="11">
        <v>0</v>
      </c>
      <c r="W409" s="11">
        <v>1</v>
      </c>
      <c r="X409" s="11">
        <v>0</v>
      </c>
      <c r="Y409" s="11">
        <v>0</v>
      </c>
      <c r="Z409" s="11">
        <v>0</v>
      </c>
      <c r="AA409" s="11">
        <v>0</v>
      </c>
      <c r="AB409" s="11">
        <v>1</v>
      </c>
      <c r="AC409" s="11" t="s">
        <v>5044</v>
      </c>
      <c r="AD409" s="11" t="s">
        <v>5044</v>
      </c>
      <c r="AE409" s="11" t="s">
        <v>5044</v>
      </c>
      <c r="AF409" s="11" t="s">
        <v>5044</v>
      </c>
      <c r="AG409" s="11" t="s">
        <v>5044</v>
      </c>
      <c r="AH409" s="11" t="s">
        <v>5044</v>
      </c>
      <c r="AI409" s="11" t="s">
        <v>5044</v>
      </c>
      <c r="AJ409" s="11" t="s">
        <v>5044</v>
      </c>
      <c r="AK409" s="11" t="s">
        <v>5318</v>
      </c>
      <c r="AL409" s="11" t="s">
        <v>5044</v>
      </c>
      <c r="AM409" s="11">
        <v>0</v>
      </c>
      <c r="AN409" s="11" t="s">
        <v>5318</v>
      </c>
      <c r="AO409" s="11" t="s">
        <v>5318</v>
      </c>
      <c r="AP409" s="11" t="s">
        <v>5318</v>
      </c>
      <c r="AQ409" s="11" t="s">
        <v>5318</v>
      </c>
    </row>
    <row r="410" spans="1:43" ht="63" customHeight="1" x14ac:dyDescent="0.2">
      <c r="A410" s="10">
        <v>4213</v>
      </c>
      <c r="B410" s="11" t="s">
        <v>7530</v>
      </c>
      <c r="C410" s="11" t="s">
        <v>1122</v>
      </c>
      <c r="D410" s="11">
        <v>2013</v>
      </c>
      <c r="E410" s="11" t="s">
        <v>5318</v>
      </c>
      <c r="F410" s="11">
        <v>27</v>
      </c>
      <c r="G410" s="11">
        <v>8</v>
      </c>
      <c r="H410" s="11" t="s">
        <v>6692</v>
      </c>
      <c r="I410" s="11" t="s">
        <v>6516</v>
      </c>
      <c r="J410" s="11" t="s">
        <v>7531</v>
      </c>
      <c r="K410" s="11" t="s">
        <v>1123</v>
      </c>
      <c r="L410" s="11" t="s">
        <v>5044</v>
      </c>
      <c r="M410" s="11">
        <v>0</v>
      </c>
      <c r="N410" s="9" t="s">
        <v>5044</v>
      </c>
      <c r="O410" s="9" t="s">
        <v>5044</v>
      </c>
      <c r="P410" s="11">
        <v>0</v>
      </c>
      <c r="Q410" s="11">
        <v>0</v>
      </c>
      <c r="R410" s="11">
        <v>0</v>
      </c>
      <c r="S410" s="11">
        <v>3</v>
      </c>
      <c r="T410" s="11">
        <v>1</v>
      </c>
      <c r="U410" s="11">
        <v>132</v>
      </c>
      <c r="V410" s="11">
        <v>0</v>
      </c>
      <c r="W410" s="11">
        <v>1</v>
      </c>
      <c r="X410" s="11">
        <v>0</v>
      </c>
      <c r="Y410" s="11">
        <v>0</v>
      </c>
      <c r="Z410" s="11">
        <v>0</v>
      </c>
      <c r="AA410" s="11">
        <v>0</v>
      </c>
      <c r="AB410" s="11">
        <v>0</v>
      </c>
      <c r="AC410" s="11">
        <v>1</v>
      </c>
      <c r="AD410" s="11" t="s">
        <v>5044</v>
      </c>
      <c r="AE410" s="11" t="s">
        <v>5044</v>
      </c>
      <c r="AF410" s="11" t="s">
        <v>5044</v>
      </c>
      <c r="AG410" s="11">
        <v>2</v>
      </c>
      <c r="AH410" s="11">
        <v>3</v>
      </c>
      <c r="AI410" s="11">
        <v>0</v>
      </c>
      <c r="AJ410" s="11" t="s">
        <v>5044</v>
      </c>
      <c r="AK410" s="11">
        <v>1</v>
      </c>
      <c r="AL410" s="11" t="s">
        <v>5044</v>
      </c>
      <c r="AM410" s="11">
        <v>0</v>
      </c>
      <c r="AN410" s="11" t="s">
        <v>5105</v>
      </c>
      <c r="AO410" s="11" t="s">
        <v>5318</v>
      </c>
      <c r="AP410" s="11" t="s">
        <v>5318</v>
      </c>
      <c r="AQ410" s="11" t="s">
        <v>5318</v>
      </c>
    </row>
    <row r="411" spans="1:43" ht="63" customHeight="1" x14ac:dyDescent="0.2">
      <c r="A411" s="10">
        <v>4236</v>
      </c>
      <c r="B411" s="11" t="s">
        <v>7535</v>
      </c>
      <c r="C411" s="11" t="s">
        <v>1127</v>
      </c>
      <c r="D411" s="11">
        <v>2016</v>
      </c>
      <c r="E411" s="11" t="s">
        <v>5318</v>
      </c>
      <c r="F411" s="11">
        <v>46</v>
      </c>
      <c r="G411" s="11">
        <v>3</v>
      </c>
      <c r="H411" s="11" t="s">
        <v>7264</v>
      </c>
      <c r="I411" s="11" t="s">
        <v>6516</v>
      </c>
      <c r="J411" s="11" t="s">
        <v>7536</v>
      </c>
      <c r="K411" s="11" t="s">
        <v>1128</v>
      </c>
      <c r="L411" s="11" t="s">
        <v>5657</v>
      </c>
      <c r="M411" s="11">
        <v>0</v>
      </c>
      <c r="N411" s="9" t="s">
        <v>5044</v>
      </c>
      <c r="O411" s="9" t="s">
        <v>5044</v>
      </c>
      <c r="P411" s="11">
        <v>0</v>
      </c>
      <c r="Q411" s="11">
        <v>0</v>
      </c>
      <c r="R411" s="11">
        <v>0</v>
      </c>
      <c r="S411" s="11">
        <v>1</v>
      </c>
      <c r="T411" s="11">
        <v>1</v>
      </c>
      <c r="U411" s="11">
        <v>59</v>
      </c>
      <c r="V411" s="11">
        <v>0</v>
      </c>
      <c r="W411" s="11">
        <v>1</v>
      </c>
      <c r="X411" s="11">
        <v>0</v>
      </c>
      <c r="Y411" s="11">
        <v>0</v>
      </c>
      <c r="Z411" s="11">
        <v>0</v>
      </c>
      <c r="AA411" s="11">
        <v>0</v>
      </c>
      <c r="AB411" s="11">
        <v>1</v>
      </c>
      <c r="AC411" s="11">
        <v>1</v>
      </c>
      <c r="AD411" s="11" t="s">
        <v>5044</v>
      </c>
      <c r="AE411" s="11" t="s">
        <v>5044</v>
      </c>
      <c r="AF411" s="11" t="s">
        <v>5044</v>
      </c>
      <c r="AG411" s="11">
        <v>0</v>
      </c>
      <c r="AH411" s="11" t="s">
        <v>5044</v>
      </c>
      <c r="AI411" s="11" t="s">
        <v>5044</v>
      </c>
      <c r="AJ411" s="11" t="s">
        <v>5044</v>
      </c>
      <c r="AK411" s="11" t="s">
        <v>5318</v>
      </c>
      <c r="AL411" s="11">
        <v>0</v>
      </c>
      <c r="AM411" s="11">
        <v>0</v>
      </c>
      <c r="AN411" s="11" t="s">
        <v>5318</v>
      </c>
      <c r="AO411" s="11" t="s">
        <v>5318</v>
      </c>
      <c r="AP411" s="11" t="s">
        <v>5318</v>
      </c>
      <c r="AQ411" s="11" t="s">
        <v>5318</v>
      </c>
    </row>
    <row r="412" spans="1:43" ht="63" customHeight="1" x14ac:dyDescent="0.2">
      <c r="A412" s="10">
        <v>4253</v>
      </c>
      <c r="B412" s="11" t="s">
        <v>7537</v>
      </c>
      <c r="C412" s="11" t="s">
        <v>1129</v>
      </c>
      <c r="D412" s="11">
        <v>2015</v>
      </c>
      <c r="E412" s="11" t="s">
        <v>5318</v>
      </c>
      <c r="F412" s="11">
        <v>33</v>
      </c>
      <c r="G412" s="11">
        <v>3</v>
      </c>
      <c r="H412" s="11" t="s">
        <v>6582</v>
      </c>
      <c r="I412" s="11" t="s">
        <v>6516</v>
      </c>
      <c r="J412" s="11" t="s">
        <v>7538</v>
      </c>
      <c r="K412" s="11" t="s">
        <v>1130</v>
      </c>
      <c r="L412" s="11" t="s">
        <v>5044</v>
      </c>
      <c r="M412" s="11">
        <v>0</v>
      </c>
      <c r="N412" s="9" t="s">
        <v>5044</v>
      </c>
      <c r="O412" s="9" t="s">
        <v>5044</v>
      </c>
      <c r="P412" s="11">
        <v>0</v>
      </c>
      <c r="Q412" s="11">
        <v>0</v>
      </c>
      <c r="R412" s="11">
        <v>0</v>
      </c>
      <c r="S412" s="11">
        <v>3</v>
      </c>
      <c r="T412" s="11">
        <v>4</v>
      </c>
      <c r="U412" s="11">
        <v>35</v>
      </c>
      <c r="V412" s="11">
        <v>0</v>
      </c>
      <c r="W412" s="11">
        <v>1</v>
      </c>
      <c r="X412" s="11">
        <v>0</v>
      </c>
      <c r="Y412" s="11">
        <v>0</v>
      </c>
      <c r="Z412" s="11">
        <v>0</v>
      </c>
      <c r="AA412" s="11">
        <v>0</v>
      </c>
      <c r="AB412" s="11">
        <v>0</v>
      </c>
      <c r="AC412" s="11">
        <v>1</v>
      </c>
      <c r="AD412" s="11" t="s">
        <v>5044</v>
      </c>
      <c r="AE412" s="11" t="s">
        <v>5044</v>
      </c>
      <c r="AF412" s="11" t="s">
        <v>5044</v>
      </c>
      <c r="AG412" s="11">
        <v>2</v>
      </c>
      <c r="AH412" s="11">
        <v>2</v>
      </c>
      <c r="AI412" s="11">
        <v>2</v>
      </c>
      <c r="AJ412" s="11" t="s">
        <v>5044</v>
      </c>
      <c r="AK412" s="11" t="s">
        <v>5318</v>
      </c>
      <c r="AL412" s="11" t="s">
        <v>5044</v>
      </c>
      <c r="AM412" s="11">
        <v>0</v>
      </c>
      <c r="AN412" s="11" t="s">
        <v>6293</v>
      </c>
      <c r="AO412" s="11" t="s">
        <v>5318</v>
      </c>
      <c r="AP412" s="11" t="s">
        <v>5318</v>
      </c>
      <c r="AQ412" s="11" t="s">
        <v>5318</v>
      </c>
    </row>
    <row r="413" spans="1:43" ht="63" customHeight="1" x14ac:dyDescent="0.2">
      <c r="A413" s="10">
        <v>4254</v>
      </c>
      <c r="B413" s="11" t="s">
        <v>7539</v>
      </c>
      <c r="C413" s="11" t="s">
        <v>1131</v>
      </c>
      <c r="D413" s="11">
        <v>2020</v>
      </c>
      <c r="E413" s="11" t="s">
        <v>5318</v>
      </c>
      <c r="F413" s="11">
        <v>9</v>
      </c>
      <c r="G413" s="11">
        <v>10</v>
      </c>
      <c r="H413" s="11" t="s">
        <v>7280</v>
      </c>
      <c r="I413" s="11" t="s">
        <v>6516</v>
      </c>
      <c r="J413" s="11" t="s">
        <v>7540</v>
      </c>
      <c r="K413" s="11" t="s">
        <v>1132</v>
      </c>
      <c r="L413" s="11" t="s">
        <v>5658</v>
      </c>
      <c r="M413" s="11">
        <v>0</v>
      </c>
      <c r="N413" s="9" t="s">
        <v>5044</v>
      </c>
      <c r="O413" s="9" t="s">
        <v>5044</v>
      </c>
      <c r="P413" s="11">
        <v>0</v>
      </c>
      <c r="Q413" s="11">
        <v>0</v>
      </c>
      <c r="R413" s="11">
        <v>0</v>
      </c>
      <c r="S413" s="11">
        <v>1</v>
      </c>
      <c r="T413" s="11">
        <v>4</v>
      </c>
      <c r="U413" s="11">
        <v>58</v>
      </c>
      <c r="V413" s="11">
        <v>0</v>
      </c>
      <c r="W413" s="11">
        <v>1</v>
      </c>
      <c r="X413" s="11">
        <v>0</v>
      </c>
      <c r="Y413" s="11">
        <v>0</v>
      </c>
      <c r="Z413" s="11">
        <v>0</v>
      </c>
      <c r="AA413" s="11">
        <v>0</v>
      </c>
      <c r="AB413" s="11">
        <v>1</v>
      </c>
      <c r="AC413" s="11">
        <v>1</v>
      </c>
      <c r="AD413" s="11" t="s">
        <v>5044</v>
      </c>
      <c r="AE413" s="11" t="s">
        <v>5044</v>
      </c>
      <c r="AF413" s="11" t="s">
        <v>5044</v>
      </c>
      <c r="AG413" s="11">
        <v>2</v>
      </c>
      <c r="AH413" s="11">
        <v>2</v>
      </c>
      <c r="AI413" s="11">
        <v>2</v>
      </c>
      <c r="AJ413" s="11" t="s">
        <v>5044</v>
      </c>
      <c r="AK413" s="11" t="s">
        <v>5318</v>
      </c>
      <c r="AL413" s="11">
        <v>1</v>
      </c>
      <c r="AM413" s="11">
        <v>0</v>
      </c>
      <c r="AN413" s="11" t="s">
        <v>5318</v>
      </c>
      <c r="AO413" s="11" t="s">
        <v>5318</v>
      </c>
      <c r="AP413" s="11" t="s">
        <v>5318</v>
      </c>
      <c r="AQ413" s="11" t="s">
        <v>5318</v>
      </c>
    </row>
    <row r="414" spans="1:43" ht="63" customHeight="1" x14ac:dyDescent="0.2">
      <c r="A414" s="10">
        <v>4257</v>
      </c>
      <c r="B414" s="11" t="s">
        <v>7541</v>
      </c>
      <c r="C414" s="11" t="s">
        <v>1133</v>
      </c>
      <c r="D414" s="11">
        <v>2023</v>
      </c>
      <c r="E414" s="11" t="s">
        <v>5318</v>
      </c>
      <c r="F414" s="11">
        <v>24</v>
      </c>
      <c r="G414" s="11">
        <v>1</v>
      </c>
      <c r="H414" s="11" t="s">
        <v>6538</v>
      </c>
      <c r="I414" s="11" t="s">
        <v>6516</v>
      </c>
      <c r="J414" s="11" t="s">
        <v>7542</v>
      </c>
      <c r="K414" s="11" t="s">
        <v>1134</v>
      </c>
      <c r="L414" s="11" t="s">
        <v>5659</v>
      </c>
      <c r="M414" s="11">
        <v>1</v>
      </c>
      <c r="N414" s="11">
        <v>0</v>
      </c>
      <c r="O414" s="9" t="s">
        <v>5044</v>
      </c>
      <c r="P414" s="11">
        <v>0</v>
      </c>
      <c r="Q414" s="11">
        <v>0</v>
      </c>
      <c r="R414" s="11">
        <v>0</v>
      </c>
      <c r="S414" s="11">
        <v>1</v>
      </c>
      <c r="T414" s="11">
        <v>4</v>
      </c>
      <c r="U414" s="11">
        <v>174</v>
      </c>
      <c r="V414" s="11">
        <v>0</v>
      </c>
      <c r="W414" s="11">
        <v>1</v>
      </c>
      <c r="X414" s="11">
        <v>0</v>
      </c>
      <c r="Y414" s="11">
        <v>0</v>
      </c>
      <c r="Z414" s="11">
        <v>0</v>
      </c>
      <c r="AA414" s="11">
        <v>0</v>
      </c>
      <c r="AB414" s="11">
        <v>1</v>
      </c>
      <c r="AC414" s="11" t="s">
        <v>5044</v>
      </c>
      <c r="AD414" s="11" t="s">
        <v>5044</v>
      </c>
      <c r="AE414" s="11" t="s">
        <v>5044</v>
      </c>
      <c r="AF414" s="11" t="s">
        <v>5044</v>
      </c>
      <c r="AG414" s="11" t="s">
        <v>5044</v>
      </c>
      <c r="AH414" s="11" t="s">
        <v>5044</v>
      </c>
      <c r="AI414" s="11" t="s">
        <v>5044</v>
      </c>
      <c r="AJ414" s="11" t="s">
        <v>5044</v>
      </c>
      <c r="AK414" s="11" t="s">
        <v>5318</v>
      </c>
      <c r="AL414" s="11" t="s">
        <v>5044</v>
      </c>
      <c r="AM414" s="11">
        <v>0</v>
      </c>
      <c r="AN414" s="11" t="s">
        <v>5318</v>
      </c>
      <c r="AO414" s="11" t="s">
        <v>5318</v>
      </c>
      <c r="AP414" s="11" t="s">
        <v>5318</v>
      </c>
      <c r="AQ414" s="11" t="s">
        <v>5318</v>
      </c>
    </row>
    <row r="415" spans="1:43" ht="63" customHeight="1" x14ac:dyDescent="0.2">
      <c r="A415" s="10">
        <v>4265</v>
      </c>
      <c r="B415" s="11" t="s">
        <v>7545</v>
      </c>
      <c r="C415" s="11" t="s">
        <v>1137</v>
      </c>
      <c r="D415" s="11">
        <v>2022</v>
      </c>
      <c r="E415" s="11" t="s">
        <v>5318</v>
      </c>
      <c r="F415" s="11">
        <v>234</v>
      </c>
      <c r="G415" s="11">
        <v>3</v>
      </c>
      <c r="H415" s="11" t="s">
        <v>6377</v>
      </c>
      <c r="I415" s="11" t="s">
        <v>6516</v>
      </c>
      <c r="J415" s="11" t="s">
        <v>7546</v>
      </c>
      <c r="K415" s="11" t="s">
        <v>1138</v>
      </c>
      <c r="L415" s="11" t="s">
        <v>5661</v>
      </c>
      <c r="M415" s="11">
        <v>0</v>
      </c>
      <c r="N415" s="9" t="s">
        <v>5044</v>
      </c>
      <c r="O415" s="9" t="s">
        <v>5044</v>
      </c>
      <c r="P415" s="11">
        <v>0</v>
      </c>
      <c r="Q415" s="11">
        <v>0</v>
      </c>
      <c r="R415" s="11">
        <v>0</v>
      </c>
      <c r="S415" s="11">
        <v>9</v>
      </c>
      <c r="T415" s="11">
        <v>4</v>
      </c>
      <c r="U415" s="11">
        <v>196</v>
      </c>
      <c r="V415" s="11">
        <v>0</v>
      </c>
      <c r="W415" s="11">
        <v>1</v>
      </c>
      <c r="X415" s="11">
        <v>0</v>
      </c>
      <c r="Y415" s="11">
        <v>0</v>
      </c>
      <c r="Z415" s="11">
        <v>0</v>
      </c>
      <c r="AA415" s="11">
        <v>0</v>
      </c>
      <c r="AB415" s="11">
        <v>1</v>
      </c>
      <c r="AC415" s="11">
        <v>1</v>
      </c>
      <c r="AD415" s="11" t="s">
        <v>5044</v>
      </c>
      <c r="AE415" s="11" t="s">
        <v>5044</v>
      </c>
      <c r="AF415" s="11" t="s">
        <v>5044</v>
      </c>
      <c r="AG415" s="11">
        <v>2</v>
      </c>
      <c r="AH415" s="11">
        <v>2</v>
      </c>
      <c r="AI415" s="11">
        <v>2</v>
      </c>
      <c r="AJ415" s="11" t="s">
        <v>5044</v>
      </c>
      <c r="AK415" s="11" t="s">
        <v>5318</v>
      </c>
      <c r="AL415" s="11">
        <v>0</v>
      </c>
      <c r="AM415" s="11">
        <v>0</v>
      </c>
      <c r="AN415" s="11" t="s">
        <v>5318</v>
      </c>
      <c r="AO415" s="11" t="s">
        <v>5318</v>
      </c>
      <c r="AP415" s="11" t="s">
        <v>5318</v>
      </c>
      <c r="AQ415" s="11" t="s">
        <v>5318</v>
      </c>
    </row>
    <row r="416" spans="1:43" ht="63" customHeight="1" x14ac:dyDescent="0.2">
      <c r="A416" s="10">
        <v>4276</v>
      </c>
      <c r="B416" s="11" t="s">
        <v>7549</v>
      </c>
      <c r="C416" s="11" t="s">
        <v>1141</v>
      </c>
      <c r="D416" s="11">
        <v>2023</v>
      </c>
      <c r="E416" s="11" t="s">
        <v>5318</v>
      </c>
      <c r="F416" s="11">
        <v>33</v>
      </c>
      <c r="G416" s="11">
        <v>7</v>
      </c>
      <c r="H416" s="11" t="s">
        <v>7296</v>
      </c>
      <c r="I416" s="11" t="s">
        <v>6516</v>
      </c>
      <c r="J416" s="11" t="s">
        <v>7550</v>
      </c>
      <c r="K416" s="11" t="s">
        <v>1142</v>
      </c>
      <c r="L416" s="11" t="s">
        <v>5662</v>
      </c>
      <c r="M416" s="11">
        <v>1</v>
      </c>
      <c r="N416" s="11">
        <v>0</v>
      </c>
      <c r="O416" s="9" t="s">
        <v>5044</v>
      </c>
      <c r="P416" s="11">
        <v>0</v>
      </c>
      <c r="Q416" s="11">
        <v>0</v>
      </c>
      <c r="R416" s="11">
        <v>0</v>
      </c>
      <c r="S416" s="11">
        <v>10</v>
      </c>
      <c r="T416" s="11">
        <v>4</v>
      </c>
      <c r="U416" s="11">
        <v>334</v>
      </c>
      <c r="V416" s="11">
        <v>0</v>
      </c>
      <c r="W416" s="11">
        <v>1</v>
      </c>
      <c r="X416" s="11">
        <v>0</v>
      </c>
      <c r="Y416" s="11">
        <v>0</v>
      </c>
      <c r="Z416" s="11">
        <v>0</v>
      </c>
      <c r="AA416" s="11">
        <v>0</v>
      </c>
      <c r="AB416" s="11">
        <v>1</v>
      </c>
      <c r="AC416" s="11" t="s">
        <v>5044</v>
      </c>
      <c r="AD416" s="11" t="s">
        <v>5044</v>
      </c>
      <c r="AE416" s="11" t="s">
        <v>5044</v>
      </c>
      <c r="AF416" s="11" t="s">
        <v>5044</v>
      </c>
      <c r="AG416" s="11" t="s">
        <v>5044</v>
      </c>
      <c r="AH416" s="11" t="s">
        <v>5044</v>
      </c>
      <c r="AI416" s="11" t="s">
        <v>5044</v>
      </c>
      <c r="AJ416" s="11" t="s">
        <v>5044</v>
      </c>
      <c r="AK416" s="11" t="s">
        <v>5318</v>
      </c>
      <c r="AL416" s="11" t="s">
        <v>5044</v>
      </c>
      <c r="AM416" s="11">
        <v>0</v>
      </c>
      <c r="AN416" s="11" t="s">
        <v>5318</v>
      </c>
      <c r="AO416" s="11" t="s">
        <v>5318</v>
      </c>
      <c r="AP416" s="11" t="s">
        <v>5318</v>
      </c>
      <c r="AQ416" s="11" t="s">
        <v>5318</v>
      </c>
    </row>
    <row r="417" spans="1:43" ht="63" customHeight="1" x14ac:dyDescent="0.2">
      <c r="A417" s="10">
        <v>4278</v>
      </c>
      <c r="B417" s="11" t="s">
        <v>7551</v>
      </c>
      <c r="C417" s="11" t="s">
        <v>1143</v>
      </c>
      <c r="D417" s="11">
        <v>2023</v>
      </c>
      <c r="E417" s="11" t="s">
        <v>5318</v>
      </c>
      <c r="F417" s="11">
        <v>278</v>
      </c>
      <c r="G417" s="11">
        <v>1</v>
      </c>
      <c r="H417" s="11" t="s">
        <v>6533</v>
      </c>
      <c r="I417" s="11" t="s">
        <v>6516</v>
      </c>
      <c r="J417" s="11" t="s">
        <v>7552</v>
      </c>
      <c r="K417" s="11" t="s">
        <v>1145</v>
      </c>
      <c r="L417" s="11" t="s">
        <v>5664</v>
      </c>
      <c r="M417" s="11">
        <v>0</v>
      </c>
      <c r="N417" s="9" t="s">
        <v>5044</v>
      </c>
      <c r="O417" s="9" t="s">
        <v>5044</v>
      </c>
      <c r="P417" s="11">
        <v>0</v>
      </c>
      <c r="Q417" s="11">
        <v>0</v>
      </c>
      <c r="R417" s="11">
        <v>0</v>
      </c>
      <c r="S417" s="11">
        <v>1</v>
      </c>
      <c r="T417" s="11">
        <v>4</v>
      </c>
      <c r="U417" s="11">
        <v>320</v>
      </c>
      <c r="V417" s="11">
        <v>0</v>
      </c>
      <c r="W417" s="11">
        <v>1</v>
      </c>
      <c r="X417" s="11">
        <v>0</v>
      </c>
      <c r="Y417" s="11">
        <v>0</v>
      </c>
      <c r="Z417" s="11">
        <v>0</v>
      </c>
      <c r="AA417" s="11">
        <v>0</v>
      </c>
      <c r="AB417" s="11">
        <v>1</v>
      </c>
      <c r="AC417" s="11">
        <v>0</v>
      </c>
      <c r="AD417" s="11" t="s">
        <v>5044</v>
      </c>
      <c r="AE417" s="11" t="s">
        <v>5044</v>
      </c>
      <c r="AF417" s="11" t="s">
        <v>5044</v>
      </c>
      <c r="AG417" s="11">
        <v>0</v>
      </c>
      <c r="AH417" s="11" t="s">
        <v>5044</v>
      </c>
      <c r="AI417" s="11" t="s">
        <v>5044</v>
      </c>
      <c r="AJ417" s="11" t="s">
        <v>5044</v>
      </c>
      <c r="AK417" s="11" t="s">
        <v>5318</v>
      </c>
      <c r="AL417" s="11">
        <v>0</v>
      </c>
      <c r="AM417" s="11">
        <v>0</v>
      </c>
      <c r="AN417" s="11" t="s">
        <v>5318</v>
      </c>
      <c r="AO417" s="11" t="s">
        <v>5318</v>
      </c>
      <c r="AP417" s="11" t="s">
        <v>5318</v>
      </c>
      <c r="AQ417" s="11" t="s">
        <v>5318</v>
      </c>
    </row>
    <row r="418" spans="1:43" ht="63" customHeight="1" x14ac:dyDescent="0.2">
      <c r="A418" s="10">
        <v>4279</v>
      </c>
      <c r="B418" s="11" t="s">
        <v>7553</v>
      </c>
      <c r="C418" s="11" t="s">
        <v>1146</v>
      </c>
      <c r="D418" s="11">
        <v>2016</v>
      </c>
      <c r="E418" s="11" t="s">
        <v>5318</v>
      </c>
      <c r="F418" s="11">
        <v>23</v>
      </c>
      <c r="G418" s="11">
        <v>2</v>
      </c>
      <c r="H418" s="11" t="s">
        <v>6742</v>
      </c>
      <c r="I418" s="11" t="s">
        <v>6516</v>
      </c>
      <c r="J418" s="11" t="s">
        <v>7554</v>
      </c>
      <c r="K418" s="11" t="s">
        <v>1147</v>
      </c>
      <c r="L418" s="11" t="s">
        <v>5665</v>
      </c>
      <c r="M418" s="11">
        <v>0</v>
      </c>
      <c r="N418" s="9" t="s">
        <v>5044</v>
      </c>
      <c r="O418" s="9" t="s">
        <v>5044</v>
      </c>
      <c r="P418" s="11">
        <v>0</v>
      </c>
      <c r="Q418" s="11">
        <v>0</v>
      </c>
      <c r="R418" s="11">
        <v>0</v>
      </c>
      <c r="S418" s="11">
        <v>1</v>
      </c>
      <c r="T418" s="11">
        <v>4</v>
      </c>
      <c r="U418" s="11">
        <v>108</v>
      </c>
      <c r="V418" s="11">
        <v>0</v>
      </c>
      <c r="W418" s="11">
        <v>1</v>
      </c>
      <c r="X418" s="11">
        <v>0</v>
      </c>
      <c r="Y418" s="11">
        <v>0</v>
      </c>
      <c r="Z418" s="11">
        <v>0</v>
      </c>
      <c r="AA418" s="11">
        <v>0</v>
      </c>
      <c r="AB418" s="11">
        <v>0</v>
      </c>
      <c r="AC418" s="11">
        <v>1</v>
      </c>
      <c r="AD418" s="11" t="s">
        <v>5044</v>
      </c>
      <c r="AE418" s="11" t="s">
        <v>5044</v>
      </c>
      <c r="AF418" s="11" t="s">
        <v>5044</v>
      </c>
      <c r="AG418" s="11">
        <v>2</v>
      </c>
      <c r="AH418" s="11">
        <v>1</v>
      </c>
      <c r="AI418" s="11">
        <v>2</v>
      </c>
      <c r="AJ418" s="11" t="s">
        <v>5044</v>
      </c>
      <c r="AK418" s="11" t="s">
        <v>5318</v>
      </c>
      <c r="AL418" s="11">
        <v>0</v>
      </c>
      <c r="AM418" s="11">
        <v>0</v>
      </c>
      <c r="AN418" s="11" t="s">
        <v>5318</v>
      </c>
      <c r="AO418" s="11" t="s">
        <v>5318</v>
      </c>
      <c r="AP418" s="11" t="s">
        <v>5318</v>
      </c>
      <c r="AQ418" s="11" t="s">
        <v>5318</v>
      </c>
    </row>
    <row r="419" spans="1:43" ht="63" customHeight="1" x14ac:dyDescent="0.2">
      <c r="A419" s="10">
        <v>4281</v>
      </c>
      <c r="B419" s="11" t="s">
        <v>7555</v>
      </c>
      <c r="C419" s="11" t="s">
        <v>1148</v>
      </c>
      <c r="D419" s="11">
        <v>2012</v>
      </c>
      <c r="E419" s="11" t="s">
        <v>5318</v>
      </c>
      <c r="F419" s="11">
        <v>99</v>
      </c>
      <c r="G419" s="11">
        <v>9</v>
      </c>
      <c r="H419" s="11" t="s">
        <v>6530</v>
      </c>
      <c r="I419" s="11" t="s">
        <v>6516</v>
      </c>
      <c r="J419" s="11" t="s">
        <v>7556</v>
      </c>
      <c r="K419" s="11" t="s">
        <v>1149</v>
      </c>
      <c r="L419" s="11" t="s">
        <v>5663</v>
      </c>
      <c r="M419" s="11">
        <v>0</v>
      </c>
      <c r="N419" s="9" t="s">
        <v>5044</v>
      </c>
      <c r="O419" s="9" t="s">
        <v>5044</v>
      </c>
      <c r="P419" s="11">
        <v>0</v>
      </c>
      <c r="Q419" s="11">
        <v>0</v>
      </c>
      <c r="R419" s="11">
        <v>0</v>
      </c>
      <c r="S419" s="11">
        <v>1</v>
      </c>
      <c r="T419" s="11">
        <v>4</v>
      </c>
      <c r="U419" s="11">
        <v>71</v>
      </c>
      <c r="V419" s="11">
        <v>0</v>
      </c>
      <c r="W419" s="11">
        <v>1</v>
      </c>
      <c r="X419" s="11">
        <v>0</v>
      </c>
      <c r="Y419" s="11">
        <v>0</v>
      </c>
      <c r="Z419" s="11">
        <v>0</v>
      </c>
      <c r="AA419" s="11">
        <v>0</v>
      </c>
      <c r="AB419" s="11">
        <v>1</v>
      </c>
      <c r="AC419" s="11">
        <v>1</v>
      </c>
      <c r="AD419" s="11" t="s">
        <v>5044</v>
      </c>
      <c r="AE419" s="11" t="s">
        <v>5044</v>
      </c>
      <c r="AF419" s="11" t="s">
        <v>5044</v>
      </c>
      <c r="AG419" s="11">
        <v>2</v>
      </c>
      <c r="AH419" s="11">
        <v>2</v>
      </c>
      <c r="AI419" s="11">
        <v>2</v>
      </c>
      <c r="AJ419" s="11" t="s">
        <v>5044</v>
      </c>
      <c r="AK419" s="11" t="s">
        <v>5318</v>
      </c>
      <c r="AL419" s="11">
        <v>0</v>
      </c>
      <c r="AM419" s="11">
        <v>0</v>
      </c>
      <c r="AN419" s="11" t="s">
        <v>5318</v>
      </c>
      <c r="AO419" s="11" t="s">
        <v>5318</v>
      </c>
      <c r="AP419" s="11" t="s">
        <v>5318</v>
      </c>
      <c r="AQ419" s="11" t="s">
        <v>5318</v>
      </c>
    </row>
    <row r="420" spans="1:43" ht="63" customHeight="1" x14ac:dyDescent="0.2">
      <c r="A420" s="10">
        <v>4292</v>
      </c>
      <c r="B420" s="11" t="s">
        <v>7557</v>
      </c>
      <c r="C420" s="11" t="s">
        <v>1150</v>
      </c>
      <c r="D420" s="11">
        <v>2020</v>
      </c>
      <c r="E420" s="11" t="s">
        <v>5318</v>
      </c>
      <c r="F420" s="11">
        <v>10</v>
      </c>
      <c r="G420" s="11">
        <v>12</v>
      </c>
      <c r="H420" s="11" t="s">
        <v>6519</v>
      </c>
      <c r="I420" s="11" t="s">
        <v>6516</v>
      </c>
      <c r="J420" s="11" t="s">
        <v>7558</v>
      </c>
      <c r="K420" s="11" t="s">
        <v>1151</v>
      </c>
      <c r="L420" s="11" t="s">
        <v>5666</v>
      </c>
      <c r="M420" s="11">
        <v>0</v>
      </c>
      <c r="N420" s="9" t="s">
        <v>5044</v>
      </c>
      <c r="O420" s="9" t="s">
        <v>5044</v>
      </c>
      <c r="P420" s="11">
        <v>0</v>
      </c>
      <c r="Q420" s="11">
        <v>0</v>
      </c>
      <c r="R420" s="11">
        <v>0</v>
      </c>
      <c r="S420" s="11">
        <v>9</v>
      </c>
      <c r="T420" s="11">
        <v>4</v>
      </c>
      <c r="U420" s="11">
        <v>80</v>
      </c>
      <c r="V420" s="11">
        <v>0</v>
      </c>
      <c r="W420" s="11">
        <v>1</v>
      </c>
      <c r="X420" s="11">
        <v>0</v>
      </c>
      <c r="Y420" s="11">
        <v>0</v>
      </c>
      <c r="Z420" s="11">
        <v>0</v>
      </c>
      <c r="AA420" s="11">
        <v>0</v>
      </c>
      <c r="AB420" s="11">
        <v>1</v>
      </c>
      <c r="AC420" s="11">
        <v>1</v>
      </c>
      <c r="AD420" s="11" t="s">
        <v>5044</v>
      </c>
      <c r="AE420" s="11" t="s">
        <v>5044</v>
      </c>
      <c r="AF420" s="11" t="s">
        <v>5044</v>
      </c>
      <c r="AG420" s="11">
        <v>2</v>
      </c>
      <c r="AH420" s="11">
        <v>3</v>
      </c>
      <c r="AI420" s="11">
        <v>0</v>
      </c>
      <c r="AJ420" s="11" t="s">
        <v>5044</v>
      </c>
      <c r="AK420" s="11" t="s">
        <v>5318</v>
      </c>
      <c r="AL420" s="11">
        <v>1</v>
      </c>
      <c r="AM420" s="11">
        <v>0</v>
      </c>
      <c r="AN420" s="11" t="s">
        <v>5318</v>
      </c>
      <c r="AO420" s="11" t="s">
        <v>5318</v>
      </c>
      <c r="AP420" s="11" t="s">
        <v>5318</v>
      </c>
      <c r="AQ420" s="11" t="s">
        <v>5318</v>
      </c>
    </row>
    <row r="421" spans="1:43" ht="63" customHeight="1" x14ac:dyDescent="0.2">
      <c r="A421" s="10">
        <v>4297</v>
      </c>
      <c r="B421" s="11" t="s">
        <v>7559</v>
      </c>
      <c r="C421" s="11" t="s">
        <v>1152</v>
      </c>
      <c r="D421" s="11">
        <v>2017</v>
      </c>
      <c r="E421" s="11" t="s">
        <v>5318</v>
      </c>
      <c r="F421" s="11">
        <v>104</v>
      </c>
      <c r="G421" s="11">
        <v>13</v>
      </c>
      <c r="H421" s="11" t="s">
        <v>6530</v>
      </c>
      <c r="I421" s="11" t="s">
        <v>6516</v>
      </c>
      <c r="J421" s="11" t="s">
        <v>7560</v>
      </c>
      <c r="K421" s="11" t="s">
        <v>1153</v>
      </c>
      <c r="L421" s="11" t="s">
        <v>5667</v>
      </c>
      <c r="M421" s="11">
        <v>0</v>
      </c>
      <c r="N421" s="9" t="s">
        <v>5044</v>
      </c>
      <c r="O421" s="9" t="s">
        <v>5044</v>
      </c>
      <c r="P421" s="11">
        <v>0</v>
      </c>
      <c r="Q421" s="11">
        <v>0</v>
      </c>
      <c r="R421" s="11">
        <v>0</v>
      </c>
      <c r="S421" s="11">
        <v>1</v>
      </c>
      <c r="T421" s="11">
        <v>4</v>
      </c>
      <c r="U421" s="11">
        <v>245</v>
      </c>
      <c r="V421" s="11">
        <v>0</v>
      </c>
      <c r="W421" s="11">
        <v>1</v>
      </c>
      <c r="X421" s="11">
        <v>0</v>
      </c>
      <c r="Y421" s="11">
        <v>0</v>
      </c>
      <c r="Z421" s="11">
        <v>0</v>
      </c>
      <c r="AA421" s="11">
        <v>0</v>
      </c>
      <c r="AB421" s="11">
        <v>0</v>
      </c>
      <c r="AC421" s="11">
        <v>1</v>
      </c>
      <c r="AD421" s="11" t="s">
        <v>5044</v>
      </c>
      <c r="AE421" s="11" t="s">
        <v>5044</v>
      </c>
      <c r="AF421" s="11" t="s">
        <v>5044</v>
      </c>
      <c r="AG421" s="11">
        <v>2</v>
      </c>
      <c r="AH421" s="11">
        <v>3</v>
      </c>
      <c r="AI421" s="11">
        <v>0</v>
      </c>
      <c r="AJ421" s="11" t="s">
        <v>5044</v>
      </c>
      <c r="AK421" s="11" t="s">
        <v>5318</v>
      </c>
      <c r="AL421" s="11">
        <v>0</v>
      </c>
      <c r="AM421" s="11">
        <v>0</v>
      </c>
      <c r="AN421" s="11" t="s">
        <v>5318</v>
      </c>
      <c r="AO421" s="11" t="s">
        <v>5318</v>
      </c>
      <c r="AP421" s="11" t="s">
        <v>5318</v>
      </c>
      <c r="AQ421" s="11" t="s">
        <v>5318</v>
      </c>
    </row>
    <row r="422" spans="1:43" ht="63" customHeight="1" x14ac:dyDescent="0.2">
      <c r="A422" s="10">
        <v>4303</v>
      </c>
      <c r="B422" s="11" t="s">
        <v>7561</v>
      </c>
      <c r="C422" s="11" t="s">
        <v>1154</v>
      </c>
      <c r="D422" s="11">
        <v>2020</v>
      </c>
      <c r="E422" s="11" t="s">
        <v>5318</v>
      </c>
      <c r="F422" s="11">
        <v>12</v>
      </c>
      <c r="G422" s="11">
        <v>8</v>
      </c>
      <c r="H422" s="11" t="s">
        <v>6739</v>
      </c>
      <c r="I422" s="11" t="s">
        <v>6516</v>
      </c>
      <c r="J422" s="11" t="s">
        <v>7562</v>
      </c>
      <c r="K422" s="11" t="s">
        <v>1155</v>
      </c>
      <c r="L422" s="11" t="s">
        <v>5668</v>
      </c>
      <c r="M422" s="11">
        <v>0</v>
      </c>
      <c r="N422" s="9" t="s">
        <v>5044</v>
      </c>
      <c r="O422" s="9" t="s">
        <v>5044</v>
      </c>
      <c r="P422" s="11">
        <v>0</v>
      </c>
      <c r="Q422" s="11">
        <v>0</v>
      </c>
      <c r="R422" s="11">
        <v>0</v>
      </c>
      <c r="S422" s="11">
        <v>1</v>
      </c>
      <c r="T422" s="11">
        <v>4</v>
      </c>
      <c r="U422" s="11">
        <v>52</v>
      </c>
      <c r="V422" s="11">
        <v>0</v>
      </c>
      <c r="W422" s="11">
        <v>1</v>
      </c>
      <c r="X422" s="11">
        <v>0</v>
      </c>
      <c r="Y422" s="11">
        <v>0</v>
      </c>
      <c r="Z422" s="11">
        <v>0</v>
      </c>
      <c r="AA422" s="11">
        <v>0</v>
      </c>
      <c r="AB422" s="11">
        <v>1</v>
      </c>
      <c r="AC422" s="11">
        <v>1</v>
      </c>
      <c r="AD422" s="11" t="s">
        <v>5044</v>
      </c>
      <c r="AE422" s="11" t="s">
        <v>5044</v>
      </c>
      <c r="AF422" s="11" t="s">
        <v>5044</v>
      </c>
      <c r="AG422" s="11">
        <v>2</v>
      </c>
      <c r="AH422" s="11">
        <v>3</v>
      </c>
      <c r="AI422" s="11">
        <v>0</v>
      </c>
      <c r="AJ422" s="11" t="s">
        <v>5044</v>
      </c>
      <c r="AK422" s="11">
        <v>1</v>
      </c>
      <c r="AL422" s="11">
        <v>0</v>
      </c>
      <c r="AM422" s="11">
        <v>0</v>
      </c>
      <c r="AN422" s="11" t="s">
        <v>5318</v>
      </c>
      <c r="AO422" s="11" t="s">
        <v>5318</v>
      </c>
      <c r="AP422" s="11" t="s">
        <v>5318</v>
      </c>
      <c r="AQ422" s="11" t="s">
        <v>5318</v>
      </c>
    </row>
    <row r="423" spans="1:43" ht="63" customHeight="1" x14ac:dyDescent="0.2">
      <c r="A423" s="10">
        <v>4306</v>
      </c>
      <c r="B423" s="11" t="s">
        <v>7563</v>
      </c>
      <c r="C423" s="11" t="s">
        <v>1156</v>
      </c>
      <c r="D423" s="11">
        <v>2021</v>
      </c>
      <c r="E423" s="11" t="s">
        <v>5318</v>
      </c>
      <c r="F423" s="11">
        <v>108</v>
      </c>
      <c r="G423" s="11">
        <v>9</v>
      </c>
      <c r="H423" s="11" t="s">
        <v>6530</v>
      </c>
      <c r="I423" s="11" t="s">
        <v>6516</v>
      </c>
      <c r="J423" s="11" t="s">
        <v>7564</v>
      </c>
      <c r="K423" s="11" t="s">
        <v>1157</v>
      </c>
      <c r="L423" s="11" t="s">
        <v>5669</v>
      </c>
      <c r="M423" s="11">
        <v>0</v>
      </c>
      <c r="N423" s="9" t="s">
        <v>5044</v>
      </c>
      <c r="O423" s="9" t="s">
        <v>5044</v>
      </c>
      <c r="P423" s="11">
        <v>0</v>
      </c>
      <c r="Q423" s="11">
        <v>0</v>
      </c>
      <c r="R423" s="11">
        <v>0</v>
      </c>
      <c r="S423" s="11">
        <v>1</v>
      </c>
      <c r="T423" s="11">
        <v>4</v>
      </c>
      <c r="U423" s="11">
        <v>256</v>
      </c>
      <c r="V423" s="11">
        <v>0</v>
      </c>
      <c r="W423" s="11">
        <v>1</v>
      </c>
      <c r="X423" s="11">
        <v>0</v>
      </c>
      <c r="Y423" s="11">
        <v>0</v>
      </c>
      <c r="Z423" s="11">
        <v>0</v>
      </c>
      <c r="AA423" s="11">
        <v>0</v>
      </c>
      <c r="AB423" s="11">
        <v>1</v>
      </c>
      <c r="AC423" s="11">
        <v>1</v>
      </c>
      <c r="AD423" s="11" t="s">
        <v>5044</v>
      </c>
      <c r="AE423" s="11" t="s">
        <v>5044</v>
      </c>
      <c r="AF423" s="11" t="s">
        <v>5044</v>
      </c>
      <c r="AG423" s="11">
        <v>2</v>
      </c>
      <c r="AH423" s="11">
        <v>3</v>
      </c>
      <c r="AI423" s="11">
        <v>0</v>
      </c>
      <c r="AJ423" s="11" t="s">
        <v>5044</v>
      </c>
      <c r="AK423" s="11">
        <v>1</v>
      </c>
      <c r="AL423" s="11" t="s">
        <v>5044</v>
      </c>
      <c r="AM423" s="11">
        <v>0</v>
      </c>
      <c r="AN423" s="11" t="s">
        <v>5318</v>
      </c>
      <c r="AO423" s="11" t="s">
        <v>5318</v>
      </c>
      <c r="AP423" s="11" t="s">
        <v>5318</v>
      </c>
      <c r="AQ423" s="11" t="s">
        <v>5318</v>
      </c>
    </row>
    <row r="424" spans="1:43" ht="63" customHeight="1" x14ac:dyDescent="0.2">
      <c r="A424" s="10">
        <v>4321</v>
      </c>
      <c r="B424" s="11" t="s">
        <v>7565</v>
      </c>
      <c r="C424" s="11" t="s">
        <v>1158</v>
      </c>
      <c r="D424" s="11">
        <v>2013</v>
      </c>
      <c r="E424" s="11" t="s">
        <v>5318</v>
      </c>
      <c r="F424" s="11">
        <v>189</v>
      </c>
      <c r="G424" s="11">
        <v>2</v>
      </c>
      <c r="H424" s="11" t="s">
        <v>7152</v>
      </c>
      <c r="I424" s="11" t="s">
        <v>6516</v>
      </c>
      <c r="J424" s="11" t="s">
        <v>7566</v>
      </c>
      <c r="K424" s="11" t="s">
        <v>1159</v>
      </c>
      <c r="L424" s="11" t="s">
        <v>5411</v>
      </c>
      <c r="M424" s="11">
        <v>0</v>
      </c>
      <c r="N424" s="9" t="s">
        <v>5044</v>
      </c>
      <c r="O424" s="9" t="s">
        <v>5044</v>
      </c>
      <c r="P424" s="11">
        <v>1</v>
      </c>
      <c r="Q424" s="11">
        <v>0</v>
      </c>
      <c r="R424" s="11">
        <v>0</v>
      </c>
      <c r="S424" s="11">
        <v>3</v>
      </c>
      <c r="T424" s="11">
        <v>2</v>
      </c>
      <c r="U424" s="11">
        <v>40</v>
      </c>
      <c r="V424" s="11">
        <v>1</v>
      </c>
      <c r="W424" s="11">
        <v>0</v>
      </c>
      <c r="X424" s="11">
        <v>0</v>
      </c>
      <c r="Y424" s="11">
        <v>0</v>
      </c>
      <c r="Z424" s="11">
        <v>0</v>
      </c>
      <c r="AA424" s="11">
        <v>0</v>
      </c>
      <c r="AB424" s="11">
        <v>1</v>
      </c>
      <c r="AC424" s="11">
        <v>1</v>
      </c>
      <c r="AD424" s="11">
        <v>2</v>
      </c>
      <c r="AE424" s="11">
        <v>1</v>
      </c>
      <c r="AF424" s="11">
        <v>1</v>
      </c>
      <c r="AG424" s="11" t="s">
        <v>5044</v>
      </c>
      <c r="AH424" s="11" t="s">
        <v>5044</v>
      </c>
      <c r="AI424" s="11" t="s">
        <v>5044</v>
      </c>
      <c r="AJ424" s="11" t="s">
        <v>5044</v>
      </c>
      <c r="AK424" s="11" t="s">
        <v>5318</v>
      </c>
      <c r="AL424" s="11" t="s">
        <v>5044</v>
      </c>
      <c r="AM424" s="11">
        <v>0</v>
      </c>
      <c r="AN424" s="11" t="s">
        <v>3714</v>
      </c>
      <c r="AO424" s="11" t="s">
        <v>5318</v>
      </c>
      <c r="AP424" s="11" t="s">
        <v>5318</v>
      </c>
      <c r="AQ424" s="11" t="s">
        <v>5318</v>
      </c>
    </row>
    <row r="425" spans="1:43" ht="63" customHeight="1" x14ac:dyDescent="0.2">
      <c r="A425" s="10">
        <v>4342</v>
      </c>
      <c r="B425" s="11" t="s">
        <v>7567</v>
      </c>
      <c r="C425" s="11" t="s">
        <v>1160</v>
      </c>
      <c r="D425" s="11">
        <v>2007</v>
      </c>
      <c r="E425" s="11" t="s">
        <v>5318</v>
      </c>
      <c r="F425" s="11">
        <v>110</v>
      </c>
      <c r="G425" s="11" t="s">
        <v>7568</v>
      </c>
      <c r="H425" s="11" t="s">
        <v>6831</v>
      </c>
      <c r="I425" s="11" t="s">
        <v>6516</v>
      </c>
      <c r="J425" s="11" t="s">
        <v>7569</v>
      </c>
      <c r="K425" s="11" t="s">
        <v>1161</v>
      </c>
      <c r="L425" s="11" t="s">
        <v>5670</v>
      </c>
      <c r="M425" s="11">
        <v>0</v>
      </c>
      <c r="N425" s="9" t="s">
        <v>5044</v>
      </c>
      <c r="O425" s="9" t="s">
        <v>5044</v>
      </c>
      <c r="P425" s="11">
        <v>0</v>
      </c>
      <c r="Q425" s="11">
        <v>0</v>
      </c>
      <c r="R425" s="11">
        <v>0</v>
      </c>
      <c r="S425" s="11">
        <v>5</v>
      </c>
      <c r="T425" s="11">
        <v>1</v>
      </c>
      <c r="U425" s="11">
        <v>60</v>
      </c>
      <c r="V425" s="11">
        <v>0</v>
      </c>
      <c r="W425" s="11">
        <v>1</v>
      </c>
      <c r="X425" s="11">
        <v>0</v>
      </c>
      <c r="Y425" s="11">
        <v>0</v>
      </c>
      <c r="Z425" s="11">
        <v>0</v>
      </c>
      <c r="AA425" s="11">
        <v>0</v>
      </c>
      <c r="AB425" s="11">
        <v>1</v>
      </c>
      <c r="AC425" s="11">
        <v>0</v>
      </c>
      <c r="AD425" s="11" t="s">
        <v>5044</v>
      </c>
      <c r="AE425" s="11" t="s">
        <v>5044</v>
      </c>
      <c r="AF425" s="11" t="s">
        <v>5044</v>
      </c>
      <c r="AG425" s="11">
        <v>0</v>
      </c>
      <c r="AH425" s="11" t="s">
        <v>5044</v>
      </c>
      <c r="AI425" s="11" t="s">
        <v>5044</v>
      </c>
      <c r="AJ425" s="11" t="s">
        <v>5044</v>
      </c>
      <c r="AK425" s="11" t="s">
        <v>5318</v>
      </c>
      <c r="AL425" s="11">
        <v>1</v>
      </c>
      <c r="AM425" s="11">
        <v>0</v>
      </c>
      <c r="AN425" s="11" t="s">
        <v>7570</v>
      </c>
      <c r="AO425" s="11" t="s">
        <v>5318</v>
      </c>
      <c r="AP425" s="11" t="s">
        <v>5318</v>
      </c>
      <c r="AQ425" s="11" t="s">
        <v>5318</v>
      </c>
    </row>
    <row r="426" spans="1:43" ht="63" customHeight="1" x14ac:dyDescent="0.2">
      <c r="A426" s="10">
        <v>4367</v>
      </c>
      <c r="B426" s="11" t="s">
        <v>7571</v>
      </c>
      <c r="C426" s="11" t="s">
        <v>1162</v>
      </c>
      <c r="D426" s="11">
        <v>2016</v>
      </c>
      <c r="E426" s="11" t="s">
        <v>5318</v>
      </c>
      <c r="F426" s="11">
        <v>17</v>
      </c>
      <c r="G426" s="11">
        <v>1</v>
      </c>
      <c r="H426" s="11" t="s">
        <v>6538</v>
      </c>
      <c r="I426" s="11" t="s">
        <v>6516</v>
      </c>
      <c r="J426" s="11" t="s">
        <v>7572</v>
      </c>
      <c r="K426" s="11" t="s">
        <v>1163</v>
      </c>
      <c r="L426" s="11" t="s">
        <v>5671</v>
      </c>
      <c r="M426" s="11">
        <v>1</v>
      </c>
      <c r="N426" s="11">
        <v>0</v>
      </c>
      <c r="O426" s="9" t="s">
        <v>5044</v>
      </c>
      <c r="P426" s="11">
        <v>0</v>
      </c>
      <c r="Q426" s="11">
        <v>0</v>
      </c>
      <c r="R426" s="11">
        <v>0</v>
      </c>
      <c r="S426" s="11">
        <v>1</v>
      </c>
      <c r="T426" s="11">
        <v>4</v>
      </c>
      <c r="U426" s="11">
        <v>114</v>
      </c>
      <c r="V426" s="11">
        <v>0</v>
      </c>
      <c r="W426" s="11">
        <v>1</v>
      </c>
      <c r="X426" s="11">
        <v>0</v>
      </c>
      <c r="Y426" s="11">
        <v>0</v>
      </c>
      <c r="Z426" s="11">
        <v>0</v>
      </c>
      <c r="AA426" s="11">
        <v>0</v>
      </c>
      <c r="AB426" s="11">
        <v>1</v>
      </c>
      <c r="AC426" s="11" t="s">
        <v>5044</v>
      </c>
      <c r="AD426" s="11" t="s">
        <v>5044</v>
      </c>
      <c r="AE426" s="11" t="s">
        <v>5044</v>
      </c>
      <c r="AF426" s="11" t="s">
        <v>5044</v>
      </c>
      <c r="AG426" s="11" t="s">
        <v>5044</v>
      </c>
      <c r="AH426" s="11" t="s">
        <v>5044</v>
      </c>
      <c r="AI426" s="11" t="s">
        <v>5044</v>
      </c>
      <c r="AJ426" s="11" t="s">
        <v>5044</v>
      </c>
      <c r="AK426" s="11" t="s">
        <v>5318</v>
      </c>
      <c r="AL426" s="11" t="s">
        <v>5044</v>
      </c>
      <c r="AM426" s="11">
        <v>0</v>
      </c>
      <c r="AN426" s="11" t="s">
        <v>5318</v>
      </c>
      <c r="AO426" s="11" t="s">
        <v>5318</v>
      </c>
      <c r="AP426" s="11" t="s">
        <v>5318</v>
      </c>
      <c r="AQ426" s="11" t="s">
        <v>5318</v>
      </c>
    </row>
    <row r="427" spans="1:43" ht="63" customHeight="1" x14ac:dyDescent="0.2">
      <c r="A427" s="10">
        <v>4370</v>
      </c>
      <c r="B427" s="11" t="s">
        <v>7573</v>
      </c>
      <c r="C427" s="11" t="s">
        <v>1164</v>
      </c>
      <c r="D427" s="11">
        <v>2018</v>
      </c>
      <c r="E427" s="11" t="s">
        <v>5318</v>
      </c>
      <c r="F427" s="11">
        <v>102</v>
      </c>
      <c r="G427" s="11">
        <v>4</v>
      </c>
      <c r="H427" s="11" t="s">
        <v>7574</v>
      </c>
      <c r="I427" s="11" t="s">
        <v>6516</v>
      </c>
      <c r="J427" s="11" t="s">
        <v>7575</v>
      </c>
      <c r="K427" s="11" t="s">
        <v>1166</v>
      </c>
      <c r="L427" s="11" t="s">
        <v>5686</v>
      </c>
      <c r="M427" s="11">
        <v>0</v>
      </c>
      <c r="N427" s="9" t="s">
        <v>5044</v>
      </c>
      <c r="O427" s="9" t="s">
        <v>5044</v>
      </c>
      <c r="P427" s="11">
        <v>0</v>
      </c>
      <c r="Q427" s="11">
        <v>0</v>
      </c>
      <c r="R427" s="11">
        <v>0</v>
      </c>
      <c r="S427" s="11">
        <v>1</v>
      </c>
      <c r="T427" s="11">
        <v>4</v>
      </c>
      <c r="U427" s="11">
        <v>80</v>
      </c>
      <c r="V427" s="11">
        <v>0</v>
      </c>
      <c r="W427" s="11">
        <v>1</v>
      </c>
      <c r="X427" s="11">
        <v>0</v>
      </c>
      <c r="Y427" s="11">
        <v>0</v>
      </c>
      <c r="Z427" s="11">
        <v>0</v>
      </c>
      <c r="AA427" s="11">
        <v>0</v>
      </c>
      <c r="AB427" s="11">
        <v>1</v>
      </c>
      <c r="AC427" s="11">
        <v>1</v>
      </c>
      <c r="AD427" s="11" t="s">
        <v>5044</v>
      </c>
      <c r="AE427" s="11" t="s">
        <v>5044</v>
      </c>
      <c r="AF427" s="11" t="s">
        <v>5044</v>
      </c>
      <c r="AG427" s="11">
        <v>1</v>
      </c>
      <c r="AH427" s="11">
        <v>0</v>
      </c>
      <c r="AI427" s="11">
        <v>0</v>
      </c>
      <c r="AJ427" s="11" t="s">
        <v>5044</v>
      </c>
      <c r="AK427" s="11" t="s">
        <v>5318</v>
      </c>
      <c r="AL427" s="11">
        <v>0</v>
      </c>
      <c r="AM427" s="11">
        <v>0</v>
      </c>
      <c r="AN427" s="11" t="s">
        <v>5318</v>
      </c>
      <c r="AO427" s="11" t="s">
        <v>5318</v>
      </c>
      <c r="AP427" s="11" t="s">
        <v>5318</v>
      </c>
      <c r="AQ427" s="11" t="s">
        <v>5318</v>
      </c>
    </row>
    <row r="428" spans="1:43" ht="63" customHeight="1" x14ac:dyDescent="0.2">
      <c r="A428" s="10">
        <v>4379</v>
      </c>
      <c r="B428" s="11" t="s">
        <v>7576</v>
      </c>
      <c r="C428" s="11" t="s">
        <v>1167</v>
      </c>
      <c r="D428" s="11">
        <v>2012</v>
      </c>
      <c r="E428" s="11" t="s">
        <v>5318</v>
      </c>
      <c r="F428" s="11">
        <v>163</v>
      </c>
      <c r="G428" s="11">
        <v>1</v>
      </c>
      <c r="H428" s="11" t="s">
        <v>7426</v>
      </c>
      <c r="I428" s="11" t="s">
        <v>6516</v>
      </c>
      <c r="J428" s="11" t="s">
        <v>7577</v>
      </c>
      <c r="K428" s="11" t="s">
        <v>1168</v>
      </c>
      <c r="L428" s="11" t="s">
        <v>5687</v>
      </c>
      <c r="M428" s="11">
        <v>0</v>
      </c>
      <c r="N428" s="9" t="s">
        <v>5044</v>
      </c>
      <c r="O428" s="9" t="s">
        <v>5044</v>
      </c>
      <c r="P428" s="11">
        <v>0</v>
      </c>
      <c r="Q428" s="11">
        <v>0</v>
      </c>
      <c r="R428" s="11">
        <v>0</v>
      </c>
      <c r="S428" s="11">
        <v>5</v>
      </c>
      <c r="T428" s="11">
        <v>1</v>
      </c>
      <c r="U428" s="11">
        <v>120</v>
      </c>
      <c r="V428" s="11">
        <v>0</v>
      </c>
      <c r="W428" s="11">
        <v>1</v>
      </c>
      <c r="X428" s="11">
        <v>0</v>
      </c>
      <c r="Y428" s="11">
        <v>0</v>
      </c>
      <c r="Z428" s="11">
        <v>0</v>
      </c>
      <c r="AA428" s="11">
        <v>0</v>
      </c>
      <c r="AB428" s="11">
        <v>1</v>
      </c>
      <c r="AC428" s="11">
        <v>1</v>
      </c>
      <c r="AD428" s="11" t="s">
        <v>5044</v>
      </c>
      <c r="AE428" s="11" t="s">
        <v>5044</v>
      </c>
      <c r="AF428" s="11" t="s">
        <v>5044</v>
      </c>
      <c r="AG428" s="11">
        <v>2</v>
      </c>
      <c r="AH428" s="11">
        <v>3</v>
      </c>
      <c r="AI428" s="11">
        <v>0</v>
      </c>
      <c r="AJ428" s="11" t="s">
        <v>5044</v>
      </c>
      <c r="AK428" s="11" t="s">
        <v>5318</v>
      </c>
      <c r="AL428" s="11" t="s">
        <v>5044</v>
      </c>
      <c r="AM428" s="11">
        <v>0</v>
      </c>
      <c r="AN428" s="11" t="s">
        <v>5105</v>
      </c>
      <c r="AO428" s="11" t="s">
        <v>5318</v>
      </c>
      <c r="AP428" s="11" t="s">
        <v>5318</v>
      </c>
      <c r="AQ428" s="11" t="s">
        <v>5318</v>
      </c>
    </row>
    <row r="429" spans="1:43" ht="63" customHeight="1" x14ac:dyDescent="0.2">
      <c r="A429" s="10">
        <v>4388</v>
      </c>
      <c r="B429" s="11" t="s">
        <v>7578</v>
      </c>
      <c r="C429" s="11" t="s">
        <v>1169</v>
      </c>
      <c r="D429" s="11">
        <v>2019</v>
      </c>
      <c r="E429" s="11" t="s">
        <v>5318</v>
      </c>
      <c r="F429" s="11">
        <v>19</v>
      </c>
      <c r="G429" s="11">
        <v>1</v>
      </c>
      <c r="H429" s="11" t="s">
        <v>6794</v>
      </c>
      <c r="I429" s="11" t="s">
        <v>6516</v>
      </c>
      <c r="J429" s="11" t="s">
        <v>7579</v>
      </c>
      <c r="K429" s="11" t="s">
        <v>1170</v>
      </c>
      <c r="L429" s="11" t="s">
        <v>5688</v>
      </c>
      <c r="M429" s="11">
        <v>1</v>
      </c>
      <c r="N429" s="11">
        <v>0</v>
      </c>
      <c r="O429" s="9" t="s">
        <v>5044</v>
      </c>
      <c r="P429" s="11">
        <v>0</v>
      </c>
      <c r="Q429" s="11">
        <v>0</v>
      </c>
      <c r="R429" s="11">
        <v>0</v>
      </c>
      <c r="S429" s="11">
        <v>1</v>
      </c>
      <c r="T429" s="11">
        <v>1</v>
      </c>
      <c r="U429" s="11">
        <v>90</v>
      </c>
      <c r="V429" s="11">
        <v>0</v>
      </c>
      <c r="W429" s="11">
        <v>1</v>
      </c>
      <c r="X429" s="11">
        <v>0</v>
      </c>
      <c r="Y429" s="11">
        <v>0</v>
      </c>
      <c r="Z429" s="11">
        <v>1</v>
      </c>
      <c r="AA429" s="11">
        <v>0</v>
      </c>
      <c r="AB429" s="11">
        <v>1</v>
      </c>
      <c r="AC429" s="11" t="s">
        <v>5044</v>
      </c>
      <c r="AD429" s="11" t="s">
        <v>5044</v>
      </c>
      <c r="AE429" s="11" t="s">
        <v>5044</v>
      </c>
      <c r="AF429" s="11" t="s">
        <v>5044</v>
      </c>
      <c r="AG429" s="11" t="s">
        <v>5044</v>
      </c>
      <c r="AH429" s="11" t="s">
        <v>5044</v>
      </c>
      <c r="AI429" s="11" t="s">
        <v>5044</v>
      </c>
      <c r="AJ429" s="11" t="s">
        <v>5044</v>
      </c>
      <c r="AK429" s="11" t="s">
        <v>5318</v>
      </c>
      <c r="AL429" s="11" t="s">
        <v>5044</v>
      </c>
      <c r="AM429" s="11">
        <v>0</v>
      </c>
      <c r="AN429" s="11" t="s">
        <v>5318</v>
      </c>
      <c r="AO429" s="11" t="s">
        <v>5318</v>
      </c>
      <c r="AP429" s="11" t="s">
        <v>5318</v>
      </c>
      <c r="AQ429" s="11" t="s">
        <v>5318</v>
      </c>
    </row>
    <row r="430" spans="1:43" ht="63" customHeight="1" x14ac:dyDescent="0.2">
      <c r="A430" s="10">
        <v>4394</v>
      </c>
      <c r="B430" s="11" t="s">
        <v>7580</v>
      </c>
      <c r="C430" s="11" t="s">
        <v>1171</v>
      </c>
      <c r="D430" s="11">
        <v>2017</v>
      </c>
      <c r="E430" s="11" t="s">
        <v>5318</v>
      </c>
      <c r="F430" s="11">
        <v>104</v>
      </c>
      <c r="G430" s="11">
        <v>11</v>
      </c>
      <c r="H430" s="11" t="s">
        <v>6530</v>
      </c>
      <c r="I430" s="11" t="s">
        <v>6516</v>
      </c>
      <c r="J430" s="11" t="s">
        <v>7581</v>
      </c>
      <c r="K430" s="11" t="s">
        <v>1172</v>
      </c>
      <c r="L430" s="11" t="s">
        <v>5689</v>
      </c>
      <c r="M430" s="11">
        <v>0</v>
      </c>
      <c r="N430" s="9" t="s">
        <v>5044</v>
      </c>
      <c r="O430" s="9" t="s">
        <v>5044</v>
      </c>
      <c r="P430" s="11">
        <v>0</v>
      </c>
      <c r="Q430" s="11">
        <v>0</v>
      </c>
      <c r="R430" s="11">
        <v>0</v>
      </c>
      <c r="S430" s="11">
        <v>1</v>
      </c>
      <c r="T430" s="11">
        <v>4</v>
      </c>
      <c r="U430" s="11">
        <v>64</v>
      </c>
      <c r="V430" s="11">
        <v>0</v>
      </c>
      <c r="W430" s="11">
        <v>1</v>
      </c>
      <c r="X430" s="11">
        <v>0</v>
      </c>
      <c r="Y430" s="11">
        <v>0</v>
      </c>
      <c r="Z430" s="11">
        <v>0</v>
      </c>
      <c r="AA430" s="11">
        <v>0</v>
      </c>
      <c r="AB430" s="11">
        <v>1</v>
      </c>
      <c r="AC430" s="11">
        <v>1</v>
      </c>
      <c r="AD430" s="11" t="s">
        <v>5044</v>
      </c>
      <c r="AE430" s="11" t="s">
        <v>5044</v>
      </c>
      <c r="AF430" s="11" t="s">
        <v>5044</v>
      </c>
      <c r="AG430" s="11">
        <v>2</v>
      </c>
      <c r="AH430" s="11">
        <v>3</v>
      </c>
      <c r="AI430" s="11">
        <v>0</v>
      </c>
      <c r="AJ430" s="11" t="s">
        <v>5044</v>
      </c>
      <c r="AK430" s="11">
        <v>1</v>
      </c>
      <c r="AL430" s="11">
        <v>1</v>
      </c>
      <c r="AM430" s="11">
        <v>0</v>
      </c>
      <c r="AN430" s="11" t="s">
        <v>5318</v>
      </c>
      <c r="AO430" s="11" t="s">
        <v>5318</v>
      </c>
      <c r="AP430" s="11" t="s">
        <v>5318</v>
      </c>
      <c r="AQ430" s="11" t="s">
        <v>5318</v>
      </c>
    </row>
    <row r="431" spans="1:43" ht="63" customHeight="1" x14ac:dyDescent="0.2">
      <c r="A431" s="10">
        <v>4397</v>
      </c>
      <c r="B431" s="11" t="s">
        <v>7582</v>
      </c>
      <c r="C431" s="11" t="s">
        <v>1173</v>
      </c>
      <c r="D431" s="11">
        <v>2023</v>
      </c>
      <c r="E431" s="11" t="s">
        <v>5318</v>
      </c>
      <c r="F431" s="11">
        <v>36</v>
      </c>
      <c r="G431" s="11">
        <v>1</v>
      </c>
      <c r="H431" s="11" t="s">
        <v>7583</v>
      </c>
      <c r="I431" s="11" t="s">
        <v>6516</v>
      </c>
      <c r="J431" s="11" t="s">
        <v>7584</v>
      </c>
      <c r="K431" s="11" t="s">
        <v>1174</v>
      </c>
      <c r="L431" s="11" t="s">
        <v>5044</v>
      </c>
      <c r="M431" s="11">
        <v>0</v>
      </c>
      <c r="N431" s="9" t="s">
        <v>5044</v>
      </c>
      <c r="O431" s="9" t="s">
        <v>5044</v>
      </c>
      <c r="P431" s="11">
        <v>0</v>
      </c>
      <c r="Q431" s="11">
        <v>0</v>
      </c>
      <c r="R431" s="11">
        <v>0</v>
      </c>
      <c r="S431" s="11">
        <v>3</v>
      </c>
      <c r="T431" s="11">
        <v>1</v>
      </c>
      <c r="U431" s="11">
        <v>172</v>
      </c>
      <c r="V431" s="11">
        <v>0</v>
      </c>
      <c r="W431" s="11">
        <v>1</v>
      </c>
      <c r="X431" s="11">
        <v>0</v>
      </c>
      <c r="Y431" s="11">
        <v>0</v>
      </c>
      <c r="Z431" s="11">
        <v>0</v>
      </c>
      <c r="AA431" s="11">
        <v>0</v>
      </c>
      <c r="AB431" s="11">
        <v>1</v>
      </c>
      <c r="AC431" s="11">
        <v>0</v>
      </c>
      <c r="AD431" s="11" t="s">
        <v>5044</v>
      </c>
      <c r="AE431" s="11" t="s">
        <v>5044</v>
      </c>
      <c r="AF431" s="11" t="s">
        <v>5044</v>
      </c>
      <c r="AG431" s="11">
        <v>0</v>
      </c>
      <c r="AH431" s="11" t="s">
        <v>5044</v>
      </c>
      <c r="AI431" s="11" t="s">
        <v>5044</v>
      </c>
      <c r="AJ431" s="11" t="s">
        <v>5044</v>
      </c>
      <c r="AK431" s="11" t="s">
        <v>5318</v>
      </c>
      <c r="AL431" s="11">
        <v>1</v>
      </c>
      <c r="AM431" s="11">
        <v>0</v>
      </c>
      <c r="AN431" s="11" t="s">
        <v>5318</v>
      </c>
      <c r="AO431" s="11" t="s">
        <v>5318</v>
      </c>
      <c r="AP431" s="11" t="s">
        <v>5318</v>
      </c>
      <c r="AQ431" s="11" t="s">
        <v>5318</v>
      </c>
    </row>
    <row r="432" spans="1:43" ht="63" customHeight="1" x14ac:dyDescent="0.2">
      <c r="A432" s="10">
        <v>4402</v>
      </c>
      <c r="B432" s="11" t="s">
        <v>7585</v>
      </c>
      <c r="C432" s="11" t="s">
        <v>1175</v>
      </c>
      <c r="D432" s="11">
        <v>2020</v>
      </c>
      <c r="E432" s="11" t="s">
        <v>5318</v>
      </c>
      <c r="F432" s="11">
        <v>16</v>
      </c>
      <c r="G432" s="11">
        <v>10</v>
      </c>
      <c r="H432" s="11" t="s">
        <v>7533</v>
      </c>
      <c r="I432" s="11" t="s">
        <v>6516</v>
      </c>
      <c r="J432" s="11" t="s">
        <v>7586</v>
      </c>
      <c r="K432" s="11" t="s">
        <v>1176</v>
      </c>
      <c r="L432" s="11" t="s">
        <v>5690</v>
      </c>
      <c r="M432" s="11">
        <v>0</v>
      </c>
      <c r="N432" s="9" t="s">
        <v>5044</v>
      </c>
      <c r="O432" s="9" t="s">
        <v>5044</v>
      </c>
      <c r="P432" s="11">
        <v>0</v>
      </c>
      <c r="Q432" s="11">
        <v>0</v>
      </c>
      <c r="R432" s="11">
        <v>0</v>
      </c>
      <c r="S432" s="11">
        <v>1</v>
      </c>
      <c r="T432" s="11">
        <v>3</v>
      </c>
      <c r="U432" s="11">
        <v>36</v>
      </c>
      <c r="V432" s="11">
        <v>1</v>
      </c>
      <c r="W432" s="11">
        <v>0</v>
      </c>
      <c r="X432" s="11">
        <v>0</v>
      </c>
      <c r="Y432" s="11">
        <v>0</v>
      </c>
      <c r="Z432" s="11">
        <v>0</v>
      </c>
      <c r="AA432" s="11">
        <v>0</v>
      </c>
      <c r="AB432" s="11">
        <v>1</v>
      </c>
      <c r="AC432" s="11">
        <v>1</v>
      </c>
      <c r="AD432" s="11">
        <v>1</v>
      </c>
      <c r="AE432" s="11">
        <v>0</v>
      </c>
      <c r="AF432" s="11">
        <v>0</v>
      </c>
      <c r="AG432" s="11" t="s">
        <v>5044</v>
      </c>
      <c r="AH432" s="11" t="s">
        <v>5044</v>
      </c>
      <c r="AI432" s="11" t="s">
        <v>5044</v>
      </c>
      <c r="AJ432" s="11" t="s">
        <v>5044</v>
      </c>
      <c r="AK432" s="11" t="s">
        <v>5318</v>
      </c>
      <c r="AL432" s="11">
        <v>0</v>
      </c>
      <c r="AM432" s="11">
        <v>0</v>
      </c>
      <c r="AN432" s="11" t="s">
        <v>5318</v>
      </c>
      <c r="AO432" s="11" t="s">
        <v>5318</v>
      </c>
      <c r="AP432" s="11" t="s">
        <v>5318</v>
      </c>
      <c r="AQ432" s="11" t="s">
        <v>5318</v>
      </c>
    </row>
    <row r="433" spans="1:43" ht="63" customHeight="1" x14ac:dyDescent="0.2">
      <c r="A433" s="10">
        <v>4405</v>
      </c>
      <c r="B433" s="11" t="s">
        <v>7587</v>
      </c>
      <c r="C433" s="11" t="s">
        <v>1177</v>
      </c>
      <c r="D433" s="11">
        <v>2018</v>
      </c>
      <c r="E433" s="11" t="s">
        <v>5318</v>
      </c>
      <c r="F433" s="11">
        <v>50</v>
      </c>
      <c r="G433" s="11">
        <v>6</v>
      </c>
      <c r="H433" s="11" t="s">
        <v>7588</v>
      </c>
      <c r="I433" s="11" t="s">
        <v>6516</v>
      </c>
      <c r="J433" s="11" t="s">
        <v>7589</v>
      </c>
      <c r="K433" s="11" t="s">
        <v>1178</v>
      </c>
      <c r="L433" s="11" t="s">
        <v>5691</v>
      </c>
      <c r="M433" s="11">
        <v>0</v>
      </c>
      <c r="N433" s="9" t="s">
        <v>5044</v>
      </c>
      <c r="O433" s="9" t="s">
        <v>5044</v>
      </c>
      <c r="P433" s="11">
        <v>0</v>
      </c>
      <c r="Q433" s="11">
        <v>0</v>
      </c>
      <c r="R433" s="11">
        <v>0</v>
      </c>
      <c r="S433" s="11">
        <v>1</v>
      </c>
      <c r="T433" s="11">
        <v>1</v>
      </c>
      <c r="U433" s="11">
        <v>29</v>
      </c>
      <c r="V433" s="11">
        <v>1</v>
      </c>
      <c r="W433" s="11">
        <v>0</v>
      </c>
      <c r="X433" s="11">
        <v>0</v>
      </c>
      <c r="Y433" s="11">
        <v>0</v>
      </c>
      <c r="Z433" s="11">
        <v>0</v>
      </c>
      <c r="AA433" s="11">
        <v>0</v>
      </c>
      <c r="AB433" s="11">
        <v>1</v>
      </c>
      <c r="AC433" s="11">
        <v>1</v>
      </c>
      <c r="AD433" s="11">
        <v>2</v>
      </c>
      <c r="AE433" s="11">
        <v>2</v>
      </c>
      <c r="AF433" s="11">
        <v>2</v>
      </c>
      <c r="AG433" s="11" t="s">
        <v>5044</v>
      </c>
      <c r="AH433" s="11" t="s">
        <v>5044</v>
      </c>
      <c r="AI433" s="11" t="s">
        <v>5044</v>
      </c>
      <c r="AJ433" s="11" t="s">
        <v>5044</v>
      </c>
      <c r="AK433" s="11" t="s">
        <v>5318</v>
      </c>
      <c r="AL433" s="11">
        <v>0</v>
      </c>
      <c r="AM433" s="11">
        <v>0</v>
      </c>
      <c r="AN433" s="11" t="s">
        <v>5318</v>
      </c>
      <c r="AO433" s="11" t="s">
        <v>5318</v>
      </c>
      <c r="AP433" s="11" t="s">
        <v>5318</v>
      </c>
      <c r="AQ433" s="11" t="s">
        <v>5318</v>
      </c>
    </row>
    <row r="434" spans="1:43" ht="63" customHeight="1" x14ac:dyDescent="0.2">
      <c r="A434" s="10">
        <v>4411</v>
      </c>
      <c r="B434" s="11" t="s">
        <v>7590</v>
      </c>
      <c r="C434" s="11" t="s">
        <v>1179</v>
      </c>
      <c r="D434" s="11">
        <v>2022</v>
      </c>
      <c r="E434" s="11" t="s">
        <v>5318</v>
      </c>
      <c r="F434" s="11">
        <v>106</v>
      </c>
      <c r="G434" s="11">
        <v>12</v>
      </c>
      <c r="H434" s="11" t="s">
        <v>7574</v>
      </c>
      <c r="I434" s="11" t="s">
        <v>6516</v>
      </c>
      <c r="J434" s="11" t="s">
        <v>7591</v>
      </c>
      <c r="K434" s="11" t="s">
        <v>1181</v>
      </c>
      <c r="L434" s="11" t="s">
        <v>5692</v>
      </c>
      <c r="M434" s="11">
        <v>0</v>
      </c>
      <c r="N434" s="9" t="s">
        <v>5044</v>
      </c>
      <c r="O434" s="9" t="s">
        <v>5044</v>
      </c>
      <c r="P434" s="11">
        <v>0</v>
      </c>
      <c r="Q434" s="11">
        <v>0</v>
      </c>
      <c r="R434" s="11">
        <v>0</v>
      </c>
      <c r="S434" s="11">
        <v>1</v>
      </c>
      <c r="T434" s="11">
        <v>1</v>
      </c>
      <c r="U434" s="11">
        <v>58</v>
      </c>
      <c r="V434" s="11">
        <v>0</v>
      </c>
      <c r="W434" s="11">
        <v>1</v>
      </c>
      <c r="X434" s="11">
        <v>0</v>
      </c>
      <c r="Y434" s="11">
        <v>0</v>
      </c>
      <c r="Z434" s="11">
        <v>0</v>
      </c>
      <c r="AA434" s="11">
        <v>0</v>
      </c>
      <c r="AB434" s="11">
        <v>1</v>
      </c>
      <c r="AC434" s="11">
        <v>1</v>
      </c>
      <c r="AD434" s="11" t="s">
        <v>5044</v>
      </c>
      <c r="AE434" s="11" t="s">
        <v>5044</v>
      </c>
      <c r="AF434" s="11" t="s">
        <v>5044</v>
      </c>
      <c r="AG434" s="11">
        <v>2</v>
      </c>
      <c r="AH434" s="11">
        <v>3</v>
      </c>
      <c r="AI434" s="11">
        <v>0</v>
      </c>
      <c r="AJ434" s="11" t="s">
        <v>5044</v>
      </c>
      <c r="AK434" s="11" t="s">
        <v>5318</v>
      </c>
      <c r="AL434" s="11">
        <v>1</v>
      </c>
      <c r="AM434" s="11">
        <v>0</v>
      </c>
      <c r="AN434" s="11" t="s">
        <v>5318</v>
      </c>
      <c r="AO434" s="11" t="s">
        <v>5318</v>
      </c>
      <c r="AP434" s="11" t="s">
        <v>5318</v>
      </c>
      <c r="AQ434" s="11" t="s">
        <v>5318</v>
      </c>
    </row>
    <row r="435" spans="1:43" ht="63" customHeight="1" x14ac:dyDescent="0.2">
      <c r="A435" s="10">
        <v>4422</v>
      </c>
      <c r="B435" s="11" t="s">
        <v>7592</v>
      </c>
      <c r="C435" s="11" t="s">
        <v>1182</v>
      </c>
      <c r="D435" s="11">
        <v>2022</v>
      </c>
      <c r="E435" s="11" t="s">
        <v>5318</v>
      </c>
      <c r="F435" s="11">
        <v>12</v>
      </c>
      <c r="G435" s="11">
        <v>8</v>
      </c>
      <c r="H435" s="11" t="s">
        <v>6519</v>
      </c>
      <c r="I435" s="11" t="s">
        <v>6516</v>
      </c>
      <c r="J435" s="11" t="s">
        <v>7593</v>
      </c>
      <c r="K435" s="11" t="s">
        <v>1183</v>
      </c>
      <c r="L435" s="11" t="s">
        <v>5693</v>
      </c>
      <c r="M435" s="11">
        <v>1</v>
      </c>
      <c r="N435" s="11">
        <v>0</v>
      </c>
      <c r="O435" s="9" t="s">
        <v>5044</v>
      </c>
      <c r="P435" s="11">
        <v>0</v>
      </c>
      <c r="Q435" s="11">
        <v>0</v>
      </c>
      <c r="R435" s="11">
        <v>0</v>
      </c>
      <c r="S435" s="11">
        <v>1</v>
      </c>
      <c r="T435" s="11">
        <v>1</v>
      </c>
      <c r="U435" s="11">
        <v>388</v>
      </c>
      <c r="V435" s="11">
        <v>0</v>
      </c>
      <c r="W435" s="11">
        <v>1</v>
      </c>
      <c r="X435" s="11">
        <v>0</v>
      </c>
      <c r="Y435" s="11">
        <v>0</v>
      </c>
      <c r="Z435" s="11">
        <v>0</v>
      </c>
      <c r="AA435" s="11">
        <v>0</v>
      </c>
      <c r="AB435" s="11">
        <v>1</v>
      </c>
      <c r="AC435" s="11" t="s">
        <v>5044</v>
      </c>
      <c r="AD435" s="11" t="s">
        <v>5044</v>
      </c>
      <c r="AE435" s="11" t="s">
        <v>5044</v>
      </c>
      <c r="AF435" s="11" t="s">
        <v>5044</v>
      </c>
      <c r="AG435" s="11" t="s">
        <v>5044</v>
      </c>
      <c r="AH435" s="11" t="s">
        <v>5044</v>
      </c>
      <c r="AI435" s="11" t="s">
        <v>5044</v>
      </c>
      <c r="AJ435" s="11" t="s">
        <v>5044</v>
      </c>
      <c r="AK435" s="11" t="s">
        <v>5318</v>
      </c>
      <c r="AL435" s="11" t="s">
        <v>5044</v>
      </c>
      <c r="AM435" s="11">
        <v>0</v>
      </c>
      <c r="AN435" s="11" t="s">
        <v>5318</v>
      </c>
      <c r="AO435" s="11" t="s">
        <v>5318</v>
      </c>
      <c r="AP435" s="11" t="s">
        <v>5318</v>
      </c>
      <c r="AQ435" s="11" t="s">
        <v>5318</v>
      </c>
    </row>
    <row r="436" spans="1:43" ht="63" customHeight="1" x14ac:dyDescent="0.2">
      <c r="A436" s="10">
        <v>4430</v>
      </c>
      <c r="B436" s="11" t="s">
        <v>7594</v>
      </c>
      <c r="C436" s="11" t="s">
        <v>1184</v>
      </c>
      <c r="D436" s="11">
        <v>2020</v>
      </c>
      <c r="E436" s="11" t="s">
        <v>5318</v>
      </c>
      <c r="F436" s="11">
        <v>30</v>
      </c>
      <c r="G436" s="11">
        <v>3</v>
      </c>
      <c r="H436" s="11" t="s">
        <v>7595</v>
      </c>
      <c r="I436" s="11" t="s">
        <v>6516</v>
      </c>
      <c r="J436" s="11" t="s">
        <v>7596</v>
      </c>
      <c r="K436" s="11" t="s">
        <v>1186</v>
      </c>
      <c r="L436" s="11" t="s">
        <v>5044</v>
      </c>
      <c r="M436" s="11">
        <v>0</v>
      </c>
      <c r="N436" s="9" t="s">
        <v>5044</v>
      </c>
      <c r="O436" s="9" t="s">
        <v>5044</v>
      </c>
      <c r="P436" s="11">
        <v>0</v>
      </c>
      <c r="Q436" s="11">
        <v>0</v>
      </c>
      <c r="R436" s="11">
        <v>0</v>
      </c>
      <c r="S436" s="11">
        <v>3</v>
      </c>
      <c r="T436" s="11">
        <v>1</v>
      </c>
      <c r="U436" s="11">
        <v>105</v>
      </c>
      <c r="V436" s="11">
        <v>0</v>
      </c>
      <c r="W436" s="11">
        <v>1</v>
      </c>
      <c r="X436" s="11">
        <v>0</v>
      </c>
      <c r="Y436" s="11">
        <v>0</v>
      </c>
      <c r="Z436" s="11">
        <v>0</v>
      </c>
      <c r="AA436" s="11">
        <v>0</v>
      </c>
      <c r="AB436" s="11">
        <v>1</v>
      </c>
      <c r="AC436" s="11">
        <v>1</v>
      </c>
      <c r="AD436" s="11" t="s">
        <v>5044</v>
      </c>
      <c r="AE436" s="11" t="s">
        <v>5044</v>
      </c>
      <c r="AF436" s="11" t="s">
        <v>5044</v>
      </c>
      <c r="AG436" s="11">
        <v>2</v>
      </c>
      <c r="AH436" s="11">
        <v>3</v>
      </c>
      <c r="AI436" s="11">
        <v>0</v>
      </c>
      <c r="AJ436" s="11" t="s">
        <v>5044</v>
      </c>
      <c r="AK436" s="11">
        <v>2</v>
      </c>
      <c r="AL436" s="11" t="s">
        <v>5044</v>
      </c>
      <c r="AM436" s="11">
        <v>0</v>
      </c>
      <c r="AN436" s="11" t="s">
        <v>5105</v>
      </c>
      <c r="AO436" s="11" t="s">
        <v>5318</v>
      </c>
      <c r="AP436" s="11" t="s">
        <v>5318</v>
      </c>
      <c r="AQ436" s="11" t="s">
        <v>5318</v>
      </c>
    </row>
    <row r="437" spans="1:43" ht="63" customHeight="1" x14ac:dyDescent="0.2">
      <c r="A437" s="10">
        <v>4431</v>
      </c>
      <c r="B437" s="11" t="s">
        <v>7597</v>
      </c>
      <c r="C437" s="11" t="s">
        <v>1187</v>
      </c>
      <c r="D437" s="11">
        <v>2020</v>
      </c>
      <c r="E437" s="11" t="s">
        <v>5318</v>
      </c>
      <c r="F437" s="11">
        <v>17</v>
      </c>
      <c r="G437" s="11">
        <v>3</v>
      </c>
      <c r="H437" s="11" t="s">
        <v>7598</v>
      </c>
      <c r="I437" s="11" t="s">
        <v>6516</v>
      </c>
      <c r="J437" s="11" t="s">
        <v>7599</v>
      </c>
      <c r="K437" s="11" t="s">
        <v>1189</v>
      </c>
      <c r="L437" s="11" t="s">
        <v>5044</v>
      </c>
      <c r="M437" s="11">
        <v>0</v>
      </c>
      <c r="N437" s="9" t="s">
        <v>5044</v>
      </c>
      <c r="O437" s="9" t="s">
        <v>5044</v>
      </c>
      <c r="P437" s="11">
        <v>0</v>
      </c>
      <c r="Q437" s="11">
        <v>0</v>
      </c>
      <c r="R437" s="11">
        <v>0</v>
      </c>
      <c r="S437" s="11">
        <v>3</v>
      </c>
      <c r="T437" s="11">
        <v>1</v>
      </c>
      <c r="U437" s="11">
        <v>105</v>
      </c>
      <c r="V437" s="11">
        <v>0</v>
      </c>
      <c r="W437" s="11">
        <v>1</v>
      </c>
      <c r="X437" s="11">
        <v>0</v>
      </c>
      <c r="Y437" s="11">
        <v>0</v>
      </c>
      <c r="Z437" s="11">
        <v>0</v>
      </c>
      <c r="AA437" s="11">
        <v>0</v>
      </c>
      <c r="AB437" s="11">
        <v>1</v>
      </c>
      <c r="AC437" s="11">
        <v>1</v>
      </c>
      <c r="AD437" s="11" t="s">
        <v>5044</v>
      </c>
      <c r="AE437" s="11" t="s">
        <v>5044</v>
      </c>
      <c r="AF437" s="11" t="s">
        <v>5044</v>
      </c>
      <c r="AG437" s="11">
        <v>2</v>
      </c>
      <c r="AH437" s="11">
        <v>3</v>
      </c>
      <c r="AI437" s="11">
        <v>0</v>
      </c>
      <c r="AJ437" s="11" t="s">
        <v>5044</v>
      </c>
      <c r="AK437" s="11">
        <v>1</v>
      </c>
      <c r="AL437" s="11" t="s">
        <v>5044</v>
      </c>
      <c r="AM437" s="11">
        <v>0</v>
      </c>
      <c r="AN437" s="11" t="s">
        <v>5105</v>
      </c>
      <c r="AO437" s="11" t="s">
        <v>5318</v>
      </c>
      <c r="AP437" s="11" t="s">
        <v>5318</v>
      </c>
      <c r="AQ437" s="11" t="s">
        <v>5318</v>
      </c>
    </row>
    <row r="438" spans="1:43" ht="63" customHeight="1" x14ac:dyDescent="0.2">
      <c r="A438" s="10">
        <v>4459</v>
      </c>
      <c r="B438" s="11" t="s">
        <v>7602</v>
      </c>
      <c r="C438" s="11" t="s">
        <v>1192</v>
      </c>
      <c r="D438" s="11">
        <v>2022</v>
      </c>
      <c r="E438" s="11" t="s">
        <v>5318</v>
      </c>
      <c r="F438" s="11">
        <v>23</v>
      </c>
      <c r="G438" s="11">
        <v>1</v>
      </c>
      <c r="H438" s="11" t="s">
        <v>6538</v>
      </c>
      <c r="I438" s="11" t="s">
        <v>6516</v>
      </c>
      <c r="J438" s="11" t="s">
        <v>7603</v>
      </c>
      <c r="K438" s="11" t="s">
        <v>1193</v>
      </c>
      <c r="L438" s="11" t="s">
        <v>5695</v>
      </c>
      <c r="M438" s="11">
        <v>1</v>
      </c>
      <c r="N438" s="11">
        <v>0</v>
      </c>
      <c r="O438" s="9" t="s">
        <v>5044</v>
      </c>
      <c r="P438" s="11">
        <v>0</v>
      </c>
      <c r="Q438" s="11">
        <v>0</v>
      </c>
      <c r="R438" s="11">
        <v>0</v>
      </c>
      <c r="S438" s="11">
        <v>1</v>
      </c>
      <c r="T438" s="11">
        <v>1</v>
      </c>
      <c r="U438" s="11">
        <v>180</v>
      </c>
      <c r="V438" s="11">
        <v>0</v>
      </c>
      <c r="W438" s="11">
        <v>1</v>
      </c>
      <c r="X438" s="11">
        <v>0</v>
      </c>
      <c r="Y438" s="11">
        <v>0</v>
      </c>
      <c r="Z438" s="11">
        <v>0</v>
      </c>
      <c r="AA438" s="11">
        <v>0</v>
      </c>
      <c r="AB438" s="11">
        <v>1</v>
      </c>
      <c r="AC438" s="11" t="s">
        <v>5044</v>
      </c>
      <c r="AD438" s="11" t="s">
        <v>5044</v>
      </c>
      <c r="AE438" s="11" t="s">
        <v>5044</v>
      </c>
      <c r="AF438" s="11" t="s">
        <v>5044</v>
      </c>
      <c r="AG438" s="11" t="s">
        <v>5044</v>
      </c>
      <c r="AH438" s="11" t="s">
        <v>5044</v>
      </c>
      <c r="AI438" s="11" t="s">
        <v>5044</v>
      </c>
      <c r="AJ438" s="11" t="s">
        <v>5044</v>
      </c>
      <c r="AK438" s="11" t="s">
        <v>5318</v>
      </c>
      <c r="AL438" s="11" t="s">
        <v>5044</v>
      </c>
      <c r="AM438" s="11">
        <v>0</v>
      </c>
      <c r="AN438" s="11" t="s">
        <v>5318</v>
      </c>
      <c r="AO438" s="11" t="s">
        <v>5318</v>
      </c>
      <c r="AP438" s="11" t="s">
        <v>5318</v>
      </c>
      <c r="AQ438" s="11" t="s">
        <v>5318</v>
      </c>
    </row>
    <row r="439" spans="1:43" ht="63" customHeight="1" x14ac:dyDescent="0.2">
      <c r="A439" s="10">
        <v>4460</v>
      </c>
      <c r="B439" s="11" t="s">
        <v>7604</v>
      </c>
      <c r="C439" s="11" t="s">
        <v>1194</v>
      </c>
      <c r="D439" s="11">
        <v>2022</v>
      </c>
      <c r="E439" s="11" t="s">
        <v>5318</v>
      </c>
      <c r="F439" s="11">
        <v>10</v>
      </c>
      <c r="G439" s="11" t="s">
        <v>5318</v>
      </c>
      <c r="H439" s="11" t="s">
        <v>7605</v>
      </c>
      <c r="I439" s="11" t="s">
        <v>6516</v>
      </c>
      <c r="J439" s="11" t="s">
        <v>7606</v>
      </c>
      <c r="K439" s="11" t="s">
        <v>1196</v>
      </c>
      <c r="L439" s="11" t="s">
        <v>5044</v>
      </c>
      <c r="M439" s="11">
        <v>1</v>
      </c>
      <c r="N439" s="11">
        <v>0</v>
      </c>
      <c r="O439" s="9" t="s">
        <v>5044</v>
      </c>
      <c r="P439" s="11">
        <v>0</v>
      </c>
      <c r="Q439" s="11">
        <v>0</v>
      </c>
      <c r="R439" s="11">
        <v>0</v>
      </c>
      <c r="S439" s="11" t="s">
        <v>5696</v>
      </c>
      <c r="T439" s="11">
        <v>1</v>
      </c>
      <c r="U439" s="11">
        <v>50</v>
      </c>
      <c r="V439" s="11">
        <v>0</v>
      </c>
      <c r="W439" s="11">
        <v>1</v>
      </c>
      <c r="X439" s="11">
        <v>0</v>
      </c>
      <c r="Y439" s="11">
        <v>0</v>
      </c>
      <c r="Z439" s="11">
        <v>0</v>
      </c>
      <c r="AA439" s="11">
        <v>0</v>
      </c>
      <c r="AB439" s="11">
        <v>1</v>
      </c>
      <c r="AC439" s="11" t="s">
        <v>5044</v>
      </c>
      <c r="AD439" s="11" t="s">
        <v>5044</v>
      </c>
      <c r="AE439" s="11" t="s">
        <v>5044</v>
      </c>
      <c r="AF439" s="11" t="s">
        <v>5044</v>
      </c>
      <c r="AG439" s="11" t="s">
        <v>5044</v>
      </c>
      <c r="AH439" s="11" t="s">
        <v>5044</v>
      </c>
      <c r="AI439" s="11" t="s">
        <v>5044</v>
      </c>
      <c r="AJ439" s="11" t="s">
        <v>5044</v>
      </c>
      <c r="AK439" s="11" t="s">
        <v>5318</v>
      </c>
      <c r="AL439" s="11" t="s">
        <v>5044</v>
      </c>
      <c r="AM439" s="11">
        <v>0</v>
      </c>
      <c r="AN439" s="11" t="s">
        <v>5318</v>
      </c>
      <c r="AO439" s="11" t="s">
        <v>5318</v>
      </c>
      <c r="AP439" s="11" t="s">
        <v>5318</v>
      </c>
      <c r="AQ439" s="11" t="s">
        <v>5318</v>
      </c>
    </row>
    <row r="440" spans="1:43" ht="63" customHeight="1" x14ac:dyDescent="0.2">
      <c r="A440" s="10">
        <v>4467</v>
      </c>
      <c r="B440" s="11" t="s">
        <v>7607</v>
      </c>
      <c r="C440" s="11" t="s">
        <v>1197</v>
      </c>
      <c r="D440" s="11">
        <v>2021</v>
      </c>
      <c r="E440" s="11" t="s">
        <v>5318</v>
      </c>
      <c r="F440" s="11">
        <v>22</v>
      </c>
      <c r="G440" s="11">
        <v>1</v>
      </c>
      <c r="H440" s="11" t="s">
        <v>6538</v>
      </c>
      <c r="I440" s="11" t="s">
        <v>6516</v>
      </c>
      <c r="J440" s="11" t="s">
        <v>7608</v>
      </c>
      <c r="K440" s="11" t="s">
        <v>1198</v>
      </c>
      <c r="L440" s="11" t="s">
        <v>5697</v>
      </c>
      <c r="M440" s="11">
        <v>1</v>
      </c>
      <c r="N440" s="11">
        <v>0</v>
      </c>
      <c r="O440" s="9" t="s">
        <v>5044</v>
      </c>
      <c r="P440" s="11">
        <v>0</v>
      </c>
      <c r="Q440" s="11">
        <v>0</v>
      </c>
      <c r="R440" s="11">
        <v>0</v>
      </c>
      <c r="S440" s="11" t="s">
        <v>7671</v>
      </c>
      <c r="T440" s="11">
        <v>1</v>
      </c>
      <c r="U440" s="11">
        <v>68</v>
      </c>
      <c r="V440" s="11">
        <v>0</v>
      </c>
      <c r="W440" s="11">
        <v>1</v>
      </c>
      <c r="X440" s="11">
        <v>0</v>
      </c>
      <c r="Y440" s="11">
        <v>0</v>
      </c>
      <c r="Z440" s="11">
        <v>0</v>
      </c>
      <c r="AA440" s="11">
        <v>0</v>
      </c>
      <c r="AB440" s="11">
        <v>1</v>
      </c>
      <c r="AC440" s="11" t="s">
        <v>5044</v>
      </c>
      <c r="AD440" s="11" t="s">
        <v>5044</v>
      </c>
      <c r="AE440" s="11" t="s">
        <v>5044</v>
      </c>
      <c r="AF440" s="11" t="s">
        <v>5044</v>
      </c>
      <c r="AG440" s="11" t="s">
        <v>5044</v>
      </c>
      <c r="AH440" s="11" t="s">
        <v>5044</v>
      </c>
      <c r="AI440" s="11" t="s">
        <v>5044</v>
      </c>
      <c r="AJ440" s="11" t="s">
        <v>5044</v>
      </c>
      <c r="AK440" s="11" t="s">
        <v>5318</v>
      </c>
      <c r="AL440" s="11" t="s">
        <v>5044</v>
      </c>
      <c r="AM440" s="11">
        <v>0</v>
      </c>
      <c r="AN440" s="11" t="s">
        <v>5318</v>
      </c>
      <c r="AO440" s="11" t="s">
        <v>5318</v>
      </c>
      <c r="AP440" s="11" t="s">
        <v>5318</v>
      </c>
      <c r="AQ440" s="11" t="s">
        <v>5318</v>
      </c>
    </row>
    <row r="441" spans="1:43" ht="63" customHeight="1" x14ac:dyDescent="0.2">
      <c r="A441" s="10">
        <v>4478</v>
      </c>
      <c r="B441" s="11" t="s">
        <v>7609</v>
      </c>
      <c r="C441" s="11" t="s">
        <v>1199</v>
      </c>
      <c r="D441" s="11">
        <v>2019</v>
      </c>
      <c r="E441" s="11" t="s">
        <v>5318</v>
      </c>
      <c r="F441" s="11">
        <v>62</v>
      </c>
      <c r="G441" s="11">
        <v>9</v>
      </c>
      <c r="H441" s="11" t="s">
        <v>6598</v>
      </c>
      <c r="I441" s="11" t="s">
        <v>6516</v>
      </c>
      <c r="J441" s="11" t="s">
        <v>7610</v>
      </c>
      <c r="K441" s="11" t="s">
        <v>1200</v>
      </c>
      <c r="L441" s="11" t="s">
        <v>5698</v>
      </c>
      <c r="M441" s="11">
        <v>0</v>
      </c>
      <c r="N441" s="9" t="s">
        <v>5044</v>
      </c>
      <c r="O441" s="9" t="s">
        <v>5044</v>
      </c>
      <c r="P441" s="11">
        <v>0</v>
      </c>
      <c r="Q441" s="11">
        <v>0</v>
      </c>
      <c r="R441" s="11">
        <v>0</v>
      </c>
      <c r="S441" s="11">
        <v>9</v>
      </c>
      <c r="T441" s="11">
        <v>1</v>
      </c>
      <c r="U441" s="11">
        <v>151</v>
      </c>
      <c r="V441" s="11">
        <v>1</v>
      </c>
      <c r="W441" s="11">
        <v>0</v>
      </c>
      <c r="X441" s="11">
        <v>0</v>
      </c>
      <c r="Y441" s="11">
        <v>0</v>
      </c>
      <c r="Z441" s="11">
        <v>0</v>
      </c>
      <c r="AA441" s="11">
        <v>0</v>
      </c>
      <c r="AB441" s="11">
        <v>1</v>
      </c>
      <c r="AC441" s="11">
        <v>1</v>
      </c>
      <c r="AD441" s="11">
        <v>1</v>
      </c>
      <c r="AE441" s="11">
        <v>0</v>
      </c>
      <c r="AF441" s="11">
        <v>0</v>
      </c>
      <c r="AG441" s="11" t="s">
        <v>5044</v>
      </c>
      <c r="AH441" s="11" t="s">
        <v>5044</v>
      </c>
      <c r="AI441" s="11" t="s">
        <v>5044</v>
      </c>
      <c r="AJ441" s="11" t="s">
        <v>5044</v>
      </c>
      <c r="AK441" s="11" t="s">
        <v>5318</v>
      </c>
      <c r="AL441" s="11">
        <v>1</v>
      </c>
      <c r="AM441" s="11">
        <v>0</v>
      </c>
      <c r="AN441" s="11" t="s">
        <v>5318</v>
      </c>
      <c r="AO441" s="11" t="s">
        <v>5318</v>
      </c>
      <c r="AP441" s="11" t="s">
        <v>5318</v>
      </c>
      <c r="AQ441" s="11" t="s">
        <v>5318</v>
      </c>
    </row>
    <row r="442" spans="1:43" ht="63" customHeight="1" x14ac:dyDescent="0.2">
      <c r="A442" s="10">
        <v>4482</v>
      </c>
      <c r="B442" s="11" t="s">
        <v>7611</v>
      </c>
      <c r="C442" s="11" t="s">
        <v>1201</v>
      </c>
      <c r="D442" s="11">
        <v>2021</v>
      </c>
      <c r="E442" s="11" t="s">
        <v>5318</v>
      </c>
      <c r="F442" s="11">
        <v>31</v>
      </c>
      <c r="G442" s="11">
        <v>7</v>
      </c>
      <c r="H442" s="11" t="s">
        <v>6482</v>
      </c>
      <c r="I442" s="11" t="s">
        <v>6516</v>
      </c>
      <c r="J442" s="11" t="s">
        <v>7612</v>
      </c>
      <c r="K442" s="11" t="s">
        <v>1202</v>
      </c>
      <c r="L442" s="11" t="s">
        <v>5044</v>
      </c>
      <c r="M442" s="11">
        <v>0</v>
      </c>
      <c r="N442" s="9" t="s">
        <v>5044</v>
      </c>
      <c r="O442" s="9" t="s">
        <v>5044</v>
      </c>
      <c r="P442" s="11">
        <v>0</v>
      </c>
      <c r="Q442" s="11">
        <v>0</v>
      </c>
      <c r="R442" s="11">
        <v>0</v>
      </c>
      <c r="S442" s="11">
        <v>1</v>
      </c>
      <c r="T442" s="11">
        <v>4</v>
      </c>
      <c r="U442" s="11">
        <v>60</v>
      </c>
      <c r="V442" s="11">
        <v>0</v>
      </c>
      <c r="W442" s="11">
        <v>1</v>
      </c>
      <c r="X442" s="11">
        <v>0</v>
      </c>
      <c r="Y442" s="11">
        <v>0</v>
      </c>
      <c r="Z442" s="11">
        <v>0</v>
      </c>
      <c r="AA442" s="11">
        <v>0</v>
      </c>
      <c r="AB442" s="11">
        <v>0</v>
      </c>
      <c r="AC442" s="11">
        <v>1</v>
      </c>
      <c r="AD442" s="11" t="s">
        <v>5044</v>
      </c>
      <c r="AE442" s="11" t="s">
        <v>5044</v>
      </c>
      <c r="AF442" s="11" t="s">
        <v>5044</v>
      </c>
      <c r="AG442" s="11">
        <v>1</v>
      </c>
      <c r="AH442" s="11">
        <v>0</v>
      </c>
      <c r="AI442" s="11">
        <v>0</v>
      </c>
      <c r="AJ442" s="11" t="s">
        <v>5044</v>
      </c>
      <c r="AK442" s="11" t="s">
        <v>5318</v>
      </c>
      <c r="AL442" s="11">
        <v>1</v>
      </c>
      <c r="AM442" s="11">
        <v>0</v>
      </c>
      <c r="AN442" s="11" t="s">
        <v>5318</v>
      </c>
      <c r="AO442" s="11" t="s">
        <v>5318</v>
      </c>
      <c r="AP442" s="11" t="s">
        <v>5318</v>
      </c>
      <c r="AQ442" s="11" t="s">
        <v>5318</v>
      </c>
    </row>
    <row r="443" spans="1:43" ht="63" customHeight="1" x14ac:dyDescent="0.2">
      <c r="A443" s="10">
        <v>4494</v>
      </c>
      <c r="B443" s="11" t="s">
        <v>7613</v>
      </c>
      <c r="C443" s="11" t="s">
        <v>1203</v>
      </c>
      <c r="D443" s="11">
        <v>2019</v>
      </c>
      <c r="E443" s="11" t="s">
        <v>5318</v>
      </c>
      <c r="F443" s="11">
        <v>20</v>
      </c>
      <c r="G443" s="11">
        <v>1</v>
      </c>
      <c r="H443" s="11" t="s">
        <v>6538</v>
      </c>
      <c r="I443" s="11" t="s">
        <v>6516</v>
      </c>
      <c r="J443" s="11" t="s">
        <v>7614</v>
      </c>
      <c r="K443" s="11" t="s">
        <v>1204</v>
      </c>
      <c r="L443" s="11" t="s">
        <v>5699</v>
      </c>
      <c r="M443" s="11">
        <v>1</v>
      </c>
      <c r="N443" s="11">
        <v>0</v>
      </c>
      <c r="O443" s="9" t="s">
        <v>5044</v>
      </c>
      <c r="P443" s="11">
        <v>0</v>
      </c>
      <c r="Q443" s="11">
        <v>0</v>
      </c>
      <c r="R443" s="11">
        <v>0</v>
      </c>
      <c r="S443" s="11">
        <v>1</v>
      </c>
      <c r="T443" s="11">
        <v>4</v>
      </c>
      <c r="U443" s="11">
        <v>110</v>
      </c>
      <c r="V443" s="11">
        <v>1</v>
      </c>
      <c r="W443" s="11">
        <v>0</v>
      </c>
      <c r="X443" s="11">
        <v>0</v>
      </c>
      <c r="Y443" s="11">
        <v>0</v>
      </c>
      <c r="Z443" s="11">
        <v>0</v>
      </c>
      <c r="AA443" s="11">
        <v>0</v>
      </c>
      <c r="AB443" s="11">
        <v>1</v>
      </c>
      <c r="AC443" s="11" t="s">
        <v>5044</v>
      </c>
      <c r="AD443" s="11" t="s">
        <v>5044</v>
      </c>
      <c r="AE443" s="11" t="s">
        <v>5044</v>
      </c>
      <c r="AF443" s="11" t="s">
        <v>5044</v>
      </c>
      <c r="AG443" s="11" t="s">
        <v>5044</v>
      </c>
      <c r="AH443" s="11" t="s">
        <v>5044</v>
      </c>
      <c r="AI443" s="11" t="s">
        <v>5044</v>
      </c>
      <c r="AJ443" s="11" t="s">
        <v>5044</v>
      </c>
      <c r="AK443" s="11" t="s">
        <v>5318</v>
      </c>
      <c r="AL443" s="11" t="s">
        <v>5044</v>
      </c>
      <c r="AM443" s="11">
        <v>0</v>
      </c>
      <c r="AN443" s="11" t="s">
        <v>5105</v>
      </c>
      <c r="AO443" s="11" t="s">
        <v>5318</v>
      </c>
      <c r="AP443" s="11" t="s">
        <v>5318</v>
      </c>
      <c r="AQ443" s="11" t="s">
        <v>5318</v>
      </c>
    </row>
    <row r="444" spans="1:43" ht="63" customHeight="1" x14ac:dyDescent="0.2">
      <c r="A444" s="10">
        <v>4506</v>
      </c>
      <c r="B444" s="11" t="s">
        <v>7615</v>
      </c>
      <c r="C444" s="11" t="s">
        <v>1205</v>
      </c>
      <c r="D444" s="11">
        <v>2019</v>
      </c>
      <c r="E444" s="11" t="s">
        <v>5318</v>
      </c>
      <c r="F444" s="11">
        <v>53</v>
      </c>
      <c r="G444" s="11">
        <v>4</v>
      </c>
      <c r="H444" s="11" t="s">
        <v>6972</v>
      </c>
      <c r="I444" s="11" t="s">
        <v>6516</v>
      </c>
      <c r="J444" s="11" t="s">
        <v>7616</v>
      </c>
      <c r="K444" s="11" t="s">
        <v>1207</v>
      </c>
      <c r="L444" s="11" t="s">
        <v>5700</v>
      </c>
      <c r="M444" s="11">
        <v>0</v>
      </c>
      <c r="N444" s="9" t="s">
        <v>5044</v>
      </c>
      <c r="O444" s="9" t="s">
        <v>5044</v>
      </c>
      <c r="P444" s="11">
        <v>0</v>
      </c>
      <c r="Q444" s="11">
        <v>0</v>
      </c>
      <c r="R444" s="11">
        <v>0</v>
      </c>
      <c r="S444" s="11">
        <v>3</v>
      </c>
      <c r="T444" s="11">
        <v>1</v>
      </c>
      <c r="U444" s="11">
        <v>344</v>
      </c>
      <c r="V444" s="11">
        <v>0</v>
      </c>
      <c r="W444" s="11">
        <v>1</v>
      </c>
      <c r="X444" s="11">
        <v>0</v>
      </c>
      <c r="Y444" s="11">
        <v>0</v>
      </c>
      <c r="Z444" s="11">
        <v>0</v>
      </c>
      <c r="AA444" s="11">
        <v>0</v>
      </c>
      <c r="AB444" s="11">
        <v>1</v>
      </c>
      <c r="AC444" s="11">
        <v>0</v>
      </c>
      <c r="AD444" s="11" t="s">
        <v>5044</v>
      </c>
      <c r="AE444" s="11" t="s">
        <v>5044</v>
      </c>
      <c r="AF444" s="11" t="s">
        <v>5044</v>
      </c>
      <c r="AG444" s="11">
        <v>0</v>
      </c>
      <c r="AH444" s="11" t="s">
        <v>5044</v>
      </c>
      <c r="AI444" s="11" t="s">
        <v>5044</v>
      </c>
      <c r="AJ444" s="11" t="s">
        <v>5044</v>
      </c>
      <c r="AK444" s="11" t="s">
        <v>5318</v>
      </c>
      <c r="AL444" s="11">
        <v>0</v>
      </c>
      <c r="AM444" s="11">
        <v>0</v>
      </c>
      <c r="AN444" s="11" t="s">
        <v>5318</v>
      </c>
      <c r="AO444" s="11" t="s">
        <v>5318</v>
      </c>
      <c r="AP444" s="11" t="s">
        <v>5318</v>
      </c>
      <c r="AQ444" s="11" t="s">
        <v>5318</v>
      </c>
    </row>
    <row r="445" spans="1:43" ht="63" customHeight="1" x14ac:dyDescent="0.2">
      <c r="A445" s="10">
        <v>4522</v>
      </c>
      <c r="B445" s="11" t="s">
        <v>7617</v>
      </c>
      <c r="C445" s="11" t="s">
        <v>1208</v>
      </c>
      <c r="D445" s="11">
        <v>2021</v>
      </c>
      <c r="E445" s="11" t="s">
        <v>5318</v>
      </c>
      <c r="F445" s="11">
        <v>28</v>
      </c>
      <c r="G445" s="11">
        <v>1</v>
      </c>
      <c r="H445" s="11" t="s">
        <v>6621</v>
      </c>
      <c r="I445" s="11" t="s">
        <v>6516</v>
      </c>
      <c r="J445" s="11" t="s">
        <v>7618</v>
      </c>
      <c r="K445" s="11" t="s">
        <v>1209</v>
      </c>
      <c r="L445" s="11" t="s">
        <v>5711</v>
      </c>
      <c r="M445" s="11">
        <v>0</v>
      </c>
      <c r="N445" s="9" t="s">
        <v>5044</v>
      </c>
      <c r="O445" s="9" t="s">
        <v>5044</v>
      </c>
      <c r="P445" s="11">
        <v>0</v>
      </c>
      <c r="Q445" s="11">
        <v>0</v>
      </c>
      <c r="R445" s="11">
        <v>0</v>
      </c>
      <c r="S445" s="11">
        <v>1</v>
      </c>
      <c r="T445" s="11">
        <v>4</v>
      </c>
      <c r="U445" s="11">
        <v>94</v>
      </c>
      <c r="V445" s="11">
        <v>0</v>
      </c>
      <c r="W445" s="11">
        <v>1</v>
      </c>
      <c r="X445" s="11">
        <v>0</v>
      </c>
      <c r="Y445" s="11">
        <v>0</v>
      </c>
      <c r="Z445" s="11">
        <v>0</v>
      </c>
      <c r="AA445" s="11">
        <v>0</v>
      </c>
      <c r="AB445" s="11">
        <v>0</v>
      </c>
      <c r="AC445" s="11">
        <v>1</v>
      </c>
      <c r="AD445" s="11" t="s">
        <v>5044</v>
      </c>
      <c r="AE445" s="11" t="s">
        <v>5044</v>
      </c>
      <c r="AF445" s="11" t="s">
        <v>5044</v>
      </c>
      <c r="AG445" s="11">
        <v>2</v>
      </c>
      <c r="AH445" s="11">
        <v>1</v>
      </c>
      <c r="AI445" s="11">
        <v>2</v>
      </c>
      <c r="AJ445" s="11" t="s">
        <v>5044</v>
      </c>
      <c r="AK445" s="11" t="s">
        <v>5318</v>
      </c>
      <c r="AL445" s="11">
        <v>0</v>
      </c>
      <c r="AM445" s="11">
        <v>0</v>
      </c>
      <c r="AN445" s="11" t="s">
        <v>5318</v>
      </c>
      <c r="AO445" s="11" t="s">
        <v>5318</v>
      </c>
      <c r="AP445" s="11" t="s">
        <v>5318</v>
      </c>
      <c r="AQ445" s="11" t="s">
        <v>5318</v>
      </c>
    </row>
    <row r="446" spans="1:43" ht="63" customHeight="1" x14ac:dyDescent="0.2">
      <c r="A446" s="10">
        <v>4536</v>
      </c>
      <c r="B446" s="11" t="s">
        <v>7619</v>
      </c>
      <c r="C446" s="11" t="s">
        <v>1210</v>
      </c>
      <c r="D446" s="11">
        <v>2022</v>
      </c>
      <c r="E446" s="11" t="s">
        <v>5318</v>
      </c>
      <c r="F446" s="11">
        <v>275</v>
      </c>
      <c r="G446" s="11">
        <v>3</v>
      </c>
      <c r="H446" s="11" t="s">
        <v>6533</v>
      </c>
      <c r="I446" s="11" t="s">
        <v>6516</v>
      </c>
      <c r="J446" s="11" t="s">
        <v>7620</v>
      </c>
      <c r="K446" s="11" t="s">
        <v>1211</v>
      </c>
      <c r="L446" s="11" t="s">
        <v>5712</v>
      </c>
      <c r="M446" s="11">
        <v>0</v>
      </c>
      <c r="N446" s="9" t="s">
        <v>5044</v>
      </c>
      <c r="O446" s="9" t="s">
        <v>5044</v>
      </c>
      <c r="P446" s="11">
        <v>0</v>
      </c>
      <c r="Q446" s="11">
        <v>0</v>
      </c>
      <c r="R446" s="11">
        <v>0</v>
      </c>
      <c r="S446" s="11">
        <v>1</v>
      </c>
      <c r="T446" s="11">
        <v>1</v>
      </c>
      <c r="U446" s="11">
        <v>761</v>
      </c>
      <c r="V446" s="11">
        <v>0</v>
      </c>
      <c r="W446" s="11">
        <v>1</v>
      </c>
      <c r="X446" s="11">
        <v>0</v>
      </c>
      <c r="Y446" s="11">
        <v>0</v>
      </c>
      <c r="Z446" s="11">
        <v>1</v>
      </c>
      <c r="AA446" s="11">
        <v>0</v>
      </c>
      <c r="AB446" s="11">
        <v>1</v>
      </c>
      <c r="AC446" s="11">
        <v>1</v>
      </c>
      <c r="AD446" s="11" t="s">
        <v>5044</v>
      </c>
      <c r="AE446" s="11" t="s">
        <v>5044</v>
      </c>
      <c r="AF446" s="11" t="s">
        <v>5044</v>
      </c>
      <c r="AG446" s="11">
        <v>1</v>
      </c>
      <c r="AH446" s="11">
        <v>0</v>
      </c>
      <c r="AI446" s="11">
        <v>0</v>
      </c>
      <c r="AJ446" s="11">
        <v>0</v>
      </c>
      <c r="AK446" s="11" t="s">
        <v>5318</v>
      </c>
      <c r="AL446" s="11">
        <v>0</v>
      </c>
      <c r="AM446" s="11">
        <v>0</v>
      </c>
      <c r="AN446" s="11" t="s">
        <v>5318</v>
      </c>
      <c r="AO446" s="11" t="s">
        <v>5318</v>
      </c>
      <c r="AP446" s="11" t="s">
        <v>5318</v>
      </c>
      <c r="AQ446" s="11" t="s">
        <v>5318</v>
      </c>
    </row>
    <row r="447" spans="1:43" ht="63" customHeight="1" x14ac:dyDescent="0.2">
      <c r="A447" s="10">
        <v>4537</v>
      </c>
      <c r="B447" s="11" t="s">
        <v>7621</v>
      </c>
      <c r="C447" s="11" t="s">
        <v>1212</v>
      </c>
      <c r="D447" s="11">
        <v>2020</v>
      </c>
      <c r="E447" s="11" t="s">
        <v>5318</v>
      </c>
      <c r="F447" s="11">
        <v>18</v>
      </c>
      <c r="G447" s="11">
        <v>2</v>
      </c>
      <c r="H447" s="11" t="s">
        <v>7622</v>
      </c>
      <c r="I447" s="11" t="s">
        <v>6516</v>
      </c>
      <c r="J447" s="11" t="s">
        <v>7623</v>
      </c>
      <c r="K447" s="11" t="s">
        <v>1214</v>
      </c>
      <c r="L447" s="11" t="s">
        <v>5044</v>
      </c>
      <c r="M447" s="11">
        <v>0</v>
      </c>
      <c r="N447" s="9" t="s">
        <v>5044</v>
      </c>
      <c r="O447" s="9" t="s">
        <v>5044</v>
      </c>
      <c r="P447" s="11">
        <v>0</v>
      </c>
      <c r="Q447" s="11">
        <v>0</v>
      </c>
      <c r="R447" s="11">
        <v>0</v>
      </c>
      <c r="S447" s="11">
        <v>3</v>
      </c>
      <c r="T447" s="11">
        <v>6</v>
      </c>
      <c r="U447" s="11">
        <v>68</v>
      </c>
      <c r="V447" s="11">
        <v>0</v>
      </c>
      <c r="W447" s="11">
        <v>1</v>
      </c>
      <c r="X447" s="11">
        <v>0</v>
      </c>
      <c r="Y447" s="11">
        <v>0</v>
      </c>
      <c r="Z447" s="11">
        <v>0</v>
      </c>
      <c r="AA447" s="11">
        <v>0</v>
      </c>
      <c r="AB447" s="11">
        <v>1</v>
      </c>
      <c r="AC447" s="11">
        <v>1</v>
      </c>
      <c r="AD447" s="11" t="s">
        <v>5044</v>
      </c>
      <c r="AE447" s="11" t="s">
        <v>5044</v>
      </c>
      <c r="AF447" s="11" t="s">
        <v>5044</v>
      </c>
      <c r="AG447" s="11">
        <v>1</v>
      </c>
      <c r="AH447" s="11">
        <v>0</v>
      </c>
      <c r="AI447" s="11">
        <v>0</v>
      </c>
      <c r="AJ447" s="11" t="s">
        <v>5044</v>
      </c>
      <c r="AK447" s="11" t="s">
        <v>5318</v>
      </c>
      <c r="AL447" s="11">
        <v>1</v>
      </c>
      <c r="AM447" s="11">
        <v>0</v>
      </c>
      <c r="AN447" s="11" t="s">
        <v>5318</v>
      </c>
      <c r="AO447" s="11" t="s">
        <v>5318</v>
      </c>
      <c r="AP447" s="11" t="s">
        <v>5318</v>
      </c>
      <c r="AQ447" s="11" t="s">
        <v>5318</v>
      </c>
    </row>
    <row r="448" spans="1:43" ht="63" customHeight="1" x14ac:dyDescent="0.2">
      <c r="A448" s="10">
        <v>4538</v>
      </c>
      <c r="B448" s="11" t="s">
        <v>7624</v>
      </c>
      <c r="C448" s="11" t="s">
        <v>1215</v>
      </c>
      <c r="D448" s="11">
        <v>2021</v>
      </c>
      <c r="E448" s="11" t="s">
        <v>5318</v>
      </c>
      <c r="F448" s="11">
        <v>35</v>
      </c>
      <c r="G448" s="11">
        <v>8</v>
      </c>
      <c r="H448" s="11" t="s">
        <v>6624</v>
      </c>
      <c r="I448" s="11" t="s">
        <v>6516</v>
      </c>
      <c r="J448" s="11" t="s">
        <v>7625</v>
      </c>
      <c r="K448" s="11" t="s">
        <v>1216</v>
      </c>
      <c r="L448" s="11" t="s">
        <v>5713</v>
      </c>
      <c r="M448" s="11">
        <v>0</v>
      </c>
      <c r="N448" s="9" t="s">
        <v>5044</v>
      </c>
      <c r="O448" s="9" t="s">
        <v>5044</v>
      </c>
      <c r="P448" s="11">
        <v>0</v>
      </c>
      <c r="Q448" s="11">
        <v>0</v>
      </c>
      <c r="R448" s="11">
        <v>0</v>
      </c>
      <c r="S448" s="11">
        <v>1</v>
      </c>
      <c r="T448" s="11">
        <v>1</v>
      </c>
      <c r="U448" s="11">
        <v>101</v>
      </c>
      <c r="V448" s="11">
        <v>0</v>
      </c>
      <c r="W448" s="11">
        <v>1</v>
      </c>
      <c r="X448" s="11">
        <v>0</v>
      </c>
      <c r="Y448" s="11">
        <v>0</v>
      </c>
      <c r="Z448" s="11">
        <v>0</v>
      </c>
      <c r="AA448" s="11">
        <v>0</v>
      </c>
      <c r="AB448" s="11">
        <v>1</v>
      </c>
      <c r="AC448" s="11">
        <v>1</v>
      </c>
      <c r="AD448" s="11" t="s">
        <v>5044</v>
      </c>
      <c r="AE448" s="11" t="s">
        <v>5044</v>
      </c>
      <c r="AF448" s="11" t="s">
        <v>5044</v>
      </c>
      <c r="AG448" s="11">
        <v>1</v>
      </c>
      <c r="AH448" s="11">
        <v>0</v>
      </c>
      <c r="AI448" s="11">
        <v>0</v>
      </c>
      <c r="AJ448" s="11" t="s">
        <v>5044</v>
      </c>
      <c r="AK448" s="11" t="s">
        <v>5318</v>
      </c>
      <c r="AL448" s="11">
        <v>1</v>
      </c>
      <c r="AM448" s="11">
        <v>0</v>
      </c>
      <c r="AN448" s="11" t="s">
        <v>5318</v>
      </c>
      <c r="AO448" s="11" t="s">
        <v>5318</v>
      </c>
      <c r="AP448" s="11" t="s">
        <v>5318</v>
      </c>
      <c r="AQ448" s="11" t="s">
        <v>5318</v>
      </c>
    </row>
    <row r="449" spans="1:43" ht="63" customHeight="1" x14ac:dyDescent="0.2">
      <c r="A449" s="10">
        <v>4541</v>
      </c>
      <c r="B449" s="11" t="s">
        <v>7626</v>
      </c>
      <c r="C449" s="11" t="s">
        <v>1217</v>
      </c>
      <c r="D449" s="11">
        <v>2018</v>
      </c>
      <c r="E449" s="11" t="s">
        <v>5318</v>
      </c>
      <c r="F449" s="11">
        <v>20</v>
      </c>
      <c r="G449" s="11">
        <v>1</v>
      </c>
      <c r="H449" s="11" t="s">
        <v>6749</v>
      </c>
      <c r="I449" s="11" t="s">
        <v>6516</v>
      </c>
      <c r="J449" s="11" t="s">
        <v>7627</v>
      </c>
      <c r="K449" s="11" t="s">
        <v>1218</v>
      </c>
      <c r="L449" s="11" t="s">
        <v>5714</v>
      </c>
      <c r="M449" s="11">
        <v>0</v>
      </c>
      <c r="N449" s="9" t="s">
        <v>5044</v>
      </c>
      <c r="O449" s="9" t="s">
        <v>5044</v>
      </c>
      <c r="P449" s="11">
        <v>0</v>
      </c>
      <c r="Q449" s="11">
        <v>0</v>
      </c>
      <c r="R449" s="11">
        <v>0</v>
      </c>
      <c r="S449" s="11">
        <v>1</v>
      </c>
      <c r="T449" s="11">
        <v>1</v>
      </c>
      <c r="U449" s="11">
        <v>122</v>
      </c>
      <c r="V449" s="11">
        <v>1</v>
      </c>
      <c r="W449" s="11">
        <v>1</v>
      </c>
      <c r="X449" s="11">
        <v>0</v>
      </c>
      <c r="Y449" s="11">
        <v>0</v>
      </c>
      <c r="Z449" s="11">
        <v>0</v>
      </c>
      <c r="AA449" s="11">
        <v>0</v>
      </c>
      <c r="AB449" s="11">
        <v>1</v>
      </c>
      <c r="AC449" s="11">
        <v>1</v>
      </c>
      <c r="AD449" s="11">
        <v>2</v>
      </c>
      <c r="AE449" s="11">
        <v>1</v>
      </c>
      <c r="AF449" s="11">
        <v>1</v>
      </c>
      <c r="AG449" s="11">
        <v>2</v>
      </c>
      <c r="AH449" s="11">
        <v>3</v>
      </c>
      <c r="AI449" s="11">
        <v>0</v>
      </c>
      <c r="AJ449" s="11" t="s">
        <v>5044</v>
      </c>
      <c r="AK449" s="11" t="s">
        <v>5318</v>
      </c>
      <c r="AL449" s="11">
        <v>0</v>
      </c>
      <c r="AM449" s="11">
        <v>0</v>
      </c>
      <c r="AN449" s="11" t="s">
        <v>5318</v>
      </c>
      <c r="AO449" s="11" t="s">
        <v>5318</v>
      </c>
      <c r="AP449" s="11" t="s">
        <v>5318</v>
      </c>
      <c r="AQ449" s="11" t="s">
        <v>5318</v>
      </c>
    </row>
    <row r="450" spans="1:43" ht="63" customHeight="1" x14ac:dyDescent="0.2">
      <c r="A450" s="10">
        <v>4591</v>
      </c>
      <c r="B450" s="11" t="s">
        <v>7628</v>
      </c>
      <c r="C450" s="11" t="s">
        <v>1219</v>
      </c>
      <c r="D450" s="11">
        <v>2013</v>
      </c>
      <c r="E450" s="11" t="s">
        <v>5318</v>
      </c>
      <c r="F450" s="11">
        <v>471</v>
      </c>
      <c r="G450" s="11">
        <v>9</v>
      </c>
      <c r="H450" s="11" t="s">
        <v>7119</v>
      </c>
      <c r="I450" s="11" t="s">
        <v>6878</v>
      </c>
      <c r="J450" s="11" t="s">
        <v>7629</v>
      </c>
      <c r="K450" s="11" t="s">
        <v>1220</v>
      </c>
      <c r="L450" s="11" t="s">
        <v>5044</v>
      </c>
      <c r="M450" s="11">
        <v>0</v>
      </c>
      <c r="N450" s="9" t="s">
        <v>5044</v>
      </c>
      <c r="O450" s="9" t="s">
        <v>5044</v>
      </c>
      <c r="P450" s="11">
        <v>1</v>
      </c>
      <c r="Q450" s="11">
        <v>0</v>
      </c>
      <c r="R450" s="11">
        <v>0</v>
      </c>
      <c r="S450" s="11">
        <v>4</v>
      </c>
      <c r="T450" s="11">
        <v>1</v>
      </c>
      <c r="U450" s="11">
        <v>33</v>
      </c>
      <c r="V450" s="11">
        <v>0</v>
      </c>
      <c r="W450" s="11">
        <v>1</v>
      </c>
      <c r="X450" s="11">
        <v>0</v>
      </c>
      <c r="Y450" s="11">
        <v>0</v>
      </c>
      <c r="Z450" s="11">
        <v>0</v>
      </c>
      <c r="AA450" s="11">
        <v>0</v>
      </c>
      <c r="AB450" s="11">
        <v>1</v>
      </c>
      <c r="AC450" s="11">
        <v>1</v>
      </c>
      <c r="AD450" s="11" t="s">
        <v>5044</v>
      </c>
      <c r="AE450" s="11" t="s">
        <v>5044</v>
      </c>
      <c r="AF450" s="11" t="s">
        <v>5044</v>
      </c>
      <c r="AG450" s="11">
        <v>2</v>
      </c>
      <c r="AH450" s="11">
        <v>3</v>
      </c>
      <c r="AI450" s="11">
        <v>0</v>
      </c>
      <c r="AJ450" s="11" t="s">
        <v>5044</v>
      </c>
      <c r="AK450" s="11" t="s">
        <v>5318</v>
      </c>
      <c r="AL450" s="11">
        <v>0</v>
      </c>
      <c r="AM450" s="11">
        <v>0</v>
      </c>
      <c r="AN450" s="11" t="s">
        <v>5318</v>
      </c>
      <c r="AO450" s="11" t="s">
        <v>5318</v>
      </c>
      <c r="AP450" s="11" t="s">
        <v>5318</v>
      </c>
      <c r="AQ450" s="11" t="s">
        <v>5318</v>
      </c>
    </row>
    <row r="451" spans="1:43" ht="63" customHeight="1" x14ac:dyDescent="0.2">
      <c r="A451" s="10">
        <v>4604</v>
      </c>
      <c r="B451" s="11" t="s">
        <v>7630</v>
      </c>
      <c r="C451" s="11" t="s">
        <v>1221</v>
      </c>
      <c r="D451" s="11">
        <v>2021</v>
      </c>
      <c r="E451" s="11" t="s">
        <v>5318</v>
      </c>
      <c r="F451" s="11">
        <v>61</v>
      </c>
      <c r="G451" s="13">
        <v>45416</v>
      </c>
      <c r="H451" s="11" t="s">
        <v>7631</v>
      </c>
      <c r="I451" s="11" t="s">
        <v>6516</v>
      </c>
      <c r="J451" s="11" t="s">
        <v>5318</v>
      </c>
      <c r="K451" s="11" t="s">
        <v>1222</v>
      </c>
      <c r="L451" s="11" t="s">
        <v>5715</v>
      </c>
      <c r="M451" s="11">
        <v>1</v>
      </c>
      <c r="N451" s="11">
        <v>0</v>
      </c>
      <c r="O451" s="9" t="s">
        <v>5044</v>
      </c>
      <c r="P451" s="11">
        <v>0</v>
      </c>
      <c r="Q451" s="11">
        <v>0</v>
      </c>
      <c r="R451" s="11">
        <v>0</v>
      </c>
      <c r="S451" s="11">
        <v>1</v>
      </c>
      <c r="T451" s="11">
        <v>4</v>
      </c>
      <c r="U451" s="11">
        <v>32</v>
      </c>
      <c r="V451" s="11">
        <v>0</v>
      </c>
      <c r="W451" s="11">
        <v>1</v>
      </c>
      <c r="X451" s="11">
        <v>0</v>
      </c>
      <c r="Y451" s="11">
        <v>0</v>
      </c>
      <c r="Z451" s="11">
        <v>0</v>
      </c>
      <c r="AA451" s="11">
        <v>0</v>
      </c>
      <c r="AB451" s="11">
        <v>1</v>
      </c>
      <c r="AC451" s="11" t="s">
        <v>5044</v>
      </c>
      <c r="AD451" s="11" t="s">
        <v>5044</v>
      </c>
      <c r="AE451" s="11" t="s">
        <v>5044</v>
      </c>
      <c r="AF451" s="11" t="s">
        <v>5044</v>
      </c>
      <c r="AG451" s="11" t="s">
        <v>5044</v>
      </c>
      <c r="AH451" s="11" t="s">
        <v>5044</v>
      </c>
      <c r="AI451" s="11" t="s">
        <v>5044</v>
      </c>
      <c r="AJ451" s="11" t="s">
        <v>5044</v>
      </c>
      <c r="AK451" s="11" t="s">
        <v>5318</v>
      </c>
      <c r="AL451" s="11" t="s">
        <v>5044</v>
      </c>
      <c r="AM451" s="11">
        <v>0</v>
      </c>
      <c r="AN451" s="11" t="s">
        <v>5318</v>
      </c>
      <c r="AO451" s="11" t="s">
        <v>5318</v>
      </c>
      <c r="AP451" s="11" t="s">
        <v>5318</v>
      </c>
      <c r="AQ451" s="11" t="s">
        <v>5318</v>
      </c>
    </row>
    <row r="452" spans="1:43" ht="63" customHeight="1" x14ac:dyDescent="0.2">
      <c r="A452" s="10">
        <v>4613</v>
      </c>
      <c r="B452" s="11" t="s">
        <v>7632</v>
      </c>
      <c r="C452" s="11" t="s">
        <v>1223</v>
      </c>
      <c r="D452" s="11">
        <v>2021</v>
      </c>
      <c r="E452" s="11" t="s">
        <v>5318</v>
      </c>
      <c r="F452" s="11">
        <v>22</v>
      </c>
      <c r="G452" s="11">
        <v>1</v>
      </c>
      <c r="H452" s="11" t="s">
        <v>6538</v>
      </c>
      <c r="I452" s="11" t="s">
        <v>6516</v>
      </c>
      <c r="J452" s="11" t="s">
        <v>7633</v>
      </c>
      <c r="K452" s="11" t="s">
        <v>1224</v>
      </c>
      <c r="L452" s="11" t="s">
        <v>5716</v>
      </c>
      <c r="M452" s="11">
        <v>1</v>
      </c>
      <c r="N452" s="11">
        <v>0</v>
      </c>
      <c r="O452" s="9" t="s">
        <v>5044</v>
      </c>
      <c r="P452" s="11">
        <v>0</v>
      </c>
      <c r="Q452" s="11">
        <v>0</v>
      </c>
      <c r="R452" s="11">
        <v>0</v>
      </c>
      <c r="S452" s="11">
        <v>1</v>
      </c>
      <c r="T452" s="11">
        <v>4</v>
      </c>
      <c r="U452" s="11">
        <v>100</v>
      </c>
      <c r="V452" s="11">
        <v>0</v>
      </c>
      <c r="W452" s="11">
        <v>1</v>
      </c>
      <c r="X452" s="11">
        <v>0</v>
      </c>
      <c r="Y452" s="11">
        <v>0</v>
      </c>
      <c r="Z452" s="11">
        <v>0</v>
      </c>
      <c r="AA452" s="11">
        <v>0</v>
      </c>
      <c r="AB452" s="11">
        <v>1</v>
      </c>
      <c r="AC452" s="11" t="s">
        <v>5044</v>
      </c>
      <c r="AD452" s="11" t="s">
        <v>5044</v>
      </c>
      <c r="AE452" s="11" t="s">
        <v>5044</v>
      </c>
      <c r="AF452" s="11" t="s">
        <v>5044</v>
      </c>
      <c r="AG452" s="11" t="s">
        <v>5044</v>
      </c>
      <c r="AH452" s="11" t="s">
        <v>5044</v>
      </c>
      <c r="AI452" s="11" t="s">
        <v>5044</v>
      </c>
      <c r="AJ452" s="11" t="s">
        <v>5044</v>
      </c>
      <c r="AK452" s="11" t="s">
        <v>5318</v>
      </c>
      <c r="AL452" s="11" t="s">
        <v>5044</v>
      </c>
      <c r="AM452" s="11">
        <v>0</v>
      </c>
      <c r="AN452" s="11" t="s">
        <v>5318</v>
      </c>
      <c r="AO452" s="11" t="s">
        <v>5318</v>
      </c>
      <c r="AP452" s="11" t="s">
        <v>5318</v>
      </c>
      <c r="AQ452" s="11" t="s">
        <v>5318</v>
      </c>
    </row>
    <row r="453" spans="1:43" ht="63" customHeight="1" x14ac:dyDescent="0.2">
      <c r="A453" s="10">
        <v>4616</v>
      </c>
      <c r="B453" s="11" t="s">
        <v>7634</v>
      </c>
      <c r="C453" s="11" t="s">
        <v>1225</v>
      </c>
      <c r="D453" s="11">
        <v>2016</v>
      </c>
      <c r="E453" s="11" t="s">
        <v>5318</v>
      </c>
      <c r="F453" s="11">
        <v>159</v>
      </c>
      <c r="G453" s="11">
        <v>5</v>
      </c>
      <c r="H453" s="11" t="s">
        <v>6553</v>
      </c>
      <c r="I453" s="11" t="s">
        <v>6516</v>
      </c>
      <c r="J453" s="11" t="s">
        <v>7635</v>
      </c>
      <c r="K453" s="11" t="s">
        <v>1227</v>
      </c>
      <c r="L453" s="11" t="s">
        <v>5717</v>
      </c>
      <c r="M453" s="11">
        <v>0</v>
      </c>
      <c r="N453" s="9" t="s">
        <v>5044</v>
      </c>
      <c r="O453" s="9" t="s">
        <v>5044</v>
      </c>
      <c r="P453" s="11">
        <v>0</v>
      </c>
      <c r="Q453" s="11">
        <v>0</v>
      </c>
      <c r="R453" s="11">
        <v>0</v>
      </c>
      <c r="S453" s="11">
        <v>1</v>
      </c>
      <c r="T453" s="11">
        <v>4</v>
      </c>
      <c r="U453" s="11">
        <v>224</v>
      </c>
      <c r="V453" s="11">
        <v>0</v>
      </c>
      <c r="W453" s="11">
        <v>1</v>
      </c>
      <c r="X453" s="11">
        <v>0</v>
      </c>
      <c r="Y453" s="11">
        <v>0</v>
      </c>
      <c r="Z453" s="11">
        <v>0</v>
      </c>
      <c r="AA453" s="11">
        <v>0</v>
      </c>
      <c r="AB453" s="11">
        <v>1</v>
      </c>
      <c r="AC453" s="11">
        <v>1</v>
      </c>
      <c r="AD453" s="11" t="s">
        <v>5044</v>
      </c>
      <c r="AE453" s="11" t="s">
        <v>5044</v>
      </c>
      <c r="AF453" s="11" t="s">
        <v>5044</v>
      </c>
      <c r="AG453" s="11">
        <v>1</v>
      </c>
      <c r="AH453" s="11">
        <v>0</v>
      </c>
      <c r="AI453" s="11">
        <v>0</v>
      </c>
      <c r="AJ453" s="11" t="s">
        <v>5044</v>
      </c>
      <c r="AK453" s="11" t="s">
        <v>5318</v>
      </c>
      <c r="AL453" s="11">
        <v>0</v>
      </c>
      <c r="AM453" s="11">
        <v>0</v>
      </c>
      <c r="AN453" s="11" t="s">
        <v>5318</v>
      </c>
      <c r="AO453" s="11" t="s">
        <v>5318</v>
      </c>
      <c r="AP453" s="11" t="s">
        <v>5318</v>
      </c>
      <c r="AQ453" s="11" t="s">
        <v>5318</v>
      </c>
    </row>
    <row r="454" spans="1:43" ht="63" customHeight="1" x14ac:dyDescent="0.2">
      <c r="A454" s="10">
        <v>4631</v>
      </c>
      <c r="B454" s="11" t="s">
        <v>7636</v>
      </c>
      <c r="C454" s="11" t="s">
        <v>1228</v>
      </c>
      <c r="D454" s="11">
        <v>2020</v>
      </c>
      <c r="E454" s="11" t="s">
        <v>5318</v>
      </c>
      <c r="F454" s="11">
        <v>44</v>
      </c>
      <c r="G454" s="11">
        <v>5</v>
      </c>
      <c r="H454" s="11" t="s">
        <v>6525</v>
      </c>
      <c r="I454" s="11" t="s">
        <v>6516</v>
      </c>
      <c r="J454" s="11" t="s">
        <v>7637</v>
      </c>
      <c r="K454" s="11" t="s">
        <v>1229</v>
      </c>
      <c r="L454" s="11" t="s">
        <v>5718</v>
      </c>
      <c r="M454" s="11">
        <v>0</v>
      </c>
      <c r="N454" s="9" t="s">
        <v>5044</v>
      </c>
      <c r="O454" s="9" t="s">
        <v>5044</v>
      </c>
      <c r="P454" s="11">
        <v>0</v>
      </c>
      <c r="Q454" s="11">
        <v>0</v>
      </c>
      <c r="R454" s="11">
        <v>0</v>
      </c>
      <c r="S454" s="11" t="s">
        <v>5708</v>
      </c>
      <c r="T454" s="11">
        <v>4</v>
      </c>
      <c r="U454" s="11">
        <v>208</v>
      </c>
      <c r="V454" s="11">
        <v>0</v>
      </c>
      <c r="W454" s="11">
        <v>1</v>
      </c>
      <c r="X454" s="11">
        <v>0</v>
      </c>
      <c r="Y454" s="11">
        <v>0</v>
      </c>
      <c r="Z454" s="11">
        <v>0</v>
      </c>
      <c r="AA454" s="11">
        <v>0</v>
      </c>
      <c r="AB454" s="11">
        <v>1</v>
      </c>
      <c r="AC454" s="11">
        <v>1</v>
      </c>
      <c r="AD454" s="11" t="s">
        <v>5044</v>
      </c>
      <c r="AE454" s="11" t="s">
        <v>5044</v>
      </c>
      <c r="AF454" s="11" t="s">
        <v>5044</v>
      </c>
      <c r="AG454" s="11">
        <v>1</v>
      </c>
      <c r="AH454" s="11">
        <v>0</v>
      </c>
      <c r="AI454" s="11">
        <v>0</v>
      </c>
      <c r="AJ454" s="11" t="s">
        <v>5044</v>
      </c>
      <c r="AK454" s="11" t="s">
        <v>5318</v>
      </c>
      <c r="AL454" s="11">
        <v>1</v>
      </c>
      <c r="AM454" s="11">
        <v>0</v>
      </c>
      <c r="AN454" s="11" t="s">
        <v>5318</v>
      </c>
      <c r="AO454" s="11" t="s">
        <v>5318</v>
      </c>
      <c r="AP454" s="11" t="s">
        <v>5318</v>
      </c>
      <c r="AQ454" s="11" t="s">
        <v>5318</v>
      </c>
    </row>
    <row r="455" spans="1:43" ht="63" customHeight="1" x14ac:dyDescent="0.2">
      <c r="A455" s="10">
        <v>4640</v>
      </c>
      <c r="B455" s="11" t="s">
        <v>7638</v>
      </c>
      <c r="C455" s="11" t="s">
        <v>1230</v>
      </c>
      <c r="D455" s="11">
        <v>2021</v>
      </c>
      <c r="E455" s="11" t="s">
        <v>5318</v>
      </c>
      <c r="F455" s="11">
        <v>156</v>
      </c>
      <c r="G455" s="11">
        <v>10</v>
      </c>
      <c r="H455" s="11" t="s">
        <v>6676</v>
      </c>
      <c r="I455" s="11" t="s">
        <v>6516</v>
      </c>
      <c r="J455" s="11" t="s">
        <v>7639</v>
      </c>
      <c r="K455" s="11" t="s">
        <v>1231</v>
      </c>
      <c r="L455" s="11" t="s">
        <v>5719</v>
      </c>
      <c r="M455" s="11">
        <v>0</v>
      </c>
      <c r="N455" s="9" t="s">
        <v>5044</v>
      </c>
      <c r="O455" s="9" t="s">
        <v>5044</v>
      </c>
      <c r="P455" s="11">
        <v>0</v>
      </c>
      <c r="Q455" s="11">
        <v>0</v>
      </c>
      <c r="R455" s="11">
        <v>0</v>
      </c>
      <c r="S455" s="11">
        <v>1</v>
      </c>
      <c r="T455" s="11">
        <v>4</v>
      </c>
      <c r="U455" s="11">
        <v>241</v>
      </c>
      <c r="V455" s="11">
        <v>1</v>
      </c>
      <c r="W455" s="11">
        <v>1</v>
      </c>
      <c r="X455" s="11">
        <v>0</v>
      </c>
      <c r="Y455" s="11">
        <v>0</v>
      </c>
      <c r="Z455" s="11">
        <v>0</v>
      </c>
      <c r="AA455" s="11">
        <v>0</v>
      </c>
      <c r="AB455" s="11">
        <v>1</v>
      </c>
      <c r="AC455" s="11">
        <v>1</v>
      </c>
      <c r="AD455" s="11">
        <v>2</v>
      </c>
      <c r="AE455" s="11">
        <v>1</v>
      </c>
      <c r="AF455" s="11">
        <v>1</v>
      </c>
      <c r="AG455" s="11">
        <v>2</v>
      </c>
      <c r="AH455" s="11">
        <v>1</v>
      </c>
      <c r="AI455" s="11">
        <v>1</v>
      </c>
      <c r="AJ455" s="11" t="s">
        <v>5044</v>
      </c>
      <c r="AK455" s="11" t="s">
        <v>5318</v>
      </c>
      <c r="AL455" s="11">
        <v>0</v>
      </c>
      <c r="AM455" s="11">
        <v>0</v>
      </c>
      <c r="AN455" s="11" t="s">
        <v>5318</v>
      </c>
      <c r="AO455" s="11" t="s">
        <v>5318</v>
      </c>
      <c r="AP455" s="11" t="s">
        <v>5318</v>
      </c>
      <c r="AQ455" s="11" t="s">
        <v>5318</v>
      </c>
    </row>
    <row r="456" spans="1:43" ht="63" customHeight="1" x14ac:dyDescent="0.2">
      <c r="A456" s="10">
        <v>4641</v>
      </c>
      <c r="B456" s="11" t="s">
        <v>7640</v>
      </c>
      <c r="C456" s="11" t="s">
        <v>1232</v>
      </c>
      <c r="D456" s="11">
        <v>2020</v>
      </c>
      <c r="E456" s="11" t="s">
        <v>5318</v>
      </c>
      <c r="F456" s="11">
        <v>11</v>
      </c>
      <c r="G456" s="11">
        <v>25</v>
      </c>
      <c r="H456" s="11" t="s">
        <v>7641</v>
      </c>
      <c r="I456" s="11" t="s">
        <v>6516</v>
      </c>
      <c r="J456" s="11" t="s">
        <v>7642</v>
      </c>
      <c r="K456" s="11" t="s">
        <v>1233</v>
      </c>
      <c r="L456" s="11" t="s">
        <v>5720</v>
      </c>
      <c r="M456" s="11">
        <v>0</v>
      </c>
      <c r="N456" s="9" t="s">
        <v>5044</v>
      </c>
      <c r="O456" s="9" t="s">
        <v>5044</v>
      </c>
      <c r="P456" s="11">
        <v>0</v>
      </c>
      <c r="Q456" s="11">
        <v>0</v>
      </c>
      <c r="R456" s="11">
        <v>0</v>
      </c>
      <c r="S456" s="11">
        <v>1</v>
      </c>
      <c r="T456" s="11">
        <v>4</v>
      </c>
      <c r="U456" s="11">
        <v>100</v>
      </c>
      <c r="V456" s="11">
        <v>0</v>
      </c>
      <c r="W456" s="11">
        <v>1</v>
      </c>
      <c r="X456" s="11">
        <v>0</v>
      </c>
      <c r="Y456" s="11">
        <v>0</v>
      </c>
      <c r="Z456" s="11">
        <v>0</v>
      </c>
      <c r="AA456" s="11">
        <v>0</v>
      </c>
      <c r="AB456" s="11">
        <v>1</v>
      </c>
      <c r="AC456" s="11">
        <v>1</v>
      </c>
      <c r="AD456" s="11" t="s">
        <v>5044</v>
      </c>
      <c r="AE456" s="11" t="s">
        <v>5044</v>
      </c>
      <c r="AF456" s="11" t="s">
        <v>5044</v>
      </c>
      <c r="AG456" s="11">
        <v>2</v>
      </c>
      <c r="AH456" s="11">
        <v>1</v>
      </c>
      <c r="AI456" s="11">
        <v>2</v>
      </c>
      <c r="AJ456" s="11" t="s">
        <v>5044</v>
      </c>
      <c r="AK456" s="11" t="s">
        <v>5318</v>
      </c>
      <c r="AL456" s="11">
        <v>1</v>
      </c>
      <c r="AM456" s="11">
        <v>0</v>
      </c>
      <c r="AN456" s="11" t="s">
        <v>5318</v>
      </c>
      <c r="AO456" s="11" t="s">
        <v>5318</v>
      </c>
      <c r="AP456" s="11" t="s">
        <v>5318</v>
      </c>
      <c r="AQ456" s="11" t="s">
        <v>5318</v>
      </c>
    </row>
    <row r="457" spans="1:43" ht="63" customHeight="1" x14ac:dyDescent="0.2">
      <c r="A457" s="10">
        <v>4651</v>
      </c>
      <c r="B457" s="11" t="s">
        <v>7645</v>
      </c>
      <c r="C457" s="11" t="s">
        <v>1236</v>
      </c>
      <c r="D457" s="11">
        <v>2019</v>
      </c>
      <c r="E457" s="11" t="s">
        <v>5318</v>
      </c>
      <c r="F457" s="11">
        <v>32</v>
      </c>
      <c r="G457" s="11">
        <v>5</v>
      </c>
      <c r="H457" s="11" t="s">
        <v>7646</v>
      </c>
      <c r="I457" s="11" t="s">
        <v>6516</v>
      </c>
      <c r="J457" s="11" t="s">
        <v>7647</v>
      </c>
      <c r="K457" s="11" t="s">
        <v>1238</v>
      </c>
      <c r="L457" s="11" t="s">
        <v>5044</v>
      </c>
      <c r="M457" s="11">
        <v>0</v>
      </c>
      <c r="N457" s="9" t="s">
        <v>5044</v>
      </c>
      <c r="O457" s="9" t="s">
        <v>5044</v>
      </c>
      <c r="P457" s="11">
        <v>0</v>
      </c>
      <c r="Q457" s="11">
        <v>0</v>
      </c>
      <c r="R457" s="11">
        <v>0</v>
      </c>
      <c r="S457" s="11">
        <v>1</v>
      </c>
      <c r="T457" s="11">
        <v>4</v>
      </c>
      <c r="U457" s="11">
        <v>67</v>
      </c>
      <c r="V457" s="11">
        <v>0</v>
      </c>
      <c r="W457" s="11">
        <v>1</v>
      </c>
      <c r="X457" s="11">
        <v>0</v>
      </c>
      <c r="Y457" s="11">
        <v>0</v>
      </c>
      <c r="Z457" s="11">
        <v>0</v>
      </c>
      <c r="AA457" s="11">
        <v>0</v>
      </c>
      <c r="AB457" s="11">
        <v>1</v>
      </c>
      <c r="AC457" s="11">
        <v>1</v>
      </c>
      <c r="AD457" s="11" t="s">
        <v>5044</v>
      </c>
      <c r="AE457" s="11" t="s">
        <v>5044</v>
      </c>
      <c r="AF457" s="11" t="s">
        <v>5044</v>
      </c>
      <c r="AG457" s="11">
        <v>2</v>
      </c>
      <c r="AH457" s="11">
        <v>1</v>
      </c>
      <c r="AI457" s="11">
        <v>1</v>
      </c>
      <c r="AJ457" s="11" t="s">
        <v>5044</v>
      </c>
      <c r="AK457" s="11" t="s">
        <v>5318</v>
      </c>
      <c r="AL457" s="11">
        <v>1</v>
      </c>
      <c r="AM457" s="11">
        <v>0</v>
      </c>
      <c r="AN457" s="11" t="s">
        <v>5318</v>
      </c>
      <c r="AO457" s="11" t="s">
        <v>5318</v>
      </c>
      <c r="AP457" s="11" t="s">
        <v>5318</v>
      </c>
      <c r="AQ457" s="11" t="s">
        <v>5318</v>
      </c>
    </row>
    <row r="458" spans="1:43" ht="63" customHeight="1" x14ac:dyDescent="0.2">
      <c r="A458" s="10">
        <v>4663</v>
      </c>
      <c r="B458" s="11" t="s">
        <v>7648</v>
      </c>
      <c r="C458" s="11" t="s">
        <v>1239</v>
      </c>
      <c r="D458" s="11">
        <v>2017</v>
      </c>
      <c r="E458" s="11" t="s">
        <v>5318</v>
      </c>
      <c r="F458" s="11">
        <v>24</v>
      </c>
      <c r="G458" s="11">
        <v>2</v>
      </c>
      <c r="H458" s="11" t="s">
        <v>6621</v>
      </c>
      <c r="I458" s="11" t="s">
        <v>6516</v>
      </c>
      <c r="J458" s="11" t="s">
        <v>7649</v>
      </c>
      <c r="K458" s="11" t="s">
        <v>1240</v>
      </c>
      <c r="L458" s="11" t="s">
        <v>5721</v>
      </c>
      <c r="M458" s="11">
        <v>0</v>
      </c>
      <c r="N458" s="9" t="s">
        <v>5044</v>
      </c>
      <c r="O458" s="9" t="s">
        <v>5044</v>
      </c>
      <c r="P458" s="11">
        <v>0</v>
      </c>
      <c r="Q458" s="11">
        <v>0</v>
      </c>
      <c r="R458" s="11">
        <v>0</v>
      </c>
      <c r="S458" s="11">
        <v>1</v>
      </c>
      <c r="T458" s="11">
        <v>4</v>
      </c>
      <c r="U458" s="11">
        <v>56</v>
      </c>
      <c r="V458" s="11">
        <v>0</v>
      </c>
      <c r="W458" s="11">
        <v>1</v>
      </c>
      <c r="X458" s="11">
        <v>0</v>
      </c>
      <c r="Y458" s="11">
        <v>0</v>
      </c>
      <c r="Z458" s="11">
        <v>0</v>
      </c>
      <c r="AA458" s="11">
        <v>0</v>
      </c>
      <c r="AB458" s="11">
        <v>1</v>
      </c>
      <c r="AC458" s="11">
        <v>1</v>
      </c>
      <c r="AD458" s="11" t="s">
        <v>5044</v>
      </c>
      <c r="AE458" s="11" t="s">
        <v>5044</v>
      </c>
      <c r="AF458" s="11" t="s">
        <v>5044</v>
      </c>
      <c r="AG458" s="11">
        <v>2</v>
      </c>
      <c r="AH458" s="11">
        <v>3</v>
      </c>
      <c r="AI458" s="11">
        <v>0</v>
      </c>
      <c r="AJ458" s="11" t="s">
        <v>5044</v>
      </c>
      <c r="AK458" s="11">
        <v>1</v>
      </c>
      <c r="AL458" s="11">
        <v>1</v>
      </c>
      <c r="AM458" s="11">
        <v>0</v>
      </c>
      <c r="AN458" s="11" t="s">
        <v>5318</v>
      </c>
      <c r="AO458" s="11" t="s">
        <v>5318</v>
      </c>
      <c r="AP458" s="11" t="s">
        <v>5318</v>
      </c>
      <c r="AQ458" s="11" t="s">
        <v>5318</v>
      </c>
    </row>
    <row r="459" spans="1:43" ht="63" customHeight="1" x14ac:dyDescent="0.2">
      <c r="A459" s="10">
        <v>4668</v>
      </c>
      <c r="B459" s="11" t="s">
        <v>7650</v>
      </c>
      <c r="C459" s="11" t="s">
        <v>1241</v>
      </c>
      <c r="D459" s="11">
        <v>2023</v>
      </c>
      <c r="E459" s="11" t="s">
        <v>5318</v>
      </c>
      <c r="F459" s="11">
        <v>13</v>
      </c>
      <c r="G459" s="11">
        <v>1</v>
      </c>
      <c r="H459" s="11" t="s">
        <v>6645</v>
      </c>
      <c r="I459" s="11" t="s">
        <v>6516</v>
      </c>
      <c r="J459" s="11" t="s">
        <v>7651</v>
      </c>
      <c r="K459" s="11" t="s">
        <v>1242</v>
      </c>
      <c r="L459" s="11" t="s">
        <v>5722</v>
      </c>
      <c r="M459" s="11">
        <v>0</v>
      </c>
      <c r="N459" s="9" t="s">
        <v>5044</v>
      </c>
      <c r="O459" s="9" t="s">
        <v>5044</v>
      </c>
      <c r="P459" s="11">
        <v>0</v>
      </c>
      <c r="Q459" s="11">
        <v>0</v>
      </c>
      <c r="R459" s="11">
        <v>0</v>
      </c>
      <c r="S459" s="11">
        <v>9</v>
      </c>
      <c r="T459" s="11">
        <v>4</v>
      </c>
      <c r="U459" s="11">
        <v>40</v>
      </c>
      <c r="V459" s="11">
        <v>0</v>
      </c>
      <c r="W459" s="11">
        <v>1</v>
      </c>
      <c r="X459" s="11">
        <v>0</v>
      </c>
      <c r="Y459" s="11">
        <v>0</v>
      </c>
      <c r="Z459" s="11">
        <v>0</v>
      </c>
      <c r="AA459" s="11">
        <v>0</v>
      </c>
      <c r="AB459" s="11">
        <v>1</v>
      </c>
      <c r="AC459" s="11">
        <v>1</v>
      </c>
      <c r="AD459" s="11" t="s">
        <v>5044</v>
      </c>
      <c r="AE459" s="11" t="s">
        <v>5044</v>
      </c>
      <c r="AF459" s="11" t="s">
        <v>5044</v>
      </c>
      <c r="AG459" s="11">
        <v>2</v>
      </c>
      <c r="AH459" s="11">
        <v>1</v>
      </c>
      <c r="AI459" s="11">
        <v>1</v>
      </c>
      <c r="AJ459" s="11" t="s">
        <v>5044</v>
      </c>
      <c r="AK459" s="11" t="s">
        <v>5318</v>
      </c>
      <c r="AL459" s="11">
        <v>1</v>
      </c>
      <c r="AM459" s="11">
        <v>0</v>
      </c>
      <c r="AN459" s="11" t="s">
        <v>5318</v>
      </c>
      <c r="AO459" s="11" t="s">
        <v>5318</v>
      </c>
      <c r="AP459" s="11" t="s">
        <v>5318</v>
      </c>
      <c r="AQ459" s="11" t="s">
        <v>5318</v>
      </c>
    </row>
    <row r="460" spans="1:43" ht="63" customHeight="1" x14ac:dyDescent="0.2">
      <c r="A460" s="10">
        <v>4702</v>
      </c>
      <c r="B460" s="11" t="s">
        <v>7652</v>
      </c>
      <c r="C460" s="11" t="s">
        <v>1243</v>
      </c>
      <c r="D460" s="11">
        <v>2022</v>
      </c>
      <c r="E460" s="11" t="s">
        <v>5318</v>
      </c>
      <c r="F460" s="11">
        <v>26</v>
      </c>
      <c r="G460" s="11">
        <v>34</v>
      </c>
      <c r="H460" s="11" t="s">
        <v>6708</v>
      </c>
      <c r="I460" s="11" t="s">
        <v>6516</v>
      </c>
      <c r="J460" s="11" t="s">
        <v>7653</v>
      </c>
      <c r="K460" s="11" t="s">
        <v>1244</v>
      </c>
      <c r="L460" s="11" t="s">
        <v>5723</v>
      </c>
      <c r="M460" s="11">
        <v>0</v>
      </c>
      <c r="N460" s="9" t="s">
        <v>5044</v>
      </c>
      <c r="O460" s="9" t="s">
        <v>5044</v>
      </c>
      <c r="P460" s="11">
        <v>0</v>
      </c>
      <c r="Q460" s="11">
        <v>0</v>
      </c>
      <c r="R460" s="11">
        <v>0</v>
      </c>
      <c r="S460" s="11">
        <v>1</v>
      </c>
      <c r="T460" s="11">
        <v>1</v>
      </c>
      <c r="U460" s="11">
        <v>802</v>
      </c>
      <c r="V460" s="11">
        <v>0</v>
      </c>
      <c r="W460" s="11">
        <v>1</v>
      </c>
      <c r="X460" s="11">
        <v>0</v>
      </c>
      <c r="Y460" s="11">
        <v>0</v>
      </c>
      <c r="Z460" s="11">
        <v>0</v>
      </c>
      <c r="AA460" s="11">
        <v>0</v>
      </c>
      <c r="AB460" s="11">
        <v>1</v>
      </c>
      <c r="AC460" s="11">
        <v>1</v>
      </c>
      <c r="AD460" s="11" t="s">
        <v>5044</v>
      </c>
      <c r="AE460" s="11" t="s">
        <v>5044</v>
      </c>
      <c r="AF460" s="11" t="s">
        <v>5044</v>
      </c>
      <c r="AG460" s="11">
        <v>1</v>
      </c>
      <c r="AH460" s="11">
        <v>0</v>
      </c>
      <c r="AI460" s="11">
        <v>0</v>
      </c>
      <c r="AJ460" s="11" t="s">
        <v>5044</v>
      </c>
      <c r="AK460" s="11" t="s">
        <v>5318</v>
      </c>
      <c r="AL460" s="11">
        <v>0</v>
      </c>
      <c r="AM460" s="11">
        <v>0</v>
      </c>
      <c r="AN460" s="11" t="s">
        <v>5318</v>
      </c>
      <c r="AO460" s="11" t="s">
        <v>5318</v>
      </c>
      <c r="AP460" s="11" t="s">
        <v>5318</v>
      </c>
      <c r="AQ460" s="11" t="s">
        <v>5318</v>
      </c>
    </row>
    <row r="461" spans="1:43" ht="63" customHeight="1" x14ac:dyDescent="0.2">
      <c r="A461" s="7">
        <v>4734</v>
      </c>
      <c r="B461" s="7" t="s">
        <v>1249</v>
      </c>
      <c r="C461" s="7" t="s">
        <v>1250</v>
      </c>
      <c r="D461" s="7" t="s">
        <v>41</v>
      </c>
      <c r="F461" s="7" t="s">
        <v>458</v>
      </c>
      <c r="G461" s="7" t="s">
        <v>37</v>
      </c>
      <c r="H461" s="7" t="s">
        <v>540</v>
      </c>
      <c r="I461" s="7" t="s">
        <v>13</v>
      </c>
      <c r="J461" s="7" t="s">
        <v>1251</v>
      </c>
      <c r="K461" s="7" t="s">
        <v>1252</v>
      </c>
      <c r="L461" s="7" t="s">
        <v>5725</v>
      </c>
      <c r="M461" s="7">
        <v>0</v>
      </c>
      <c r="N461" s="9" t="s">
        <v>5044</v>
      </c>
      <c r="O461" s="9" t="s">
        <v>5044</v>
      </c>
      <c r="P461" s="7">
        <v>0</v>
      </c>
      <c r="Q461" s="7">
        <v>0</v>
      </c>
      <c r="R461" s="7">
        <v>0</v>
      </c>
      <c r="S461" s="7">
        <v>3</v>
      </c>
      <c r="T461" s="7">
        <v>4</v>
      </c>
      <c r="U461" s="7">
        <v>110</v>
      </c>
      <c r="V461" s="7">
        <v>0</v>
      </c>
      <c r="W461" s="7">
        <v>1</v>
      </c>
      <c r="X461" s="7">
        <v>0</v>
      </c>
      <c r="Y461" s="7">
        <v>0</v>
      </c>
      <c r="Z461" s="7">
        <v>0</v>
      </c>
      <c r="AA461" s="7">
        <v>0</v>
      </c>
      <c r="AB461" s="7">
        <v>1</v>
      </c>
      <c r="AC461" s="7">
        <v>1</v>
      </c>
      <c r="AD461" s="7" t="s">
        <v>5044</v>
      </c>
      <c r="AE461" s="7" t="s">
        <v>5044</v>
      </c>
      <c r="AF461" s="7" t="s">
        <v>5044</v>
      </c>
      <c r="AG461" s="7">
        <v>2</v>
      </c>
      <c r="AH461" s="7">
        <v>3</v>
      </c>
      <c r="AI461" s="7">
        <v>0</v>
      </c>
      <c r="AJ461" s="7" t="s">
        <v>5044</v>
      </c>
      <c r="AL461" s="7" t="s">
        <v>5044</v>
      </c>
      <c r="AM461" s="7">
        <v>0</v>
      </c>
      <c r="AN461" s="7" t="s">
        <v>5105</v>
      </c>
    </row>
    <row r="462" spans="1:43" ht="63" customHeight="1" x14ac:dyDescent="0.2">
      <c r="A462" s="7">
        <v>4735</v>
      </c>
      <c r="B462" s="7" t="s">
        <v>1253</v>
      </c>
      <c r="C462" s="7" t="s">
        <v>1254</v>
      </c>
      <c r="D462" s="7" t="s">
        <v>101</v>
      </c>
      <c r="F462" s="7" t="s">
        <v>147</v>
      </c>
      <c r="G462" s="7" t="s">
        <v>144</v>
      </c>
      <c r="H462" s="7" t="s">
        <v>1213</v>
      </c>
      <c r="I462" s="7" t="s">
        <v>13</v>
      </c>
      <c r="J462" s="7" t="s">
        <v>1255</v>
      </c>
      <c r="K462" s="7" t="s">
        <v>1256</v>
      </c>
      <c r="L462" s="7" t="s">
        <v>5044</v>
      </c>
      <c r="M462" s="7">
        <v>0</v>
      </c>
      <c r="N462" s="9" t="s">
        <v>5044</v>
      </c>
      <c r="O462" s="9" t="s">
        <v>5044</v>
      </c>
      <c r="P462" s="7">
        <v>0</v>
      </c>
      <c r="Q462" s="7">
        <v>0</v>
      </c>
      <c r="R462" s="7">
        <v>0</v>
      </c>
      <c r="S462" s="7">
        <v>3</v>
      </c>
      <c r="T462" s="7">
        <v>6</v>
      </c>
      <c r="U462" s="7">
        <v>101</v>
      </c>
      <c r="V462" s="7">
        <v>0</v>
      </c>
      <c r="W462" s="7">
        <v>1</v>
      </c>
      <c r="X462" s="7">
        <v>0</v>
      </c>
      <c r="Y462" s="7">
        <v>0</v>
      </c>
      <c r="Z462" s="7">
        <v>0</v>
      </c>
      <c r="AA462" s="7">
        <v>0</v>
      </c>
      <c r="AB462" s="7">
        <v>1</v>
      </c>
      <c r="AC462" s="7">
        <v>1</v>
      </c>
      <c r="AD462" s="7" t="s">
        <v>5044</v>
      </c>
      <c r="AE462" s="7" t="s">
        <v>5044</v>
      </c>
      <c r="AF462" s="7" t="s">
        <v>5044</v>
      </c>
      <c r="AG462" s="7">
        <v>2</v>
      </c>
      <c r="AH462" s="7">
        <v>1</v>
      </c>
      <c r="AI462" s="7">
        <v>2</v>
      </c>
      <c r="AJ462" s="7" t="s">
        <v>5044</v>
      </c>
      <c r="AL462" s="7">
        <v>0</v>
      </c>
      <c r="AM462" s="7">
        <v>0</v>
      </c>
    </row>
    <row r="463" spans="1:43" ht="63" customHeight="1" x14ac:dyDescent="0.2">
      <c r="A463" s="7">
        <v>4751</v>
      </c>
      <c r="B463" s="7" t="s">
        <v>1257</v>
      </c>
      <c r="C463" s="7" t="s">
        <v>1258</v>
      </c>
      <c r="D463" s="7" t="s">
        <v>16</v>
      </c>
      <c r="F463" s="7" t="s">
        <v>118</v>
      </c>
      <c r="G463" s="7" t="s">
        <v>52</v>
      </c>
      <c r="H463" s="7" t="s">
        <v>53</v>
      </c>
      <c r="I463" s="7" t="s">
        <v>13</v>
      </c>
      <c r="J463" s="7" t="s">
        <v>1259</v>
      </c>
      <c r="K463" s="7" t="s">
        <v>1260</v>
      </c>
      <c r="L463" s="7" t="s">
        <v>5726</v>
      </c>
      <c r="M463" s="7">
        <v>1</v>
      </c>
      <c r="N463" s="7">
        <v>0</v>
      </c>
      <c r="O463" s="9" t="s">
        <v>5044</v>
      </c>
      <c r="P463" s="7">
        <v>0</v>
      </c>
      <c r="Q463" s="7">
        <v>0</v>
      </c>
      <c r="R463" s="7">
        <v>0</v>
      </c>
      <c r="S463" s="7">
        <v>1</v>
      </c>
      <c r="T463" s="7">
        <v>1</v>
      </c>
      <c r="U463" s="7">
        <v>340</v>
      </c>
      <c r="V463" s="7">
        <v>0</v>
      </c>
      <c r="W463" s="7">
        <v>1</v>
      </c>
      <c r="X463" s="7">
        <v>0</v>
      </c>
      <c r="Y463" s="7">
        <v>0</v>
      </c>
      <c r="Z463" s="7">
        <v>0</v>
      </c>
      <c r="AA463" s="7">
        <v>0</v>
      </c>
      <c r="AB463" s="7">
        <v>1</v>
      </c>
      <c r="AC463" s="7" t="s">
        <v>5044</v>
      </c>
      <c r="AD463" s="7" t="s">
        <v>5044</v>
      </c>
      <c r="AE463" s="7" t="s">
        <v>5044</v>
      </c>
      <c r="AF463" s="7" t="s">
        <v>5044</v>
      </c>
      <c r="AG463" s="7" t="s">
        <v>5044</v>
      </c>
      <c r="AH463" s="7" t="s">
        <v>5044</v>
      </c>
      <c r="AI463" s="7" t="s">
        <v>5044</v>
      </c>
      <c r="AJ463" s="7" t="s">
        <v>5044</v>
      </c>
      <c r="AL463" s="7" t="s">
        <v>5044</v>
      </c>
      <c r="AM463" s="7">
        <v>0</v>
      </c>
    </row>
    <row r="464" spans="1:43" ht="63" customHeight="1" x14ac:dyDescent="0.2">
      <c r="A464" s="7">
        <v>4768</v>
      </c>
      <c r="B464" s="7" t="s">
        <v>1261</v>
      </c>
      <c r="C464" s="7" t="s">
        <v>1262</v>
      </c>
      <c r="D464" s="7" t="s">
        <v>535</v>
      </c>
      <c r="F464" s="7" t="s">
        <v>571</v>
      </c>
      <c r="G464" s="7" t="s">
        <v>48</v>
      </c>
      <c r="H464" s="7" t="s">
        <v>38</v>
      </c>
      <c r="I464" s="7" t="s">
        <v>13</v>
      </c>
      <c r="J464" s="7" t="s">
        <v>1263</v>
      </c>
      <c r="K464" s="7" t="s">
        <v>1264</v>
      </c>
      <c r="L464" s="7" t="s">
        <v>5727</v>
      </c>
      <c r="M464" s="7">
        <v>0</v>
      </c>
      <c r="N464" s="9" t="s">
        <v>5044</v>
      </c>
      <c r="O464" s="9" t="s">
        <v>5044</v>
      </c>
      <c r="P464" s="7">
        <v>0</v>
      </c>
      <c r="Q464" s="7">
        <v>0</v>
      </c>
      <c r="R464" s="7">
        <v>0</v>
      </c>
      <c r="S464" s="7">
        <v>1</v>
      </c>
      <c r="T464" s="7">
        <v>1</v>
      </c>
      <c r="U464" s="7">
        <v>152</v>
      </c>
      <c r="V464" s="7">
        <v>0</v>
      </c>
      <c r="W464" s="7">
        <v>1</v>
      </c>
      <c r="X464" s="7">
        <v>0</v>
      </c>
      <c r="Y464" s="7">
        <v>0</v>
      </c>
      <c r="Z464" s="7">
        <v>0</v>
      </c>
      <c r="AA464" s="7">
        <v>0</v>
      </c>
      <c r="AB464" s="7">
        <v>0</v>
      </c>
      <c r="AC464" s="7">
        <v>1</v>
      </c>
      <c r="AD464" s="7" t="s">
        <v>5044</v>
      </c>
      <c r="AE464" s="7" t="s">
        <v>5044</v>
      </c>
      <c r="AF464" s="7" t="s">
        <v>5044</v>
      </c>
      <c r="AG464" s="7">
        <v>1</v>
      </c>
      <c r="AH464" s="7">
        <v>0</v>
      </c>
      <c r="AI464" s="7">
        <v>0</v>
      </c>
      <c r="AJ464" s="7" t="s">
        <v>5044</v>
      </c>
      <c r="AL464" s="7">
        <v>1</v>
      </c>
      <c r="AM464" s="7">
        <v>0</v>
      </c>
    </row>
    <row r="465" spans="1:40" ht="63" customHeight="1" x14ac:dyDescent="0.2">
      <c r="A465" s="7">
        <v>4770</v>
      </c>
      <c r="B465" s="7" t="s">
        <v>1265</v>
      </c>
      <c r="C465" s="7" t="s">
        <v>1266</v>
      </c>
      <c r="D465" s="7" t="s">
        <v>1092</v>
      </c>
      <c r="F465" s="7" t="s">
        <v>1267</v>
      </c>
      <c r="G465" s="7" t="s">
        <v>47</v>
      </c>
      <c r="H465" s="7" t="s">
        <v>38</v>
      </c>
      <c r="I465" s="7" t="s">
        <v>13</v>
      </c>
      <c r="J465" s="7" t="s">
        <v>1268</v>
      </c>
      <c r="K465" s="7" t="s">
        <v>1269</v>
      </c>
      <c r="L465" s="7" t="s">
        <v>5044</v>
      </c>
      <c r="M465" s="7">
        <v>0</v>
      </c>
      <c r="N465" s="9" t="s">
        <v>5044</v>
      </c>
      <c r="O465" s="9" t="s">
        <v>5044</v>
      </c>
      <c r="P465" s="7">
        <v>0</v>
      </c>
      <c r="Q465" s="7">
        <v>0</v>
      </c>
      <c r="R465" s="7">
        <v>0</v>
      </c>
      <c r="S465" s="7">
        <v>1</v>
      </c>
      <c r="T465" s="7">
        <v>1</v>
      </c>
      <c r="U465" s="7">
        <v>108</v>
      </c>
      <c r="V465" s="7">
        <v>0</v>
      </c>
      <c r="W465" s="7">
        <v>1</v>
      </c>
      <c r="X465" s="7">
        <v>0</v>
      </c>
      <c r="Y465" s="7">
        <v>0</v>
      </c>
      <c r="Z465" s="7">
        <v>0</v>
      </c>
      <c r="AA465" s="7">
        <v>0</v>
      </c>
      <c r="AB465" s="7">
        <v>1</v>
      </c>
      <c r="AC465" s="7">
        <v>1</v>
      </c>
      <c r="AD465" s="7" t="s">
        <v>5044</v>
      </c>
      <c r="AE465" s="7" t="s">
        <v>5044</v>
      </c>
      <c r="AF465" s="7" t="s">
        <v>5044</v>
      </c>
      <c r="AG465" s="7">
        <v>2</v>
      </c>
      <c r="AH465" s="7">
        <v>3</v>
      </c>
      <c r="AI465" s="7">
        <v>0</v>
      </c>
      <c r="AJ465" s="7" t="s">
        <v>5044</v>
      </c>
      <c r="AK465" s="7">
        <v>1</v>
      </c>
      <c r="AL465" s="7">
        <v>1</v>
      </c>
      <c r="AM465" s="7">
        <v>0</v>
      </c>
    </row>
    <row r="466" spans="1:40" ht="63" customHeight="1" x14ac:dyDescent="0.2">
      <c r="A466" s="7">
        <v>4773</v>
      </c>
      <c r="B466" s="7" t="s">
        <v>1270</v>
      </c>
      <c r="C466" s="7" t="s">
        <v>1271</v>
      </c>
      <c r="D466" s="7" t="s">
        <v>535</v>
      </c>
      <c r="F466" s="7" t="s">
        <v>220</v>
      </c>
      <c r="G466" s="7" t="s">
        <v>37</v>
      </c>
      <c r="H466" s="7" t="s">
        <v>1185</v>
      </c>
      <c r="I466" s="7" t="s">
        <v>13</v>
      </c>
      <c r="J466" s="7" t="s">
        <v>1272</v>
      </c>
      <c r="K466" s="7" t="s">
        <v>1273</v>
      </c>
      <c r="L466" s="7" t="s">
        <v>5044</v>
      </c>
      <c r="M466" s="7">
        <v>0</v>
      </c>
      <c r="N466" s="9" t="s">
        <v>5044</v>
      </c>
      <c r="O466" s="9" t="s">
        <v>5044</v>
      </c>
      <c r="P466" s="7">
        <v>0</v>
      </c>
      <c r="Q466" s="7">
        <v>0</v>
      </c>
      <c r="R466" s="7">
        <v>0</v>
      </c>
      <c r="S466" s="7">
        <v>1</v>
      </c>
      <c r="T466" s="7">
        <v>1</v>
      </c>
      <c r="U466" s="7">
        <v>91</v>
      </c>
      <c r="V466" s="7">
        <v>0</v>
      </c>
      <c r="W466" s="7">
        <v>1</v>
      </c>
      <c r="X466" s="7">
        <v>0</v>
      </c>
      <c r="Y466" s="7">
        <v>0</v>
      </c>
      <c r="Z466" s="7">
        <v>0</v>
      </c>
      <c r="AA466" s="7">
        <v>0</v>
      </c>
      <c r="AB466" s="7">
        <v>1</v>
      </c>
      <c r="AC466" s="7">
        <v>1</v>
      </c>
      <c r="AD466" s="7" t="s">
        <v>5044</v>
      </c>
      <c r="AE466" s="7" t="s">
        <v>5044</v>
      </c>
      <c r="AF466" s="7" t="s">
        <v>5044</v>
      </c>
      <c r="AG466" s="7">
        <v>1</v>
      </c>
      <c r="AH466" s="7">
        <v>0</v>
      </c>
      <c r="AI466" s="7">
        <v>0</v>
      </c>
      <c r="AJ466" s="7" t="s">
        <v>5044</v>
      </c>
      <c r="AL466" s="7">
        <v>1</v>
      </c>
      <c r="AM466" s="7">
        <v>0</v>
      </c>
    </row>
    <row r="467" spans="1:40" ht="63" customHeight="1" x14ac:dyDescent="0.2">
      <c r="A467" s="7">
        <v>4803</v>
      </c>
      <c r="B467" s="7" t="s">
        <v>1274</v>
      </c>
      <c r="C467" s="7" t="s">
        <v>1275</v>
      </c>
      <c r="D467" s="7" t="s">
        <v>16</v>
      </c>
      <c r="F467" s="7" t="s">
        <v>129</v>
      </c>
      <c r="G467" s="7" t="s">
        <v>18</v>
      </c>
      <c r="H467" s="7" t="s">
        <v>1276</v>
      </c>
      <c r="I467" s="7" t="s">
        <v>13</v>
      </c>
      <c r="J467" s="7" t="s">
        <v>1277</v>
      </c>
      <c r="K467" s="7" t="s">
        <v>1278</v>
      </c>
      <c r="L467" s="7" t="s">
        <v>5729</v>
      </c>
      <c r="M467" s="7">
        <v>0</v>
      </c>
      <c r="N467" s="9" t="s">
        <v>5044</v>
      </c>
      <c r="O467" s="9" t="s">
        <v>5044</v>
      </c>
      <c r="P467" s="7">
        <v>0</v>
      </c>
      <c r="Q467" s="7">
        <v>0</v>
      </c>
      <c r="R467" s="7">
        <v>0</v>
      </c>
      <c r="S467" s="7" t="s">
        <v>5728</v>
      </c>
      <c r="T467" s="7">
        <v>2</v>
      </c>
      <c r="U467" s="7">
        <v>160</v>
      </c>
      <c r="V467" s="7">
        <v>0</v>
      </c>
      <c r="W467" s="7">
        <v>1</v>
      </c>
      <c r="X467" s="7">
        <v>0</v>
      </c>
      <c r="Y467" s="7">
        <v>0</v>
      </c>
      <c r="Z467" s="7">
        <v>0</v>
      </c>
      <c r="AA467" s="7">
        <v>0</v>
      </c>
      <c r="AB467" s="7">
        <v>1</v>
      </c>
      <c r="AC467" s="7">
        <v>1</v>
      </c>
      <c r="AD467" s="7" t="s">
        <v>5044</v>
      </c>
      <c r="AE467" s="7" t="s">
        <v>5044</v>
      </c>
      <c r="AF467" s="7" t="s">
        <v>5044</v>
      </c>
      <c r="AG467" s="7">
        <v>2</v>
      </c>
      <c r="AH467" s="7">
        <v>1</v>
      </c>
      <c r="AI467" s="7">
        <v>2</v>
      </c>
      <c r="AJ467" s="7" t="s">
        <v>5044</v>
      </c>
      <c r="AL467" s="7">
        <v>0</v>
      </c>
      <c r="AM467" s="7">
        <v>0</v>
      </c>
    </row>
    <row r="468" spans="1:40" ht="63" customHeight="1" x14ac:dyDescent="0.2">
      <c r="A468" s="7">
        <v>4807</v>
      </c>
      <c r="B468" s="7" t="s">
        <v>1279</v>
      </c>
      <c r="C468" s="7" t="s">
        <v>1280</v>
      </c>
      <c r="D468" s="7" t="s">
        <v>16</v>
      </c>
      <c r="F468" s="7" t="s">
        <v>17</v>
      </c>
      <c r="H468" s="7" t="s">
        <v>130</v>
      </c>
      <c r="I468" s="7" t="s">
        <v>13</v>
      </c>
      <c r="J468" s="7" t="s">
        <v>1281</v>
      </c>
      <c r="K468" s="7" t="s">
        <v>1282</v>
      </c>
      <c r="L468" s="7" t="s">
        <v>5730</v>
      </c>
      <c r="M468" s="7">
        <v>1</v>
      </c>
      <c r="N468" s="7">
        <v>0</v>
      </c>
      <c r="O468" s="9" t="s">
        <v>5044</v>
      </c>
      <c r="P468" s="7">
        <v>0</v>
      </c>
      <c r="Q468" s="7">
        <v>0</v>
      </c>
      <c r="R468" s="7">
        <v>0</v>
      </c>
      <c r="S468" s="7">
        <v>1</v>
      </c>
      <c r="T468" s="7">
        <v>1</v>
      </c>
      <c r="U468" s="7">
        <v>1200</v>
      </c>
      <c r="V468" s="7">
        <v>0</v>
      </c>
      <c r="W468" s="7">
        <v>1</v>
      </c>
      <c r="X468" s="7">
        <v>0</v>
      </c>
      <c r="Y468" s="7">
        <v>0</v>
      </c>
      <c r="Z468" s="7">
        <v>0</v>
      </c>
      <c r="AA468" s="7">
        <v>0</v>
      </c>
      <c r="AB468" s="7">
        <v>1</v>
      </c>
      <c r="AC468" s="7" t="s">
        <v>5044</v>
      </c>
      <c r="AD468" s="7" t="s">
        <v>5044</v>
      </c>
      <c r="AE468" s="7" t="s">
        <v>5044</v>
      </c>
      <c r="AF468" s="7" t="s">
        <v>5044</v>
      </c>
      <c r="AG468" s="7" t="s">
        <v>5044</v>
      </c>
      <c r="AH468" s="7" t="s">
        <v>5044</v>
      </c>
      <c r="AI468" s="7" t="s">
        <v>5044</v>
      </c>
      <c r="AJ468" s="7" t="s">
        <v>5044</v>
      </c>
      <c r="AL468" s="7" t="s">
        <v>5044</v>
      </c>
      <c r="AM468" s="7">
        <v>0</v>
      </c>
    </row>
    <row r="469" spans="1:40" ht="63" customHeight="1" x14ac:dyDescent="0.2">
      <c r="A469" s="7">
        <v>4808</v>
      </c>
      <c r="B469" s="7" t="s">
        <v>1283</v>
      </c>
      <c r="C469" s="7" t="s">
        <v>1284</v>
      </c>
      <c r="D469" s="7" t="s">
        <v>101</v>
      </c>
      <c r="F469" s="7" t="s">
        <v>645</v>
      </c>
      <c r="G469" s="7" t="s">
        <v>11</v>
      </c>
      <c r="H469" s="7" t="s">
        <v>43</v>
      </c>
      <c r="I469" s="7" t="s">
        <v>13</v>
      </c>
      <c r="J469" s="7" t="s">
        <v>1285</v>
      </c>
      <c r="K469" s="7" t="s">
        <v>1286</v>
      </c>
      <c r="L469" s="7" t="s">
        <v>5731</v>
      </c>
      <c r="M469" s="7">
        <v>0</v>
      </c>
      <c r="N469" s="7" t="s">
        <v>5044</v>
      </c>
      <c r="O469" s="7" t="s">
        <v>5044</v>
      </c>
      <c r="P469" s="7">
        <v>0</v>
      </c>
      <c r="Q469" s="7">
        <v>0</v>
      </c>
      <c r="R469" s="7">
        <v>0</v>
      </c>
      <c r="S469" s="7">
        <v>1</v>
      </c>
      <c r="T469" s="7">
        <v>1</v>
      </c>
      <c r="U469" s="7">
        <v>249</v>
      </c>
      <c r="V469" s="7">
        <v>1</v>
      </c>
      <c r="W469" s="7">
        <v>1</v>
      </c>
      <c r="X469" s="7">
        <v>0</v>
      </c>
      <c r="Y469" s="7">
        <v>0</v>
      </c>
      <c r="Z469" s="7">
        <v>0</v>
      </c>
      <c r="AA469" s="7">
        <v>0</v>
      </c>
      <c r="AB469" s="7">
        <v>1</v>
      </c>
      <c r="AC469" s="7">
        <v>1</v>
      </c>
      <c r="AD469" s="7">
        <v>2</v>
      </c>
      <c r="AE469" s="7">
        <v>1</v>
      </c>
      <c r="AF469" s="7">
        <v>1</v>
      </c>
      <c r="AG469" s="7">
        <v>1</v>
      </c>
      <c r="AH469" s="7">
        <v>0</v>
      </c>
      <c r="AI469" s="7">
        <v>0</v>
      </c>
      <c r="AJ469" s="7" t="s">
        <v>5044</v>
      </c>
      <c r="AL469" s="7">
        <v>1</v>
      </c>
      <c r="AM469" s="7">
        <v>0</v>
      </c>
    </row>
    <row r="470" spans="1:40" ht="63" customHeight="1" x14ac:dyDescent="0.2">
      <c r="A470" s="7">
        <v>4813</v>
      </c>
      <c r="B470" s="7" t="s">
        <v>1287</v>
      </c>
      <c r="C470" s="7" t="s">
        <v>1288</v>
      </c>
      <c r="D470" s="7" t="s">
        <v>95</v>
      </c>
      <c r="F470" s="7" t="s">
        <v>1289</v>
      </c>
      <c r="G470" s="7" t="s">
        <v>11</v>
      </c>
      <c r="H470" s="7" t="s">
        <v>89</v>
      </c>
      <c r="I470" s="7" t="s">
        <v>13</v>
      </c>
      <c r="J470" s="7" t="s">
        <v>1290</v>
      </c>
      <c r="K470" s="7" t="s">
        <v>1291</v>
      </c>
      <c r="L470" s="7" t="s">
        <v>5732</v>
      </c>
      <c r="M470" s="7">
        <v>0</v>
      </c>
      <c r="N470" s="9" t="s">
        <v>5044</v>
      </c>
      <c r="O470" s="9" t="s">
        <v>5044</v>
      </c>
      <c r="P470" s="7">
        <v>0</v>
      </c>
      <c r="Q470" s="7">
        <v>0</v>
      </c>
      <c r="R470" s="7">
        <v>0</v>
      </c>
      <c r="S470" s="7">
        <v>9</v>
      </c>
      <c r="T470" s="7">
        <v>1</v>
      </c>
      <c r="U470" s="7">
        <v>60</v>
      </c>
      <c r="V470" s="7">
        <v>0</v>
      </c>
      <c r="W470" s="7">
        <v>1</v>
      </c>
      <c r="X470" s="7">
        <v>0</v>
      </c>
      <c r="Y470" s="7">
        <v>0</v>
      </c>
      <c r="Z470" s="7">
        <v>0</v>
      </c>
      <c r="AA470" s="7">
        <v>0</v>
      </c>
      <c r="AB470" s="7">
        <v>1</v>
      </c>
      <c r="AC470" s="7">
        <v>1</v>
      </c>
      <c r="AD470" s="7" t="s">
        <v>5044</v>
      </c>
      <c r="AE470" s="7" t="s">
        <v>5044</v>
      </c>
      <c r="AF470" s="7" t="s">
        <v>5044</v>
      </c>
      <c r="AG470" s="7">
        <v>2</v>
      </c>
      <c r="AH470" s="7">
        <v>3</v>
      </c>
      <c r="AI470" s="7">
        <v>0</v>
      </c>
      <c r="AJ470" s="7" t="s">
        <v>5044</v>
      </c>
      <c r="AK470" s="7">
        <v>1</v>
      </c>
      <c r="AL470" s="7" t="s">
        <v>5044</v>
      </c>
      <c r="AM470" s="7">
        <v>0</v>
      </c>
      <c r="AN470" s="7" t="s">
        <v>5105</v>
      </c>
    </row>
    <row r="471" spans="1:40" ht="63" customHeight="1" x14ac:dyDescent="0.2">
      <c r="A471" s="7">
        <v>4822</v>
      </c>
      <c r="B471" s="7" t="s">
        <v>1292</v>
      </c>
      <c r="C471" s="7" t="s">
        <v>1293</v>
      </c>
      <c r="D471" s="7" t="s">
        <v>74</v>
      </c>
      <c r="F471" s="7" t="s">
        <v>678</v>
      </c>
      <c r="G471" s="7" t="s">
        <v>144</v>
      </c>
      <c r="H471" s="7" t="s">
        <v>89</v>
      </c>
      <c r="I471" s="7" t="s">
        <v>13</v>
      </c>
      <c r="J471" s="7" t="s">
        <v>1294</v>
      </c>
      <c r="K471" s="7" t="s">
        <v>1295</v>
      </c>
      <c r="L471" s="7" t="s">
        <v>5733</v>
      </c>
      <c r="M471" s="7">
        <v>0</v>
      </c>
      <c r="N471" s="9" t="s">
        <v>5044</v>
      </c>
      <c r="O471" s="9" t="s">
        <v>5044</v>
      </c>
      <c r="P471" s="7">
        <v>0</v>
      </c>
      <c r="Q471" s="7">
        <v>0</v>
      </c>
      <c r="R471" s="7">
        <v>0</v>
      </c>
      <c r="S471" s="7">
        <v>9</v>
      </c>
      <c r="T471" s="7">
        <v>1</v>
      </c>
      <c r="U471" s="7">
        <v>160</v>
      </c>
      <c r="V471" s="7">
        <v>0</v>
      </c>
      <c r="W471" s="7">
        <v>1</v>
      </c>
      <c r="X471" s="7">
        <v>0</v>
      </c>
      <c r="Y471" s="7">
        <v>0</v>
      </c>
      <c r="Z471" s="7">
        <v>0</v>
      </c>
      <c r="AA471" s="7">
        <v>0</v>
      </c>
      <c r="AB471" s="7">
        <v>1</v>
      </c>
      <c r="AC471" s="7">
        <v>1</v>
      </c>
      <c r="AD471" s="7" t="s">
        <v>5044</v>
      </c>
      <c r="AE471" s="7" t="s">
        <v>5044</v>
      </c>
      <c r="AF471" s="7" t="s">
        <v>5044</v>
      </c>
      <c r="AG471" s="7">
        <v>1</v>
      </c>
      <c r="AH471" s="7">
        <v>0</v>
      </c>
      <c r="AI471" s="7">
        <v>0</v>
      </c>
      <c r="AJ471" s="7" t="s">
        <v>5044</v>
      </c>
      <c r="AL471" s="7">
        <v>0</v>
      </c>
      <c r="AM471" s="7">
        <v>0</v>
      </c>
    </row>
    <row r="472" spans="1:40" ht="63" customHeight="1" x14ac:dyDescent="0.2">
      <c r="A472" s="7">
        <v>4832</v>
      </c>
      <c r="B472" s="7" t="s">
        <v>1302</v>
      </c>
      <c r="C472" s="7" t="s">
        <v>1303</v>
      </c>
      <c r="D472" s="7" t="s">
        <v>25</v>
      </c>
      <c r="F472" s="7" t="s">
        <v>1304</v>
      </c>
      <c r="G472" s="7" t="s">
        <v>144</v>
      </c>
      <c r="H472" s="7" t="s">
        <v>43</v>
      </c>
      <c r="I472" s="7" t="s">
        <v>13</v>
      </c>
      <c r="J472" s="7" t="s">
        <v>1305</v>
      </c>
      <c r="K472" s="7" t="s">
        <v>1306</v>
      </c>
      <c r="L472" s="7" t="s">
        <v>5734</v>
      </c>
      <c r="M472" s="7">
        <v>0</v>
      </c>
      <c r="N472" s="9" t="s">
        <v>5044</v>
      </c>
      <c r="O472" s="9" t="s">
        <v>5044</v>
      </c>
      <c r="P472" s="7">
        <v>0</v>
      </c>
      <c r="Q472" s="7">
        <v>0</v>
      </c>
      <c r="R472" s="7">
        <v>0</v>
      </c>
      <c r="S472" s="7">
        <v>6</v>
      </c>
      <c r="T472" s="7">
        <v>6</v>
      </c>
      <c r="U472" s="7">
        <v>111</v>
      </c>
      <c r="V472" s="7">
        <v>0</v>
      </c>
      <c r="W472" s="7">
        <v>1</v>
      </c>
      <c r="X472" s="7">
        <v>0</v>
      </c>
      <c r="Y472" s="7">
        <v>0</v>
      </c>
      <c r="Z472" s="7">
        <v>0</v>
      </c>
      <c r="AA472" s="7">
        <v>0</v>
      </c>
      <c r="AB472" s="7">
        <v>0</v>
      </c>
      <c r="AC472" s="7">
        <v>1</v>
      </c>
      <c r="AD472" s="7" t="s">
        <v>5044</v>
      </c>
      <c r="AE472" s="7" t="s">
        <v>5044</v>
      </c>
      <c r="AF472" s="7" t="s">
        <v>5044</v>
      </c>
      <c r="AG472" s="7">
        <v>2</v>
      </c>
      <c r="AH472" s="7">
        <v>3</v>
      </c>
      <c r="AI472" s="7">
        <v>0</v>
      </c>
      <c r="AJ472" s="7" t="s">
        <v>5044</v>
      </c>
      <c r="AK472" s="7">
        <v>1</v>
      </c>
      <c r="AL472" s="7" t="s">
        <v>5044</v>
      </c>
      <c r="AM472" s="7">
        <v>0</v>
      </c>
      <c r="AN472" s="7" t="s">
        <v>6491</v>
      </c>
    </row>
    <row r="473" spans="1:40" ht="63" customHeight="1" x14ac:dyDescent="0.2">
      <c r="A473" s="7">
        <v>4834</v>
      </c>
      <c r="B473" s="7" t="s">
        <v>1307</v>
      </c>
      <c r="C473" s="7" t="s">
        <v>1308</v>
      </c>
      <c r="D473" s="7" t="s">
        <v>16</v>
      </c>
      <c r="F473" s="7" t="s">
        <v>17</v>
      </c>
      <c r="G473" s="7" t="s">
        <v>48</v>
      </c>
      <c r="H473" s="7" t="s">
        <v>19</v>
      </c>
      <c r="I473" s="7" t="s">
        <v>13</v>
      </c>
      <c r="J473" s="7" t="s">
        <v>1309</v>
      </c>
      <c r="K473" s="7" t="s">
        <v>1310</v>
      </c>
      <c r="L473" s="7" t="s">
        <v>5735</v>
      </c>
      <c r="M473" s="7">
        <v>1</v>
      </c>
      <c r="N473" s="7">
        <v>0</v>
      </c>
      <c r="O473" s="9" t="s">
        <v>5044</v>
      </c>
      <c r="P473" s="7">
        <v>0</v>
      </c>
      <c r="Q473" s="7">
        <v>0</v>
      </c>
      <c r="R473" s="7">
        <v>0</v>
      </c>
      <c r="S473" s="7">
        <v>1</v>
      </c>
      <c r="T473" s="7">
        <v>1</v>
      </c>
      <c r="U473" s="7">
        <v>160</v>
      </c>
      <c r="V473" s="7">
        <v>1</v>
      </c>
      <c r="W473" s="7">
        <v>0</v>
      </c>
      <c r="X473" s="7">
        <v>0</v>
      </c>
      <c r="Y473" s="7">
        <v>1</v>
      </c>
      <c r="Z473" s="7">
        <v>0</v>
      </c>
      <c r="AA473" s="7">
        <v>0</v>
      </c>
      <c r="AB473" s="7">
        <v>1</v>
      </c>
      <c r="AC473" s="7" t="s">
        <v>5044</v>
      </c>
      <c r="AD473" s="7" t="s">
        <v>5044</v>
      </c>
      <c r="AE473" s="7" t="s">
        <v>5044</v>
      </c>
      <c r="AF473" s="7" t="s">
        <v>5044</v>
      </c>
      <c r="AG473" s="7" t="s">
        <v>5044</v>
      </c>
      <c r="AH473" s="7" t="s">
        <v>5044</v>
      </c>
      <c r="AI473" s="7" t="s">
        <v>5044</v>
      </c>
      <c r="AJ473" s="7" t="s">
        <v>5044</v>
      </c>
      <c r="AL473" s="7" t="s">
        <v>5044</v>
      </c>
      <c r="AM473" s="7">
        <v>0</v>
      </c>
    </row>
    <row r="474" spans="1:40" ht="63" customHeight="1" x14ac:dyDescent="0.2">
      <c r="A474" s="7">
        <v>4835</v>
      </c>
      <c r="B474" s="7" t="s">
        <v>1311</v>
      </c>
      <c r="C474" s="7" t="s">
        <v>1312</v>
      </c>
      <c r="D474" s="7" t="s">
        <v>41</v>
      </c>
      <c r="F474" s="7" t="s">
        <v>65</v>
      </c>
      <c r="G474" s="7" t="s">
        <v>52</v>
      </c>
      <c r="H474" s="7" t="s">
        <v>53</v>
      </c>
      <c r="I474" s="7" t="s">
        <v>13</v>
      </c>
      <c r="J474" s="7" t="s">
        <v>1313</v>
      </c>
      <c r="K474" s="7" t="s">
        <v>1314</v>
      </c>
      <c r="L474" s="7" t="s">
        <v>5736</v>
      </c>
      <c r="M474" s="7">
        <v>1</v>
      </c>
      <c r="N474" s="7">
        <v>0</v>
      </c>
      <c r="O474" s="9" t="s">
        <v>5044</v>
      </c>
      <c r="P474" s="7">
        <v>0</v>
      </c>
      <c r="Q474" s="7">
        <v>0</v>
      </c>
      <c r="R474" s="7">
        <v>0</v>
      </c>
      <c r="S474" s="7">
        <v>1</v>
      </c>
      <c r="T474" s="7">
        <v>1</v>
      </c>
      <c r="U474" s="7">
        <v>40</v>
      </c>
      <c r="V474" s="7">
        <v>1</v>
      </c>
      <c r="W474" s="7">
        <v>0</v>
      </c>
      <c r="X474" s="7">
        <v>0</v>
      </c>
      <c r="Y474" s="7">
        <v>1</v>
      </c>
      <c r="Z474" s="7">
        <v>0</v>
      </c>
      <c r="AA474" s="7">
        <v>0</v>
      </c>
      <c r="AB474" s="7">
        <v>1</v>
      </c>
      <c r="AC474" s="7" t="s">
        <v>5044</v>
      </c>
      <c r="AD474" s="7" t="s">
        <v>5044</v>
      </c>
      <c r="AE474" s="7" t="s">
        <v>5044</v>
      </c>
      <c r="AF474" s="7" t="s">
        <v>5044</v>
      </c>
      <c r="AG474" s="7" t="s">
        <v>5044</v>
      </c>
      <c r="AH474" s="7" t="s">
        <v>5044</v>
      </c>
      <c r="AI474" s="7" t="s">
        <v>5044</v>
      </c>
      <c r="AJ474" s="7" t="s">
        <v>5044</v>
      </c>
      <c r="AL474" s="7" t="s">
        <v>5044</v>
      </c>
      <c r="AM474" s="7">
        <v>0</v>
      </c>
    </row>
    <row r="475" spans="1:40" ht="63" customHeight="1" x14ac:dyDescent="0.2">
      <c r="A475" s="7">
        <v>4840</v>
      </c>
      <c r="B475" s="7" t="s">
        <v>1315</v>
      </c>
      <c r="C475" s="7" t="s">
        <v>1316</v>
      </c>
      <c r="D475" s="7" t="s">
        <v>30</v>
      </c>
      <c r="F475" s="7" t="s">
        <v>136</v>
      </c>
      <c r="G475" s="7" t="s">
        <v>27</v>
      </c>
      <c r="H475" s="7" t="s">
        <v>270</v>
      </c>
      <c r="I475" s="7" t="s">
        <v>13</v>
      </c>
      <c r="J475" s="7" t="s">
        <v>1317</v>
      </c>
      <c r="K475" s="7" t="s">
        <v>1318</v>
      </c>
      <c r="L475" s="7" t="s">
        <v>5044</v>
      </c>
      <c r="M475" s="7">
        <v>0</v>
      </c>
      <c r="N475" s="9" t="s">
        <v>5044</v>
      </c>
      <c r="O475" s="9" t="s">
        <v>5044</v>
      </c>
      <c r="P475" s="7">
        <v>0</v>
      </c>
      <c r="Q475" s="7">
        <v>0</v>
      </c>
      <c r="R475" s="7">
        <v>0</v>
      </c>
      <c r="S475" s="7">
        <v>1</v>
      </c>
      <c r="T475" s="7">
        <v>4</v>
      </c>
      <c r="U475" s="7">
        <v>120</v>
      </c>
      <c r="V475" s="7">
        <v>0</v>
      </c>
      <c r="W475" s="7">
        <v>1</v>
      </c>
      <c r="X475" s="7">
        <v>0</v>
      </c>
      <c r="Y475" s="7">
        <v>0</v>
      </c>
      <c r="Z475" s="7">
        <v>0</v>
      </c>
      <c r="AA475" s="7">
        <v>0</v>
      </c>
      <c r="AB475" s="7">
        <v>1</v>
      </c>
      <c r="AC475" s="7">
        <v>1</v>
      </c>
      <c r="AD475" s="7" t="s">
        <v>5044</v>
      </c>
      <c r="AE475" s="7" t="s">
        <v>5044</v>
      </c>
      <c r="AF475" s="7" t="s">
        <v>5044</v>
      </c>
      <c r="AG475" s="7">
        <v>1</v>
      </c>
      <c r="AH475" s="7">
        <v>0</v>
      </c>
      <c r="AI475" s="7">
        <v>0</v>
      </c>
      <c r="AJ475" s="7" t="s">
        <v>5044</v>
      </c>
      <c r="AL475" s="7">
        <v>1</v>
      </c>
      <c r="AM475" s="7">
        <v>0</v>
      </c>
    </row>
    <row r="476" spans="1:40" ht="63" customHeight="1" x14ac:dyDescent="0.2">
      <c r="A476" s="7">
        <v>4841</v>
      </c>
      <c r="B476" s="7" t="s">
        <v>1319</v>
      </c>
      <c r="C476" s="7" t="s">
        <v>1320</v>
      </c>
      <c r="D476" s="7" t="s">
        <v>30</v>
      </c>
      <c r="F476" s="7" t="s">
        <v>384</v>
      </c>
      <c r="G476" s="7" t="s">
        <v>37</v>
      </c>
      <c r="H476" s="7" t="s">
        <v>1321</v>
      </c>
      <c r="I476" s="7" t="s">
        <v>13</v>
      </c>
      <c r="J476" s="7" t="s">
        <v>1322</v>
      </c>
      <c r="K476" s="7" t="s">
        <v>1323</v>
      </c>
      <c r="L476" s="7" t="s">
        <v>5737</v>
      </c>
      <c r="M476" s="7">
        <v>0</v>
      </c>
      <c r="N476" s="9" t="s">
        <v>5044</v>
      </c>
      <c r="O476" s="9" t="s">
        <v>5044</v>
      </c>
      <c r="P476" s="7">
        <v>0</v>
      </c>
      <c r="Q476" s="7">
        <v>0</v>
      </c>
      <c r="R476" s="7">
        <v>0</v>
      </c>
      <c r="S476" s="7">
        <v>1</v>
      </c>
      <c r="T476" s="7">
        <v>4</v>
      </c>
      <c r="U476" s="7">
        <v>160</v>
      </c>
      <c r="V476" s="7">
        <v>1</v>
      </c>
      <c r="W476" s="7">
        <v>0</v>
      </c>
      <c r="X476" s="7">
        <v>0</v>
      </c>
      <c r="Y476" s="7">
        <v>0</v>
      </c>
      <c r="Z476" s="7">
        <v>0</v>
      </c>
      <c r="AA476" s="7">
        <v>0</v>
      </c>
      <c r="AB476" s="7">
        <v>1</v>
      </c>
      <c r="AC476" s="7">
        <v>1</v>
      </c>
      <c r="AD476" s="7">
        <v>1</v>
      </c>
      <c r="AE476" s="7">
        <v>0</v>
      </c>
      <c r="AF476" s="7">
        <v>0</v>
      </c>
      <c r="AG476" s="7" t="s">
        <v>5044</v>
      </c>
      <c r="AH476" s="7" t="s">
        <v>5044</v>
      </c>
      <c r="AI476" s="7" t="s">
        <v>5044</v>
      </c>
      <c r="AJ476" s="7" t="s">
        <v>5044</v>
      </c>
      <c r="AL476" s="7">
        <v>1</v>
      </c>
      <c r="AM476" s="7">
        <v>0</v>
      </c>
    </row>
    <row r="477" spans="1:40" ht="63" customHeight="1" x14ac:dyDescent="0.2">
      <c r="A477" s="7">
        <v>4853</v>
      </c>
      <c r="B477" s="7" t="s">
        <v>1324</v>
      </c>
      <c r="C477" s="7" t="s">
        <v>1325</v>
      </c>
      <c r="D477" s="7" t="s">
        <v>95</v>
      </c>
      <c r="F477" s="7" t="s">
        <v>260</v>
      </c>
      <c r="G477" s="7" t="s">
        <v>129</v>
      </c>
      <c r="H477" s="7" t="s">
        <v>38</v>
      </c>
      <c r="I477" s="7" t="s">
        <v>13</v>
      </c>
      <c r="J477" s="7" t="s">
        <v>1326</v>
      </c>
      <c r="K477" s="7" t="s">
        <v>1327</v>
      </c>
      <c r="L477" s="7" t="s">
        <v>5738</v>
      </c>
      <c r="M477" s="7">
        <v>0</v>
      </c>
      <c r="N477" s="9" t="s">
        <v>5044</v>
      </c>
      <c r="O477" s="9" t="s">
        <v>5044</v>
      </c>
      <c r="P477" s="7">
        <v>0</v>
      </c>
      <c r="Q477" s="7">
        <v>0</v>
      </c>
      <c r="R477" s="7">
        <v>0</v>
      </c>
      <c r="S477" s="7">
        <v>1</v>
      </c>
      <c r="T477" s="7">
        <v>4</v>
      </c>
      <c r="U477" s="7">
        <v>218</v>
      </c>
      <c r="V477" s="7">
        <v>0</v>
      </c>
      <c r="W477" s="7">
        <v>1</v>
      </c>
      <c r="X477" s="7">
        <v>0</v>
      </c>
      <c r="Y477" s="7">
        <v>0</v>
      </c>
      <c r="Z477" s="7">
        <v>0</v>
      </c>
      <c r="AA477" s="7">
        <v>0</v>
      </c>
      <c r="AB477" s="7">
        <v>1</v>
      </c>
      <c r="AC477" s="7">
        <v>1</v>
      </c>
      <c r="AD477" s="7" t="s">
        <v>5044</v>
      </c>
      <c r="AE477" s="7" t="s">
        <v>5044</v>
      </c>
      <c r="AF477" s="7" t="s">
        <v>5044</v>
      </c>
      <c r="AG477" s="7">
        <v>2</v>
      </c>
      <c r="AH477" s="7">
        <v>2</v>
      </c>
      <c r="AI477" s="7">
        <v>2</v>
      </c>
      <c r="AJ477" s="7" t="s">
        <v>5044</v>
      </c>
      <c r="AL477" s="7">
        <v>0</v>
      </c>
      <c r="AM477" s="7">
        <v>0</v>
      </c>
    </row>
    <row r="478" spans="1:40" ht="63" customHeight="1" x14ac:dyDescent="0.2">
      <c r="A478" s="7">
        <v>4856</v>
      </c>
      <c r="B478" s="7" t="s">
        <v>1328</v>
      </c>
      <c r="C478" s="7" t="s">
        <v>1329</v>
      </c>
      <c r="D478" s="7" t="s">
        <v>95</v>
      </c>
      <c r="F478" s="7" t="s">
        <v>356</v>
      </c>
      <c r="G478" s="7" t="s">
        <v>52</v>
      </c>
      <c r="H478" s="7" t="s">
        <v>238</v>
      </c>
      <c r="I478" s="7" t="s">
        <v>13</v>
      </c>
      <c r="J478" s="7" t="s">
        <v>1330</v>
      </c>
      <c r="K478" s="7" t="s">
        <v>1331</v>
      </c>
      <c r="L478" s="7" t="s">
        <v>5739</v>
      </c>
      <c r="M478" s="7">
        <v>0</v>
      </c>
      <c r="N478" s="9" t="s">
        <v>5044</v>
      </c>
      <c r="O478" s="9" t="s">
        <v>5044</v>
      </c>
      <c r="P478" s="7">
        <v>0</v>
      </c>
      <c r="Q478" s="7">
        <v>0</v>
      </c>
      <c r="R478" s="7">
        <v>0</v>
      </c>
      <c r="S478" s="7">
        <v>3</v>
      </c>
      <c r="T478" s="7">
        <v>4</v>
      </c>
      <c r="U478" s="7">
        <v>320</v>
      </c>
      <c r="V478" s="7">
        <v>0</v>
      </c>
      <c r="W478" s="7">
        <v>1</v>
      </c>
      <c r="X478" s="7">
        <v>0</v>
      </c>
      <c r="Y478" s="7">
        <v>0</v>
      </c>
      <c r="Z478" s="7">
        <v>0</v>
      </c>
      <c r="AA478" s="7">
        <v>0</v>
      </c>
      <c r="AB478" s="7">
        <v>1</v>
      </c>
      <c r="AC478" s="7">
        <v>1</v>
      </c>
      <c r="AD478" s="7" t="s">
        <v>5044</v>
      </c>
      <c r="AE478" s="7" t="s">
        <v>5044</v>
      </c>
      <c r="AF478" s="7" t="s">
        <v>5044</v>
      </c>
      <c r="AG478" s="7">
        <v>2</v>
      </c>
      <c r="AH478" s="7">
        <v>3</v>
      </c>
      <c r="AI478" s="7">
        <v>0</v>
      </c>
      <c r="AJ478" s="7" t="s">
        <v>5044</v>
      </c>
      <c r="AL478" s="7">
        <v>0</v>
      </c>
      <c r="AM478" s="7">
        <v>0</v>
      </c>
    </row>
    <row r="479" spans="1:40" ht="63" customHeight="1" x14ac:dyDescent="0.2">
      <c r="A479" s="7">
        <v>4870</v>
      </c>
      <c r="B479" s="7" t="s">
        <v>1337</v>
      </c>
      <c r="C479" s="7" t="s">
        <v>1338</v>
      </c>
      <c r="D479" s="7" t="s">
        <v>95</v>
      </c>
      <c r="F479" s="7" t="s">
        <v>703</v>
      </c>
      <c r="G479" s="7" t="s">
        <v>17</v>
      </c>
      <c r="H479" s="7" t="s">
        <v>102</v>
      </c>
      <c r="I479" s="7" t="s">
        <v>13</v>
      </c>
      <c r="J479" s="7" t="s">
        <v>1339</v>
      </c>
      <c r="K479" s="7" t="s">
        <v>1340</v>
      </c>
      <c r="L479" s="7" t="s">
        <v>5741</v>
      </c>
      <c r="M479" s="7">
        <v>0</v>
      </c>
      <c r="N479" s="9" t="s">
        <v>5044</v>
      </c>
      <c r="O479" s="9" t="s">
        <v>5044</v>
      </c>
      <c r="P479" s="7">
        <v>0</v>
      </c>
      <c r="Q479" s="7">
        <v>0</v>
      </c>
      <c r="R479" s="7">
        <v>0</v>
      </c>
      <c r="S479" s="7">
        <v>3</v>
      </c>
      <c r="T479" s="7">
        <v>1</v>
      </c>
      <c r="U479" s="7">
        <v>107</v>
      </c>
      <c r="V479" s="7">
        <v>0</v>
      </c>
      <c r="W479" s="7">
        <v>1</v>
      </c>
      <c r="X479" s="7">
        <v>0</v>
      </c>
      <c r="Y479" s="7">
        <v>0</v>
      </c>
      <c r="Z479" s="7">
        <v>0</v>
      </c>
      <c r="AA479" s="7">
        <v>0</v>
      </c>
      <c r="AB479" s="7">
        <v>1</v>
      </c>
      <c r="AC479" s="7">
        <v>1</v>
      </c>
      <c r="AD479" s="7" t="s">
        <v>5044</v>
      </c>
      <c r="AE479" s="7" t="s">
        <v>5044</v>
      </c>
      <c r="AF479" s="7" t="s">
        <v>5044</v>
      </c>
      <c r="AG479" s="7">
        <v>1</v>
      </c>
      <c r="AH479" s="7">
        <v>0</v>
      </c>
      <c r="AI479" s="7">
        <v>0</v>
      </c>
      <c r="AJ479" s="7" t="s">
        <v>5044</v>
      </c>
      <c r="AL479" s="7">
        <v>0</v>
      </c>
      <c r="AM479" s="7">
        <v>0</v>
      </c>
    </row>
    <row r="480" spans="1:40" ht="63" customHeight="1" x14ac:dyDescent="0.2">
      <c r="A480" s="7">
        <v>4876</v>
      </c>
      <c r="B480" s="7" t="s">
        <v>1341</v>
      </c>
      <c r="C480" s="7" t="s">
        <v>1342</v>
      </c>
      <c r="D480" s="7" t="s">
        <v>22</v>
      </c>
      <c r="F480" s="7" t="s">
        <v>254</v>
      </c>
      <c r="G480" s="7" t="s">
        <v>52</v>
      </c>
      <c r="H480" s="7" t="s">
        <v>1343</v>
      </c>
      <c r="I480" s="7" t="s">
        <v>13</v>
      </c>
      <c r="J480" s="7" t="s">
        <v>1344</v>
      </c>
      <c r="K480" s="7" t="s">
        <v>1345</v>
      </c>
      <c r="L480" s="7" t="s">
        <v>5044</v>
      </c>
      <c r="M480" s="7">
        <v>0</v>
      </c>
      <c r="N480" s="9" t="s">
        <v>5044</v>
      </c>
      <c r="O480" s="9" t="s">
        <v>5044</v>
      </c>
      <c r="P480" s="7">
        <v>0</v>
      </c>
      <c r="Q480" s="7">
        <v>0</v>
      </c>
      <c r="R480" s="7">
        <v>0</v>
      </c>
      <c r="S480" s="7">
        <v>1</v>
      </c>
      <c r="T480" s="7">
        <v>4</v>
      </c>
      <c r="U480" s="7">
        <v>100</v>
      </c>
      <c r="V480" s="7">
        <v>1</v>
      </c>
      <c r="W480" s="7">
        <v>0</v>
      </c>
      <c r="X480" s="7">
        <v>0</v>
      </c>
      <c r="Y480" s="7">
        <v>0</v>
      </c>
      <c r="Z480" s="7">
        <v>0</v>
      </c>
      <c r="AA480" s="7">
        <v>0</v>
      </c>
      <c r="AB480" s="7">
        <v>1</v>
      </c>
      <c r="AC480" s="7">
        <v>1</v>
      </c>
      <c r="AD480" s="7">
        <v>2</v>
      </c>
      <c r="AE480" s="7">
        <v>3</v>
      </c>
      <c r="AF480" s="7">
        <v>0</v>
      </c>
      <c r="AG480" s="7" t="s">
        <v>5044</v>
      </c>
      <c r="AH480" s="7" t="s">
        <v>5044</v>
      </c>
      <c r="AI480" s="7" t="s">
        <v>5044</v>
      </c>
      <c r="AJ480" s="7" t="s">
        <v>5044</v>
      </c>
      <c r="AK480" s="7" t="s">
        <v>6004</v>
      </c>
      <c r="AL480" s="7">
        <v>0</v>
      </c>
      <c r="AM480" s="7">
        <v>0</v>
      </c>
    </row>
    <row r="481" spans="1:39" ht="63" customHeight="1" x14ac:dyDescent="0.2">
      <c r="A481" s="7">
        <v>4890</v>
      </c>
      <c r="B481" s="7" t="s">
        <v>1347</v>
      </c>
      <c r="C481" s="7" t="s">
        <v>1348</v>
      </c>
      <c r="D481" s="7" t="s">
        <v>56</v>
      </c>
      <c r="F481" s="7" t="s">
        <v>118</v>
      </c>
      <c r="G481" s="7" t="s">
        <v>17</v>
      </c>
      <c r="H481" s="7" t="s">
        <v>157</v>
      </c>
      <c r="I481" s="7" t="s">
        <v>13</v>
      </c>
      <c r="J481" s="7" t="s">
        <v>1349</v>
      </c>
      <c r="K481" s="7" t="s">
        <v>1350</v>
      </c>
      <c r="L481" s="7" t="s">
        <v>5742</v>
      </c>
      <c r="M481" s="7">
        <v>0</v>
      </c>
      <c r="N481" s="9" t="s">
        <v>5044</v>
      </c>
      <c r="O481" s="9" t="s">
        <v>5044</v>
      </c>
      <c r="P481" s="7">
        <v>0</v>
      </c>
      <c r="Q481" s="7">
        <v>0</v>
      </c>
      <c r="R481" s="7">
        <v>0</v>
      </c>
      <c r="S481" s="7">
        <v>1</v>
      </c>
      <c r="T481" s="7">
        <v>1</v>
      </c>
      <c r="U481" s="7">
        <v>322</v>
      </c>
      <c r="V481" s="7">
        <v>0</v>
      </c>
      <c r="W481" s="7">
        <v>1</v>
      </c>
      <c r="X481" s="7">
        <v>0</v>
      </c>
      <c r="Y481" s="7">
        <v>1</v>
      </c>
      <c r="Z481" s="7">
        <v>0</v>
      </c>
      <c r="AA481" s="7">
        <v>0</v>
      </c>
      <c r="AB481" s="7">
        <v>1</v>
      </c>
      <c r="AC481" s="7">
        <v>1</v>
      </c>
      <c r="AD481" s="7" t="s">
        <v>5044</v>
      </c>
      <c r="AE481" s="7" t="s">
        <v>5044</v>
      </c>
      <c r="AF481" s="7" t="s">
        <v>5044</v>
      </c>
      <c r="AG481" s="7">
        <v>1</v>
      </c>
      <c r="AH481" s="7">
        <v>0</v>
      </c>
      <c r="AI481" s="7">
        <v>0</v>
      </c>
      <c r="AJ481" s="7">
        <v>0</v>
      </c>
      <c r="AL481" s="7">
        <v>0</v>
      </c>
      <c r="AM481" s="7">
        <v>0</v>
      </c>
    </row>
    <row r="482" spans="1:39" ht="63" customHeight="1" x14ac:dyDescent="0.2">
      <c r="A482" s="7">
        <v>4892</v>
      </c>
      <c r="B482" s="7" t="s">
        <v>1351</v>
      </c>
      <c r="C482" s="7" t="s">
        <v>1352</v>
      </c>
      <c r="D482" s="7" t="s">
        <v>41</v>
      </c>
      <c r="F482" s="7" t="s">
        <v>1353</v>
      </c>
      <c r="G482" s="7" t="s">
        <v>18</v>
      </c>
      <c r="H482" s="7" t="s">
        <v>916</v>
      </c>
      <c r="I482" s="7" t="s">
        <v>13</v>
      </c>
      <c r="J482" s="7" t="s">
        <v>1354</v>
      </c>
      <c r="K482" s="7" t="s">
        <v>1355</v>
      </c>
      <c r="L482" s="7" t="s">
        <v>5743</v>
      </c>
      <c r="M482" s="7">
        <v>0</v>
      </c>
      <c r="N482" s="9" t="s">
        <v>5044</v>
      </c>
      <c r="O482" s="9" t="s">
        <v>5044</v>
      </c>
      <c r="P482" s="7">
        <v>0</v>
      </c>
      <c r="Q482" s="7">
        <v>0</v>
      </c>
      <c r="R482" s="7">
        <v>0</v>
      </c>
      <c r="S482" s="7">
        <v>1</v>
      </c>
      <c r="T482" s="7">
        <v>4</v>
      </c>
      <c r="U482" s="7">
        <v>207</v>
      </c>
      <c r="V482" s="7">
        <v>0</v>
      </c>
      <c r="W482" s="7">
        <v>1</v>
      </c>
      <c r="X482" s="7">
        <v>0</v>
      </c>
      <c r="Y482" s="7">
        <v>0</v>
      </c>
      <c r="Z482" s="7">
        <v>0</v>
      </c>
      <c r="AA482" s="7">
        <v>0</v>
      </c>
      <c r="AB482" s="7">
        <v>1</v>
      </c>
      <c r="AC482" s="7">
        <v>1</v>
      </c>
      <c r="AD482" s="7" t="s">
        <v>5044</v>
      </c>
      <c r="AE482" s="7" t="s">
        <v>5044</v>
      </c>
      <c r="AF482" s="7" t="s">
        <v>5044</v>
      </c>
      <c r="AG482" s="7">
        <v>2</v>
      </c>
      <c r="AH482" s="7">
        <v>3</v>
      </c>
      <c r="AI482" s="7">
        <v>0</v>
      </c>
      <c r="AJ482" s="7" t="s">
        <v>5044</v>
      </c>
      <c r="AL482" s="7">
        <v>1</v>
      </c>
      <c r="AM482" s="7">
        <v>0</v>
      </c>
    </row>
    <row r="483" spans="1:39" ht="63" customHeight="1" x14ac:dyDescent="0.2">
      <c r="A483" s="7">
        <v>4893</v>
      </c>
      <c r="B483" s="7" t="s">
        <v>1356</v>
      </c>
      <c r="C483" s="7" t="s">
        <v>1357</v>
      </c>
      <c r="D483" s="7" t="s">
        <v>101</v>
      </c>
      <c r="F483" s="7" t="s">
        <v>48</v>
      </c>
      <c r="G483" s="7" t="s">
        <v>52</v>
      </c>
      <c r="H483" s="7" t="s">
        <v>183</v>
      </c>
      <c r="I483" s="7" t="s">
        <v>13</v>
      </c>
      <c r="J483" s="7" t="s">
        <v>1358</v>
      </c>
      <c r="K483" s="7" t="s">
        <v>1359</v>
      </c>
      <c r="L483" s="7" t="s">
        <v>5744</v>
      </c>
      <c r="M483" s="7">
        <v>0</v>
      </c>
      <c r="N483" s="9" t="s">
        <v>5044</v>
      </c>
      <c r="O483" s="9" t="s">
        <v>5044</v>
      </c>
      <c r="P483" s="7">
        <v>0</v>
      </c>
      <c r="Q483" s="7">
        <v>0</v>
      </c>
      <c r="R483" s="7">
        <v>0</v>
      </c>
      <c r="S483" s="7">
        <v>1</v>
      </c>
      <c r="T483" s="7">
        <v>4</v>
      </c>
      <c r="U483" s="7">
        <v>120</v>
      </c>
      <c r="V483" s="7">
        <v>0</v>
      </c>
      <c r="W483" s="7">
        <v>1</v>
      </c>
      <c r="X483" s="7">
        <v>0</v>
      </c>
      <c r="Y483" s="7">
        <v>0</v>
      </c>
      <c r="Z483" s="7">
        <v>0</v>
      </c>
      <c r="AA483" s="7">
        <v>0</v>
      </c>
      <c r="AB483" s="7">
        <v>1</v>
      </c>
      <c r="AC483" s="7">
        <v>1</v>
      </c>
      <c r="AD483" s="7" t="s">
        <v>5044</v>
      </c>
      <c r="AE483" s="7" t="s">
        <v>5044</v>
      </c>
      <c r="AF483" s="7" t="s">
        <v>5044</v>
      </c>
      <c r="AG483" s="7">
        <v>1</v>
      </c>
      <c r="AH483" s="7">
        <v>0</v>
      </c>
      <c r="AI483" s="7">
        <v>0</v>
      </c>
      <c r="AJ483" s="7" t="s">
        <v>5044</v>
      </c>
      <c r="AL483" s="7">
        <v>1</v>
      </c>
      <c r="AM483" s="7">
        <v>0</v>
      </c>
    </row>
    <row r="484" spans="1:39" ht="63" customHeight="1" x14ac:dyDescent="0.2">
      <c r="A484" s="7">
        <v>4916</v>
      </c>
      <c r="B484" s="7" t="s">
        <v>1360</v>
      </c>
      <c r="C484" s="7" t="s">
        <v>1361</v>
      </c>
      <c r="D484" s="7" t="s">
        <v>74</v>
      </c>
      <c r="F484" s="7" t="s">
        <v>26</v>
      </c>
      <c r="G484" s="7" t="s">
        <v>52</v>
      </c>
      <c r="H484" s="7" t="s">
        <v>413</v>
      </c>
      <c r="I484" s="7" t="s">
        <v>13</v>
      </c>
      <c r="J484" s="7" t="s">
        <v>1362</v>
      </c>
      <c r="K484" s="7" t="s">
        <v>1363</v>
      </c>
      <c r="L484" s="7" t="s">
        <v>5745</v>
      </c>
      <c r="M484" s="7">
        <v>0</v>
      </c>
      <c r="N484" s="9" t="s">
        <v>5044</v>
      </c>
      <c r="O484" s="9" t="s">
        <v>5044</v>
      </c>
      <c r="P484" s="7">
        <v>0</v>
      </c>
      <c r="Q484" s="7">
        <v>0</v>
      </c>
      <c r="R484" s="7">
        <v>0</v>
      </c>
      <c r="S484" s="7">
        <v>1</v>
      </c>
      <c r="T484" s="7">
        <v>2</v>
      </c>
      <c r="U484" s="7">
        <v>102</v>
      </c>
      <c r="V484" s="7">
        <v>0</v>
      </c>
      <c r="W484" s="7">
        <v>1</v>
      </c>
      <c r="X484" s="7">
        <v>0</v>
      </c>
      <c r="Y484" s="7">
        <v>0</v>
      </c>
      <c r="Z484" s="7">
        <v>0</v>
      </c>
      <c r="AA484" s="7">
        <v>0</v>
      </c>
      <c r="AB484" s="7">
        <v>1</v>
      </c>
      <c r="AC484" s="7">
        <v>1</v>
      </c>
      <c r="AD484" s="7" t="s">
        <v>5044</v>
      </c>
      <c r="AE484" s="7" t="s">
        <v>5044</v>
      </c>
      <c r="AF484" s="7" t="s">
        <v>5044</v>
      </c>
      <c r="AG484" s="7">
        <v>2</v>
      </c>
      <c r="AH484" s="7">
        <v>2</v>
      </c>
      <c r="AI484" s="7">
        <v>2</v>
      </c>
      <c r="AJ484" s="7" t="s">
        <v>5044</v>
      </c>
      <c r="AL484" s="7">
        <v>0</v>
      </c>
      <c r="AM484" s="7">
        <v>0</v>
      </c>
    </row>
    <row r="485" spans="1:39" ht="63" customHeight="1" x14ac:dyDescent="0.2">
      <c r="A485" s="7">
        <v>4921</v>
      </c>
      <c r="B485" s="7" t="s">
        <v>1364</v>
      </c>
      <c r="C485" s="7" t="s">
        <v>1365</v>
      </c>
      <c r="D485" s="7" t="s">
        <v>22</v>
      </c>
      <c r="F485" s="7" t="s">
        <v>1366</v>
      </c>
      <c r="G485" s="7" t="s">
        <v>1367</v>
      </c>
      <c r="H485" s="7" t="s">
        <v>1368</v>
      </c>
      <c r="I485" s="7" t="s">
        <v>13</v>
      </c>
      <c r="J485" s="7" t="s">
        <v>1369</v>
      </c>
      <c r="K485" s="7" t="s">
        <v>1370</v>
      </c>
      <c r="L485" s="7" t="s">
        <v>5044</v>
      </c>
      <c r="M485" s="7">
        <v>0</v>
      </c>
      <c r="N485" s="9" t="s">
        <v>5044</v>
      </c>
      <c r="O485" s="9" t="s">
        <v>5044</v>
      </c>
      <c r="P485" s="7">
        <v>0</v>
      </c>
      <c r="Q485" s="7">
        <v>0</v>
      </c>
      <c r="R485" s="7">
        <v>0</v>
      </c>
      <c r="S485" s="7">
        <v>1</v>
      </c>
      <c r="T485" s="7">
        <v>1</v>
      </c>
      <c r="U485" s="7">
        <v>335</v>
      </c>
      <c r="V485" s="7">
        <v>0</v>
      </c>
      <c r="W485" s="7">
        <v>1</v>
      </c>
      <c r="X485" s="7">
        <v>0</v>
      </c>
      <c r="Y485" s="7">
        <v>0</v>
      </c>
      <c r="Z485" s="7">
        <v>0</v>
      </c>
      <c r="AA485" s="7">
        <v>0</v>
      </c>
      <c r="AB485" s="7">
        <v>1</v>
      </c>
      <c r="AC485" s="7">
        <v>1</v>
      </c>
      <c r="AD485" s="7" t="s">
        <v>5044</v>
      </c>
      <c r="AE485" s="7" t="s">
        <v>5044</v>
      </c>
      <c r="AF485" s="7" t="s">
        <v>5044</v>
      </c>
      <c r="AG485" s="7">
        <v>1</v>
      </c>
      <c r="AH485" s="7">
        <v>0</v>
      </c>
      <c r="AI485" s="7">
        <v>0</v>
      </c>
      <c r="AJ485" s="7" t="s">
        <v>5044</v>
      </c>
      <c r="AL485" s="7">
        <v>1</v>
      </c>
      <c r="AM485" s="7">
        <v>0</v>
      </c>
    </row>
    <row r="486" spans="1:39" ht="63" customHeight="1" x14ac:dyDescent="0.2">
      <c r="A486" s="7">
        <v>4923</v>
      </c>
      <c r="B486" s="7" t="s">
        <v>1371</v>
      </c>
      <c r="C486" s="7" t="s">
        <v>1372</v>
      </c>
      <c r="D486" s="7" t="s">
        <v>341</v>
      </c>
      <c r="F486" s="7" t="s">
        <v>254</v>
      </c>
      <c r="G486" s="7" t="s">
        <v>175</v>
      </c>
      <c r="H486" s="7" t="s">
        <v>238</v>
      </c>
      <c r="I486" s="7" t="s">
        <v>13</v>
      </c>
      <c r="J486" s="7" t="s">
        <v>1373</v>
      </c>
      <c r="K486" s="7" t="s">
        <v>1374</v>
      </c>
      <c r="L486" s="7" t="s">
        <v>5746</v>
      </c>
      <c r="M486" s="7">
        <v>0</v>
      </c>
      <c r="N486" s="9" t="s">
        <v>5044</v>
      </c>
      <c r="O486" s="9" t="s">
        <v>5044</v>
      </c>
      <c r="P486" s="7">
        <v>1</v>
      </c>
      <c r="Q486" s="7">
        <v>0</v>
      </c>
      <c r="R486" s="7">
        <v>0</v>
      </c>
      <c r="S486" s="7">
        <v>3</v>
      </c>
      <c r="T486" s="7">
        <v>1</v>
      </c>
      <c r="U486" s="7">
        <v>62</v>
      </c>
      <c r="V486" s="7">
        <v>0</v>
      </c>
      <c r="W486" s="7">
        <v>1</v>
      </c>
      <c r="X486" s="7">
        <v>0</v>
      </c>
      <c r="Y486" s="7">
        <v>0</v>
      </c>
      <c r="Z486" s="7">
        <v>0</v>
      </c>
      <c r="AA486" s="7">
        <v>0</v>
      </c>
      <c r="AB486" s="7">
        <v>1</v>
      </c>
      <c r="AC486" s="7">
        <v>1</v>
      </c>
      <c r="AD486" s="7" t="s">
        <v>5044</v>
      </c>
      <c r="AE486" s="7" t="s">
        <v>5044</v>
      </c>
      <c r="AF486" s="7" t="s">
        <v>5044</v>
      </c>
      <c r="AG486" s="7">
        <v>2</v>
      </c>
      <c r="AH486" s="7">
        <v>2</v>
      </c>
      <c r="AI486" s="7">
        <v>2</v>
      </c>
      <c r="AJ486" s="7" t="s">
        <v>5044</v>
      </c>
      <c r="AL486" s="7" t="s">
        <v>5044</v>
      </c>
      <c r="AM486" s="7">
        <v>0</v>
      </c>
    </row>
    <row r="487" spans="1:39" ht="63" customHeight="1" x14ac:dyDescent="0.2">
      <c r="A487" s="7">
        <v>4931</v>
      </c>
      <c r="B487" s="7" t="s">
        <v>1375</v>
      </c>
      <c r="C487" s="7" t="s">
        <v>1376</v>
      </c>
      <c r="D487" s="7" t="s">
        <v>101</v>
      </c>
      <c r="F487" s="7" t="s">
        <v>351</v>
      </c>
      <c r="G487" s="7" t="s">
        <v>32</v>
      </c>
      <c r="H487" s="7" t="s">
        <v>1377</v>
      </c>
      <c r="I487" s="7" t="s">
        <v>13</v>
      </c>
      <c r="J487" s="7" t="s">
        <v>1378</v>
      </c>
      <c r="K487" s="7" t="s">
        <v>1379</v>
      </c>
      <c r="L487" s="7" t="s">
        <v>5747</v>
      </c>
      <c r="M487" s="7">
        <v>0</v>
      </c>
      <c r="N487" s="9" t="s">
        <v>5044</v>
      </c>
      <c r="O487" s="9" t="s">
        <v>5044</v>
      </c>
      <c r="P487" s="7">
        <v>0</v>
      </c>
      <c r="Q487" s="7">
        <v>0</v>
      </c>
      <c r="R487" s="7">
        <v>0</v>
      </c>
      <c r="S487" s="7">
        <v>5</v>
      </c>
      <c r="T487" s="7">
        <v>1</v>
      </c>
      <c r="U487" s="7">
        <v>385</v>
      </c>
      <c r="V487" s="7">
        <v>1</v>
      </c>
      <c r="W487" s="7">
        <v>0</v>
      </c>
      <c r="X487" s="7">
        <v>0</v>
      </c>
      <c r="Y487" s="7">
        <v>0</v>
      </c>
      <c r="Z487" s="7">
        <v>0</v>
      </c>
      <c r="AA487" s="7">
        <v>0</v>
      </c>
      <c r="AB487" s="7">
        <v>1</v>
      </c>
      <c r="AC487" s="7">
        <v>1</v>
      </c>
      <c r="AD487" s="7">
        <v>2</v>
      </c>
      <c r="AE487" s="7">
        <v>3</v>
      </c>
      <c r="AF487" s="7">
        <v>0</v>
      </c>
      <c r="AG487" s="7" t="s">
        <v>5044</v>
      </c>
      <c r="AH487" s="7" t="s">
        <v>5044</v>
      </c>
      <c r="AI487" s="7" t="s">
        <v>5044</v>
      </c>
      <c r="AJ487" s="7" t="s">
        <v>5044</v>
      </c>
      <c r="AK487" s="7" t="s">
        <v>6004</v>
      </c>
      <c r="AL487" s="7">
        <v>0</v>
      </c>
      <c r="AM487" s="7">
        <v>0</v>
      </c>
    </row>
    <row r="488" spans="1:39" ht="63" customHeight="1" x14ac:dyDescent="0.2">
      <c r="A488" s="7">
        <v>4941</v>
      </c>
      <c r="B488" s="7" t="s">
        <v>1380</v>
      </c>
      <c r="C488" s="7" t="s">
        <v>1381</v>
      </c>
      <c r="D488" s="7" t="s">
        <v>101</v>
      </c>
      <c r="F488" s="7" t="s">
        <v>703</v>
      </c>
      <c r="G488" s="7" t="s">
        <v>11</v>
      </c>
      <c r="H488" s="7" t="s">
        <v>1382</v>
      </c>
      <c r="I488" s="7" t="s">
        <v>13</v>
      </c>
      <c r="K488" s="7" t="s">
        <v>1383</v>
      </c>
      <c r="L488" s="7" t="s">
        <v>5748</v>
      </c>
      <c r="M488" s="7">
        <v>0</v>
      </c>
      <c r="N488" s="9" t="s">
        <v>5044</v>
      </c>
      <c r="O488" s="9" t="s">
        <v>5044</v>
      </c>
      <c r="P488" s="7">
        <v>0</v>
      </c>
      <c r="Q488" s="7">
        <v>0</v>
      </c>
      <c r="R488" s="7">
        <v>0</v>
      </c>
      <c r="S488" s="7">
        <v>8</v>
      </c>
      <c r="T488" s="7">
        <v>1</v>
      </c>
      <c r="U488" s="7">
        <v>90</v>
      </c>
      <c r="V488" s="7">
        <v>0</v>
      </c>
      <c r="W488" s="7">
        <v>1</v>
      </c>
      <c r="X488" s="7">
        <v>0</v>
      </c>
      <c r="Y488" s="7">
        <v>0</v>
      </c>
      <c r="Z488" s="7">
        <v>0</v>
      </c>
      <c r="AA488" s="7">
        <v>0</v>
      </c>
      <c r="AB488" s="7">
        <v>1</v>
      </c>
      <c r="AC488" s="7">
        <v>0</v>
      </c>
      <c r="AD488" s="7" t="s">
        <v>5044</v>
      </c>
      <c r="AE488" s="7" t="s">
        <v>5044</v>
      </c>
      <c r="AF488" s="7" t="s">
        <v>5044</v>
      </c>
      <c r="AG488" s="7">
        <v>0</v>
      </c>
      <c r="AH488" s="7" t="s">
        <v>5044</v>
      </c>
      <c r="AI488" s="7" t="s">
        <v>5044</v>
      </c>
      <c r="AJ488" s="7" t="s">
        <v>5044</v>
      </c>
      <c r="AL488" s="7">
        <v>0</v>
      </c>
      <c r="AM488" s="7">
        <v>0</v>
      </c>
    </row>
    <row r="489" spans="1:39" ht="63" customHeight="1" x14ac:dyDescent="0.2">
      <c r="A489" s="7">
        <v>4951</v>
      </c>
      <c r="B489" s="7" t="s">
        <v>1384</v>
      </c>
      <c r="C489" s="7" t="s">
        <v>1385</v>
      </c>
      <c r="D489" s="7" t="s">
        <v>25</v>
      </c>
      <c r="F489" s="7" t="s">
        <v>107</v>
      </c>
      <c r="G489" s="7" t="s">
        <v>175</v>
      </c>
      <c r="H489" s="7" t="s">
        <v>286</v>
      </c>
      <c r="I489" s="7" t="s">
        <v>13</v>
      </c>
      <c r="J489" s="7" t="s">
        <v>1386</v>
      </c>
      <c r="K489" s="7" t="s">
        <v>1387</v>
      </c>
      <c r="L489" s="7" t="s">
        <v>5749</v>
      </c>
      <c r="M489" s="7">
        <v>0</v>
      </c>
      <c r="N489" s="9" t="s">
        <v>5044</v>
      </c>
      <c r="O489" s="9" t="s">
        <v>5044</v>
      </c>
      <c r="P489" s="7">
        <v>0</v>
      </c>
      <c r="Q489" s="7">
        <v>0</v>
      </c>
      <c r="R489" s="7">
        <v>0</v>
      </c>
      <c r="S489" s="7">
        <v>1</v>
      </c>
      <c r="T489" s="7">
        <v>4</v>
      </c>
      <c r="U489" s="7">
        <v>260</v>
      </c>
      <c r="V489" s="7">
        <v>0</v>
      </c>
      <c r="W489" s="7">
        <v>1</v>
      </c>
      <c r="X489" s="7">
        <v>0</v>
      </c>
      <c r="Y489" s="7">
        <v>0</v>
      </c>
      <c r="Z489" s="7">
        <v>0</v>
      </c>
      <c r="AA489" s="7">
        <v>0</v>
      </c>
      <c r="AB489" s="7">
        <v>1</v>
      </c>
      <c r="AC489" s="7">
        <v>1</v>
      </c>
      <c r="AD489" s="7" t="s">
        <v>5044</v>
      </c>
      <c r="AE489" s="7" t="s">
        <v>5044</v>
      </c>
      <c r="AF489" s="7" t="s">
        <v>5044</v>
      </c>
      <c r="AG489" s="7">
        <v>2</v>
      </c>
      <c r="AH489" s="7">
        <v>2</v>
      </c>
      <c r="AI489" s="7">
        <v>2</v>
      </c>
      <c r="AJ489" s="7" t="s">
        <v>5044</v>
      </c>
      <c r="AL489" s="7">
        <v>0</v>
      </c>
      <c r="AM489" s="7">
        <v>0</v>
      </c>
    </row>
    <row r="490" spans="1:39" ht="63" customHeight="1" x14ac:dyDescent="0.2">
      <c r="A490" s="7">
        <v>4969</v>
      </c>
      <c r="B490" s="7" t="s">
        <v>1388</v>
      </c>
      <c r="C490" s="7" t="s">
        <v>1389</v>
      </c>
      <c r="D490" s="7" t="s">
        <v>101</v>
      </c>
      <c r="F490" s="7" t="s">
        <v>36</v>
      </c>
      <c r="G490" s="7" t="s">
        <v>37</v>
      </c>
      <c r="H490" s="7" t="s">
        <v>111</v>
      </c>
      <c r="I490" s="7" t="s">
        <v>13</v>
      </c>
      <c r="J490" s="7" t="s">
        <v>1390</v>
      </c>
      <c r="K490" s="7" t="s">
        <v>1391</v>
      </c>
      <c r="L490" s="7" t="s">
        <v>5750</v>
      </c>
      <c r="M490" s="7">
        <v>0</v>
      </c>
      <c r="N490" s="9" t="s">
        <v>5044</v>
      </c>
      <c r="O490" s="9" t="s">
        <v>5044</v>
      </c>
      <c r="P490" s="7">
        <v>0</v>
      </c>
      <c r="Q490" s="7">
        <v>0</v>
      </c>
      <c r="R490" s="7">
        <v>0</v>
      </c>
      <c r="S490" s="7">
        <v>1</v>
      </c>
      <c r="T490" s="7">
        <v>4</v>
      </c>
      <c r="U490" s="7">
        <v>57</v>
      </c>
      <c r="V490" s="7">
        <v>0</v>
      </c>
      <c r="W490" s="7">
        <v>1</v>
      </c>
      <c r="X490" s="7">
        <v>0</v>
      </c>
      <c r="Y490" s="7">
        <v>0</v>
      </c>
      <c r="Z490" s="7">
        <v>0</v>
      </c>
      <c r="AA490" s="7">
        <v>0</v>
      </c>
      <c r="AB490" s="7">
        <v>1</v>
      </c>
      <c r="AC490" s="7">
        <v>1</v>
      </c>
      <c r="AD490" s="7" t="s">
        <v>5044</v>
      </c>
      <c r="AE490" s="7" t="s">
        <v>5044</v>
      </c>
      <c r="AF490" s="7" t="s">
        <v>5044</v>
      </c>
      <c r="AG490" s="7">
        <v>2</v>
      </c>
      <c r="AH490" s="7">
        <v>1</v>
      </c>
      <c r="AI490" s="7">
        <v>2</v>
      </c>
      <c r="AJ490" s="7" t="s">
        <v>5044</v>
      </c>
      <c r="AL490" s="7">
        <v>0</v>
      </c>
      <c r="AM490" s="7">
        <v>0</v>
      </c>
    </row>
    <row r="491" spans="1:39" ht="63" customHeight="1" x14ac:dyDescent="0.2">
      <c r="A491" s="7">
        <v>4983</v>
      </c>
      <c r="B491" s="7" t="s">
        <v>1392</v>
      </c>
      <c r="C491" s="7" t="s">
        <v>1393</v>
      </c>
      <c r="D491" s="7" t="s">
        <v>56</v>
      </c>
      <c r="F491" s="7" t="s">
        <v>521</v>
      </c>
      <c r="G491" s="7" t="s">
        <v>18</v>
      </c>
      <c r="H491" s="7" t="s">
        <v>38</v>
      </c>
      <c r="I491" s="7" t="s">
        <v>13</v>
      </c>
      <c r="J491" s="7" t="s">
        <v>1394</v>
      </c>
      <c r="K491" s="7" t="s">
        <v>1395</v>
      </c>
      <c r="L491" s="7" t="s">
        <v>5751</v>
      </c>
      <c r="M491" s="7">
        <v>0</v>
      </c>
      <c r="N491" s="9" t="s">
        <v>5044</v>
      </c>
      <c r="O491" s="9" t="s">
        <v>5044</v>
      </c>
      <c r="P491" s="7">
        <v>0</v>
      </c>
      <c r="Q491" s="7">
        <v>0</v>
      </c>
      <c r="R491" s="7">
        <v>0</v>
      </c>
      <c r="S491" s="7">
        <v>1</v>
      </c>
      <c r="T491" s="7">
        <v>4</v>
      </c>
      <c r="U491" s="7">
        <v>122</v>
      </c>
      <c r="V491" s="7">
        <v>0</v>
      </c>
      <c r="W491" s="7">
        <v>1</v>
      </c>
      <c r="X491" s="7">
        <v>0</v>
      </c>
      <c r="Y491" s="7">
        <v>0</v>
      </c>
      <c r="Z491" s="7">
        <v>0</v>
      </c>
      <c r="AA491" s="7">
        <v>0</v>
      </c>
      <c r="AB491" s="7">
        <v>0</v>
      </c>
      <c r="AC491" s="7">
        <v>1</v>
      </c>
      <c r="AD491" s="7" t="s">
        <v>5044</v>
      </c>
      <c r="AE491" s="7" t="s">
        <v>5044</v>
      </c>
      <c r="AF491" s="7" t="s">
        <v>5044</v>
      </c>
      <c r="AG491" s="7">
        <v>1</v>
      </c>
      <c r="AH491" s="7">
        <v>0</v>
      </c>
      <c r="AI491" s="7">
        <v>0</v>
      </c>
      <c r="AJ491" s="7" t="s">
        <v>5044</v>
      </c>
      <c r="AL491" s="7">
        <v>0</v>
      </c>
      <c r="AM491" s="7">
        <v>0</v>
      </c>
    </row>
    <row r="492" spans="1:39" ht="63" customHeight="1" x14ac:dyDescent="0.2">
      <c r="A492" s="7">
        <v>5004</v>
      </c>
      <c r="B492" s="7" t="s">
        <v>1396</v>
      </c>
      <c r="C492" s="7" t="s">
        <v>1397</v>
      </c>
      <c r="D492" s="7" t="s">
        <v>56</v>
      </c>
      <c r="F492" s="7" t="s">
        <v>723</v>
      </c>
      <c r="G492" s="7" t="s">
        <v>144</v>
      </c>
      <c r="H492" s="7" t="s">
        <v>12</v>
      </c>
      <c r="I492" s="7" t="s">
        <v>13</v>
      </c>
      <c r="J492" s="7" t="s">
        <v>1398</v>
      </c>
      <c r="K492" s="7" t="s">
        <v>1399</v>
      </c>
      <c r="L492" s="7" t="s">
        <v>5752</v>
      </c>
      <c r="M492" s="7">
        <v>0</v>
      </c>
      <c r="N492" s="9" t="s">
        <v>5044</v>
      </c>
      <c r="O492" s="9" t="s">
        <v>5044</v>
      </c>
      <c r="P492" s="7">
        <v>0</v>
      </c>
      <c r="Q492" s="7">
        <v>0</v>
      </c>
      <c r="R492" s="7">
        <v>0</v>
      </c>
      <c r="S492" s="7">
        <v>3</v>
      </c>
      <c r="T492" s="7">
        <v>1</v>
      </c>
      <c r="U492" s="7">
        <v>981</v>
      </c>
      <c r="V492" s="7">
        <v>0</v>
      </c>
      <c r="W492" s="7">
        <v>1</v>
      </c>
      <c r="X492" s="7">
        <v>0</v>
      </c>
      <c r="Y492" s="7">
        <v>0</v>
      </c>
      <c r="Z492" s="7">
        <v>0</v>
      </c>
      <c r="AA492" s="7">
        <v>0</v>
      </c>
      <c r="AB492" s="7">
        <v>1</v>
      </c>
      <c r="AC492" s="7">
        <v>1</v>
      </c>
      <c r="AD492" s="7" t="s">
        <v>5044</v>
      </c>
      <c r="AE492" s="7" t="s">
        <v>5044</v>
      </c>
      <c r="AF492" s="7" t="s">
        <v>5044</v>
      </c>
      <c r="AG492" s="7">
        <v>1</v>
      </c>
      <c r="AH492" s="7">
        <v>0</v>
      </c>
      <c r="AI492" s="7">
        <v>0</v>
      </c>
      <c r="AJ492" s="7" t="s">
        <v>5044</v>
      </c>
      <c r="AL492" s="7">
        <v>0</v>
      </c>
      <c r="AM492" s="7">
        <v>0</v>
      </c>
    </row>
    <row r="493" spans="1:39" ht="63" customHeight="1" x14ac:dyDescent="0.2">
      <c r="A493" s="7">
        <v>5035</v>
      </c>
      <c r="B493" s="7" t="s">
        <v>1400</v>
      </c>
      <c r="C493" s="7" t="s">
        <v>1401</v>
      </c>
      <c r="D493" s="7" t="s">
        <v>56</v>
      </c>
      <c r="F493" s="7" t="s">
        <v>1402</v>
      </c>
      <c r="G493" s="7" t="s">
        <v>18</v>
      </c>
      <c r="H493" s="7" t="s">
        <v>43</v>
      </c>
      <c r="I493" s="7" t="s">
        <v>13</v>
      </c>
      <c r="J493" s="7" t="s">
        <v>1403</v>
      </c>
      <c r="K493" s="7" t="s">
        <v>1404</v>
      </c>
      <c r="L493" s="7" t="s">
        <v>5753</v>
      </c>
      <c r="M493" s="7">
        <v>0</v>
      </c>
      <c r="N493" s="9" t="s">
        <v>5044</v>
      </c>
      <c r="O493" s="9" t="s">
        <v>5044</v>
      </c>
      <c r="P493" s="7">
        <v>0</v>
      </c>
      <c r="Q493" s="7">
        <v>0</v>
      </c>
      <c r="R493" s="7">
        <v>0</v>
      </c>
      <c r="S493" s="7">
        <v>1</v>
      </c>
      <c r="T493" s="7">
        <v>1</v>
      </c>
      <c r="U493" s="7">
        <v>120</v>
      </c>
      <c r="V493" s="7">
        <v>0</v>
      </c>
      <c r="W493" s="7">
        <v>1</v>
      </c>
      <c r="X493" s="7">
        <v>0</v>
      </c>
      <c r="Y493" s="7">
        <v>0</v>
      </c>
      <c r="Z493" s="7">
        <v>0</v>
      </c>
      <c r="AA493" s="7">
        <v>0</v>
      </c>
      <c r="AB493" s="7">
        <v>1</v>
      </c>
      <c r="AC493" s="7">
        <v>1</v>
      </c>
      <c r="AD493" s="7" t="s">
        <v>5044</v>
      </c>
      <c r="AE493" s="7" t="s">
        <v>5044</v>
      </c>
      <c r="AF493" s="7" t="s">
        <v>5044</v>
      </c>
      <c r="AG493" s="7">
        <v>2</v>
      </c>
      <c r="AH493" s="7">
        <v>3</v>
      </c>
      <c r="AI493" s="7">
        <v>0</v>
      </c>
      <c r="AJ493" s="7" t="s">
        <v>5044</v>
      </c>
      <c r="AK493" s="7">
        <v>1</v>
      </c>
      <c r="AL493" s="7">
        <v>1</v>
      </c>
      <c r="AM493" s="7">
        <v>0</v>
      </c>
    </row>
    <row r="494" spans="1:39" ht="63" customHeight="1" x14ac:dyDescent="0.2">
      <c r="A494" s="7">
        <v>5048</v>
      </c>
      <c r="B494" s="7" t="s">
        <v>1405</v>
      </c>
      <c r="C494" s="7" t="s">
        <v>1406</v>
      </c>
      <c r="D494" s="7" t="s">
        <v>74</v>
      </c>
      <c r="H494" s="7" t="s">
        <v>326</v>
      </c>
      <c r="I494" s="7" t="s">
        <v>13</v>
      </c>
      <c r="J494" s="7" t="s">
        <v>1407</v>
      </c>
      <c r="K494" s="7" t="s">
        <v>1408</v>
      </c>
      <c r="L494" s="7" t="s">
        <v>5044</v>
      </c>
      <c r="M494" s="7">
        <v>0</v>
      </c>
      <c r="N494" s="9" t="s">
        <v>5044</v>
      </c>
      <c r="O494" s="9" t="s">
        <v>5044</v>
      </c>
      <c r="P494" s="7">
        <v>0</v>
      </c>
      <c r="Q494" s="7">
        <v>0</v>
      </c>
      <c r="R494" s="7">
        <v>0</v>
      </c>
      <c r="S494" s="7">
        <v>3</v>
      </c>
      <c r="T494" s="7">
        <v>2</v>
      </c>
      <c r="U494" s="7">
        <v>150</v>
      </c>
      <c r="V494" s="7">
        <v>1</v>
      </c>
      <c r="W494" s="7">
        <v>0</v>
      </c>
      <c r="X494" s="7">
        <v>0</v>
      </c>
      <c r="Y494" s="7">
        <v>0</v>
      </c>
      <c r="Z494" s="7">
        <v>0</v>
      </c>
      <c r="AA494" s="7">
        <v>0</v>
      </c>
      <c r="AB494" s="7">
        <v>1</v>
      </c>
      <c r="AC494" s="7">
        <v>1</v>
      </c>
      <c r="AD494" s="7">
        <v>2</v>
      </c>
      <c r="AE494" s="7">
        <v>3</v>
      </c>
      <c r="AF494" s="7">
        <v>0</v>
      </c>
      <c r="AG494" s="7" t="s">
        <v>5044</v>
      </c>
      <c r="AH494" s="7" t="s">
        <v>5044</v>
      </c>
      <c r="AI494" s="7" t="s">
        <v>5044</v>
      </c>
      <c r="AJ494" s="7" t="s">
        <v>5044</v>
      </c>
      <c r="AL494" s="7">
        <v>0</v>
      </c>
      <c r="AM494" s="7">
        <v>0</v>
      </c>
    </row>
    <row r="495" spans="1:39" ht="63" customHeight="1" x14ac:dyDescent="0.2">
      <c r="A495" s="7">
        <v>5072</v>
      </c>
      <c r="B495" s="7" t="s">
        <v>1413</v>
      </c>
      <c r="C495" s="7" t="s">
        <v>1414</v>
      </c>
      <c r="D495" s="7" t="s">
        <v>41</v>
      </c>
      <c r="F495" s="7" t="s">
        <v>151</v>
      </c>
      <c r="G495" s="7" t="s">
        <v>37</v>
      </c>
      <c r="H495" s="7" t="s">
        <v>290</v>
      </c>
      <c r="I495" s="7" t="s">
        <v>13</v>
      </c>
      <c r="J495" s="7" t="s">
        <v>1415</v>
      </c>
      <c r="K495" s="7" t="s">
        <v>1416</v>
      </c>
      <c r="L495" s="7" t="s">
        <v>5755</v>
      </c>
      <c r="M495" s="7">
        <v>0</v>
      </c>
      <c r="N495" s="9" t="s">
        <v>5044</v>
      </c>
      <c r="O495" s="9" t="s">
        <v>5044</v>
      </c>
      <c r="P495" s="7">
        <v>0</v>
      </c>
      <c r="Q495" s="7">
        <v>0</v>
      </c>
      <c r="R495" s="7">
        <v>0</v>
      </c>
      <c r="S495" s="7">
        <v>1</v>
      </c>
      <c r="T495" s="7">
        <v>4</v>
      </c>
      <c r="U495" s="7">
        <v>251</v>
      </c>
      <c r="V495" s="7">
        <v>0</v>
      </c>
      <c r="W495" s="7">
        <v>1</v>
      </c>
      <c r="X495" s="7">
        <v>0</v>
      </c>
      <c r="Y495" s="7">
        <v>0</v>
      </c>
      <c r="Z495" s="7">
        <v>0</v>
      </c>
      <c r="AA495" s="7">
        <v>0</v>
      </c>
      <c r="AB495" s="7">
        <v>1</v>
      </c>
      <c r="AC495" s="7">
        <v>1</v>
      </c>
      <c r="AD495" s="7" t="s">
        <v>5044</v>
      </c>
      <c r="AE495" s="7" t="s">
        <v>5044</v>
      </c>
      <c r="AF495" s="7" t="s">
        <v>5044</v>
      </c>
      <c r="AG495" s="7">
        <v>2</v>
      </c>
      <c r="AH495" s="7">
        <v>1</v>
      </c>
      <c r="AI495" s="7">
        <v>2</v>
      </c>
      <c r="AJ495" s="7" t="s">
        <v>5044</v>
      </c>
      <c r="AL495" s="7" t="s">
        <v>5044</v>
      </c>
      <c r="AM495" s="7">
        <v>0</v>
      </c>
    </row>
    <row r="496" spans="1:39" ht="63" customHeight="1" x14ac:dyDescent="0.2">
      <c r="A496" s="7">
        <v>5085</v>
      </c>
      <c r="B496" s="7" t="s">
        <v>1417</v>
      </c>
      <c r="C496" s="7" t="s">
        <v>1418</v>
      </c>
      <c r="D496" s="7" t="s">
        <v>41</v>
      </c>
      <c r="F496" s="7" t="s">
        <v>92</v>
      </c>
      <c r="G496" s="7" t="s">
        <v>11</v>
      </c>
      <c r="H496" s="7" t="s">
        <v>19</v>
      </c>
      <c r="I496" s="7" t="s">
        <v>386</v>
      </c>
      <c r="J496" s="7" t="s">
        <v>1419</v>
      </c>
      <c r="K496" s="7" t="s">
        <v>1420</v>
      </c>
      <c r="L496" s="7" t="s">
        <v>5756</v>
      </c>
      <c r="M496" s="7">
        <v>1</v>
      </c>
      <c r="N496" s="7">
        <v>0</v>
      </c>
      <c r="O496" s="9" t="s">
        <v>5044</v>
      </c>
      <c r="P496" s="7">
        <v>0</v>
      </c>
      <c r="Q496" s="7">
        <v>0</v>
      </c>
      <c r="R496" s="7">
        <v>0</v>
      </c>
      <c r="S496" s="7">
        <v>3</v>
      </c>
      <c r="T496" s="7">
        <v>1</v>
      </c>
      <c r="U496" s="7">
        <v>120</v>
      </c>
      <c r="V496" s="7">
        <v>0</v>
      </c>
      <c r="W496" s="7">
        <v>1</v>
      </c>
      <c r="X496" s="7">
        <v>0</v>
      </c>
      <c r="Y496" s="7">
        <v>0</v>
      </c>
      <c r="Z496" s="7">
        <v>0</v>
      </c>
      <c r="AA496" s="7">
        <v>0</v>
      </c>
      <c r="AB496" s="7">
        <v>1</v>
      </c>
      <c r="AC496" s="7" t="s">
        <v>5044</v>
      </c>
      <c r="AD496" s="7" t="s">
        <v>5044</v>
      </c>
      <c r="AE496" s="7" t="s">
        <v>5044</v>
      </c>
      <c r="AF496" s="7" t="s">
        <v>5044</v>
      </c>
      <c r="AG496" s="7" t="s">
        <v>5044</v>
      </c>
      <c r="AH496" s="7" t="s">
        <v>5044</v>
      </c>
      <c r="AI496" s="7" t="s">
        <v>5044</v>
      </c>
      <c r="AJ496" s="7" t="s">
        <v>5044</v>
      </c>
      <c r="AL496" s="7" t="s">
        <v>5044</v>
      </c>
      <c r="AM496" s="7">
        <v>0</v>
      </c>
    </row>
    <row r="497" spans="1:40" ht="63" customHeight="1" x14ac:dyDescent="0.2">
      <c r="A497" s="7">
        <v>5087</v>
      </c>
      <c r="B497" s="7" t="s">
        <v>1421</v>
      </c>
      <c r="C497" s="7" t="s">
        <v>1422</v>
      </c>
      <c r="D497" s="7" t="s">
        <v>149</v>
      </c>
      <c r="F497" s="7" t="s">
        <v>1423</v>
      </c>
      <c r="G497" s="7" t="s">
        <v>32</v>
      </c>
      <c r="H497" s="7" t="s">
        <v>740</v>
      </c>
      <c r="I497" s="7" t="s">
        <v>13</v>
      </c>
      <c r="J497" s="7" t="s">
        <v>1424</v>
      </c>
      <c r="K497" s="7" t="s">
        <v>1425</v>
      </c>
      <c r="L497" s="7" t="s">
        <v>5757</v>
      </c>
      <c r="M497" s="7">
        <v>0</v>
      </c>
      <c r="N497" s="9" t="s">
        <v>5044</v>
      </c>
      <c r="O497" s="9" t="s">
        <v>5044</v>
      </c>
      <c r="P497" s="7">
        <v>1</v>
      </c>
      <c r="Q497" s="7">
        <v>0</v>
      </c>
      <c r="R497" s="7">
        <v>0</v>
      </c>
      <c r="S497" s="7">
        <v>1</v>
      </c>
      <c r="T497" s="7">
        <v>1</v>
      </c>
      <c r="U497" s="7">
        <v>40</v>
      </c>
      <c r="V497" s="7">
        <v>0</v>
      </c>
      <c r="W497" s="7">
        <v>1</v>
      </c>
      <c r="X497" s="7">
        <v>0</v>
      </c>
      <c r="Y497" s="7">
        <v>0</v>
      </c>
      <c r="Z497" s="7">
        <v>0</v>
      </c>
      <c r="AA497" s="7">
        <v>0</v>
      </c>
      <c r="AB497" s="7">
        <v>1</v>
      </c>
      <c r="AC497" s="7">
        <v>1</v>
      </c>
      <c r="AD497" s="7" t="s">
        <v>5044</v>
      </c>
      <c r="AE497" s="7" t="s">
        <v>5044</v>
      </c>
      <c r="AF497" s="7" t="s">
        <v>5044</v>
      </c>
      <c r="AG497" s="7">
        <v>2</v>
      </c>
      <c r="AH497" s="7">
        <v>3</v>
      </c>
      <c r="AI497" s="7">
        <v>0</v>
      </c>
      <c r="AJ497" s="7" t="s">
        <v>5044</v>
      </c>
      <c r="AL497" s="7" t="s">
        <v>5044</v>
      </c>
      <c r="AM497" s="7">
        <v>0</v>
      </c>
    </row>
    <row r="498" spans="1:40" ht="63" customHeight="1" x14ac:dyDescent="0.2">
      <c r="A498" s="7">
        <v>5092</v>
      </c>
      <c r="B498" s="7" t="s">
        <v>1426</v>
      </c>
      <c r="C498" s="7" t="s">
        <v>1427</v>
      </c>
      <c r="D498" s="7" t="s">
        <v>25</v>
      </c>
      <c r="F498" s="7" t="s">
        <v>299</v>
      </c>
      <c r="G498" s="7" t="s">
        <v>52</v>
      </c>
      <c r="H498" s="7" t="s">
        <v>656</v>
      </c>
      <c r="I498" s="7" t="s">
        <v>13</v>
      </c>
      <c r="J498" s="7" t="s">
        <v>1428</v>
      </c>
      <c r="K498" s="7" t="s">
        <v>1429</v>
      </c>
      <c r="L498" s="7" t="s">
        <v>5758</v>
      </c>
      <c r="M498" s="7">
        <v>1</v>
      </c>
      <c r="N498" s="7">
        <v>0</v>
      </c>
      <c r="O498" s="9" t="s">
        <v>5044</v>
      </c>
      <c r="P498" s="7">
        <v>0</v>
      </c>
      <c r="Q498" s="7">
        <v>0</v>
      </c>
      <c r="R498" s="7">
        <v>0</v>
      </c>
      <c r="S498" s="7">
        <v>1</v>
      </c>
      <c r="T498" s="7">
        <v>1</v>
      </c>
      <c r="U498" s="7">
        <v>82</v>
      </c>
      <c r="V498" s="7">
        <v>0</v>
      </c>
      <c r="W498" s="7">
        <v>1</v>
      </c>
      <c r="X498" s="7">
        <v>0</v>
      </c>
      <c r="Y498" s="7">
        <v>0</v>
      </c>
      <c r="Z498" s="7">
        <v>0</v>
      </c>
      <c r="AA498" s="7">
        <v>0</v>
      </c>
      <c r="AB498" s="7">
        <v>1</v>
      </c>
      <c r="AC498" s="7" t="s">
        <v>5044</v>
      </c>
      <c r="AD498" s="7" t="s">
        <v>5044</v>
      </c>
      <c r="AE498" s="7" t="s">
        <v>5044</v>
      </c>
      <c r="AF498" s="7" t="s">
        <v>5044</v>
      </c>
      <c r="AG498" s="7" t="s">
        <v>5044</v>
      </c>
      <c r="AH498" s="7" t="s">
        <v>5044</v>
      </c>
      <c r="AI498" s="7" t="s">
        <v>5044</v>
      </c>
      <c r="AJ498" s="7" t="s">
        <v>5044</v>
      </c>
      <c r="AL498" s="7" t="s">
        <v>5044</v>
      </c>
      <c r="AM498" s="7">
        <v>0</v>
      </c>
    </row>
    <row r="499" spans="1:40" ht="63" customHeight="1" x14ac:dyDescent="0.2">
      <c r="A499" s="7">
        <v>5093</v>
      </c>
      <c r="B499" s="7" t="s">
        <v>1430</v>
      </c>
      <c r="C499" s="7" t="s">
        <v>1431</v>
      </c>
      <c r="D499" s="7" t="s">
        <v>35</v>
      </c>
      <c r="F499" s="7" t="s">
        <v>36</v>
      </c>
      <c r="G499" s="7" t="s">
        <v>92</v>
      </c>
      <c r="H499" s="7" t="s">
        <v>38</v>
      </c>
      <c r="I499" s="7" t="s">
        <v>13</v>
      </c>
      <c r="J499" s="7" t="s">
        <v>1432</v>
      </c>
      <c r="K499" s="7" t="s">
        <v>1433</v>
      </c>
      <c r="L499" s="7" t="s">
        <v>5759</v>
      </c>
      <c r="M499" s="7">
        <v>0</v>
      </c>
      <c r="N499" s="9" t="s">
        <v>5044</v>
      </c>
      <c r="O499" s="9" t="s">
        <v>5044</v>
      </c>
      <c r="P499" s="7">
        <v>0</v>
      </c>
      <c r="Q499" s="7">
        <v>0</v>
      </c>
      <c r="R499" s="7">
        <v>0</v>
      </c>
      <c r="S499" s="7">
        <v>1</v>
      </c>
      <c r="T499" s="7">
        <v>1</v>
      </c>
      <c r="U499" s="7">
        <v>80</v>
      </c>
      <c r="V499" s="7">
        <v>0</v>
      </c>
      <c r="W499" s="7">
        <v>1</v>
      </c>
      <c r="X499" s="7">
        <v>0</v>
      </c>
      <c r="Y499" s="7">
        <v>0</v>
      </c>
      <c r="Z499" s="7">
        <v>0</v>
      </c>
      <c r="AA499" s="7">
        <v>0</v>
      </c>
      <c r="AB499" s="7">
        <v>1</v>
      </c>
      <c r="AC499" s="7">
        <v>1</v>
      </c>
      <c r="AD499" s="7" t="s">
        <v>5044</v>
      </c>
      <c r="AE499" s="7" t="s">
        <v>5044</v>
      </c>
      <c r="AF499" s="7" t="s">
        <v>5044</v>
      </c>
      <c r="AG499" s="7">
        <v>2</v>
      </c>
      <c r="AH499" s="7">
        <v>3</v>
      </c>
      <c r="AI499" s="7">
        <v>0</v>
      </c>
      <c r="AJ499" s="7" t="s">
        <v>5044</v>
      </c>
      <c r="AK499" s="7">
        <v>1</v>
      </c>
      <c r="AL499" s="7">
        <v>1</v>
      </c>
      <c r="AM499" s="7">
        <v>0</v>
      </c>
    </row>
    <row r="500" spans="1:40" ht="63" customHeight="1" x14ac:dyDescent="0.2">
      <c r="A500" s="7">
        <v>5094</v>
      </c>
      <c r="B500" s="7" t="s">
        <v>1434</v>
      </c>
      <c r="C500" s="7" t="s">
        <v>1435</v>
      </c>
      <c r="D500" s="7" t="s">
        <v>535</v>
      </c>
      <c r="F500" s="7" t="s">
        <v>859</v>
      </c>
      <c r="G500" s="7" t="s">
        <v>144</v>
      </c>
      <c r="H500" s="7" t="s">
        <v>466</v>
      </c>
      <c r="I500" s="7" t="s">
        <v>13</v>
      </c>
      <c r="J500" s="7" t="s">
        <v>1436</v>
      </c>
      <c r="K500" s="7" t="s">
        <v>1437</v>
      </c>
      <c r="L500" s="7" t="s">
        <v>5760</v>
      </c>
      <c r="M500" s="7">
        <v>0</v>
      </c>
      <c r="N500" s="9" t="s">
        <v>5044</v>
      </c>
      <c r="O500" s="9" t="s">
        <v>5044</v>
      </c>
      <c r="P500" s="7">
        <v>0</v>
      </c>
      <c r="Q500" s="7">
        <v>0</v>
      </c>
      <c r="R500" s="7">
        <v>0</v>
      </c>
      <c r="S500" s="7">
        <v>1</v>
      </c>
      <c r="T500" s="7">
        <v>1</v>
      </c>
      <c r="U500" s="7">
        <v>151</v>
      </c>
      <c r="V500" s="7">
        <v>1</v>
      </c>
      <c r="W500" s="7">
        <v>0</v>
      </c>
      <c r="X500" s="7">
        <v>0</v>
      </c>
      <c r="Y500" s="7">
        <v>0</v>
      </c>
      <c r="Z500" s="7">
        <v>0</v>
      </c>
      <c r="AA500" s="7">
        <v>0</v>
      </c>
      <c r="AB500" s="7">
        <v>1</v>
      </c>
      <c r="AC500" s="7">
        <v>1</v>
      </c>
      <c r="AD500" s="7">
        <v>1</v>
      </c>
      <c r="AE500" s="7">
        <v>0</v>
      </c>
      <c r="AF500" s="7">
        <v>0</v>
      </c>
      <c r="AG500" s="7" t="s">
        <v>5044</v>
      </c>
      <c r="AH500" s="7" t="s">
        <v>5044</v>
      </c>
      <c r="AI500" s="7" t="s">
        <v>5044</v>
      </c>
      <c r="AJ500" s="7" t="s">
        <v>5044</v>
      </c>
      <c r="AL500" s="7">
        <v>1</v>
      </c>
      <c r="AM500" s="7">
        <v>0</v>
      </c>
    </row>
    <row r="501" spans="1:40" ht="63" customHeight="1" x14ac:dyDescent="0.2">
      <c r="A501" s="7">
        <v>5095</v>
      </c>
      <c r="B501" s="7" t="s">
        <v>1438</v>
      </c>
      <c r="C501" s="7" t="s">
        <v>1439</v>
      </c>
      <c r="D501" s="7" t="s">
        <v>74</v>
      </c>
      <c r="F501" s="7" t="s">
        <v>254</v>
      </c>
      <c r="G501" s="7" t="s">
        <v>52</v>
      </c>
      <c r="H501" s="7" t="s">
        <v>53</v>
      </c>
      <c r="I501" s="7" t="s">
        <v>13</v>
      </c>
      <c r="J501" s="7" t="s">
        <v>1440</v>
      </c>
      <c r="K501" s="7" t="s">
        <v>1441</v>
      </c>
      <c r="L501" s="7" t="s">
        <v>5761</v>
      </c>
      <c r="M501" s="7">
        <v>1</v>
      </c>
      <c r="N501" s="7">
        <v>0</v>
      </c>
      <c r="O501" s="9" t="s">
        <v>5044</v>
      </c>
      <c r="P501" s="7">
        <v>0</v>
      </c>
      <c r="Q501" s="7">
        <v>0</v>
      </c>
      <c r="R501" s="7">
        <v>0</v>
      </c>
      <c r="S501" s="7">
        <v>1</v>
      </c>
      <c r="T501" s="7">
        <v>1</v>
      </c>
      <c r="U501" s="7">
        <v>304</v>
      </c>
      <c r="V501" s="7">
        <v>0</v>
      </c>
      <c r="W501" s="7">
        <v>1</v>
      </c>
      <c r="X501" s="7">
        <v>0</v>
      </c>
      <c r="Y501" s="7">
        <v>0</v>
      </c>
      <c r="Z501" s="7">
        <v>0</v>
      </c>
      <c r="AA501" s="7">
        <v>0</v>
      </c>
      <c r="AB501" s="7">
        <v>1</v>
      </c>
      <c r="AC501" s="7" t="s">
        <v>5044</v>
      </c>
      <c r="AD501" s="7" t="s">
        <v>5044</v>
      </c>
      <c r="AE501" s="7" t="s">
        <v>5044</v>
      </c>
      <c r="AF501" s="7" t="s">
        <v>5044</v>
      </c>
      <c r="AG501" s="7" t="s">
        <v>5044</v>
      </c>
      <c r="AH501" s="7" t="s">
        <v>5044</v>
      </c>
      <c r="AI501" s="7" t="s">
        <v>5044</v>
      </c>
      <c r="AJ501" s="7" t="s">
        <v>5044</v>
      </c>
      <c r="AL501" s="7" t="s">
        <v>5044</v>
      </c>
      <c r="AM501" s="7">
        <v>0</v>
      </c>
    </row>
    <row r="502" spans="1:40" ht="63" customHeight="1" x14ac:dyDescent="0.2">
      <c r="A502" s="7">
        <v>5097</v>
      </c>
      <c r="B502" s="7" t="s">
        <v>1442</v>
      </c>
      <c r="C502" s="7" t="s">
        <v>1443</v>
      </c>
      <c r="D502" s="7" t="s">
        <v>95</v>
      </c>
      <c r="F502" s="7" t="s">
        <v>144</v>
      </c>
      <c r="H502" s="7" t="s">
        <v>502</v>
      </c>
      <c r="I502" s="7" t="s">
        <v>13</v>
      </c>
      <c r="J502" s="7" t="s">
        <v>1444</v>
      </c>
      <c r="K502" s="7" t="s">
        <v>1445</v>
      </c>
      <c r="L502" s="7" t="s">
        <v>5762</v>
      </c>
      <c r="M502" s="7">
        <v>1</v>
      </c>
      <c r="N502" s="7">
        <v>0</v>
      </c>
      <c r="O502" s="9" t="s">
        <v>5044</v>
      </c>
      <c r="P502" s="7">
        <v>0</v>
      </c>
      <c r="Q502" s="7">
        <v>0</v>
      </c>
      <c r="R502" s="7">
        <v>0</v>
      </c>
      <c r="S502" s="7">
        <v>1</v>
      </c>
      <c r="T502" s="7">
        <v>1</v>
      </c>
      <c r="U502" s="7">
        <v>140</v>
      </c>
      <c r="V502" s="7">
        <v>1</v>
      </c>
      <c r="W502" s="7">
        <v>0</v>
      </c>
      <c r="X502" s="7">
        <v>0</v>
      </c>
      <c r="Y502" s="7">
        <v>1</v>
      </c>
      <c r="Z502" s="7">
        <v>0</v>
      </c>
      <c r="AA502" s="7">
        <v>0</v>
      </c>
      <c r="AB502" s="7">
        <v>1</v>
      </c>
      <c r="AC502" s="7" t="s">
        <v>5044</v>
      </c>
      <c r="AD502" s="7" t="s">
        <v>5044</v>
      </c>
      <c r="AE502" s="7" t="s">
        <v>5044</v>
      </c>
      <c r="AF502" s="7" t="s">
        <v>5044</v>
      </c>
      <c r="AG502" s="7" t="s">
        <v>5044</v>
      </c>
      <c r="AH502" s="7" t="s">
        <v>5044</v>
      </c>
      <c r="AI502" s="7" t="s">
        <v>5044</v>
      </c>
      <c r="AJ502" s="7" t="s">
        <v>5044</v>
      </c>
      <c r="AL502" s="7" t="s">
        <v>5044</v>
      </c>
      <c r="AM502" s="7">
        <v>0</v>
      </c>
    </row>
    <row r="503" spans="1:40" ht="63" customHeight="1" x14ac:dyDescent="0.2">
      <c r="A503" s="7">
        <v>5099</v>
      </c>
      <c r="B503" s="7" t="s">
        <v>1446</v>
      </c>
      <c r="C503" s="7" t="s">
        <v>1447</v>
      </c>
      <c r="D503" s="7" t="s">
        <v>22</v>
      </c>
      <c r="F503" s="7" t="s">
        <v>1448</v>
      </c>
      <c r="H503" s="7" t="s">
        <v>1449</v>
      </c>
      <c r="I503" s="7" t="s">
        <v>13</v>
      </c>
      <c r="J503" s="7" t="s">
        <v>1450</v>
      </c>
      <c r="K503" s="7" t="s">
        <v>1451</v>
      </c>
      <c r="L503" s="7" t="s">
        <v>5763</v>
      </c>
      <c r="M503" s="7">
        <v>0</v>
      </c>
      <c r="N503" s="9" t="s">
        <v>5044</v>
      </c>
      <c r="O503" s="9" t="s">
        <v>5044</v>
      </c>
      <c r="P503" s="7">
        <v>0</v>
      </c>
      <c r="Q503" s="7">
        <v>0</v>
      </c>
      <c r="R503" s="7">
        <v>0</v>
      </c>
      <c r="S503" s="7">
        <v>1</v>
      </c>
      <c r="T503" s="7">
        <v>1</v>
      </c>
      <c r="U503" s="7">
        <v>69</v>
      </c>
      <c r="V503" s="7">
        <v>0</v>
      </c>
      <c r="W503" s="7">
        <v>1</v>
      </c>
      <c r="X503" s="7">
        <v>0</v>
      </c>
      <c r="Y503" s="7">
        <v>0</v>
      </c>
      <c r="Z503" s="7">
        <v>0</v>
      </c>
      <c r="AA503" s="7">
        <v>0</v>
      </c>
      <c r="AB503" s="7">
        <v>1</v>
      </c>
      <c r="AC503" s="7">
        <v>1</v>
      </c>
      <c r="AD503" s="7" t="s">
        <v>5044</v>
      </c>
      <c r="AE503" s="7" t="s">
        <v>5044</v>
      </c>
      <c r="AF503" s="7" t="s">
        <v>5044</v>
      </c>
      <c r="AG503" s="7">
        <v>1</v>
      </c>
      <c r="AH503" s="7">
        <v>0</v>
      </c>
      <c r="AI503" s="7">
        <v>0</v>
      </c>
      <c r="AJ503" s="7" t="s">
        <v>5044</v>
      </c>
      <c r="AL503" s="7">
        <v>0</v>
      </c>
      <c r="AM503" s="7">
        <v>0</v>
      </c>
    </row>
    <row r="504" spans="1:40" ht="63" customHeight="1" x14ac:dyDescent="0.2">
      <c r="A504" s="7">
        <v>5109</v>
      </c>
      <c r="B504" s="7" t="s">
        <v>1452</v>
      </c>
      <c r="C504" s="7" t="s">
        <v>1453</v>
      </c>
      <c r="D504" s="7" t="s">
        <v>95</v>
      </c>
      <c r="F504" s="7" t="s">
        <v>147</v>
      </c>
      <c r="G504" s="7" t="s">
        <v>52</v>
      </c>
      <c r="H504" s="7" t="s">
        <v>53</v>
      </c>
      <c r="I504" s="7" t="s">
        <v>13</v>
      </c>
      <c r="J504" s="7" t="s">
        <v>1454</v>
      </c>
      <c r="K504" s="7" t="s">
        <v>1455</v>
      </c>
      <c r="L504" s="7" t="s">
        <v>5764</v>
      </c>
      <c r="M504" s="7">
        <v>1</v>
      </c>
      <c r="N504" s="7">
        <v>0</v>
      </c>
      <c r="O504" s="9" t="s">
        <v>5044</v>
      </c>
      <c r="P504" s="7">
        <v>0</v>
      </c>
      <c r="Q504" s="7">
        <v>0</v>
      </c>
      <c r="R504" s="7">
        <v>0</v>
      </c>
      <c r="S504" s="7">
        <v>1</v>
      </c>
      <c r="T504" s="7">
        <v>1</v>
      </c>
      <c r="U504" s="7">
        <v>150</v>
      </c>
      <c r="V504" s="7">
        <v>1</v>
      </c>
      <c r="W504" s="7">
        <v>0</v>
      </c>
      <c r="X504" s="7">
        <v>0</v>
      </c>
      <c r="Y504" s="7">
        <v>1</v>
      </c>
      <c r="Z504" s="7">
        <v>0</v>
      </c>
      <c r="AA504" s="7">
        <v>0</v>
      </c>
      <c r="AB504" s="7">
        <v>1</v>
      </c>
      <c r="AC504" s="7" t="s">
        <v>5044</v>
      </c>
      <c r="AD504" s="7" t="s">
        <v>5044</v>
      </c>
      <c r="AE504" s="7" t="s">
        <v>5044</v>
      </c>
      <c r="AF504" s="7" t="s">
        <v>5044</v>
      </c>
      <c r="AG504" s="7" t="s">
        <v>5044</v>
      </c>
      <c r="AH504" s="7" t="s">
        <v>5044</v>
      </c>
      <c r="AI504" s="7" t="s">
        <v>5044</v>
      </c>
      <c r="AJ504" s="7" t="s">
        <v>5044</v>
      </c>
      <c r="AL504" s="7" t="s">
        <v>5044</v>
      </c>
      <c r="AM504" s="7">
        <v>0</v>
      </c>
    </row>
    <row r="505" spans="1:40" ht="63" customHeight="1" x14ac:dyDescent="0.2">
      <c r="A505" s="7">
        <v>5110</v>
      </c>
      <c r="B505" s="7" t="s">
        <v>1456</v>
      </c>
      <c r="C505" s="7" t="s">
        <v>1457</v>
      </c>
      <c r="D505" s="7" t="s">
        <v>95</v>
      </c>
      <c r="F505" s="7" t="s">
        <v>147</v>
      </c>
      <c r="G505" s="7" t="s">
        <v>52</v>
      </c>
      <c r="H505" s="7" t="s">
        <v>53</v>
      </c>
      <c r="I505" s="7" t="s">
        <v>13</v>
      </c>
      <c r="J505" s="7" t="s">
        <v>1458</v>
      </c>
      <c r="K505" s="7" t="s">
        <v>1459</v>
      </c>
      <c r="L505" s="7" t="s">
        <v>5765</v>
      </c>
      <c r="M505" s="7">
        <v>1</v>
      </c>
      <c r="N505" s="7">
        <v>0</v>
      </c>
      <c r="O505" s="9" t="s">
        <v>5044</v>
      </c>
      <c r="P505" s="7">
        <v>0</v>
      </c>
      <c r="Q505" s="7">
        <v>0</v>
      </c>
      <c r="R505" s="7">
        <v>0</v>
      </c>
      <c r="S505" s="7">
        <v>1</v>
      </c>
      <c r="T505" s="7">
        <v>1</v>
      </c>
      <c r="U505" s="7">
        <v>540</v>
      </c>
      <c r="V505" s="7">
        <v>0</v>
      </c>
      <c r="W505" s="7">
        <v>1</v>
      </c>
      <c r="X505" s="7">
        <v>0</v>
      </c>
      <c r="Y505" s="7">
        <v>0</v>
      </c>
      <c r="Z505" s="7">
        <v>0</v>
      </c>
      <c r="AA505" s="7">
        <v>0</v>
      </c>
      <c r="AB505" s="7">
        <v>1</v>
      </c>
      <c r="AC505" s="7" t="s">
        <v>5044</v>
      </c>
      <c r="AD505" s="7" t="s">
        <v>5044</v>
      </c>
      <c r="AE505" s="7" t="s">
        <v>5044</v>
      </c>
      <c r="AF505" s="7" t="s">
        <v>5044</v>
      </c>
      <c r="AG505" s="7" t="s">
        <v>5044</v>
      </c>
      <c r="AH505" s="7" t="s">
        <v>5044</v>
      </c>
      <c r="AI505" s="7" t="s">
        <v>5044</v>
      </c>
      <c r="AJ505" s="7" t="s">
        <v>5044</v>
      </c>
      <c r="AL505" s="7" t="s">
        <v>5044</v>
      </c>
      <c r="AM505" s="7">
        <v>0</v>
      </c>
    </row>
    <row r="506" spans="1:40" ht="63" customHeight="1" x14ac:dyDescent="0.2">
      <c r="A506" s="7">
        <v>5111</v>
      </c>
      <c r="B506" s="7" t="s">
        <v>1460</v>
      </c>
      <c r="C506" s="7" t="s">
        <v>1461</v>
      </c>
      <c r="D506" s="7" t="s">
        <v>16</v>
      </c>
      <c r="F506" s="7" t="s">
        <v>118</v>
      </c>
      <c r="G506" s="7" t="s">
        <v>52</v>
      </c>
      <c r="H506" s="7" t="s">
        <v>53</v>
      </c>
      <c r="I506" s="7" t="s">
        <v>13</v>
      </c>
      <c r="K506" s="7" t="s">
        <v>1462</v>
      </c>
      <c r="L506" s="7" t="s">
        <v>5766</v>
      </c>
      <c r="M506" s="7">
        <v>1</v>
      </c>
      <c r="N506" s="7">
        <v>0</v>
      </c>
      <c r="O506" s="9" t="s">
        <v>5044</v>
      </c>
      <c r="P506" s="7">
        <v>0</v>
      </c>
      <c r="Q506" s="7">
        <v>0</v>
      </c>
      <c r="R506" s="7">
        <v>0</v>
      </c>
      <c r="S506" s="7">
        <v>1</v>
      </c>
      <c r="T506" s="7">
        <v>1</v>
      </c>
      <c r="U506" s="7">
        <v>290</v>
      </c>
      <c r="V506" s="7">
        <v>0</v>
      </c>
      <c r="W506" s="7">
        <v>1</v>
      </c>
      <c r="X506" s="7">
        <v>0</v>
      </c>
      <c r="Y506" s="7">
        <v>0</v>
      </c>
      <c r="Z506" s="7">
        <v>1</v>
      </c>
      <c r="AA506" s="7">
        <v>0</v>
      </c>
      <c r="AB506" s="7">
        <v>1</v>
      </c>
      <c r="AC506" s="7" t="s">
        <v>5044</v>
      </c>
      <c r="AD506" s="7" t="s">
        <v>5044</v>
      </c>
      <c r="AE506" s="7" t="s">
        <v>5044</v>
      </c>
      <c r="AF506" s="7" t="s">
        <v>5044</v>
      </c>
      <c r="AG506" s="7" t="s">
        <v>5044</v>
      </c>
      <c r="AH506" s="7" t="s">
        <v>5044</v>
      </c>
      <c r="AI506" s="7" t="s">
        <v>5044</v>
      </c>
      <c r="AJ506" s="7" t="s">
        <v>5044</v>
      </c>
      <c r="AL506" s="7" t="s">
        <v>5044</v>
      </c>
      <c r="AM506" s="7">
        <v>0</v>
      </c>
    </row>
    <row r="507" spans="1:40" ht="63" customHeight="1" x14ac:dyDescent="0.2">
      <c r="A507" s="7">
        <v>5117</v>
      </c>
      <c r="B507" s="7" t="s">
        <v>1464</v>
      </c>
      <c r="C507" s="7" t="s">
        <v>1465</v>
      </c>
      <c r="D507" s="7" t="s">
        <v>46</v>
      </c>
      <c r="F507" s="7" t="s">
        <v>900</v>
      </c>
      <c r="G507" s="7" t="s">
        <v>144</v>
      </c>
      <c r="H507" s="7" t="s">
        <v>43</v>
      </c>
      <c r="I507" s="7" t="s">
        <v>13</v>
      </c>
      <c r="J507" s="7" t="s">
        <v>1466</v>
      </c>
      <c r="K507" s="7" t="s">
        <v>1467</v>
      </c>
      <c r="L507" s="7" t="s">
        <v>5768</v>
      </c>
      <c r="M507" s="7">
        <v>0</v>
      </c>
      <c r="N507" s="9" t="s">
        <v>5044</v>
      </c>
      <c r="O507" s="9" t="s">
        <v>5044</v>
      </c>
      <c r="P507" s="7">
        <v>0</v>
      </c>
      <c r="Q507" s="7">
        <v>0</v>
      </c>
      <c r="R507" s="7">
        <v>0</v>
      </c>
      <c r="S507" s="7">
        <v>1</v>
      </c>
      <c r="T507" s="7">
        <v>2</v>
      </c>
      <c r="U507" s="7">
        <v>98</v>
      </c>
      <c r="V507" s="7">
        <v>0</v>
      </c>
      <c r="W507" s="7">
        <v>1</v>
      </c>
      <c r="X507" s="7">
        <v>0</v>
      </c>
      <c r="Y507" s="7">
        <v>0</v>
      </c>
      <c r="Z507" s="7">
        <v>0</v>
      </c>
      <c r="AA507" s="7">
        <v>0</v>
      </c>
      <c r="AB507" s="7">
        <v>1</v>
      </c>
      <c r="AC507" s="7">
        <v>1</v>
      </c>
      <c r="AD507" s="7" t="s">
        <v>5044</v>
      </c>
      <c r="AE507" s="7" t="s">
        <v>5044</v>
      </c>
      <c r="AF507" s="7" t="s">
        <v>5044</v>
      </c>
      <c r="AG507" s="7">
        <v>1</v>
      </c>
      <c r="AH507" s="7">
        <v>0</v>
      </c>
      <c r="AI507" s="7">
        <v>0</v>
      </c>
      <c r="AJ507" s="7" t="s">
        <v>5044</v>
      </c>
      <c r="AL507" s="7">
        <v>1</v>
      </c>
      <c r="AM507" s="7">
        <v>0</v>
      </c>
    </row>
    <row r="508" spans="1:40" ht="63" customHeight="1" x14ac:dyDescent="0.2">
      <c r="A508" s="7">
        <v>5118</v>
      </c>
      <c r="B508" s="7" t="s">
        <v>1468</v>
      </c>
      <c r="C508" s="7" t="s">
        <v>1469</v>
      </c>
      <c r="D508" s="7" t="s">
        <v>16</v>
      </c>
      <c r="F508" s="7" t="s">
        <v>143</v>
      </c>
      <c r="G508" s="7" t="s">
        <v>17</v>
      </c>
      <c r="H508" s="7" t="s">
        <v>270</v>
      </c>
      <c r="I508" s="7" t="s">
        <v>13</v>
      </c>
      <c r="J508" s="7" t="s">
        <v>1470</v>
      </c>
      <c r="K508" s="7" t="s">
        <v>1471</v>
      </c>
      <c r="L508" s="7" t="s">
        <v>5044</v>
      </c>
      <c r="M508" s="7">
        <v>0</v>
      </c>
      <c r="N508" s="9" t="s">
        <v>5044</v>
      </c>
      <c r="O508" s="9" t="s">
        <v>5044</v>
      </c>
      <c r="P508" s="7">
        <v>0</v>
      </c>
      <c r="Q508" s="7">
        <v>0</v>
      </c>
      <c r="R508" s="7">
        <v>0</v>
      </c>
      <c r="S508" s="7">
        <v>1</v>
      </c>
      <c r="T508" s="7">
        <v>4</v>
      </c>
      <c r="U508" s="7">
        <v>108</v>
      </c>
      <c r="V508" s="7">
        <v>0</v>
      </c>
      <c r="W508" s="7">
        <v>1</v>
      </c>
      <c r="X508" s="7">
        <v>0</v>
      </c>
      <c r="Y508" s="7">
        <v>0</v>
      </c>
      <c r="Z508" s="7">
        <v>0</v>
      </c>
      <c r="AA508" s="7">
        <v>0</v>
      </c>
      <c r="AB508" s="7">
        <v>1</v>
      </c>
      <c r="AC508" s="7">
        <v>1</v>
      </c>
      <c r="AD508" s="7" t="s">
        <v>5044</v>
      </c>
      <c r="AE508" s="7" t="s">
        <v>5044</v>
      </c>
      <c r="AF508" s="7" t="s">
        <v>5044</v>
      </c>
      <c r="AG508" s="7">
        <v>1</v>
      </c>
      <c r="AH508" s="7">
        <v>0</v>
      </c>
      <c r="AI508" s="7">
        <v>0</v>
      </c>
      <c r="AJ508" s="7" t="s">
        <v>5044</v>
      </c>
      <c r="AL508" s="7">
        <v>0</v>
      </c>
      <c r="AM508" s="7">
        <v>0</v>
      </c>
    </row>
    <row r="509" spans="1:40" ht="63" customHeight="1" x14ac:dyDescent="0.2">
      <c r="A509" s="7">
        <v>5126</v>
      </c>
      <c r="B509" s="7" t="s">
        <v>1472</v>
      </c>
      <c r="C509" s="7" t="s">
        <v>1473</v>
      </c>
      <c r="D509" s="7" t="s">
        <v>56</v>
      </c>
      <c r="F509" s="7" t="s">
        <v>1226</v>
      </c>
      <c r="G509" s="7" t="s">
        <v>18</v>
      </c>
      <c r="H509" s="7" t="s">
        <v>71</v>
      </c>
      <c r="I509" s="7" t="s">
        <v>13</v>
      </c>
      <c r="J509" s="7" t="s">
        <v>1474</v>
      </c>
      <c r="K509" s="7" t="s">
        <v>1475</v>
      </c>
      <c r="L509" s="7" t="s">
        <v>5769</v>
      </c>
      <c r="M509" s="7">
        <v>0</v>
      </c>
      <c r="N509" s="9" t="s">
        <v>5044</v>
      </c>
      <c r="O509" s="9" t="s">
        <v>5044</v>
      </c>
      <c r="P509" s="7">
        <v>0</v>
      </c>
      <c r="Q509" s="7">
        <v>0</v>
      </c>
      <c r="R509" s="7">
        <v>0</v>
      </c>
      <c r="S509" s="7">
        <v>1</v>
      </c>
      <c r="T509" s="7">
        <v>1</v>
      </c>
      <c r="U509" s="7">
        <v>166</v>
      </c>
      <c r="V509" s="7">
        <v>0</v>
      </c>
      <c r="W509" s="7">
        <v>1</v>
      </c>
      <c r="X509" s="7">
        <v>0</v>
      </c>
      <c r="Y509" s="7">
        <v>0</v>
      </c>
      <c r="Z509" s="7">
        <v>0</v>
      </c>
      <c r="AA509" s="7">
        <v>0</v>
      </c>
      <c r="AB509" s="7">
        <v>0</v>
      </c>
      <c r="AC509" s="7">
        <v>1</v>
      </c>
      <c r="AD509" s="7" t="s">
        <v>5044</v>
      </c>
      <c r="AE509" s="7" t="s">
        <v>5044</v>
      </c>
      <c r="AF509" s="7" t="s">
        <v>5044</v>
      </c>
      <c r="AG509" s="7">
        <v>2</v>
      </c>
      <c r="AH509" s="7">
        <v>3</v>
      </c>
      <c r="AI509" s="7">
        <v>0</v>
      </c>
      <c r="AJ509" s="7" t="s">
        <v>5044</v>
      </c>
      <c r="AK509" s="7">
        <v>1</v>
      </c>
      <c r="AL509" s="7">
        <v>1</v>
      </c>
      <c r="AM509" s="7">
        <v>0</v>
      </c>
    </row>
    <row r="510" spans="1:40" ht="63" customHeight="1" x14ac:dyDescent="0.2">
      <c r="A510" s="7">
        <v>5132</v>
      </c>
      <c r="B510" s="7" t="s">
        <v>1476</v>
      </c>
      <c r="C510" s="7" t="s">
        <v>1477</v>
      </c>
      <c r="D510" s="7" t="s">
        <v>56</v>
      </c>
      <c r="F510" s="7" t="s">
        <v>325</v>
      </c>
      <c r="G510" s="7" t="s">
        <v>92</v>
      </c>
      <c r="H510" s="7" t="s">
        <v>160</v>
      </c>
      <c r="I510" s="7" t="s">
        <v>13</v>
      </c>
      <c r="J510" s="7" t="s">
        <v>1478</v>
      </c>
      <c r="K510" s="7" t="s">
        <v>1479</v>
      </c>
      <c r="L510" s="7" t="s">
        <v>5770</v>
      </c>
      <c r="M510" s="7">
        <v>0</v>
      </c>
      <c r="N510" s="9" t="s">
        <v>5044</v>
      </c>
      <c r="O510" s="9" t="s">
        <v>5044</v>
      </c>
      <c r="P510" s="7">
        <v>0</v>
      </c>
      <c r="Q510" s="7">
        <v>0</v>
      </c>
      <c r="R510" s="7">
        <v>0</v>
      </c>
      <c r="S510" s="7">
        <v>1</v>
      </c>
      <c r="T510" s="7">
        <v>1</v>
      </c>
      <c r="U510" s="7">
        <v>198</v>
      </c>
      <c r="V510" s="7">
        <v>0</v>
      </c>
      <c r="W510" s="7">
        <v>1</v>
      </c>
      <c r="X510" s="7">
        <v>0</v>
      </c>
      <c r="Y510" s="7">
        <v>0</v>
      </c>
      <c r="Z510" s="7">
        <v>0</v>
      </c>
      <c r="AA510" s="7">
        <v>0</v>
      </c>
      <c r="AB510" s="7">
        <v>1</v>
      </c>
      <c r="AC510" s="7">
        <v>0</v>
      </c>
      <c r="AD510" s="7" t="s">
        <v>5044</v>
      </c>
      <c r="AE510" s="7" t="s">
        <v>5044</v>
      </c>
      <c r="AF510" s="7" t="s">
        <v>5044</v>
      </c>
      <c r="AG510" s="7">
        <v>0</v>
      </c>
      <c r="AH510" s="7" t="s">
        <v>5044</v>
      </c>
      <c r="AI510" s="7" t="s">
        <v>5044</v>
      </c>
      <c r="AJ510" s="7" t="s">
        <v>5044</v>
      </c>
      <c r="AL510" s="7">
        <v>1</v>
      </c>
      <c r="AM510" s="7">
        <v>0</v>
      </c>
    </row>
    <row r="511" spans="1:40" ht="63" customHeight="1" x14ac:dyDescent="0.2">
      <c r="A511" s="7">
        <v>5155</v>
      </c>
      <c r="B511" s="7" t="s">
        <v>1480</v>
      </c>
      <c r="C511" s="7" t="s">
        <v>1481</v>
      </c>
      <c r="D511" s="7" t="s">
        <v>375</v>
      </c>
      <c r="F511" s="7" t="s">
        <v>147</v>
      </c>
      <c r="G511" s="7" t="s">
        <v>48</v>
      </c>
      <c r="H511" s="7" t="s">
        <v>157</v>
      </c>
      <c r="I511" s="7" t="s">
        <v>13</v>
      </c>
      <c r="J511" s="7" t="s">
        <v>1482</v>
      </c>
      <c r="K511" s="7" t="s">
        <v>1483</v>
      </c>
      <c r="L511" s="7" t="s">
        <v>5771</v>
      </c>
      <c r="M511" s="7">
        <v>0</v>
      </c>
      <c r="N511" s="9" t="s">
        <v>5044</v>
      </c>
      <c r="O511" s="9" t="s">
        <v>5044</v>
      </c>
      <c r="P511" s="7">
        <v>0</v>
      </c>
      <c r="Q511" s="7">
        <v>0</v>
      </c>
      <c r="R511" s="7">
        <v>0</v>
      </c>
      <c r="S511" s="7">
        <v>9</v>
      </c>
      <c r="T511" s="7">
        <v>1</v>
      </c>
      <c r="U511" s="7">
        <v>36</v>
      </c>
      <c r="V511" s="7">
        <v>0</v>
      </c>
      <c r="W511" s="7">
        <v>1</v>
      </c>
      <c r="X511" s="7">
        <v>0</v>
      </c>
      <c r="Y511" s="7">
        <v>0</v>
      </c>
      <c r="Z511" s="7">
        <v>0</v>
      </c>
      <c r="AA511" s="7">
        <v>0</v>
      </c>
      <c r="AB511" s="7">
        <v>1</v>
      </c>
      <c r="AC511" s="7">
        <v>1</v>
      </c>
      <c r="AD511" s="7" t="s">
        <v>5044</v>
      </c>
      <c r="AE511" s="7" t="s">
        <v>5044</v>
      </c>
      <c r="AF511" s="7" t="s">
        <v>5044</v>
      </c>
      <c r="AG511" s="7">
        <v>1</v>
      </c>
      <c r="AH511" s="7">
        <v>0</v>
      </c>
      <c r="AI511" s="7">
        <v>0</v>
      </c>
      <c r="AJ511" s="7" t="s">
        <v>5044</v>
      </c>
      <c r="AL511" s="7" t="s">
        <v>5044</v>
      </c>
      <c r="AM511" s="7">
        <v>0</v>
      </c>
      <c r="AN511" s="7" t="s">
        <v>5105</v>
      </c>
    </row>
    <row r="512" spans="1:40" ht="63" customHeight="1" x14ac:dyDescent="0.2">
      <c r="A512" s="7">
        <v>5166</v>
      </c>
      <c r="B512" s="7" t="s">
        <v>1484</v>
      </c>
      <c r="C512" s="7" t="s">
        <v>1485</v>
      </c>
      <c r="D512" s="7" t="s">
        <v>41</v>
      </c>
      <c r="F512" s="7" t="s">
        <v>867</v>
      </c>
      <c r="G512" s="7" t="s">
        <v>11</v>
      </c>
      <c r="H512" s="7" t="s">
        <v>1486</v>
      </c>
      <c r="I512" s="7" t="s">
        <v>13</v>
      </c>
      <c r="J512" s="7" t="s">
        <v>1487</v>
      </c>
      <c r="K512" s="7" t="s">
        <v>1488</v>
      </c>
      <c r="L512" s="7" t="s">
        <v>5044</v>
      </c>
      <c r="M512" s="7">
        <v>0</v>
      </c>
      <c r="N512" s="9" t="s">
        <v>5044</v>
      </c>
      <c r="O512" s="9" t="s">
        <v>5044</v>
      </c>
      <c r="P512" s="7">
        <v>0</v>
      </c>
      <c r="Q512" s="7">
        <v>0</v>
      </c>
      <c r="R512" s="7">
        <v>0</v>
      </c>
      <c r="S512" s="7" t="s">
        <v>5772</v>
      </c>
      <c r="T512" s="7">
        <v>4</v>
      </c>
      <c r="U512" s="7">
        <v>100</v>
      </c>
      <c r="V512" s="7">
        <v>1</v>
      </c>
      <c r="W512" s="7">
        <v>0</v>
      </c>
      <c r="X512" s="7">
        <v>0</v>
      </c>
      <c r="Y512" s="7">
        <v>0</v>
      </c>
      <c r="Z512" s="7">
        <v>0</v>
      </c>
      <c r="AA512" s="7">
        <v>0</v>
      </c>
      <c r="AB512" s="7">
        <v>1</v>
      </c>
      <c r="AC512" s="7">
        <v>1</v>
      </c>
      <c r="AD512" s="7">
        <v>1</v>
      </c>
      <c r="AE512" s="7">
        <v>0</v>
      </c>
      <c r="AF512" s="7">
        <v>0</v>
      </c>
      <c r="AG512" s="7" t="s">
        <v>5044</v>
      </c>
      <c r="AH512" s="7" t="s">
        <v>5044</v>
      </c>
      <c r="AI512" s="7" t="s">
        <v>5044</v>
      </c>
      <c r="AJ512" s="7" t="s">
        <v>5044</v>
      </c>
      <c r="AL512" s="7">
        <v>0</v>
      </c>
      <c r="AM512" s="7">
        <v>0</v>
      </c>
    </row>
    <row r="513" spans="1:40" ht="63" customHeight="1" x14ac:dyDescent="0.2">
      <c r="A513" s="7">
        <v>5195</v>
      </c>
      <c r="B513" s="7" t="s">
        <v>1489</v>
      </c>
      <c r="C513" s="7" t="s">
        <v>1490</v>
      </c>
      <c r="D513" s="7" t="s">
        <v>74</v>
      </c>
      <c r="F513" s="7" t="s">
        <v>299</v>
      </c>
      <c r="H513" s="7" t="s">
        <v>1491</v>
      </c>
      <c r="I513" s="7" t="s">
        <v>13</v>
      </c>
      <c r="J513" s="7" t="s">
        <v>1492</v>
      </c>
      <c r="K513" s="7" t="s">
        <v>1493</v>
      </c>
      <c r="L513" s="7" t="s">
        <v>5773</v>
      </c>
      <c r="M513" s="7">
        <v>1</v>
      </c>
      <c r="N513" s="7">
        <v>0</v>
      </c>
      <c r="O513" s="9" t="s">
        <v>5044</v>
      </c>
      <c r="P513" s="7">
        <v>0</v>
      </c>
      <c r="Q513" s="7">
        <v>0</v>
      </c>
      <c r="R513" s="7">
        <v>0</v>
      </c>
      <c r="S513" s="7">
        <v>1</v>
      </c>
      <c r="T513" s="7">
        <v>1</v>
      </c>
      <c r="U513" s="7">
        <v>394</v>
      </c>
      <c r="V513" s="7">
        <v>0</v>
      </c>
      <c r="W513" s="7">
        <v>1</v>
      </c>
      <c r="X513" s="7">
        <v>0</v>
      </c>
      <c r="Y513" s="7">
        <v>0</v>
      </c>
      <c r="Z513" s="7">
        <v>0</v>
      </c>
      <c r="AA513" s="7">
        <v>0</v>
      </c>
      <c r="AB513" s="7">
        <v>1</v>
      </c>
      <c r="AC513" s="7" t="s">
        <v>5044</v>
      </c>
      <c r="AD513" s="7" t="s">
        <v>5044</v>
      </c>
      <c r="AE513" s="7" t="s">
        <v>5044</v>
      </c>
      <c r="AF513" s="7" t="s">
        <v>5044</v>
      </c>
      <c r="AG513" s="7" t="s">
        <v>5044</v>
      </c>
      <c r="AH513" s="7" t="s">
        <v>5044</v>
      </c>
      <c r="AI513" s="7" t="s">
        <v>5044</v>
      </c>
      <c r="AJ513" s="7" t="s">
        <v>5044</v>
      </c>
      <c r="AL513" s="7" t="s">
        <v>5044</v>
      </c>
      <c r="AM513" s="7">
        <v>0</v>
      </c>
    </row>
    <row r="514" spans="1:40" ht="63" customHeight="1" x14ac:dyDescent="0.2">
      <c r="A514" s="7">
        <v>5202</v>
      </c>
      <c r="B514" s="7" t="s">
        <v>1494</v>
      </c>
      <c r="C514" s="7" t="s">
        <v>1495</v>
      </c>
      <c r="D514" s="7" t="s">
        <v>22</v>
      </c>
      <c r="F514" s="7" t="s">
        <v>1496</v>
      </c>
      <c r="G514" s="7" t="s">
        <v>11</v>
      </c>
      <c r="H514" s="7" t="s">
        <v>1497</v>
      </c>
      <c r="I514" s="7" t="s">
        <v>13</v>
      </c>
      <c r="J514" s="7" t="s">
        <v>1498</v>
      </c>
      <c r="K514" s="7" t="s">
        <v>1499</v>
      </c>
      <c r="L514" s="7" t="s">
        <v>5774</v>
      </c>
      <c r="M514" s="7">
        <v>0</v>
      </c>
      <c r="N514" s="9" t="s">
        <v>5044</v>
      </c>
      <c r="O514" s="9" t="s">
        <v>5044</v>
      </c>
      <c r="P514" s="7">
        <v>0</v>
      </c>
      <c r="Q514" s="7">
        <v>0</v>
      </c>
      <c r="R514" s="7">
        <v>0</v>
      </c>
      <c r="S514" s="7">
        <v>1</v>
      </c>
      <c r="T514" s="7">
        <v>1</v>
      </c>
      <c r="U514" s="7">
        <v>84</v>
      </c>
      <c r="V514" s="7">
        <v>0</v>
      </c>
      <c r="W514" s="7">
        <v>1</v>
      </c>
      <c r="X514" s="7">
        <v>0</v>
      </c>
      <c r="Y514" s="7">
        <v>0</v>
      </c>
      <c r="Z514" s="7">
        <v>0</v>
      </c>
      <c r="AA514" s="7">
        <v>0</v>
      </c>
      <c r="AB514" s="7">
        <v>1</v>
      </c>
      <c r="AC514" s="7">
        <v>1</v>
      </c>
      <c r="AD514" s="7" t="s">
        <v>5044</v>
      </c>
      <c r="AE514" s="7" t="s">
        <v>5044</v>
      </c>
      <c r="AF514" s="7" t="s">
        <v>5044</v>
      </c>
      <c r="AG514" s="7">
        <v>2</v>
      </c>
      <c r="AH514" s="7">
        <v>3</v>
      </c>
      <c r="AI514" s="7">
        <v>0</v>
      </c>
      <c r="AJ514" s="7" t="s">
        <v>5044</v>
      </c>
      <c r="AL514" s="7">
        <v>1</v>
      </c>
      <c r="AM514" s="7">
        <v>0</v>
      </c>
    </row>
    <row r="515" spans="1:40" ht="63" customHeight="1" x14ac:dyDescent="0.2">
      <c r="A515" s="7">
        <v>5203</v>
      </c>
      <c r="B515" s="7" t="s">
        <v>1500</v>
      </c>
      <c r="C515" s="7" t="s">
        <v>1501</v>
      </c>
      <c r="D515" s="7" t="s">
        <v>74</v>
      </c>
      <c r="F515" s="7" t="s">
        <v>1042</v>
      </c>
      <c r="G515" s="7" t="s">
        <v>52</v>
      </c>
      <c r="H515" s="7" t="s">
        <v>1502</v>
      </c>
      <c r="I515" s="7" t="s">
        <v>13</v>
      </c>
      <c r="J515" s="7" t="s">
        <v>1503</v>
      </c>
      <c r="K515" s="7" t="s">
        <v>1504</v>
      </c>
      <c r="L515" s="7" t="s">
        <v>5775</v>
      </c>
      <c r="M515" s="7">
        <v>0</v>
      </c>
      <c r="N515" s="9" t="s">
        <v>5044</v>
      </c>
      <c r="O515" s="9" t="s">
        <v>5044</v>
      </c>
      <c r="P515" s="7">
        <v>0</v>
      </c>
      <c r="Q515" s="7">
        <v>0</v>
      </c>
      <c r="R515" s="7">
        <v>0</v>
      </c>
      <c r="S515" s="7">
        <v>3</v>
      </c>
      <c r="T515" s="7">
        <v>1</v>
      </c>
      <c r="U515" s="7">
        <v>122</v>
      </c>
      <c r="V515" s="7">
        <v>0</v>
      </c>
      <c r="W515" s="7">
        <v>1</v>
      </c>
      <c r="X515" s="7">
        <v>0</v>
      </c>
      <c r="Y515" s="7">
        <v>0</v>
      </c>
      <c r="Z515" s="7">
        <v>0</v>
      </c>
      <c r="AA515" s="7">
        <v>0</v>
      </c>
      <c r="AB515" s="7">
        <v>1</v>
      </c>
      <c r="AC515" s="7">
        <v>1</v>
      </c>
      <c r="AD515" s="7" t="s">
        <v>5044</v>
      </c>
      <c r="AE515" s="7" t="s">
        <v>5044</v>
      </c>
      <c r="AF515" s="7" t="s">
        <v>5044</v>
      </c>
      <c r="AG515" s="7">
        <v>2</v>
      </c>
      <c r="AH515" s="7">
        <v>3</v>
      </c>
      <c r="AI515" s="7">
        <v>0</v>
      </c>
      <c r="AJ515" s="7" t="s">
        <v>5044</v>
      </c>
      <c r="AK515" s="7" t="s">
        <v>5776</v>
      </c>
      <c r="AL515" s="7" t="s">
        <v>5044</v>
      </c>
      <c r="AM515" s="7">
        <v>0</v>
      </c>
      <c r="AN515" s="7" t="s">
        <v>5105</v>
      </c>
    </row>
    <row r="516" spans="1:40" ht="63" customHeight="1" x14ac:dyDescent="0.2">
      <c r="A516" s="7">
        <v>5204</v>
      </c>
      <c r="B516" s="7" t="s">
        <v>1505</v>
      </c>
      <c r="C516" s="7" t="s">
        <v>1506</v>
      </c>
      <c r="D516" s="7" t="s">
        <v>16</v>
      </c>
      <c r="F516" s="7" t="s">
        <v>1507</v>
      </c>
      <c r="G516" s="7" t="s">
        <v>11</v>
      </c>
      <c r="H516" s="7" t="s">
        <v>1497</v>
      </c>
      <c r="I516" s="7" t="s">
        <v>13</v>
      </c>
      <c r="J516" s="7" t="s">
        <v>1508</v>
      </c>
      <c r="K516" s="7" t="s">
        <v>1509</v>
      </c>
      <c r="L516" s="7" t="s">
        <v>5777</v>
      </c>
      <c r="M516" s="7">
        <v>0</v>
      </c>
      <c r="N516" s="9" t="s">
        <v>5044</v>
      </c>
      <c r="O516" s="9" t="s">
        <v>5044</v>
      </c>
      <c r="P516" s="7">
        <v>0</v>
      </c>
      <c r="Q516" s="7">
        <v>0</v>
      </c>
      <c r="R516" s="7">
        <v>0</v>
      </c>
      <c r="S516" s="7">
        <v>9</v>
      </c>
      <c r="T516" s="7">
        <v>1</v>
      </c>
      <c r="U516" s="7">
        <v>75</v>
      </c>
      <c r="V516" s="7">
        <v>0</v>
      </c>
      <c r="W516" s="7">
        <v>1</v>
      </c>
      <c r="X516" s="7">
        <v>0</v>
      </c>
      <c r="Y516" s="7">
        <v>0</v>
      </c>
      <c r="Z516" s="7">
        <v>0</v>
      </c>
      <c r="AA516" s="7">
        <v>0</v>
      </c>
      <c r="AB516" s="7">
        <v>1</v>
      </c>
      <c r="AC516" s="7">
        <v>1</v>
      </c>
      <c r="AD516" s="7" t="s">
        <v>5044</v>
      </c>
      <c r="AE516" s="7" t="s">
        <v>5044</v>
      </c>
      <c r="AF516" s="7" t="s">
        <v>5044</v>
      </c>
      <c r="AG516" s="7">
        <v>1</v>
      </c>
      <c r="AH516" s="7">
        <v>0</v>
      </c>
      <c r="AI516" s="7">
        <v>0</v>
      </c>
      <c r="AJ516" s="7" t="s">
        <v>5044</v>
      </c>
      <c r="AL516" s="7" t="s">
        <v>5044</v>
      </c>
      <c r="AM516" s="7">
        <v>0</v>
      </c>
      <c r="AN516" s="7" t="s">
        <v>5105</v>
      </c>
    </row>
    <row r="517" spans="1:40" ht="63" customHeight="1" x14ac:dyDescent="0.2">
      <c r="A517" s="7">
        <v>5223</v>
      </c>
      <c r="B517" s="7" t="s">
        <v>1514</v>
      </c>
      <c r="C517" s="7" t="s">
        <v>1515</v>
      </c>
      <c r="D517" s="7" t="s">
        <v>95</v>
      </c>
      <c r="F517" s="7" t="s">
        <v>220</v>
      </c>
      <c r="G517" s="7" t="s">
        <v>92</v>
      </c>
      <c r="H517" s="7" t="s">
        <v>296</v>
      </c>
      <c r="I517" s="7" t="s">
        <v>13</v>
      </c>
      <c r="J517" s="7" t="s">
        <v>1516</v>
      </c>
      <c r="K517" s="7" t="s">
        <v>1517</v>
      </c>
      <c r="L517" s="7" t="s">
        <v>5044</v>
      </c>
      <c r="M517" s="7">
        <v>0</v>
      </c>
      <c r="N517" s="9" t="s">
        <v>5044</v>
      </c>
      <c r="O517" s="9" t="s">
        <v>5044</v>
      </c>
      <c r="P517" s="7">
        <v>0</v>
      </c>
      <c r="Q517" s="7">
        <v>0</v>
      </c>
      <c r="R517" s="7">
        <v>0</v>
      </c>
      <c r="S517" s="7">
        <v>1</v>
      </c>
      <c r="T517" s="7">
        <v>5</v>
      </c>
      <c r="U517" s="7">
        <v>49</v>
      </c>
      <c r="V517" s="7">
        <v>0</v>
      </c>
      <c r="W517" s="7">
        <v>1</v>
      </c>
      <c r="X517" s="7">
        <v>0</v>
      </c>
      <c r="Y517" s="7">
        <v>0</v>
      </c>
      <c r="Z517" s="7">
        <v>0</v>
      </c>
      <c r="AA517" s="7">
        <v>0</v>
      </c>
      <c r="AB517" s="7">
        <v>1</v>
      </c>
      <c r="AC517" s="7">
        <v>1</v>
      </c>
      <c r="AD517" s="7" t="s">
        <v>5044</v>
      </c>
      <c r="AE517" s="7" t="s">
        <v>5044</v>
      </c>
      <c r="AF517" s="7" t="s">
        <v>5044</v>
      </c>
      <c r="AG517" s="7">
        <v>2</v>
      </c>
      <c r="AH517" s="7">
        <v>3</v>
      </c>
      <c r="AI517" s="7">
        <v>0</v>
      </c>
      <c r="AJ517" s="7" t="s">
        <v>5044</v>
      </c>
      <c r="AK517" s="7">
        <v>1</v>
      </c>
      <c r="AL517" s="7">
        <v>0</v>
      </c>
      <c r="AM517" s="7">
        <v>0</v>
      </c>
    </row>
    <row r="518" spans="1:40" ht="63" customHeight="1" x14ac:dyDescent="0.2">
      <c r="A518" s="7">
        <v>5233</v>
      </c>
      <c r="B518" s="7" t="s">
        <v>1518</v>
      </c>
      <c r="C518" s="7" t="s">
        <v>1519</v>
      </c>
      <c r="D518" s="7" t="s">
        <v>101</v>
      </c>
      <c r="F518" s="7" t="s">
        <v>17</v>
      </c>
      <c r="G518" s="7" t="s">
        <v>48</v>
      </c>
      <c r="H518" s="7" t="s">
        <v>283</v>
      </c>
      <c r="I518" s="7" t="s">
        <v>13</v>
      </c>
      <c r="J518" s="7" t="s">
        <v>1520</v>
      </c>
      <c r="K518" s="7" t="s">
        <v>1521</v>
      </c>
      <c r="L518" s="7" t="s">
        <v>5709</v>
      </c>
      <c r="M518" s="7">
        <v>0</v>
      </c>
      <c r="N518" s="9" t="s">
        <v>5044</v>
      </c>
      <c r="O518" s="9" t="s">
        <v>5044</v>
      </c>
      <c r="P518" s="7">
        <v>1</v>
      </c>
      <c r="Q518" s="7">
        <v>0</v>
      </c>
      <c r="R518" s="7">
        <v>0</v>
      </c>
      <c r="S518" s="7" t="s">
        <v>5708</v>
      </c>
      <c r="T518" s="7">
        <v>1</v>
      </c>
      <c r="U518" s="7">
        <v>106</v>
      </c>
      <c r="V518" s="7">
        <v>0</v>
      </c>
      <c r="W518" s="7">
        <v>1</v>
      </c>
      <c r="X518" s="7">
        <v>0</v>
      </c>
      <c r="Y518" s="7">
        <v>0</v>
      </c>
      <c r="Z518" s="7">
        <v>0</v>
      </c>
      <c r="AA518" s="7">
        <v>0</v>
      </c>
      <c r="AB518" s="7">
        <v>1</v>
      </c>
      <c r="AC518" s="7">
        <v>0</v>
      </c>
      <c r="AD518" s="7" t="s">
        <v>5044</v>
      </c>
      <c r="AE518" s="7" t="s">
        <v>5044</v>
      </c>
      <c r="AF518" s="7" t="s">
        <v>5044</v>
      </c>
      <c r="AG518" s="7">
        <v>0</v>
      </c>
      <c r="AH518" s="7" t="s">
        <v>5044</v>
      </c>
      <c r="AI518" s="7" t="s">
        <v>5044</v>
      </c>
      <c r="AJ518" s="7" t="s">
        <v>5044</v>
      </c>
      <c r="AL518" s="7">
        <v>0</v>
      </c>
      <c r="AM518" s="7">
        <v>0</v>
      </c>
    </row>
    <row r="519" spans="1:40" ht="63" customHeight="1" x14ac:dyDescent="0.2">
      <c r="A519" s="7">
        <v>5248</v>
      </c>
      <c r="B519" s="7" t="s">
        <v>1522</v>
      </c>
      <c r="C519" s="7" t="s">
        <v>1523</v>
      </c>
      <c r="D519" s="7" t="s">
        <v>22</v>
      </c>
      <c r="F519" s="7" t="s">
        <v>27</v>
      </c>
      <c r="G519" s="7" t="s">
        <v>37</v>
      </c>
      <c r="H519" s="7" t="s">
        <v>19</v>
      </c>
      <c r="I519" s="7" t="s">
        <v>13</v>
      </c>
      <c r="J519" s="7" t="s">
        <v>1524</v>
      </c>
      <c r="K519" s="7" t="s">
        <v>1525</v>
      </c>
      <c r="L519" s="7" t="s">
        <v>5707</v>
      </c>
      <c r="M519" s="7">
        <v>1</v>
      </c>
      <c r="N519" s="7">
        <v>0</v>
      </c>
      <c r="O519" s="9" t="s">
        <v>5044</v>
      </c>
      <c r="P519" s="7">
        <v>0</v>
      </c>
      <c r="Q519" s="7">
        <v>0</v>
      </c>
      <c r="R519" s="7">
        <v>0</v>
      </c>
      <c r="S519" s="7">
        <v>9</v>
      </c>
      <c r="T519" s="7">
        <v>1</v>
      </c>
      <c r="U519" s="7">
        <v>2500</v>
      </c>
      <c r="V519" s="7">
        <v>0</v>
      </c>
      <c r="W519" s="7">
        <v>1</v>
      </c>
      <c r="X519" s="7">
        <v>0</v>
      </c>
      <c r="Y519" s="7">
        <v>0</v>
      </c>
      <c r="Z519" s="7">
        <v>0</v>
      </c>
      <c r="AA519" s="7">
        <v>0</v>
      </c>
      <c r="AB519" s="7">
        <v>1</v>
      </c>
      <c r="AC519" s="7" t="s">
        <v>5044</v>
      </c>
      <c r="AD519" s="7" t="s">
        <v>5044</v>
      </c>
      <c r="AE519" s="7" t="s">
        <v>5044</v>
      </c>
      <c r="AF519" s="7" t="s">
        <v>5044</v>
      </c>
      <c r="AG519" s="7" t="s">
        <v>5044</v>
      </c>
      <c r="AH519" s="7" t="s">
        <v>5044</v>
      </c>
      <c r="AI519" s="7" t="s">
        <v>5044</v>
      </c>
      <c r="AJ519" s="7" t="s">
        <v>5044</v>
      </c>
      <c r="AL519" s="7" t="s">
        <v>5044</v>
      </c>
      <c r="AM519" s="7">
        <v>0</v>
      </c>
    </row>
    <row r="520" spans="1:40" ht="63" customHeight="1" x14ac:dyDescent="0.2">
      <c r="A520" s="7">
        <v>5250</v>
      </c>
      <c r="B520" s="7" t="s">
        <v>1526</v>
      </c>
      <c r="C520" s="7" t="s">
        <v>1527</v>
      </c>
      <c r="D520" s="7" t="s">
        <v>101</v>
      </c>
      <c r="F520" s="7" t="s">
        <v>1008</v>
      </c>
      <c r="H520" s="7" t="s">
        <v>1449</v>
      </c>
      <c r="I520" s="7" t="s">
        <v>13</v>
      </c>
      <c r="J520" s="7" t="s">
        <v>1528</v>
      </c>
      <c r="K520" s="7" t="s">
        <v>1529</v>
      </c>
      <c r="L520" s="7" t="s">
        <v>5706</v>
      </c>
      <c r="M520" s="7">
        <v>0</v>
      </c>
      <c r="N520" s="9" t="s">
        <v>5044</v>
      </c>
      <c r="O520" s="9" t="s">
        <v>5044</v>
      </c>
      <c r="P520" s="7">
        <v>0</v>
      </c>
      <c r="Q520" s="7">
        <v>0</v>
      </c>
      <c r="R520" s="7">
        <v>0</v>
      </c>
      <c r="S520" s="7">
        <v>8</v>
      </c>
      <c r="T520" s="7">
        <v>2</v>
      </c>
      <c r="U520" s="7">
        <v>201</v>
      </c>
      <c r="V520" s="7">
        <v>0</v>
      </c>
      <c r="W520" s="7">
        <v>1</v>
      </c>
      <c r="X520" s="7">
        <v>0</v>
      </c>
      <c r="Y520" s="7">
        <v>0</v>
      </c>
      <c r="Z520" s="7">
        <v>0</v>
      </c>
      <c r="AA520" s="7">
        <v>0</v>
      </c>
      <c r="AB520" s="7">
        <v>1</v>
      </c>
      <c r="AC520" s="7">
        <v>1</v>
      </c>
      <c r="AD520" s="7" t="s">
        <v>5044</v>
      </c>
      <c r="AE520" s="7" t="s">
        <v>5044</v>
      </c>
      <c r="AF520" s="7" t="s">
        <v>5044</v>
      </c>
      <c r="AG520" s="7">
        <v>2</v>
      </c>
      <c r="AH520" s="7">
        <v>3</v>
      </c>
      <c r="AI520" s="7">
        <v>0</v>
      </c>
      <c r="AJ520" s="7" t="s">
        <v>5044</v>
      </c>
      <c r="AL520" s="7">
        <v>0</v>
      </c>
      <c r="AM520" s="7">
        <v>0</v>
      </c>
    </row>
    <row r="521" spans="1:40" ht="63" customHeight="1" x14ac:dyDescent="0.2">
      <c r="A521" s="7">
        <v>5256</v>
      </c>
      <c r="B521" s="7" t="s">
        <v>1530</v>
      </c>
      <c r="C521" s="7" t="s">
        <v>1531</v>
      </c>
      <c r="D521" s="7" t="s">
        <v>74</v>
      </c>
      <c r="F521" s="7" t="s">
        <v>351</v>
      </c>
      <c r="G521" s="7" t="s">
        <v>37</v>
      </c>
      <c r="H521" s="7" t="s">
        <v>217</v>
      </c>
      <c r="I521" s="7" t="s">
        <v>13</v>
      </c>
      <c r="J521" s="7" t="s">
        <v>1532</v>
      </c>
      <c r="K521" s="7" t="s">
        <v>1533</v>
      </c>
      <c r="L521" s="7" t="s">
        <v>5420</v>
      </c>
      <c r="M521" s="7">
        <v>0</v>
      </c>
      <c r="N521" s="9" t="s">
        <v>5044</v>
      </c>
      <c r="O521" s="9" t="s">
        <v>5044</v>
      </c>
      <c r="P521" s="7">
        <v>0</v>
      </c>
      <c r="Q521" s="7">
        <v>0</v>
      </c>
      <c r="R521" s="7">
        <v>0</v>
      </c>
      <c r="S521" s="7">
        <v>1</v>
      </c>
      <c r="T521" s="7">
        <v>1</v>
      </c>
      <c r="U521" s="7">
        <v>269</v>
      </c>
      <c r="V521" s="7">
        <v>0</v>
      </c>
      <c r="W521" s="7">
        <v>1</v>
      </c>
      <c r="X521" s="7">
        <v>0</v>
      </c>
      <c r="Y521" s="7">
        <v>1</v>
      </c>
      <c r="Z521" s="7">
        <v>0</v>
      </c>
      <c r="AA521" s="7">
        <v>0</v>
      </c>
      <c r="AB521" s="7">
        <v>1</v>
      </c>
      <c r="AC521" s="7">
        <v>1</v>
      </c>
      <c r="AD521" s="7" t="s">
        <v>5044</v>
      </c>
      <c r="AE521" s="7" t="s">
        <v>5044</v>
      </c>
      <c r="AF521" s="7" t="s">
        <v>5044</v>
      </c>
      <c r="AG521" s="7">
        <v>0</v>
      </c>
      <c r="AH521" s="7" t="s">
        <v>5044</v>
      </c>
      <c r="AI521" s="7" t="s">
        <v>5044</v>
      </c>
      <c r="AJ521" s="7">
        <v>1</v>
      </c>
      <c r="AK521" s="7" t="s">
        <v>6496</v>
      </c>
      <c r="AL521" s="7">
        <v>1</v>
      </c>
      <c r="AM521" s="7">
        <v>0</v>
      </c>
    </row>
    <row r="522" spans="1:40" ht="63" customHeight="1" x14ac:dyDescent="0.2">
      <c r="A522" s="7">
        <v>5260</v>
      </c>
      <c r="B522" s="7" t="s">
        <v>1534</v>
      </c>
      <c r="C522" s="7" t="s">
        <v>1535</v>
      </c>
      <c r="D522" s="7" t="s">
        <v>16</v>
      </c>
      <c r="F522" s="7" t="s">
        <v>114</v>
      </c>
      <c r="G522" s="7" t="s">
        <v>37</v>
      </c>
      <c r="H522" s="7" t="s">
        <v>238</v>
      </c>
      <c r="I522" s="7" t="s">
        <v>13</v>
      </c>
      <c r="J522" s="7" t="s">
        <v>1536</v>
      </c>
      <c r="K522" s="7" t="s">
        <v>1537</v>
      </c>
      <c r="L522" s="7" t="s">
        <v>5044</v>
      </c>
      <c r="M522" s="7">
        <v>0</v>
      </c>
      <c r="N522" s="9" t="s">
        <v>5044</v>
      </c>
      <c r="O522" s="9" t="s">
        <v>5044</v>
      </c>
      <c r="P522" s="7">
        <v>0</v>
      </c>
      <c r="Q522" s="7">
        <v>0</v>
      </c>
      <c r="R522" s="7">
        <v>0</v>
      </c>
      <c r="S522" s="7">
        <v>3</v>
      </c>
      <c r="T522" s="7">
        <v>6</v>
      </c>
      <c r="U522" s="7">
        <v>150</v>
      </c>
      <c r="V522" s="7">
        <v>0</v>
      </c>
      <c r="W522" s="7">
        <v>1</v>
      </c>
      <c r="X522" s="7">
        <v>0</v>
      </c>
      <c r="Y522" s="7">
        <v>0</v>
      </c>
      <c r="Z522" s="7">
        <v>0</v>
      </c>
      <c r="AA522" s="7">
        <v>0</v>
      </c>
      <c r="AB522" s="7">
        <v>0</v>
      </c>
      <c r="AC522" s="7">
        <v>1</v>
      </c>
      <c r="AD522" s="7" t="s">
        <v>5044</v>
      </c>
      <c r="AE522" s="7" t="s">
        <v>5044</v>
      </c>
      <c r="AF522" s="7" t="s">
        <v>5044</v>
      </c>
      <c r="AG522" s="7">
        <v>1</v>
      </c>
      <c r="AH522" s="7">
        <v>0</v>
      </c>
      <c r="AI522" s="7">
        <v>0</v>
      </c>
      <c r="AJ522" s="7" t="s">
        <v>5044</v>
      </c>
      <c r="AL522" s="7" t="s">
        <v>5044</v>
      </c>
      <c r="AM522" s="7">
        <v>0</v>
      </c>
      <c r="AN522" s="7" t="s">
        <v>5105</v>
      </c>
    </row>
    <row r="523" spans="1:40" ht="63" customHeight="1" x14ac:dyDescent="0.2">
      <c r="A523" s="7">
        <v>5261</v>
      </c>
      <c r="B523" s="7" t="s">
        <v>1538</v>
      </c>
      <c r="C523" s="7" t="s">
        <v>1539</v>
      </c>
      <c r="D523" s="7" t="s">
        <v>22</v>
      </c>
      <c r="F523" s="7" t="s">
        <v>65</v>
      </c>
      <c r="G523" s="7" t="s">
        <v>52</v>
      </c>
      <c r="H523" s="7" t="s">
        <v>270</v>
      </c>
      <c r="I523" s="7" t="s">
        <v>13</v>
      </c>
      <c r="J523" s="7" t="s">
        <v>1540</v>
      </c>
      <c r="K523" s="7" t="s">
        <v>1541</v>
      </c>
      <c r="L523" s="7" t="s">
        <v>5704</v>
      </c>
      <c r="M523" s="7">
        <v>0</v>
      </c>
      <c r="N523" s="9" t="s">
        <v>5044</v>
      </c>
      <c r="O523" s="9" t="s">
        <v>5044</v>
      </c>
      <c r="P523" s="7">
        <v>0</v>
      </c>
      <c r="Q523" s="7">
        <v>0</v>
      </c>
      <c r="R523" s="7">
        <v>0</v>
      </c>
      <c r="S523" s="7">
        <v>1</v>
      </c>
      <c r="T523" s="7">
        <v>4</v>
      </c>
      <c r="U523" s="7">
        <v>102</v>
      </c>
      <c r="V523" s="7">
        <v>0</v>
      </c>
      <c r="W523" s="7">
        <v>1</v>
      </c>
      <c r="X523" s="7">
        <v>0</v>
      </c>
      <c r="Y523" s="7">
        <v>0</v>
      </c>
      <c r="Z523" s="7">
        <v>0</v>
      </c>
      <c r="AA523" s="7">
        <v>0</v>
      </c>
      <c r="AB523" s="7">
        <v>0</v>
      </c>
      <c r="AC523" s="7">
        <v>1</v>
      </c>
      <c r="AD523" s="7" t="s">
        <v>5044</v>
      </c>
      <c r="AE523" s="7" t="s">
        <v>5044</v>
      </c>
      <c r="AF523" s="7" t="s">
        <v>5044</v>
      </c>
      <c r="AG523" s="7">
        <v>2</v>
      </c>
      <c r="AH523" s="7">
        <v>3</v>
      </c>
      <c r="AI523" s="7">
        <v>0</v>
      </c>
      <c r="AJ523" s="7" t="s">
        <v>5044</v>
      </c>
      <c r="AK523" s="7" t="s">
        <v>5705</v>
      </c>
      <c r="AL523" s="7">
        <v>1</v>
      </c>
      <c r="AM523" s="7">
        <v>0</v>
      </c>
    </row>
    <row r="524" spans="1:40" ht="63" customHeight="1" x14ac:dyDescent="0.2">
      <c r="A524" s="7">
        <v>5264</v>
      </c>
      <c r="B524" s="7" t="s">
        <v>1542</v>
      </c>
      <c r="C524" s="7" t="s">
        <v>1543</v>
      </c>
      <c r="D524" s="7" t="s">
        <v>22</v>
      </c>
      <c r="F524" s="7" t="s">
        <v>147</v>
      </c>
      <c r="G524" s="7" t="s">
        <v>52</v>
      </c>
      <c r="H524" s="7" t="s">
        <v>119</v>
      </c>
      <c r="I524" s="7" t="s">
        <v>13</v>
      </c>
      <c r="J524" s="7" t="s">
        <v>1544</v>
      </c>
      <c r="K524" s="7" t="s">
        <v>1545</v>
      </c>
      <c r="L524" s="7" t="s">
        <v>5703</v>
      </c>
      <c r="M524" s="7">
        <v>1</v>
      </c>
      <c r="N524" s="7">
        <v>0</v>
      </c>
      <c r="O524" s="9" t="s">
        <v>5044</v>
      </c>
      <c r="P524" s="7">
        <v>0</v>
      </c>
      <c r="Q524" s="7">
        <v>0</v>
      </c>
      <c r="R524" s="7">
        <v>0</v>
      </c>
      <c r="S524" s="7">
        <v>1</v>
      </c>
      <c r="T524" s="7">
        <v>1</v>
      </c>
      <c r="U524" s="7">
        <v>152</v>
      </c>
      <c r="V524" s="7">
        <v>0</v>
      </c>
      <c r="W524" s="7">
        <v>1</v>
      </c>
      <c r="X524" s="7">
        <v>0</v>
      </c>
      <c r="Y524" s="7">
        <v>0</v>
      </c>
      <c r="Z524" s="7">
        <v>0</v>
      </c>
      <c r="AA524" s="7">
        <v>0</v>
      </c>
      <c r="AB524" s="7">
        <v>1</v>
      </c>
      <c r="AC524" s="7" t="s">
        <v>5044</v>
      </c>
      <c r="AD524" s="7" t="s">
        <v>5044</v>
      </c>
      <c r="AE524" s="7" t="s">
        <v>5044</v>
      </c>
      <c r="AF524" s="7" t="s">
        <v>5044</v>
      </c>
      <c r="AG524" s="7" t="s">
        <v>5044</v>
      </c>
      <c r="AH524" s="7" t="s">
        <v>5044</v>
      </c>
      <c r="AI524" s="7" t="s">
        <v>5044</v>
      </c>
      <c r="AJ524" s="7" t="s">
        <v>5044</v>
      </c>
      <c r="AL524" s="7" t="s">
        <v>5044</v>
      </c>
      <c r="AM524" s="7">
        <v>0</v>
      </c>
    </row>
    <row r="525" spans="1:40" ht="63" customHeight="1" x14ac:dyDescent="0.2">
      <c r="A525" s="7">
        <v>5269</v>
      </c>
      <c r="B525" s="7" t="s">
        <v>1546</v>
      </c>
      <c r="C525" s="7" t="s">
        <v>1547</v>
      </c>
      <c r="D525" s="7" t="s">
        <v>16</v>
      </c>
      <c r="F525" s="7" t="s">
        <v>26</v>
      </c>
      <c r="G525" s="7" t="s">
        <v>37</v>
      </c>
      <c r="H525" s="7" t="s">
        <v>1548</v>
      </c>
      <c r="I525" s="7" t="s">
        <v>13</v>
      </c>
      <c r="J525" s="7" t="s">
        <v>1549</v>
      </c>
      <c r="K525" s="7" t="s">
        <v>1550</v>
      </c>
      <c r="L525" s="7" t="s">
        <v>5702</v>
      </c>
      <c r="M525" s="7">
        <v>0</v>
      </c>
      <c r="N525" s="9" t="s">
        <v>5044</v>
      </c>
      <c r="O525" s="9" t="s">
        <v>5044</v>
      </c>
      <c r="P525" s="7">
        <v>0</v>
      </c>
      <c r="Q525" s="7">
        <v>0</v>
      </c>
      <c r="R525" s="7">
        <v>0</v>
      </c>
      <c r="S525" s="7">
        <v>5</v>
      </c>
      <c r="T525" s="7">
        <v>6</v>
      </c>
      <c r="U525" s="7">
        <v>80</v>
      </c>
      <c r="V525" s="7">
        <v>0</v>
      </c>
      <c r="W525" s="7">
        <v>1</v>
      </c>
      <c r="X525" s="7">
        <v>0</v>
      </c>
      <c r="Y525" s="7">
        <v>0</v>
      </c>
      <c r="Z525" s="7">
        <v>0</v>
      </c>
      <c r="AA525" s="7">
        <v>0</v>
      </c>
      <c r="AB525" s="7">
        <v>0</v>
      </c>
      <c r="AC525" s="7">
        <v>1</v>
      </c>
      <c r="AD525" s="7" t="s">
        <v>5044</v>
      </c>
      <c r="AE525" s="7" t="s">
        <v>5044</v>
      </c>
      <c r="AF525" s="7" t="s">
        <v>5044</v>
      </c>
      <c r="AG525" s="7">
        <v>2</v>
      </c>
      <c r="AH525" s="7">
        <v>3</v>
      </c>
      <c r="AI525" s="7">
        <v>0</v>
      </c>
      <c r="AJ525" s="7" t="s">
        <v>5044</v>
      </c>
      <c r="AK525" s="7">
        <v>1</v>
      </c>
      <c r="AL525" s="7">
        <v>0</v>
      </c>
      <c r="AM525" s="7">
        <v>0</v>
      </c>
    </row>
    <row r="526" spans="1:40" ht="63" customHeight="1" x14ac:dyDescent="0.2">
      <c r="A526" s="7">
        <v>5275</v>
      </c>
      <c r="B526" s="7" t="s">
        <v>1551</v>
      </c>
      <c r="C526" s="7" t="s">
        <v>1552</v>
      </c>
      <c r="D526" s="7" t="s">
        <v>74</v>
      </c>
      <c r="F526" s="7" t="s">
        <v>458</v>
      </c>
      <c r="G526" s="7" t="s">
        <v>175</v>
      </c>
      <c r="H526" s="7" t="s">
        <v>1553</v>
      </c>
      <c r="I526" s="7" t="s">
        <v>13</v>
      </c>
      <c r="J526" s="7" t="s">
        <v>1554</v>
      </c>
      <c r="K526" s="7" t="s">
        <v>1555</v>
      </c>
      <c r="L526" s="7" t="s">
        <v>5044</v>
      </c>
      <c r="M526" s="7">
        <v>0</v>
      </c>
      <c r="N526" s="9" t="s">
        <v>5044</v>
      </c>
      <c r="O526" s="9" t="s">
        <v>5044</v>
      </c>
      <c r="P526" s="7">
        <v>0</v>
      </c>
      <c r="Q526" s="7">
        <v>0</v>
      </c>
      <c r="R526" s="7">
        <v>0</v>
      </c>
      <c r="S526" s="7">
        <v>3</v>
      </c>
      <c r="T526" s="7">
        <v>6</v>
      </c>
      <c r="U526" s="7">
        <v>100</v>
      </c>
      <c r="V526" s="7">
        <v>1</v>
      </c>
      <c r="W526" s="7">
        <v>0</v>
      </c>
      <c r="X526" s="7">
        <v>0</v>
      </c>
      <c r="Y526" s="7">
        <v>0</v>
      </c>
      <c r="Z526" s="7">
        <v>0</v>
      </c>
      <c r="AA526" s="7">
        <v>0</v>
      </c>
      <c r="AB526" s="7">
        <v>1</v>
      </c>
      <c r="AC526" s="7">
        <v>1</v>
      </c>
      <c r="AD526" s="7">
        <v>1</v>
      </c>
      <c r="AE526" s="7">
        <v>0</v>
      </c>
      <c r="AF526" s="7">
        <v>0</v>
      </c>
      <c r="AG526" s="7" t="s">
        <v>5044</v>
      </c>
      <c r="AH526" s="7" t="s">
        <v>5044</v>
      </c>
      <c r="AI526" s="7" t="s">
        <v>5044</v>
      </c>
      <c r="AJ526" s="7" t="s">
        <v>5044</v>
      </c>
      <c r="AL526" s="7">
        <v>1</v>
      </c>
      <c r="AM526" s="7">
        <v>0</v>
      </c>
      <c r="AN526" s="7" t="s">
        <v>5701</v>
      </c>
    </row>
    <row r="527" spans="1:40" ht="63" customHeight="1" x14ac:dyDescent="0.2">
      <c r="A527" s="7">
        <v>5286</v>
      </c>
      <c r="B527" s="7" t="s">
        <v>1556</v>
      </c>
      <c r="C527" s="7" t="s">
        <v>1557</v>
      </c>
      <c r="D527" s="7" t="s">
        <v>149</v>
      </c>
      <c r="F527" s="7" t="s">
        <v>136</v>
      </c>
      <c r="G527" s="7" t="s">
        <v>11</v>
      </c>
      <c r="H527" s="7" t="s">
        <v>427</v>
      </c>
      <c r="I527" s="7" t="s">
        <v>13</v>
      </c>
      <c r="J527" s="7" t="s">
        <v>1558</v>
      </c>
      <c r="K527" s="7" t="s">
        <v>1559</v>
      </c>
      <c r="L527" s="7">
        <v>3690</v>
      </c>
      <c r="M527" s="7">
        <v>0</v>
      </c>
      <c r="N527" s="9" t="s">
        <v>5044</v>
      </c>
      <c r="O527" s="9" t="s">
        <v>5044</v>
      </c>
      <c r="P527" s="7">
        <v>0</v>
      </c>
      <c r="Q527" s="7">
        <v>0</v>
      </c>
      <c r="R527" s="7">
        <v>0</v>
      </c>
      <c r="S527" s="7">
        <v>1</v>
      </c>
      <c r="T527" s="7">
        <v>4</v>
      </c>
      <c r="U527" s="7">
        <v>73</v>
      </c>
      <c r="V527" s="7">
        <v>0</v>
      </c>
      <c r="W527" s="7">
        <v>1</v>
      </c>
      <c r="X527" s="7">
        <v>0</v>
      </c>
      <c r="Y527" s="7">
        <v>0</v>
      </c>
      <c r="Z527" s="7">
        <v>0</v>
      </c>
      <c r="AA527" s="7">
        <v>0</v>
      </c>
      <c r="AB527" s="7">
        <v>1</v>
      </c>
      <c r="AC527" s="7">
        <v>1</v>
      </c>
      <c r="AD527" s="7" t="s">
        <v>5044</v>
      </c>
      <c r="AE527" s="7" t="s">
        <v>5044</v>
      </c>
      <c r="AF527" s="7" t="s">
        <v>5044</v>
      </c>
      <c r="AG527" s="7">
        <v>1</v>
      </c>
      <c r="AH527" s="7">
        <v>0</v>
      </c>
      <c r="AI527" s="7">
        <v>0</v>
      </c>
      <c r="AJ527" s="7" t="s">
        <v>5044</v>
      </c>
      <c r="AL527" s="7">
        <v>0</v>
      </c>
      <c r="AM527" s="7">
        <v>0</v>
      </c>
    </row>
    <row r="528" spans="1:40" ht="63" customHeight="1" x14ac:dyDescent="0.2">
      <c r="A528" s="7">
        <v>5288</v>
      </c>
      <c r="B528" s="7" t="s">
        <v>1560</v>
      </c>
      <c r="C528" s="7" t="s">
        <v>1561</v>
      </c>
      <c r="D528" s="7" t="s">
        <v>56</v>
      </c>
      <c r="F528" s="7" t="s">
        <v>325</v>
      </c>
      <c r="H528" s="7" t="s">
        <v>572</v>
      </c>
      <c r="I528" s="7" t="s">
        <v>13</v>
      </c>
      <c r="J528" s="7" t="s">
        <v>1562</v>
      </c>
      <c r="K528" s="7" t="s">
        <v>1563</v>
      </c>
      <c r="L528" s="7" t="s">
        <v>5044</v>
      </c>
      <c r="M528" s="7">
        <v>0</v>
      </c>
      <c r="N528" s="9" t="s">
        <v>5044</v>
      </c>
      <c r="O528" s="9" t="s">
        <v>5044</v>
      </c>
      <c r="P528" s="7">
        <v>0</v>
      </c>
      <c r="Q528" s="7">
        <v>0</v>
      </c>
      <c r="R528" s="7">
        <v>0</v>
      </c>
      <c r="S528" s="7">
        <v>1</v>
      </c>
      <c r="T528" s="7">
        <v>5</v>
      </c>
      <c r="U528" s="7">
        <v>1265</v>
      </c>
      <c r="V528" s="7">
        <v>0</v>
      </c>
      <c r="W528" s="7">
        <v>1</v>
      </c>
      <c r="X528" s="7">
        <v>0</v>
      </c>
      <c r="Y528" s="7">
        <v>0</v>
      </c>
      <c r="Z528" s="7">
        <v>0</v>
      </c>
      <c r="AA528" s="7">
        <v>0</v>
      </c>
      <c r="AB528" s="7">
        <v>1</v>
      </c>
      <c r="AC528" s="7">
        <v>1</v>
      </c>
      <c r="AD528" s="7" t="s">
        <v>5044</v>
      </c>
      <c r="AE528" s="7" t="s">
        <v>5044</v>
      </c>
      <c r="AF528" s="7" t="s">
        <v>5044</v>
      </c>
      <c r="AG528" s="7">
        <v>2</v>
      </c>
      <c r="AH528" s="7">
        <v>3</v>
      </c>
      <c r="AI528" s="7">
        <v>0</v>
      </c>
      <c r="AJ528" s="7" t="s">
        <v>5044</v>
      </c>
      <c r="AL528" s="7">
        <v>1</v>
      </c>
      <c r="AM528" s="7">
        <v>0</v>
      </c>
    </row>
    <row r="529" spans="1:40" ht="63" customHeight="1" x14ac:dyDescent="0.2">
      <c r="A529" s="7">
        <v>5294</v>
      </c>
      <c r="B529" s="7" t="s">
        <v>1564</v>
      </c>
      <c r="C529" s="7" t="s">
        <v>1565</v>
      </c>
      <c r="D529" s="7" t="s">
        <v>41</v>
      </c>
      <c r="F529" s="7" t="s">
        <v>254</v>
      </c>
      <c r="G529" s="7" t="s">
        <v>11</v>
      </c>
      <c r="H529" s="7" t="s">
        <v>442</v>
      </c>
      <c r="I529" s="7" t="s">
        <v>13</v>
      </c>
      <c r="J529" s="7" t="s">
        <v>1566</v>
      </c>
      <c r="K529" s="7" t="s">
        <v>1567</v>
      </c>
      <c r="L529" s="7" t="s">
        <v>5044</v>
      </c>
      <c r="M529" s="7">
        <v>0</v>
      </c>
      <c r="N529" s="9" t="s">
        <v>5044</v>
      </c>
      <c r="O529" s="9" t="s">
        <v>5044</v>
      </c>
      <c r="P529" s="7">
        <v>0</v>
      </c>
      <c r="Q529" s="7">
        <v>0</v>
      </c>
      <c r="R529" s="7">
        <v>0</v>
      </c>
      <c r="S529" s="7">
        <v>1</v>
      </c>
      <c r="T529" s="7">
        <v>4</v>
      </c>
      <c r="U529" s="7">
        <v>1003</v>
      </c>
      <c r="V529" s="7">
        <v>0</v>
      </c>
      <c r="W529" s="7">
        <v>1</v>
      </c>
      <c r="X529" s="7">
        <v>0</v>
      </c>
      <c r="Y529" s="7">
        <v>0</v>
      </c>
      <c r="Z529" s="7">
        <v>0</v>
      </c>
      <c r="AA529" s="7">
        <v>0</v>
      </c>
      <c r="AB529" s="7">
        <v>1</v>
      </c>
      <c r="AC529" s="7">
        <v>1</v>
      </c>
      <c r="AD529" s="7" t="s">
        <v>5044</v>
      </c>
      <c r="AE529" s="7" t="s">
        <v>5044</v>
      </c>
      <c r="AF529" s="7" t="s">
        <v>5044</v>
      </c>
      <c r="AG529" s="7">
        <v>2</v>
      </c>
      <c r="AH529" s="7">
        <v>2</v>
      </c>
      <c r="AI529" s="7">
        <v>2</v>
      </c>
      <c r="AJ529" s="7" t="s">
        <v>5044</v>
      </c>
      <c r="AL529" s="7">
        <v>0</v>
      </c>
      <c r="AM529" s="7">
        <v>0</v>
      </c>
    </row>
    <row r="530" spans="1:40" ht="63" customHeight="1" x14ac:dyDescent="0.2">
      <c r="A530" s="7">
        <v>5297</v>
      </c>
      <c r="B530" s="7" t="s">
        <v>1568</v>
      </c>
      <c r="C530" s="7" t="s">
        <v>1569</v>
      </c>
      <c r="D530" s="7" t="s">
        <v>46</v>
      </c>
      <c r="F530" s="7" t="s">
        <v>416</v>
      </c>
      <c r="H530" s="7" t="s">
        <v>572</v>
      </c>
      <c r="I530" s="7" t="s">
        <v>13</v>
      </c>
      <c r="J530" s="7" t="s">
        <v>1570</v>
      </c>
      <c r="K530" s="7" t="s">
        <v>1571</v>
      </c>
      <c r="L530" s="7" t="s">
        <v>5685</v>
      </c>
      <c r="M530" s="7">
        <v>0</v>
      </c>
      <c r="N530" s="9" t="s">
        <v>5044</v>
      </c>
      <c r="O530" s="9" t="s">
        <v>5044</v>
      </c>
      <c r="P530" s="7">
        <v>0</v>
      </c>
      <c r="Q530" s="7">
        <v>0</v>
      </c>
      <c r="R530" s="7">
        <v>0</v>
      </c>
      <c r="S530" s="7">
        <v>1</v>
      </c>
      <c r="T530" s="7">
        <v>4</v>
      </c>
      <c r="U530" s="7">
        <v>71</v>
      </c>
      <c r="V530" s="7">
        <v>0</v>
      </c>
      <c r="W530" s="7">
        <v>1</v>
      </c>
      <c r="X530" s="7">
        <v>0</v>
      </c>
      <c r="Y530" s="7">
        <v>0</v>
      </c>
      <c r="Z530" s="7">
        <v>0</v>
      </c>
      <c r="AA530" s="7">
        <v>0</v>
      </c>
      <c r="AB530" s="7">
        <v>1</v>
      </c>
      <c r="AC530" s="7">
        <v>1</v>
      </c>
      <c r="AD530" s="7" t="s">
        <v>5044</v>
      </c>
      <c r="AE530" s="7" t="s">
        <v>5044</v>
      </c>
      <c r="AF530" s="7" t="s">
        <v>5044</v>
      </c>
      <c r="AG530" s="7">
        <v>2</v>
      </c>
      <c r="AH530" s="7">
        <v>3</v>
      </c>
      <c r="AI530" s="7">
        <v>0</v>
      </c>
      <c r="AJ530" s="7" t="s">
        <v>5044</v>
      </c>
      <c r="AK530" s="7">
        <v>1</v>
      </c>
      <c r="AL530" s="7">
        <v>0</v>
      </c>
      <c r="AM530" s="7">
        <v>0</v>
      </c>
    </row>
    <row r="531" spans="1:40" ht="63" customHeight="1" x14ac:dyDescent="0.2">
      <c r="A531" s="7">
        <v>5315</v>
      </c>
      <c r="B531" s="7" t="s">
        <v>1572</v>
      </c>
      <c r="C531" s="7" t="s">
        <v>1573</v>
      </c>
      <c r="D531" s="7" t="s">
        <v>41</v>
      </c>
      <c r="F531" s="7" t="s">
        <v>107</v>
      </c>
      <c r="G531" s="7" t="s">
        <v>52</v>
      </c>
      <c r="H531" s="7" t="s">
        <v>119</v>
      </c>
      <c r="I531" s="7" t="s">
        <v>13</v>
      </c>
      <c r="J531" s="7" t="s">
        <v>1574</v>
      </c>
      <c r="K531" s="7" t="s">
        <v>1575</v>
      </c>
      <c r="L531" s="7" t="s">
        <v>5684</v>
      </c>
      <c r="M531" s="7">
        <v>0</v>
      </c>
      <c r="N531" s="9" t="s">
        <v>5044</v>
      </c>
      <c r="O531" s="9" t="s">
        <v>5044</v>
      </c>
      <c r="P531" s="7">
        <v>0</v>
      </c>
      <c r="Q531" s="7">
        <v>0</v>
      </c>
      <c r="R531" s="7">
        <v>0</v>
      </c>
      <c r="S531" s="7">
        <v>1</v>
      </c>
      <c r="T531" s="7">
        <v>4</v>
      </c>
      <c r="U531" s="7">
        <v>103</v>
      </c>
      <c r="V531" s="7">
        <v>0</v>
      </c>
      <c r="W531" s="7">
        <v>1</v>
      </c>
      <c r="X531" s="7">
        <v>0</v>
      </c>
      <c r="Y531" s="7">
        <v>0</v>
      </c>
      <c r="Z531" s="7">
        <v>0</v>
      </c>
      <c r="AA531" s="7">
        <v>0</v>
      </c>
      <c r="AB531" s="7">
        <v>0</v>
      </c>
      <c r="AC531" s="7">
        <v>1</v>
      </c>
      <c r="AD531" s="7" t="s">
        <v>5044</v>
      </c>
      <c r="AE531" s="7" t="s">
        <v>5044</v>
      </c>
      <c r="AF531" s="7" t="s">
        <v>5044</v>
      </c>
      <c r="AG531" s="7">
        <v>2</v>
      </c>
      <c r="AH531" s="7">
        <v>1</v>
      </c>
      <c r="AI531" s="7">
        <v>1</v>
      </c>
      <c r="AJ531" s="7" t="s">
        <v>5044</v>
      </c>
      <c r="AL531" s="7">
        <v>0</v>
      </c>
      <c r="AM531" s="7">
        <v>0</v>
      </c>
    </row>
    <row r="532" spans="1:40" ht="63" customHeight="1" x14ac:dyDescent="0.2">
      <c r="A532" s="7">
        <v>5330</v>
      </c>
      <c r="B532" s="7" t="s">
        <v>1576</v>
      </c>
      <c r="C532" s="7" t="s">
        <v>1577</v>
      </c>
      <c r="D532" s="7" t="s">
        <v>95</v>
      </c>
      <c r="F532" s="7" t="s">
        <v>175</v>
      </c>
      <c r="G532" s="7" t="s">
        <v>144</v>
      </c>
      <c r="H532" s="7" t="s">
        <v>19</v>
      </c>
      <c r="I532" s="7" t="s">
        <v>13</v>
      </c>
      <c r="J532" s="7" t="s">
        <v>1578</v>
      </c>
      <c r="K532" s="7" t="s">
        <v>1579</v>
      </c>
      <c r="L532" s="7" t="s">
        <v>5683</v>
      </c>
      <c r="M532" s="7">
        <v>0</v>
      </c>
      <c r="N532" s="9" t="s">
        <v>5044</v>
      </c>
      <c r="O532" s="9" t="s">
        <v>5044</v>
      </c>
      <c r="P532" s="7">
        <v>0</v>
      </c>
      <c r="Q532" s="7">
        <v>0</v>
      </c>
      <c r="R532" s="7">
        <v>0</v>
      </c>
      <c r="S532" s="7">
        <v>4</v>
      </c>
      <c r="T532" s="7">
        <v>5</v>
      </c>
      <c r="U532" s="7">
        <v>160</v>
      </c>
      <c r="V532" s="7">
        <v>0</v>
      </c>
      <c r="W532" s="7">
        <v>1</v>
      </c>
      <c r="X532" s="7">
        <v>0</v>
      </c>
      <c r="Y532" s="7">
        <v>0</v>
      </c>
      <c r="Z532" s="7">
        <v>0</v>
      </c>
      <c r="AA532" s="7">
        <v>0</v>
      </c>
      <c r="AB532" s="7">
        <v>1</v>
      </c>
      <c r="AC532" s="7">
        <v>0</v>
      </c>
      <c r="AD532" s="7" t="s">
        <v>5044</v>
      </c>
      <c r="AE532" s="7" t="s">
        <v>5044</v>
      </c>
      <c r="AF532" s="7" t="s">
        <v>5044</v>
      </c>
      <c r="AG532" s="7">
        <v>0</v>
      </c>
      <c r="AH532" s="7" t="s">
        <v>5044</v>
      </c>
      <c r="AI532" s="7" t="s">
        <v>5044</v>
      </c>
      <c r="AJ532" s="7" t="s">
        <v>5044</v>
      </c>
      <c r="AL532" s="7">
        <v>0</v>
      </c>
      <c r="AM532" s="7">
        <v>0</v>
      </c>
    </row>
    <row r="533" spans="1:40" ht="63" customHeight="1" x14ac:dyDescent="0.2">
      <c r="A533" s="7">
        <v>5358</v>
      </c>
      <c r="B533" s="7" t="s">
        <v>1580</v>
      </c>
      <c r="C533" s="7" t="s">
        <v>1581</v>
      </c>
      <c r="D533" s="7" t="s">
        <v>16</v>
      </c>
      <c r="F533" s="7" t="s">
        <v>293</v>
      </c>
      <c r="G533" s="7" t="s">
        <v>17</v>
      </c>
      <c r="H533" s="7" t="s">
        <v>1582</v>
      </c>
      <c r="I533" s="7" t="s">
        <v>13</v>
      </c>
      <c r="J533" s="7" t="s">
        <v>1583</v>
      </c>
      <c r="K533" s="7" t="s">
        <v>1584</v>
      </c>
      <c r="L533" s="7" t="s">
        <v>5682</v>
      </c>
      <c r="M533" s="7">
        <v>0</v>
      </c>
      <c r="N533" s="9" t="s">
        <v>5044</v>
      </c>
      <c r="O533" s="9" t="s">
        <v>5044</v>
      </c>
      <c r="P533" s="7">
        <v>0</v>
      </c>
      <c r="Q533" s="7">
        <v>0</v>
      </c>
      <c r="R533" s="7">
        <v>0</v>
      </c>
      <c r="S533" s="7">
        <v>1</v>
      </c>
      <c r="T533" s="7">
        <v>1</v>
      </c>
      <c r="U533" s="7">
        <v>40</v>
      </c>
      <c r="V533" s="7">
        <v>0</v>
      </c>
      <c r="W533" s="7">
        <v>1</v>
      </c>
      <c r="X533" s="7">
        <v>0</v>
      </c>
      <c r="Y533" s="7">
        <v>0</v>
      </c>
      <c r="Z533" s="7">
        <v>0</v>
      </c>
      <c r="AA533" s="7">
        <v>0</v>
      </c>
      <c r="AB533" s="7">
        <v>1</v>
      </c>
      <c r="AC533" s="7">
        <v>1</v>
      </c>
      <c r="AD533" s="7" t="s">
        <v>5044</v>
      </c>
      <c r="AE533" s="7" t="s">
        <v>5044</v>
      </c>
      <c r="AF533" s="7" t="s">
        <v>5044</v>
      </c>
      <c r="AG533" s="7">
        <v>1</v>
      </c>
      <c r="AH533" s="7">
        <v>0</v>
      </c>
      <c r="AI533" s="7">
        <v>0</v>
      </c>
      <c r="AJ533" s="7" t="s">
        <v>5044</v>
      </c>
      <c r="AL533" s="7">
        <v>0</v>
      </c>
      <c r="AM533" s="7">
        <v>0</v>
      </c>
    </row>
    <row r="534" spans="1:40" ht="63" customHeight="1" x14ac:dyDescent="0.2">
      <c r="A534" s="7">
        <v>5362</v>
      </c>
      <c r="B534" s="7" t="s">
        <v>1585</v>
      </c>
      <c r="C534" s="7" t="s">
        <v>1586</v>
      </c>
      <c r="D534" s="7" t="s">
        <v>22</v>
      </c>
      <c r="F534" s="7" t="s">
        <v>1587</v>
      </c>
      <c r="G534" s="7" t="s">
        <v>17</v>
      </c>
      <c r="H534" s="7" t="s">
        <v>217</v>
      </c>
      <c r="I534" s="7" t="s">
        <v>13</v>
      </c>
      <c r="J534" s="7" t="s">
        <v>1588</v>
      </c>
      <c r="K534" s="7" t="s">
        <v>1589</v>
      </c>
      <c r="L534" s="7" t="s">
        <v>5681</v>
      </c>
      <c r="M534" s="7">
        <v>0</v>
      </c>
      <c r="N534" s="9" t="s">
        <v>5044</v>
      </c>
      <c r="O534" s="9" t="s">
        <v>5044</v>
      </c>
      <c r="P534" s="7">
        <v>0</v>
      </c>
      <c r="Q534" s="7">
        <v>0</v>
      </c>
      <c r="R534" s="7">
        <v>0</v>
      </c>
      <c r="S534" s="7">
        <v>9</v>
      </c>
      <c r="T534" s="7">
        <v>2</v>
      </c>
      <c r="U534" s="7">
        <v>68</v>
      </c>
      <c r="V534" s="7">
        <v>0</v>
      </c>
      <c r="W534" s="7">
        <v>1</v>
      </c>
      <c r="X534" s="7">
        <v>0</v>
      </c>
      <c r="Y534" s="7">
        <v>0</v>
      </c>
      <c r="Z534" s="7">
        <v>1</v>
      </c>
      <c r="AA534" s="7">
        <v>0</v>
      </c>
      <c r="AB534" s="7">
        <v>1</v>
      </c>
      <c r="AC534" s="7">
        <v>1</v>
      </c>
      <c r="AD534" s="7" t="s">
        <v>5044</v>
      </c>
      <c r="AE534" s="7" t="s">
        <v>5044</v>
      </c>
      <c r="AF534" s="7" t="s">
        <v>5044</v>
      </c>
      <c r="AG534" s="7">
        <v>1</v>
      </c>
      <c r="AH534" s="7">
        <v>0</v>
      </c>
      <c r="AI534" s="7">
        <v>0</v>
      </c>
      <c r="AJ534" s="7">
        <v>0</v>
      </c>
      <c r="AL534" s="7">
        <v>1</v>
      </c>
      <c r="AM534" s="7">
        <v>0</v>
      </c>
    </row>
    <row r="535" spans="1:40" ht="63" customHeight="1" x14ac:dyDescent="0.2">
      <c r="A535" s="7">
        <v>5364</v>
      </c>
      <c r="B535" s="7" t="s">
        <v>1590</v>
      </c>
      <c r="C535" s="7" t="s">
        <v>1591</v>
      </c>
      <c r="D535" s="7" t="s">
        <v>41</v>
      </c>
      <c r="F535" s="7" t="s">
        <v>175</v>
      </c>
      <c r="G535" s="7" t="s">
        <v>52</v>
      </c>
      <c r="H535" s="7" t="s">
        <v>708</v>
      </c>
      <c r="I535" s="7" t="s">
        <v>13</v>
      </c>
      <c r="J535" s="7" t="s">
        <v>1592</v>
      </c>
      <c r="K535" s="7" t="s">
        <v>1593</v>
      </c>
      <c r="L535" s="7" t="s">
        <v>5680</v>
      </c>
      <c r="M535" s="7">
        <v>0</v>
      </c>
      <c r="N535" s="9" t="s">
        <v>5044</v>
      </c>
      <c r="O535" s="9" t="s">
        <v>5044</v>
      </c>
      <c r="P535" s="7">
        <v>0</v>
      </c>
      <c r="Q535" s="7">
        <v>0</v>
      </c>
      <c r="R535" s="7">
        <v>0</v>
      </c>
      <c r="S535" s="7">
        <v>3</v>
      </c>
      <c r="T535" s="7">
        <v>2</v>
      </c>
      <c r="U535" s="7">
        <v>70</v>
      </c>
      <c r="V535" s="7">
        <v>0</v>
      </c>
      <c r="W535" s="7">
        <v>1</v>
      </c>
      <c r="X535" s="7">
        <v>0</v>
      </c>
      <c r="Y535" s="7">
        <v>0</v>
      </c>
      <c r="Z535" s="7">
        <v>0</v>
      </c>
      <c r="AA535" s="7">
        <v>0</v>
      </c>
      <c r="AB535" s="7">
        <v>1</v>
      </c>
      <c r="AC535" s="7">
        <v>1</v>
      </c>
      <c r="AD535" s="7" t="s">
        <v>5044</v>
      </c>
      <c r="AE535" s="7" t="s">
        <v>5044</v>
      </c>
      <c r="AF535" s="7" t="s">
        <v>5044</v>
      </c>
      <c r="AG535" s="7">
        <v>1</v>
      </c>
      <c r="AH535" s="7">
        <v>0</v>
      </c>
      <c r="AI535" s="7">
        <v>0</v>
      </c>
      <c r="AJ535" s="7" t="s">
        <v>5044</v>
      </c>
      <c r="AL535" s="7">
        <v>1</v>
      </c>
      <c r="AM535" s="7">
        <v>0</v>
      </c>
    </row>
    <row r="536" spans="1:40" ht="63" customHeight="1" x14ac:dyDescent="0.2">
      <c r="A536" s="7">
        <v>5378</v>
      </c>
      <c r="B536" s="7" t="s">
        <v>1594</v>
      </c>
      <c r="C536" s="7" t="s">
        <v>1595</v>
      </c>
      <c r="D536" s="7" t="s">
        <v>25</v>
      </c>
      <c r="F536" s="7" t="s">
        <v>299</v>
      </c>
      <c r="G536" s="7" t="s">
        <v>52</v>
      </c>
      <c r="H536" s="7" t="s">
        <v>656</v>
      </c>
      <c r="I536" s="7" t="s">
        <v>13</v>
      </c>
      <c r="J536" s="7" t="s">
        <v>1596</v>
      </c>
      <c r="K536" s="7" t="s">
        <v>1597</v>
      </c>
      <c r="L536" s="7" t="s">
        <v>5679</v>
      </c>
      <c r="M536" s="7">
        <v>0</v>
      </c>
      <c r="N536" s="9" t="s">
        <v>5044</v>
      </c>
      <c r="O536" s="9" t="s">
        <v>5044</v>
      </c>
      <c r="P536" s="7">
        <v>1</v>
      </c>
      <c r="Q536" s="7">
        <v>0</v>
      </c>
      <c r="R536" s="7">
        <v>0</v>
      </c>
      <c r="S536" s="7">
        <v>1</v>
      </c>
      <c r="T536" s="7">
        <v>2</v>
      </c>
      <c r="U536" s="7">
        <v>86</v>
      </c>
      <c r="V536" s="7">
        <v>0</v>
      </c>
      <c r="W536" s="7">
        <v>1</v>
      </c>
      <c r="X536" s="7">
        <v>0</v>
      </c>
      <c r="Y536" s="7">
        <v>0</v>
      </c>
      <c r="Z536" s="7">
        <v>0</v>
      </c>
      <c r="AA536" s="7">
        <v>0</v>
      </c>
      <c r="AB536" s="7">
        <v>1</v>
      </c>
      <c r="AC536" s="7">
        <v>1</v>
      </c>
      <c r="AD536" s="7" t="s">
        <v>5044</v>
      </c>
      <c r="AE536" s="7" t="s">
        <v>5044</v>
      </c>
      <c r="AF536" s="7" t="s">
        <v>5044</v>
      </c>
      <c r="AG536" s="7">
        <v>2</v>
      </c>
      <c r="AH536" s="7">
        <v>3</v>
      </c>
      <c r="AI536" s="7">
        <v>0</v>
      </c>
      <c r="AJ536" s="7" t="s">
        <v>5044</v>
      </c>
      <c r="AL536" s="7" t="s">
        <v>5044</v>
      </c>
      <c r="AM536" s="7">
        <v>0</v>
      </c>
      <c r="AN536" s="7" t="s">
        <v>2539</v>
      </c>
    </row>
    <row r="537" spans="1:40" ht="63" customHeight="1" x14ac:dyDescent="0.2">
      <c r="A537" s="7">
        <v>5389</v>
      </c>
      <c r="B537" s="7" t="s">
        <v>1598</v>
      </c>
      <c r="C537" s="7" t="s">
        <v>1599</v>
      </c>
      <c r="D537" s="7" t="s">
        <v>16</v>
      </c>
      <c r="F537" s="7" t="s">
        <v>1180</v>
      </c>
      <c r="H537" s="7" t="s">
        <v>572</v>
      </c>
      <c r="I537" s="7" t="s">
        <v>13</v>
      </c>
      <c r="J537" s="7" t="s">
        <v>1600</v>
      </c>
      <c r="K537" s="7" t="s">
        <v>1601</v>
      </c>
      <c r="L537" s="7" t="s">
        <v>5678</v>
      </c>
      <c r="M537" s="7">
        <v>0</v>
      </c>
      <c r="N537" s="9" t="s">
        <v>5044</v>
      </c>
      <c r="O537" s="9" t="s">
        <v>5044</v>
      </c>
      <c r="P537" s="7">
        <v>1</v>
      </c>
      <c r="Q537" s="7">
        <v>0</v>
      </c>
      <c r="R537" s="7">
        <v>0</v>
      </c>
      <c r="S537" s="7">
        <v>1</v>
      </c>
      <c r="T537" s="7">
        <v>1</v>
      </c>
      <c r="U537" s="7">
        <v>44</v>
      </c>
      <c r="V537" s="7">
        <v>0</v>
      </c>
      <c r="W537" s="7">
        <v>1</v>
      </c>
      <c r="X537" s="7">
        <v>0</v>
      </c>
      <c r="Y537" s="7">
        <v>0</v>
      </c>
      <c r="Z537" s="7">
        <v>1</v>
      </c>
      <c r="AA537" s="7">
        <v>0</v>
      </c>
      <c r="AB537" s="7">
        <v>1</v>
      </c>
      <c r="AC537" s="7">
        <v>1</v>
      </c>
      <c r="AD537" s="7" t="s">
        <v>5044</v>
      </c>
      <c r="AE537" s="7" t="s">
        <v>5044</v>
      </c>
      <c r="AF537" s="7" t="s">
        <v>5044</v>
      </c>
      <c r="AG537" s="7">
        <v>2</v>
      </c>
      <c r="AH537" s="7">
        <v>3</v>
      </c>
      <c r="AI537" s="7">
        <v>0</v>
      </c>
      <c r="AJ537" s="7">
        <v>0</v>
      </c>
      <c r="AL537" s="7" t="s">
        <v>5044</v>
      </c>
      <c r="AM537" s="7">
        <v>0</v>
      </c>
      <c r="AN537" s="7" t="s">
        <v>3714</v>
      </c>
    </row>
    <row r="538" spans="1:40" ht="63" customHeight="1" x14ac:dyDescent="0.2">
      <c r="A538" s="7">
        <v>5394</v>
      </c>
      <c r="B538" s="7" t="s">
        <v>1602</v>
      </c>
      <c r="C538" s="7" t="s">
        <v>1603</v>
      </c>
      <c r="D538" s="7" t="s">
        <v>41</v>
      </c>
      <c r="F538" s="7" t="s">
        <v>92</v>
      </c>
      <c r="G538" s="7" t="s">
        <v>52</v>
      </c>
      <c r="H538" s="7" t="s">
        <v>183</v>
      </c>
      <c r="I538" s="7" t="s">
        <v>13</v>
      </c>
      <c r="J538" s="7" t="s">
        <v>1604</v>
      </c>
      <c r="K538" s="7" t="s">
        <v>1605</v>
      </c>
      <c r="L538" s="7" t="s">
        <v>5677</v>
      </c>
      <c r="M538" s="7">
        <v>0</v>
      </c>
      <c r="N538" s="9" t="s">
        <v>5044</v>
      </c>
      <c r="O538" s="9" t="s">
        <v>5044</v>
      </c>
      <c r="P538" s="7">
        <v>0</v>
      </c>
      <c r="Q538" s="7">
        <v>0</v>
      </c>
      <c r="R538" s="7">
        <v>0</v>
      </c>
      <c r="S538" s="7">
        <v>1</v>
      </c>
      <c r="T538" s="7">
        <v>1</v>
      </c>
      <c r="U538" s="7">
        <v>59</v>
      </c>
      <c r="V538" s="7">
        <v>0</v>
      </c>
      <c r="W538" s="7">
        <v>1</v>
      </c>
      <c r="X538" s="7">
        <v>0</v>
      </c>
      <c r="Y538" s="7">
        <v>0</v>
      </c>
      <c r="Z538" s="7">
        <v>0</v>
      </c>
      <c r="AA538" s="7">
        <v>0</v>
      </c>
      <c r="AB538" s="7">
        <v>1</v>
      </c>
      <c r="AC538" s="7">
        <v>1</v>
      </c>
      <c r="AD538" s="7" t="s">
        <v>5044</v>
      </c>
      <c r="AE538" s="7" t="s">
        <v>5044</v>
      </c>
      <c r="AF538" s="7" t="s">
        <v>5044</v>
      </c>
      <c r="AG538" s="7">
        <v>2</v>
      </c>
      <c r="AH538" s="7">
        <v>3</v>
      </c>
      <c r="AI538" s="7">
        <v>0</v>
      </c>
      <c r="AJ538" s="7" t="s">
        <v>5044</v>
      </c>
      <c r="AL538" s="7">
        <v>1</v>
      </c>
      <c r="AM538" s="7">
        <v>0</v>
      </c>
    </row>
    <row r="539" spans="1:40" ht="63" customHeight="1" x14ac:dyDescent="0.2">
      <c r="A539" s="7">
        <v>5399</v>
      </c>
      <c r="B539" s="7" t="s">
        <v>1606</v>
      </c>
      <c r="C539" s="7" t="s">
        <v>1607</v>
      </c>
      <c r="D539" s="7" t="s">
        <v>16</v>
      </c>
      <c r="F539" s="7" t="s">
        <v>470</v>
      </c>
      <c r="G539" s="7" t="s">
        <v>27</v>
      </c>
      <c r="H539" s="7" t="s">
        <v>38</v>
      </c>
      <c r="I539" s="7" t="s">
        <v>13</v>
      </c>
      <c r="J539" s="7" t="s">
        <v>1608</v>
      </c>
      <c r="K539" s="7" t="s">
        <v>1609</v>
      </c>
      <c r="L539" s="7" t="s">
        <v>5676</v>
      </c>
      <c r="M539" s="7">
        <v>0</v>
      </c>
      <c r="N539" s="9" t="s">
        <v>5044</v>
      </c>
      <c r="O539" s="9" t="s">
        <v>5044</v>
      </c>
      <c r="P539" s="7">
        <v>0</v>
      </c>
      <c r="Q539" s="7">
        <v>0</v>
      </c>
      <c r="R539" s="7">
        <v>0</v>
      </c>
      <c r="S539" s="7">
        <v>1</v>
      </c>
      <c r="T539" s="7">
        <v>5</v>
      </c>
      <c r="U539" s="7">
        <v>150</v>
      </c>
      <c r="V539" s="7">
        <v>0</v>
      </c>
      <c r="W539" s="7">
        <v>1</v>
      </c>
      <c r="X539" s="7">
        <v>0</v>
      </c>
      <c r="Y539" s="7">
        <v>0</v>
      </c>
      <c r="Z539" s="7">
        <v>0</v>
      </c>
      <c r="AA539" s="7">
        <v>0</v>
      </c>
      <c r="AB539" s="7">
        <v>1</v>
      </c>
      <c r="AC539" s="7">
        <v>1</v>
      </c>
      <c r="AD539" s="7" t="s">
        <v>5044</v>
      </c>
      <c r="AE539" s="7" t="s">
        <v>5044</v>
      </c>
      <c r="AF539" s="7" t="s">
        <v>5044</v>
      </c>
      <c r="AG539" s="7">
        <v>2</v>
      </c>
      <c r="AH539" s="7">
        <v>3</v>
      </c>
      <c r="AI539" s="7">
        <v>0</v>
      </c>
      <c r="AJ539" s="7" t="s">
        <v>5044</v>
      </c>
      <c r="AL539" s="7">
        <v>0</v>
      </c>
      <c r="AM539" s="7">
        <v>0</v>
      </c>
    </row>
    <row r="540" spans="1:40" ht="63" customHeight="1" x14ac:dyDescent="0.2">
      <c r="A540" s="7">
        <v>5409</v>
      </c>
      <c r="B540" s="7" t="s">
        <v>1610</v>
      </c>
      <c r="C540" s="7" t="s">
        <v>1611</v>
      </c>
      <c r="D540" s="7" t="s">
        <v>41</v>
      </c>
      <c r="F540" s="7" t="s">
        <v>151</v>
      </c>
      <c r="G540" s="7" t="s">
        <v>18</v>
      </c>
      <c r="H540" s="7" t="s">
        <v>290</v>
      </c>
      <c r="I540" s="7" t="s">
        <v>13</v>
      </c>
      <c r="J540" s="7" t="s">
        <v>1612</v>
      </c>
      <c r="K540" s="7" t="s">
        <v>1613</v>
      </c>
      <c r="L540" s="7" t="s">
        <v>5675</v>
      </c>
      <c r="M540" s="7">
        <v>0</v>
      </c>
      <c r="N540" s="9" t="s">
        <v>5044</v>
      </c>
      <c r="O540" s="9" t="s">
        <v>5044</v>
      </c>
      <c r="P540" s="7">
        <v>0</v>
      </c>
      <c r="Q540" s="7">
        <v>0</v>
      </c>
      <c r="R540" s="7">
        <v>0</v>
      </c>
      <c r="S540" s="7">
        <v>1</v>
      </c>
      <c r="T540" s="7">
        <v>4</v>
      </c>
      <c r="U540" s="7">
        <v>72</v>
      </c>
      <c r="V540" s="7">
        <v>1</v>
      </c>
      <c r="W540" s="7">
        <v>1</v>
      </c>
      <c r="X540" s="7">
        <v>0</v>
      </c>
      <c r="Y540" s="7">
        <v>0</v>
      </c>
      <c r="Z540" s="7">
        <v>0</v>
      </c>
      <c r="AA540" s="7">
        <v>0</v>
      </c>
      <c r="AB540" s="7">
        <v>1</v>
      </c>
      <c r="AC540" s="7">
        <v>1</v>
      </c>
      <c r="AD540" s="7">
        <v>2</v>
      </c>
      <c r="AE540" s="7">
        <v>1</v>
      </c>
      <c r="AF540" s="7">
        <v>2</v>
      </c>
      <c r="AG540" s="7">
        <v>2</v>
      </c>
      <c r="AH540" s="7">
        <v>3</v>
      </c>
      <c r="AI540" s="7">
        <v>0</v>
      </c>
      <c r="AJ540" s="7" t="s">
        <v>5044</v>
      </c>
      <c r="AL540" s="7">
        <v>0</v>
      </c>
      <c r="AM540" s="7">
        <v>0</v>
      </c>
    </row>
    <row r="541" spans="1:40" ht="63" customHeight="1" x14ac:dyDescent="0.2">
      <c r="A541" s="7">
        <v>5414</v>
      </c>
      <c r="B541" s="7" t="s">
        <v>1614</v>
      </c>
      <c r="C541" s="7" t="s">
        <v>1615</v>
      </c>
      <c r="D541" s="7" t="s">
        <v>41</v>
      </c>
      <c r="F541" s="7" t="s">
        <v>1616</v>
      </c>
      <c r="G541" s="7" t="s">
        <v>52</v>
      </c>
      <c r="H541" s="7" t="s">
        <v>596</v>
      </c>
      <c r="I541" s="7" t="s">
        <v>13</v>
      </c>
      <c r="J541" s="7" t="s">
        <v>1617</v>
      </c>
      <c r="K541" s="7" t="s">
        <v>1618</v>
      </c>
      <c r="L541" s="7" t="s">
        <v>5674</v>
      </c>
      <c r="M541" s="7">
        <v>0</v>
      </c>
      <c r="N541" s="9" t="s">
        <v>5044</v>
      </c>
      <c r="O541" s="9" t="s">
        <v>5044</v>
      </c>
      <c r="P541" s="7">
        <v>0</v>
      </c>
      <c r="Q541" s="7">
        <v>0</v>
      </c>
      <c r="R541" s="7">
        <v>0</v>
      </c>
      <c r="S541" s="7">
        <v>1</v>
      </c>
      <c r="T541" s="7">
        <v>1</v>
      </c>
      <c r="U541" s="7">
        <v>100</v>
      </c>
      <c r="V541" s="7">
        <v>0</v>
      </c>
      <c r="W541" s="7">
        <v>1</v>
      </c>
      <c r="X541" s="7">
        <v>0</v>
      </c>
      <c r="Y541" s="7">
        <v>0</v>
      </c>
      <c r="Z541" s="7">
        <v>0</v>
      </c>
      <c r="AA541" s="7">
        <v>0</v>
      </c>
      <c r="AB541" s="7">
        <v>1</v>
      </c>
      <c r="AC541" s="7">
        <v>0</v>
      </c>
      <c r="AD541" s="7" t="s">
        <v>5044</v>
      </c>
      <c r="AE541" s="7" t="s">
        <v>5044</v>
      </c>
      <c r="AF541" s="7" t="s">
        <v>5044</v>
      </c>
      <c r="AG541" s="7">
        <v>0</v>
      </c>
      <c r="AH541" s="7" t="s">
        <v>5044</v>
      </c>
      <c r="AI541" s="7" t="s">
        <v>5044</v>
      </c>
      <c r="AJ541" s="7" t="s">
        <v>5044</v>
      </c>
      <c r="AL541" s="7">
        <v>0</v>
      </c>
      <c r="AM541" s="7">
        <v>0</v>
      </c>
    </row>
    <row r="542" spans="1:40" ht="63" customHeight="1" x14ac:dyDescent="0.2">
      <c r="A542" s="7">
        <v>5415</v>
      </c>
      <c r="B542" s="7" t="s">
        <v>1619</v>
      </c>
      <c r="C542" s="7" t="s">
        <v>1620</v>
      </c>
      <c r="D542" s="7" t="s">
        <v>149</v>
      </c>
      <c r="F542" s="7" t="s">
        <v>746</v>
      </c>
      <c r="G542" s="7" t="s">
        <v>52</v>
      </c>
      <c r="H542" s="7" t="s">
        <v>53</v>
      </c>
      <c r="I542" s="7" t="s">
        <v>13</v>
      </c>
      <c r="J542" s="7" t="s">
        <v>1621</v>
      </c>
      <c r="K542" s="7" t="s">
        <v>1622</v>
      </c>
      <c r="L542" s="7" t="s">
        <v>5673</v>
      </c>
      <c r="M542" s="7">
        <v>1</v>
      </c>
      <c r="N542" s="7">
        <v>0</v>
      </c>
      <c r="O542" s="9" t="s">
        <v>5044</v>
      </c>
      <c r="P542" s="7">
        <v>0</v>
      </c>
      <c r="Q542" s="7">
        <v>0</v>
      </c>
      <c r="R542" s="7">
        <v>0</v>
      </c>
      <c r="S542" s="7">
        <v>1</v>
      </c>
      <c r="T542" s="7">
        <v>1</v>
      </c>
      <c r="U542" s="7">
        <v>340</v>
      </c>
      <c r="V542" s="7">
        <v>0</v>
      </c>
      <c r="W542" s="7">
        <v>1</v>
      </c>
      <c r="X542" s="7">
        <v>0</v>
      </c>
      <c r="Y542" s="7">
        <v>0</v>
      </c>
      <c r="Z542" s="7">
        <v>0</v>
      </c>
      <c r="AA542" s="7">
        <v>0</v>
      </c>
      <c r="AB542" s="7">
        <v>1</v>
      </c>
      <c r="AC542" s="7" t="s">
        <v>5044</v>
      </c>
      <c r="AD542" s="7" t="s">
        <v>5044</v>
      </c>
      <c r="AE542" s="7" t="s">
        <v>5044</v>
      </c>
      <c r="AF542" s="7" t="s">
        <v>5044</v>
      </c>
      <c r="AG542" s="7" t="s">
        <v>5044</v>
      </c>
      <c r="AH542" s="7" t="s">
        <v>5044</v>
      </c>
      <c r="AI542" s="7" t="s">
        <v>5044</v>
      </c>
      <c r="AJ542" s="7" t="s">
        <v>5044</v>
      </c>
      <c r="AL542" s="7" t="s">
        <v>5044</v>
      </c>
      <c r="AM542" s="7">
        <v>0</v>
      </c>
    </row>
    <row r="543" spans="1:40" ht="63" customHeight="1" x14ac:dyDescent="0.2">
      <c r="A543" s="7">
        <v>5419</v>
      </c>
      <c r="B543" s="7" t="s">
        <v>1623</v>
      </c>
      <c r="C543" s="7" t="s">
        <v>1624</v>
      </c>
      <c r="D543" s="7" t="s">
        <v>149</v>
      </c>
      <c r="F543" s="7" t="s">
        <v>399</v>
      </c>
      <c r="G543" s="7" t="s">
        <v>1625</v>
      </c>
      <c r="H543" s="7" t="s">
        <v>1626</v>
      </c>
      <c r="I543" s="7" t="s">
        <v>13</v>
      </c>
      <c r="J543" s="7" t="s">
        <v>1627</v>
      </c>
      <c r="L543" s="7" t="s">
        <v>5044</v>
      </c>
      <c r="M543" s="7">
        <v>0</v>
      </c>
      <c r="N543" s="9" t="s">
        <v>5044</v>
      </c>
      <c r="O543" s="9" t="s">
        <v>5044</v>
      </c>
      <c r="P543" s="7">
        <v>0</v>
      </c>
      <c r="Q543" s="7">
        <v>0</v>
      </c>
      <c r="R543" s="7">
        <v>0</v>
      </c>
      <c r="S543" s="7">
        <v>1</v>
      </c>
      <c r="T543" s="7">
        <v>4</v>
      </c>
      <c r="U543" s="7">
        <v>100</v>
      </c>
      <c r="V543" s="7">
        <v>1</v>
      </c>
      <c r="W543" s="7">
        <v>0</v>
      </c>
      <c r="X543" s="7">
        <v>0</v>
      </c>
      <c r="Y543" s="7">
        <v>0</v>
      </c>
      <c r="Z543" s="7">
        <v>0</v>
      </c>
      <c r="AA543" s="7">
        <v>0</v>
      </c>
      <c r="AB543" s="7">
        <v>1</v>
      </c>
      <c r="AC543" s="7">
        <v>1</v>
      </c>
      <c r="AD543" s="7">
        <v>1</v>
      </c>
      <c r="AE543" s="7">
        <v>0</v>
      </c>
      <c r="AF543" s="7">
        <v>0</v>
      </c>
      <c r="AG543" s="7" t="s">
        <v>5044</v>
      </c>
      <c r="AH543" s="7" t="s">
        <v>5044</v>
      </c>
      <c r="AI543" s="7" t="s">
        <v>5044</v>
      </c>
      <c r="AJ543" s="7" t="s">
        <v>5044</v>
      </c>
      <c r="AL543" s="7">
        <v>0</v>
      </c>
      <c r="AM543" s="7">
        <v>0</v>
      </c>
    </row>
    <row r="544" spans="1:40" ht="63" customHeight="1" x14ac:dyDescent="0.2">
      <c r="A544" s="7">
        <v>5442</v>
      </c>
      <c r="B544" s="7" t="s">
        <v>1628</v>
      </c>
      <c r="C544" s="7" t="s">
        <v>1629</v>
      </c>
      <c r="D544" s="7" t="s">
        <v>41</v>
      </c>
      <c r="F544" s="7" t="s">
        <v>1630</v>
      </c>
      <c r="G544" s="7" t="s">
        <v>52</v>
      </c>
      <c r="H544" s="7" t="s">
        <v>486</v>
      </c>
      <c r="I544" s="7" t="s">
        <v>13</v>
      </c>
      <c r="J544" s="7" t="s">
        <v>1631</v>
      </c>
      <c r="K544" s="7" t="s">
        <v>1632</v>
      </c>
      <c r="L544" s="7" t="s">
        <v>5672</v>
      </c>
      <c r="M544" s="7">
        <v>0</v>
      </c>
      <c r="N544" s="9" t="s">
        <v>5044</v>
      </c>
      <c r="O544" s="9" t="s">
        <v>5044</v>
      </c>
      <c r="P544" s="7">
        <v>0</v>
      </c>
      <c r="Q544" s="7">
        <v>0</v>
      </c>
      <c r="R544" s="7">
        <v>0</v>
      </c>
      <c r="S544" s="7">
        <v>5</v>
      </c>
      <c r="T544" s="7">
        <v>2</v>
      </c>
      <c r="U544" s="7">
        <v>105</v>
      </c>
      <c r="V544" s="7">
        <v>0</v>
      </c>
      <c r="W544" s="7">
        <v>1</v>
      </c>
      <c r="X544" s="7">
        <v>0</v>
      </c>
      <c r="Y544" s="7">
        <v>0</v>
      </c>
      <c r="Z544" s="7">
        <v>0</v>
      </c>
      <c r="AA544" s="7">
        <v>0</v>
      </c>
      <c r="AB544" s="7">
        <v>1</v>
      </c>
      <c r="AC544" s="7">
        <v>1</v>
      </c>
      <c r="AD544" s="7" t="s">
        <v>5044</v>
      </c>
      <c r="AE544" s="7" t="s">
        <v>5044</v>
      </c>
      <c r="AF544" s="7" t="s">
        <v>5044</v>
      </c>
      <c r="AG544" s="7">
        <v>2</v>
      </c>
      <c r="AH544" s="7">
        <v>3</v>
      </c>
      <c r="AI544" s="7">
        <v>0</v>
      </c>
      <c r="AJ544" s="7" t="s">
        <v>5044</v>
      </c>
      <c r="AK544" s="7">
        <v>1</v>
      </c>
      <c r="AL544" s="7">
        <v>0</v>
      </c>
      <c r="AM544" s="7">
        <v>0</v>
      </c>
    </row>
    <row r="545" spans="1:40" ht="63" customHeight="1" x14ac:dyDescent="0.2">
      <c r="A545" s="7">
        <v>5449</v>
      </c>
      <c r="B545" s="7" t="s">
        <v>1633</v>
      </c>
      <c r="C545" s="7" t="s">
        <v>1634</v>
      </c>
      <c r="D545" s="7" t="s">
        <v>56</v>
      </c>
      <c r="F545" s="7" t="s">
        <v>51</v>
      </c>
      <c r="G545" s="7" t="s">
        <v>577</v>
      </c>
      <c r="H545" s="7" t="s">
        <v>255</v>
      </c>
      <c r="I545" s="7" t="s">
        <v>13</v>
      </c>
      <c r="J545" s="7" t="s">
        <v>1635</v>
      </c>
      <c r="K545" s="7" t="s">
        <v>1636</v>
      </c>
      <c r="L545" s="7" t="s">
        <v>5166</v>
      </c>
      <c r="M545" s="7">
        <v>0</v>
      </c>
      <c r="N545" s="9" t="s">
        <v>5044</v>
      </c>
      <c r="O545" s="9" t="s">
        <v>5044</v>
      </c>
      <c r="P545" s="7">
        <v>1</v>
      </c>
      <c r="Q545" s="7">
        <v>0</v>
      </c>
      <c r="R545" s="7">
        <v>0</v>
      </c>
      <c r="S545" s="7">
        <v>1</v>
      </c>
      <c r="T545" s="7">
        <v>1</v>
      </c>
      <c r="U545" s="7">
        <v>104</v>
      </c>
      <c r="V545" s="7">
        <v>0</v>
      </c>
      <c r="W545" s="7">
        <v>1</v>
      </c>
      <c r="X545" s="7">
        <v>0</v>
      </c>
      <c r="Y545" s="7">
        <v>0</v>
      </c>
      <c r="Z545" s="7">
        <v>0</v>
      </c>
      <c r="AA545" s="7">
        <v>0</v>
      </c>
      <c r="AB545" s="7">
        <v>1</v>
      </c>
      <c r="AC545" s="7">
        <v>0</v>
      </c>
      <c r="AD545" s="7" t="s">
        <v>5044</v>
      </c>
      <c r="AE545" s="7" t="s">
        <v>5044</v>
      </c>
      <c r="AF545" s="7" t="s">
        <v>5044</v>
      </c>
      <c r="AG545" s="7">
        <v>0</v>
      </c>
      <c r="AH545" s="7" t="s">
        <v>5044</v>
      </c>
      <c r="AI545" s="7" t="s">
        <v>5044</v>
      </c>
      <c r="AJ545" s="7" t="s">
        <v>5044</v>
      </c>
      <c r="AL545" s="7" t="s">
        <v>5044</v>
      </c>
      <c r="AM545" s="7">
        <v>0</v>
      </c>
    </row>
    <row r="546" spans="1:40" ht="63" customHeight="1" x14ac:dyDescent="0.2">
      <c r="A546" s="7">
        <v>5455</v>
      </c>
      <c r="B546" s="7" t="s">
        <v>1637</v>
      </c>
      <c r="C546" s="7" t="s">
        <v>1638</v>
      </c>
      <c r="D546" s="7" t="s">
        <v>56</v>
      </c>
      <c r="F546" s="7" t="s">
        <v>746</v>
      </c>
      <c r="G546" s="7" t="s">
        <v>52</v>
      </c>
      <c r="H546" s="7" t="s">
        <v>119</v>
      </c>
      <c r="I546" s="7" t="s">
        <v>13</v>
      </c>
      <c r="J546" s="7" t="s">
        <v>1639</v>
      </c>
      <c r="K546" s="7" t="s">
        <v>1640</v>
      </c>
      <c r="L546" s="7" t="s">
        <v>5779</v>
      </c>
      <c r="M546" s="7">
        <v>1</v>
      </c>
      <c r="N546" s="7">
        <v>0</v>
      </c>
      <c r="O546" s="7" t="s">
        <v>5044</v>
      </c>
      <c r="P546" s="7">
        <v>0</v>
      </c>
      <c r="Q546" s="7">
        <v>0</v>
      </c>
      <c r="R546" s="7">
        <v>0</v>
      </c>
      <c r="S546" s="7">
        <v>1</v>
      </c>
      <c r="T546" s="7">
        <v>1</v>
      </c>
      <c r="U546" s="7">
        <v>106</v>
      </c>
      <c r="V546" s="7">
        <v>1</v>
      </c>
      <c r="W546" s="7">
        <v>0</v>
      </c>
      <c r="X546" s="7">
        <v>0</v>
      </c>
      <c r="Y546" s="7">
        <v>0</v>
      </c>
      <c r="Z546" s="7">
        <v>0</v>
      </c>
      <c r="AA546" s="7">
        <v>0</v>
      </c>
      <c r="AB546" s="7">
        <v>1</v>
      </c>
      <c r="AC546" s="7" t="s">
        <v>5044</v>
      </c>
      <c r="AD546" s="7" t="s">
        <v>5044</v>
      </c>
      <c r="AE546" s="7" t="s">
        <v>5044</v>
      </c>
      <c r="AF546" s="7" t="s">
        <v>5044</v>
      </c>
      <c r="AG546" s="7" t="s">
        <v>5044</v>
      </c>
      <c r="AH546" s="7" t="s">
        <v>5044</v>
      </c>
      <c r="AI546" s="7" t="s">
        <v>5044</v>
      </c>
      <c r="AJ546" s="7" t="s">
        <v>5044</v>
      </c>
      <c r="AK546" s="7" t="s">
        <v>5318</v>
      </c>
      <c r="AL546" s="7" t="s">
        <v>5044</v>
      </c>
      <c r="AM546" s="7">
        <v>0</v>
      </c>
      <c r="AN546" s="7" t="s">
        <v>5780</v>
      </c>
    </row>
    <row r="547" spans="1:40" ht="63" customHeight="1" x14ac:dyDescent="0.2">
      <c r="A547" s="7">
        <v>5466</v>
      </c>
      <c r="B547" s="7" t="s">
        <v>1645</v>
      </c>
      <c r="C547" s="7" t="s">
        <v>1646</v>
      </c>
      <c r="D547" s="7" t="s">
        <v>16</v>
      </c>
      <c r="F547" s="7" t="s">
        <v>532</v>
      </c>
      <c r="G547" s="7" t="s">
        <v>11</v>
      </c>
      <c r="H547" s="7" t="s">
        <v>43</v>
      </c>
      <c r="I547" s="7" t="s">
        <v>13</v>
      </c>
      <c r="J547" s="7" t="s">
        <v>1647</v>
      </c>
      <c r="K547" s="7" t="s">
        <v>1648</v>
      </c>
      <c r="L547" s="7" t="s">
        <v>5782</v>
      </c>
      <c r="M547" s="7">
        <v>0</v>
      </c>
      <c r="N547" s="7" t="s">
        <v>5044</v>
      </c>
      <c r="O547" s="7" t="s">
        <v>5044</v>
      </c>
      <c r="P547" s="7">
        <v>0</v>
      </c>
      <c r="Q547" s="7">
        <v>0</v>
      </c>
      <c r="R547" s="7">
        <v>0</v>
      </c>
      <c r="S547" s="7">
        <v>1</v>
      </c>
      <c r="T547" s="7">
        <v>1</v>
      </c>
      <c r="U547" s="7">
        <v>200</v>
      </c>
      <c r="V547" s="7">
        <v>0</v>
      </c>
      <c r="W547" s="7">
        <v>1</v>
      </c>
      <c r="X547" s="7">
        <v>0</v>
      </c>
      <c r="Y547" s="7">
        <v>0</v>
      </c>
      <c r="Z547" s="7">
        <v>0</v>
      </c>
      <c r="AA547" s="7">
        <v>0</v>
      </c>
      <c r="AB547" s="7">
        <v>1</v>
      </c>
      <c r="AC547" s="7">
        <v>1</v>
      </c>
      <c r="AD547" s="7" t="s">
        <v>5044</v>
      </c>
      <c r="AE547" s="7" t="s">
        <v>5044</v>
      </c>
      <c r="AF547" s="7" t="s">
        <v>5044</v>
      </c>
      <c r="AG547" s="7">
        <v>2</v>
      </c>
      <c r="AH547" s="7">
        <v>2</v>
      </c>
      <c r="AI547" s="7">
        <v>2</v>
      </c>
      <c r="AJ547" s="7" t="s">
        <v>5044</v>
      </c>
      <c r="AK547" s="7" t="s">
        <v>5318</v>
      </c>
      <c r="AL547" s="7">
        <v>0</v>
      </c>
      <c r="AM547" s="7">
        <v>0</v>
      </c>
      <c r="AN547" s="7" t="s">
        <v>5318</v>
      </c>
    </row>
    <row r="548" spans="1:40" ht="63" customHeight="1" x14ac:dyDescent="0.2">
      <c r="A548" s="7">
        <v>5472</v>
      </c>
      <c r="B548" s="7" t="s">
        <v>1649</v>
      </c>
      <c r="C548" s="7" t="s">
        <v>1650</v>
      </c>
      <c r="D548" s="7" t="s">
        <v>149</v>
      </c>
      <c r="F548" s="7" t="s">
        <v>419</v>
      </c>
      <c r="G548" s="7" t="s">
        <v>32</v>
      </c>
      <c r="H548" s="7" t="s">
        <v>43</v>
      </c>
      <c r="I548" s="7" t="s">
        <v>13</v>
      </c>
      <c r="J548" s="7" t="s">
        <v>1651</v>
      </c>
      <c r="K548" s="7" t="s">
        <v>1652</v>
      </c>
      <c r="L548" s="7" t="s">
        <v>5783</v>
      </c>
      <c r="M548" s="7">
        <v>0</v>
      </c>
      <c r="N548" s="7" t="s">
        <v>5044</v>
      </c>
      <c r="O548" s="7" t="s">
        <v>5044</v>
      </c>
      <c r="P548" s="7">
        <v>0</v>
      </c>
      <c r="Q548" s="7">
        <v>0</v>
      </c>
      <c r="R548" s="7">
        <v>0</v>
      </c>
      <c r="S548" s="7">
        <v>1</v>
      </c>
      <c r="T548" s="7">
        <v>1</v>
      </c>
      <c r="U548" s="7">
        <v>60</v>
      </c>
      <c r="V548" s="7">
        <v>0</v>
      </c>
      <c r="W548" s="7">
        <v>1</v>
      </c>
      <c r="X548" s="7">
        <v>0</v>
      </c>
      <c r="Y548" s="7">
        <v>0</v>
      </c>
      <c r="Z548" s="7">
        <v>0</v>
      </c>
      <c r="AA548" s="7">
        <v>0</v>
      </c>
      <c r="AB548" s="7">
        <v>1</v>
      </c>
      <c r="AC548" s="7">
        <v>1</v>
      </c>
      <c r="AD548" s="7" t="s">
        <v>5044</v>
      </c>
      <c r="AE548" s="7" t="s">
        <v>5044</v>
      </c>
      <c r="AF548" s="7" t="s">
        <v>5044</v>
      </c>
      <c r="AG548" s="7">
        <v>1</v>
      </c>
      <c r="AH548" s="7">
        <v>0</v>
      </c>
      <c r="AI548" s="7">
        <v>0</v>
      </c>
      <c r="AJ548" s="7" t="s">
        <v>5044</v>
      </c>
      <c r="AL548" s="7">
        <v>0</v>
      </c>
      <c r="AM548" s="7">
        <v>0</v>
      </c>
    </row>
    <row r="549" spans="1:40" ht="63" customHeight="1" x14ac:dyDescent="0.2">
      <c r="A549" s="7">
        <v>5474</v>
      </c>
      <c r="B549" s="7" t="s">
        <v>1653</v>
      </c>
      <c r="C549" s="7" t="s">
        <v>1654</v>
      </c>
      <c r="D549" s="7" t="s">
        <v>22</v>
      </c>
      <c r="F549" s="7" t="s">
        <v>1655</v>
      </c>
      <c r="G549" s="7" t="s">
        <v>11</v>
      </c>
      <c r="H549" s="7" t="s">
        <v>730</v>
      </c>
      <c r="I549" s="7" t="s">
        <v>13</v>
      </c>
      <c r="J549" s="7" t="s">
        <v>1656</v>
      </c>
      <c r="K549" s="7" t="s">
        <v>1657</v>
      </c>
      <c r="L549" s="11" t="s">
        <v>5044</v>
      </c>
      <c r="M549" s="7">
        <v>0</v>
      </c>
      <c r="N549" s="7" t="s">
        <v>5044</v>
      </c>
      <c r="O549" s="7" t="s">
        <v>5044</v>
      </c>
      <c r="P549" s="7">
        <v>0</v>
      </c>
      <c r="Q549" s="7">
        <v>0</v>
      </c>
      <c r="R549" s="7">
        <v>0</v>
      </c>
      <c r="S549" s="7">
        <v>3</v>
      </c>
      <c r="T549" s="7">
        <v>2</v>
      </c>
      <c r="U549" s="7">
        <v>120</v>
      </c>
      <c r="V549" s="7">
        <v>0</v>
      </c>
      <c r="W549" s="7">
        <v>1</v>
      </c>
      <c r="X549" s="7">
        <v>0</v>
      </c>
      <c r="Y549" s="7">
        <v>0</v>
      </c>
      <c r="Z549" s="7">
        <v>0</v>
      </c>
      <c r="AA549" s="7">
        <v>0</v>
      </c>
      <c r="AB549" s="7">
        <v>1</v>
      </c>
      <c r="AC549" s="7">
        <v>1</v>
      </c>
      <c r="AD549" s="7" t="s">
        <v>5044</v>
      </c>
      <c r="AE549" s="7" t="s">
        <v>5044</v>
      </c>
      <c r="AF549" s="7" t="s">
        <v>5044</v>
      </c>
      <c r="AG549" s="7">
        <v>2</v>
      </c>
      <c r="AH549" s="7">
        <v>3</v>
      </c>
      <c r="AI549" s="7">
        <v>0</v>
      </c>
      <c r="AJ549" s="7" t="s">
        <v>5044</v>
      </c>
      <c r="AK549" s="7">
        <v>1</v>
      </c>
      <c r="AL549" s="7">
        <v>0</v>
      </c>
      <c r="AM549" s="7">
        <v>0</v>
      </c>
      <c r="AN549" s="7" t="s">
        <v>7663</v>
      </c>
    </row>
    <row r="550" spans="1:40" ht="63" customHeight="1" x14ac:dyDescent="0.2">
      <c r="A550" s="7">
        <v>5482</v>
      </c>
      <c r="B550" s="7" t="s">
        <v>1658</v>
      </c>
      <c r="C550" s="7" t="s">
        <v>1659</v>
      </c>
      <c r="D550" s="7" t="s">
        <v>41</v>
      </c>
      <c r="F550" s="7" t="s">
        <v>65</v>
      </c>
      <c r="G550" s="7" t="s">
        <v>52</v>
      </c>
      <c r="H550" s="7" t="s">
        <v>53</v>
      </c>
      <c r="I550" s="7" t="s">
        <v>13</v>
      </c>
      <c r="J550" s="7" t="s">
        <v>1660</v>
      </c>
      <c r="K550" s="7" t="s">
        <v>1661</v>
      </c>
      <c r="L550" s="7" t="s">
        <v>5784</v>
      </c>
      <c r="M550" s="7">
        <v>1</v>
      </c>
      <c r="N550" s="7">
        <v>0</v>
      </c>
      <c r="O550" s="7" t="s">
        <v>5044</v>
      </c>
      <c r="P550" s="7">
        <v>0</v>
      </c>
      <c r="Q550" s="7">
        <v>0</v>
      </c>
      <c r="R550" s="7">
        <v>0</v>
      </c>
      <c r="S550" s="7">
        <v>1</v>
      </c>
      <c r="T550" s="7">
        <v>4</v>
      </c>
      <c r="U550" s="7">
        <v>382</v>
      </c>
      <c r="V550" s="7">
        <v>0</v>
      </c>
      <c r="W550" s="7">
        <v>1</v>
      </c>
      <c r="X550" s="7">
        <v>0</v>
      </c>
      <c r="Y550" s="7">
        <v>0</v>
      </c>
      <c r="Z550" s="7">
        <v>0</v>
      </c>
      <c r="AA550" s="7">
        <v>0</v>
      </c>
      <c r="AB550" s="7">
        <v>1</v>
      </c>
      <c r="AC550" s="7" t="s">
        <v>5044</v>
      </c>
      <c r="AD550" s="7" t="s">
        <v>5044</v>
      </c>
      <c r="AE550" s="7" t="s">
        <v>5044</v>
      </c>
      <c r="AF550" s="7" t="s">
        <v>5044</v>
      </c>
      <c r="AG550" s="7" t="s">
        <v>5044</v>
      </c>
      <c r="AH550" s="7" t="s">
        <v>5044</v>
      </c>
      <c r="AI550" s="7" t="s">
        <v>5044</v>
      </c>
      <c r="AJ550" s="7" t="s">
        <v>5044</v>
      </c>
      <c r="AK550" s="7" t="s">
        <v>5318</v>
      </c>
      <c r="AL550" s="7" t="s">
        <v>5044</v>
      </c>
      <c r="AM550" s="7">
        <v>0</v>
      </c>
      <c r="AN550" s="7" t="s">
        <v>5318</v>
      </c>
    </row>
    <row r="551" spans="1:40" ht="63" customHeight="1" x14ac:dyDescent="0.2">
      <c r="A551" s="7">
        <v>5484</v>
      </c>
      <c r="B551" s="7" t="s">
        <v>1662</v>
      </c>
      <c r="C551" s="7" t="s">
        <v>1663</v>
      </c>
      <c r="D551" s="7" t="s">
        <v>101</v>
      </c>
      <c r="F551" s="7" t="s">
        <v>143</v>
      </c>
      <c r="G551" s="7" t="s">
        <v>175</v>
      </c>
      <c r="H551" s="7" t="s">
        <v>497</v>
      </c>
      <c r="I551" s="7" t="s">
        <v>13</v>
      </c>
      <c r="J551" s="7" t="s">
        <v>1664</v>
      </c>
      <c r="K551" s="7" t="s">
        <v>1665</v>
      </c>
      <c r="L551" s="7" t="s">
        <v>5785</v>
      </c>
      <c r="M551" s="7">
        <v>1</v>
      </c>
      <c r="N551" s="7">
        <v>0</v>
      </c>
      <c r="O551" s="9" t="s">
        <v>5044</v>
      </c>
      <c r="P551" s="7">
        <v>0</v>
      </c>
      <c r="Q551" s="7">
        <v>0</v>
      </c>
      <c r="R551" s="7">
        <v>0</v>
      </c>
      <c r="S551" s="7" t="s">
        <v>5696</v>
      </c>
      <c r="T551" s="7">
        <v>2</v>
      </c>
      <c r="U551" s="7">
        <v>360</v>
      </c>
      <c r="V551" s="7">
        <v>0</v>
      </c>
      <c r="W551" s="7">
        <v>1</v>
      </c>
      <c r="X551" s="7">
        <v>0</v>
      </c>
      <c r="Y551" s="7">
        <v>0</v>
      </c>
      <c r="Z551" s="7">
        <v>0</v>
      </c>
      <c r="AA551" s="7">
        <v>0</v>
      </c>
      <c r="AB551" s="7">
        <v>1</v>
      </c>
      <c r="AC551" s="7" t="s">
        <v>5044</v>
      </c>
      <c r="AD551" s="7" t="s">
        <v>5044</v>
      </c>
      <c r="AE551" s="7" t="s">
        <v>5044</v>
      </c>
      <c r="AF551" s="7" t="s">
        <v>5044</v>
      </c>
      <c r="AG551" s="7" t="s">
        <v>5044</v>
      </c>
      <c r="AH551" s="7" t="s">
        <v>5044</v>
      </c>
      <c r="AI551" s="7" t="s">
        <v>5044</v>
      </c>
      <c r="AJ551" s="7" t="s">
        <v>5044</v>
      </c>
      <c r="AK551" s="7" t="s">
        <v>5318</v>
      </c>
      <c r="AL551" s="7" t="s">
        <v>5044</v>
      </c>
      <c r="AM551" s="7">
        <v>0</v>
      </c>
    </row>
    <row r="552" spans="1:40" ht="63" customHeight="1" x14ac:dyDescent="0.2">
      <c r="A552" s="7">
        <v>5488</v>
      </c>
      <c r="B552" s="7" t="s">
        <v>1666</v>
      </c>
      <c r="C552" s="7" t="s">
        <v>1667</v>
      </c>
      <c r="D552" s="7" t="s">
        <v>41</v>
      </c>
      <c r="F552" s="7" t="s">
        <v>1668</v>
      </c>
      <c r="G552" s="7" t="s">
        <v>144</v>
      </c>
      <c r="H552" s="7" t="s">
        <v>1669</v>
      </c>
      <c r="I552" s="7" t="s">
        <v>13</v>
      </c>
      <c r="J552" s="7" t="s">
        <v>1670</v>
      </c>
      <c r="K552" s="7" t="s">
        <v>1671</v>
      </c>
      <c r="L552" s="7" t="s">
        <v>5786</v>
      </c>
      <c r="M552" s="7">
        <v>0</v>
      </c>
      <c r="N552" s="7" t="s">
        <v>5044</v>
      </c>
      <c r="O552" s="7" t="s">
        <v>5044</v>
      </c>
      <c r="P552" s="7">
        <v>0</v>
      </c>
      <c r="Q552" s="7">
        <v>0</v>
      </c>
      <c r="R552" s="7">
        <v>0</v>
      </c>
      <c r="S552" s="7">
        <v>10</v>
      </c>
      <c r="T552" s="7">
        <v>1</v>
      </c>
      <c r="U552" s="7">
        <v>60</v>
      </c>
      <c r="V552" s="7">
        <v>0</v>
      </c>
      <c r="W552" s="7">
        <v>1</v>
      </c>
      <c r="X552" s="7">
        <v>0</v>
      </c>
      <c r="Y552" s="7">
        <v>0</v>
      </c>
      <c r="Z552" s="7">
        <v>0</v>
      </c>
      <c r="AA552" s="7">
        <v>0</v>
      </c>
      <c r="AB552" s="7">
        <v>1</v>
      </c>
      <c r="AC552" s="7">
        <v>1</v>
      </c>
      <c r="AD552" s="7" t="s">
        <v>5044</v>
      </c>
      <c r="AE552" s="7" t="s">
        <v>5044</v>
      </c>
      <c r="AF552" s="7" t="s">
        <v>5044</v>
      </c>
      <c r="AG552" s="7">
        <v>2</v>
      </c>
      <c r="AH552" s="7">
        <v>1</v>
      </c>
      <c r="AI552" s="7">
        <v>2</v>
      </c>
      <c r="AJ552" s="7" t="s">
        <v>5044</v>
      </c>
      <c r="AK552" s="7" t="s">
        <v>5318</v>
      </c>
      <c r="AL552" s="7">
        <v>1</v>
      </c>
      <c r="AM552" s="7">
        <v>0</v>
      </c>
      <c r="AN552" s="7" t="s">
        <v>5318</v>
      </c>
    </row>
    <row r="553" spans="1:40" ht="63" customHeight="1" x14ac:dyDescent="0.2">
      <c r="A553" s="7">
        <v>5496</v>
      </c>
      <c r="B553" s="7" t="s">
        <v>1672</v>
      </c>
      <c r="C553" s="7" t="s">
        <v>1673</v>
      </c>
      <c r="D553" s="7" t="s">
        <v>41</v>
      </c>
      <c r="F553" s="7" t="s">
        <v>65</v>
      </c>
      <c r="G553" s="7" t="s">
        <v>52</v>
      </c>
      <c r="H553" s="7" t="s">
        <v>53</v>
      </c>
      <c r="I553" s="7" t="s">
        <v>13</v>
      </c>
      <c r="J553" s="7" t="s">
        <v>1674</v>
      </c>
      <c r="K553" s="7" t="s">
        <v>1675</v>
      </c>
      <c r="L553" s="7" t="s">
        <v>5787</v>
      </c>
      <c r="M553" s="7">
        <v>1</v>
      </c>
      <c r="N553" s="7">
        <v>0</v>
      </c>
      <c r="O553" s="7" t="s">
        <v>5044</v>
      </c>
      <c r="P553" s="7">
        <v>0</v>
      </c>
      <c r="Q553" s="7">
        <v>0</v>
      </c>
      <c r="R553" s="7">
        <v>0</v>
      </c>
      <c r="S553" s="7">
        <v>1</v>
      </c>
      <c r="T553" s="7">
        <v>1</v>
      </c>
      <c r="U553" s="7">
        <v>288</v>
      </c>
      <c r="V553" s="7">
        <v>0</v>
      </c>
      <c r="W553" s="7">
        <v>1</v>
      </c>
      <c r="X553" s="7">
        <v>0</v>
      </c>
      <c r="Y553" s="7">
        <v>0</v>
      </c>
      <c r="Z553" s="7">
        <v>0</v>
      </c>
      <c r="AA553" s="7">
        <v>0</v>
      </c>
      <c r="AB553" s="7">
        <v>1</v>
      </c>
      <c r="AC553" s="7" t="s">
        <v>5044</v>
      </c>
      <c r="AD553" s="7" t="s">
        <v>5044</v>
      </c>
      <c r="AE553" s="7" t="s">
        <v>5044</v>
      </c>
      <c r="AF553" s="7" t="s">
        <v>5044</v>
      </c>
      <c r="AG553" s="7" t="s">
        <v>5044</v>
      </c>
      <c r="AH553" s="7" t="s">
        <v>5044</v>
      </c>
      <c r="AI553" s="7" t="s">
        <v>5044</v>
      </c>
      <c r="AJ553" s="7" t="s">
        <v>5044</v>
      </c>
      <c r="AK553" s="7" t="s">
        <v>5318</v>
      </c>
      <c r="AL553" s="7" t="s">
        <v>5044</v>
      </c>
      <c r="AM553" s="7">
        <v>0</v>
      </c>
      <c r="AN553" s="7" t="s">
        <v>5318</v>
      </c>
    </row>
    <row r="554" spans="1:40" ht="63" customHeight="1" x14ac:dyDescent="0.2">
      <c r="A554" s="7">
        <v>5514</v>
      </c>
      <c r="B554" s="7" t="s">
        <v>1676</v>
      </c>
      <c r="C554" s="7" t="s">
        <v>1677</v>
      </c>
      <c r="D554" s="7" t="s">
        <v>30</v>
      </c>
      <c r="F554" s="7" t="s">
        <v>1678</v>
      </c>
      <c r="G554" s="7" t="s">
        <v>11</v>
      </c>
      <c r="H554" s="7" t="s">
        <v>730</v>
      </c>
      <c r="I554" s="7" t="s">
        <v>13</v>
      </c>
      <c r="J554" s="7" t="s">
        <v>1679</v>
      </c>
      <c r="K554" s="7" t="s">
        <v>1680</v>
      </c>
      <c r="L554" s="7" t="s">
        <v>5788</v>
      </c>
      <c r="M554" s="7">
        <v>0</v>
      </c>
      <c r="N554" s="7" t="s">
        <v>5044</v>
      </c>
      <c r="O554" s="7" t="s">
        <v>5044</v>
      </c>
      <c r="P554" s="7">
        <v>0</v>
      </c>
      <c r="Q554" s="7">
        <v>0</v>
      </c>
      <c r="R554" s="7">
        <v>0</v>
      </c>
      <c r="S554" s="7">
        <v>3</v>
      </c>
      <c r="T554" s="7">
        <v>2</v>
      </c>
      <c r="U554" s="7">
        <v>78</v>
      </c>
      <c r="V554" s="7">
        <v>0</v>
      </c>
      <c r="W554" s="7">
        <v>1</v>
      </c>
      <c r="X554" s="7">
        <v>0</v>
      </c>
      <c r="Y554" s="7">
        <v>0</v>
      </c>
      <c r="Z554" s="7">
        <v>0</v>
      </c>
      <c r="AA554" s="7">
        <v>0</v>
      </c>
      <c r="AB554" s="7">
        <v>1</v>
      </c>
      <c r="AC554" s="7">
        <v>0</v>
      </c>
      <c r="AD554" s="7" t="s">
        <v>5044</v>
      </c>
      <c r="AE554" s="7" t="s">
        <v>5044</v>
      </c>
      <c r="AF554" s="7" t="s">
        <v>5044</v>
      </c>
      <c r="AG554" s="7">
        <v>0</v>
      </c>
      <c r="AH554" s="7" t="s">
        <v>5044</v>
      </c>
      <c r="AI554" s="7" t="s">
        <v>5044</v>
      </c>
      <c r="AJ554" s="7" t="s">
        <v>5044</v>
      </c>
      <c r="AL554" s="7">
        <v>1</v>
      </c>
      <c r="AM554" s="7">
        <v>0</v>
      </c>
      <c r="AN554" s="7" t="s">
        <v>5318</v>
      </c>
    </row>
    <row r="555" spans="1:40" ht="63" customHeight="1" x14ac:dyDescent="0.2">
      <c r="A555" s="7">
        <v>5551</v>
      </c>
      <c r="B555" s="7" t="s">
        <v>1681</v>
      </c>
      <c r="C555" s="7" t="s">
        <v>1682</v>
      </c>
      <c r="D555" s="7" t="s">
        <v>41</v>
      </c>
      <c r="F555" s="7" t="s">
        <v>18</v>
      </c>
      <c r="G555" s="7" t="s">
        <v>52</v>
      </c>
      <c r="H555" s="7" t="s">
        <v>1683</v>
      </c>
      <c r="I555" s="7" t="s">
        <v>13</v>
      </c>
      <c r="J555" s="7" t="s">
        <v>1684</v>
      </c>
      <c r="K555" s="7" t="s">
        <v>1685</v>
      </c>
      <c r="L555" s="7" t="s">
        <v>5789</v>
      </c>
      <c r="M555" s="7">
        <v>0</v>
      </c>
      <c r="N555" s="7" t="s">
        <v>5044</v>
      </c>
      <c r="O555" s="7" t="s">
        <v>5044</v>
      </c>
      <c r="P555" s="7">
        <v>0</v>
      </c>
      <c r="Q555" s="7">
        <v>0</v>
      </c>
      <c r="R555" s="7">
        <v>0</v>
      </c>
      <c r="S555" s="7">
        <v>1</v>
      </c>
      <c r="T555" s="7">
        <v>1</v>
      </c>
      <c r="U555" s="7">
        <v>492</v>
      </c>
      <c r="V555" s="7">
        <v>0</v>
      </c>
      <c r="W555" s="7">
        <v>1</v>
      </c>
      <c r="X555" s="7">
        <v>0</v>
      </c>
      <c r="Y555" s="7">
        <v>0</v>
      </c>
      <c r="Z555" s="7">
        <v>0</v>
      </c>
      <c r="AA555" s="7">
        <v>0</v>
      </c>
      <c r="AB555" s="7">
        <v>1</v>
      </c>
      <c r="AC555" s="7">
        <v>1</v>
      </c>
      <c r="AD555" s="7" t="s">
        <v>5044</v>
      </c>
      <c r="AE555" s="7" t="s">
        <v>5044</v>
      </c>
      <c r="AF555" s="7" t="s">
        <v>5044</v>
      </c>
      <c r="AG555" s="7">
        <v>2</v>
      </c>
      <c r="AH555" s="7">
        <v>3</v>
      </c>
      <c r="AI555" s="7">
        <v>0</v>
      </c>
      <c r="AJ555" s="7" t="s">
        <v>5044</v>
      </c>
      <c r="AL555" s="7">
        <v>0</v>
      </c>
      <c r="AM555" s="7">
        <v>0</v>
      </c>
      <c r="AN555" s="7" t="s">
        <v>5318</v>
      </c>
    </row>
    <row r="556" spans="1:40" ht="63" customHeight="1" x14ac:dyDescent="0.2">
      <c r="A556" s="7">
        <v>5559</v>
      </c>
      <c r="B556" s="7" t="s">
        <v>1686</v>
      </c>
      <c r="C556" s="7" t="s">
        <v>1687</v>
      </c>
      <c r="D556" s="7" t="s">
        <v>16</v>
      </c>
      <c r="F556" s="7" t="s">
        <v>17</v>
      </c>
      <c r="G556" s="7" t="s">
        <v>27</v>
      </c>
      <c r="H556" s="7" t="s">
        <v>19</v>
      </c>
      <c r="I556" s="7" t="s">
        <v>13</v>
      </c>
      <c r="J556" s="7" t="s">
        <v>1688</v>
      </c>
      <c r="K556" s="7" t="s">
        <v>1689</v>
      </c>
      <c r="L556" s="7" t="s">
        <v>5790</v>
      </c>
      <c r="M556" s="7">
        <v>1</v>
      </c>
      <c r="N556" s="7">
        <v>0</v>
      </c>
      <c r="O556" s="7" t="s">
        <v>5044</v>
      </c>
      <c r="P556" s="7">
        <v>0</v>
      </c>
      <c r="Q556" s="7">
        <v>0</v>
      </c>
      <c r="R556" s="7">
        <v>0</v>
      </c>
      <c r="S556" s="7" t="s">
        <v>5488</v>
      </c>
      <c r="T556" s="7">
        <v>2</v>
      </c>
      <c r="U556" s="7">
        <v>750</v>
      </c>
      <c r="V556" s="7">
        <v>1</v>
      </c>
      <c r="W556" s="7">
        <v>0</v>
      </c>
      <c r="X556" s="7">
        <v>0</v>
      </c>
      <c r="Y556" s="7">
        <v>0</v>
      </c>
      <c r="Z556" s="7">
        <v>0</v>
      </c>
      <c r="AA556" s="7">
        <v>0</v>
      </c>
      <c r="AB556" s="7">
        <v>1</v>
      </c>
      <c r="AC556" s="7" t="s">
        <v>5044</v>
      </c>
      <c r="AD556" s="7" t="s">
        <v>5044</v>
      </c>
      <c r="AE556" s="7" t="s">
        <v>5044</v>
      </c>
      <c r="AF556" s="7" t="s">
        <v>5044</v>
      </c>
      <c r="AG556" s="7" t="s">
        <v>5044</v>
      </c>
      <c r="AH556" s="7" t="s">
        <v>5044</v>
      </c>
      <c r="AI556" s="7" t="s">
        <v>5044</v>
      </c>
      <c r="AJ556" s="7" t="s">
        <v>5044</v>
      </c>
      <c r="AK556" s="7" t="s">
        <v>5318</v>
      </c>
      <c r="AL556" s="7" t="s">
        <v>5044</v>
      </c>
      <c r="AM556" s="7">
        <v>0</v>
      </c>
      <c r="AN556" s="7" t="s">
        <v>5318</v>
      </c>
    </row>
    <row r="557" spans="1:40" ht="63" customHeight="1" x14ac:dyDescent="0.2">
      <c r="A557" s="7">
        <v>5613</v>
      </c>
      <c r="B557" s="7" t="s">
        <v>1690</v>
      </c>
      <c r="C557" s="7" t="s">
        <v>1691</v>
      </c>
      <c r="D557" s="7" t="s">
        <v>101</v>
      </c>
      <c r="F557" s="7" t="s">
        <v>859</v>
      </c>
      <c r="G557" s="7" t="s">
        <v>32</v>
      </c>
      <c r="H557" s="7" t="s">
        <v>390</v>
      </c>
      <c r="I557" s="7" t="s">
        <v>13</v>
      </c>
      <c r="J557" s="7" t="s">
        <v>1692</v>
      </c>
      <c r="K557" s="7" t="s">
        <v>1693</v>
      </c>
      <c r="L557" s="7" t="s">
        <v>5791</v>
      </c>
      <c r="M557" s="7">
        <v>0</v>
      </c>
      <c r="N557" s="7" t="s">
        <v>5044</v>
      </c>
      <c r="O557" s="7" t="s">
        <v>5044</v>
      </c>
      <c r="P557" s="7">
        <v>0</v>
      </c>
      <c r="Q557" s="7">
        <v>0</v>
      </c>
      <c r="R557" s="7">
        <v>0</v>
      </c>
      <c r="S557" s="7">
        <v>5</v>
      </c>
      <c r="T557" s="7">
        <v>2</v>
      </c>
      <c r="U557" s="7">
        <v>204</v>
      </c>
      <c r="V557" s="7">
        <v>0</v>
      </c>
      <c r="W557" s="7">
        <v>1</v>
      </c>
      <c r="X557" s="7">
        <v>0</v>
      </c>
      <c r="Y557" s="7">
        <v>0</v>
      </c>
      <c r="Z557" s="7">
        <v>0</v>
      </c>
      <c r="AA557" s="7">
        <v>0</v>
      </c>
      <c r="AB557" s="7">
        <v>1</v>
      </c>
      <c r="AC557" s="7">
        <v>0</v>
      </c>
      <c r="AD557" s="7" t="s">
        <v>5044</v>
      </c>
      <c r="AE557" s="7" t="s">
        <v>5044</v>
      </c>
      <c r="AF557" s="7" t="s">
        <v>5044</v>
      </c>
      <c r="AG557" s="7">
        <v>0</v>
      </c>
      <c r="AH557" s="7" t="s">
        <v>5044</v>
      </c>
      <c r="AI557" s="7" t="s">
        <v>5044</v>
      </c>
      <c r="AJ557" s="7" t="s">
        <v>5044</v>
      </c>
      <c r="AK557" s="7" t="s">
        <v>5318</v>
      </c>
      <c r="AL557" s="7">
        <v>0</v>
      </c>
      <c r="AM557" s="7">
        <v>0</v>
      </c>
      <c r="AN557" s="7" t="s">
        <v>5318</v>
      </c>
    </row>
    <row r="558" spans="1:40" ht="63" customHeight="1" x14ac:dyDescent="0.2">
      <c r="A558" s="7">
        <v>5618</v>
      </c>
      <c r="B558" s="7" t="s">
        <v>1694</v>
      </c>
      <c r="C558" s="7" t="s">
        <v>1695</v>
      </c>
      <c r="D558" s="7" t="s">
        <v>95</v>
      </c>
      <c r="F558" s="7" t="s">
        <v>175</v>
      </c>
      <c r="G558" s="7" t="s">
        <v>52</v>
      </c>
      <c r="H558" s="7" t="s">
        <v>183</v>
      </c>
      <c r="I558" s="7" t="s">
        <v>13</v>
      </c>
      <c r="J558" s="7" t="s">
        <v>1696</v>
      </c>
      <c r="K558" s="7" t="s">
        <v>1697</v>
      </c>
      <c r="L558" s="7" t="s">
        <v>5792</v>
      </c>
      <c r="M558" s="7">
        <v>0</v>
      </c>
      <c r="N558" s="7" t="s">
        <v>5044</v>
      </c>
      <c r="O558" s="7" t="s">
        <v>5044</v>
      </c>
      <c r="P558" s="7">
        <v>0</v>
      </c>
      <c r="Q558" s="7">
        <v>0</v>
      </c>
      <c r="R558" s="7">
        <v>0</v>
      </c>
      <c r="S558" s="7">
        <v>5</v>
      </c>
      <c r="T558" s="7">
        <v>1</v>
      </c>
      <c r="U558" s="7">
        <v>93</v>
      </c>
      <c r="V558" s="7">
        <v>0</v>
      </c>
      <c r="W558" s="7">
        <v>1</v>
      </c>
      <c r="X558" s="7">
        <v>0</v>
      </c>
      <c r="Y558" s="7">
        <v>0</v>
      </c>
      <c r="Z558" s="7">
        <v>0</v>
      </c>
      <c r="AA558" s="7">
        <v>0</v>
      </c>
      <c r="AB558" s="7">
        <v>1</v>
      </c>
      <c r="AC558" s="7">
        <v>0</v>
      </c>
      <c r="AD558" s="7" t="s">
        <v>5044</v>
      </c>
      <c r="AE558" s="7" t="s">
        <v>5044</v>
      </c>
      <c r="AF558" s="7" t="s">
        <v>5044</v>
      </c>
      <c r="AG558" s="7">
        <v>0</v>
      </c>
      <c r="AH558" s="7" t="s">
        <v>5044</v>
      </c>
      <c r="AI558" s="7" t="s">
        <v>5044</v>
      </c>
      <c r="AJ558" s="7" t="s">
        <v>5044</v>
      </c>
      <c r="AK558" s="7" t="s">
        <v>5318</v>
      </c>
      <c r="AL558" s="7" t="s">
        <v>5044</v>
      </c>
      <c r="AM558" s="7">
        <v>0</v>
      </c>
    </row>
    <row r="559" spans="1:40" ht="63" customHeight="1" x14ac:dyDescent="0.2">
      <c r="A559" s="7">
        <v>5630</v>
      </c>
      <c r="B559" s="7" t="s">
        <v>1698</v>
      </c>
      <c r="C559" s="7" t="s">
        <v>1699</v>
      </c>
      <c r="D559" s="7" t="s">
        <v>16</v>
      </c>
      <c r="F559" s="7" t="s">
        <v>1700</v>
      </c>
      <c r="G559" s="7" t="s">
        <v>18</v>
      </c>
      <c r="H559" s="7" t="s">
        <v>596</v>
      </c>
      <c r="I559" s="7" t="s">
        <v>13</v>
      </c>
      <c r="J559" s="7" t="s">
        <v>1701</v>
      </c>
      <c r="K559" s="7" t="s">
        <v>1702</v>
      </c>
      <c r="L559" s="7" t="s">
        <v>5793</v>
      </c>
      <c r="M559" s="7">
        <v>0</v>
      </c>
      <c r="N559" s="7" t="s">
        <v>5044</v>
      </c>
      <c r="O559" s="7" t="s">
        <v>5044</v>
      </c>
      <c r="P559" s="7">
        <v>0</v>
      </c>
      <c r="Q559" s="7">
        <v>0</v>
      </c>
      <c r="R559" s="7">
        <v>0</v>
      </c>
      <c r="S559" s="7">
        <v>1</v>
      </c>
      <c r="T559" s="7">
        <v>4</v>
      </c>
      <c r="U559" s="7">
        <v>87</v>
      </c>
      <c r="V559" s="7">
        <v>0</v>
      </c>
      <c r="W559" s="7">
        <v>1</v>
      </c>
      <c r="X559" s="7">
        <v>0</v>
      </c>
      <c r="Y559" s="7">
        <v>0</v>
      </c>
      <c r="Z559" s="7">
        <v>0</v>
      </c>
      <c r="AA559" s="7">
        <v>0</v>
      </c>
      <c r="AB559" s="7">
        <v>1</v>
      </c>
      <c r="AC559" s="7">
        <v>1</v>
      </c>
      <c r="AD559" s="7" t="s">
        <v>5044</v>
      </c>
      <c r="AE559" s="7" t="s">
        <v>5044</v>
      </c>
      <c r="AF559" s="7" t="s">
        <v>5044</v>
      </c>
      <c r="AG559" s="7">
        <v>2</v>
      </c>
      <c r="AH559" s="7">
        <v>1</v>
      </c>
      <c r="AI559" s="7">
        <v>2</v>
      </c>
      <c r="AJ559" s="7" t="s">
        <v>5044</v>
      </c>
      <c r="AK559" s="7" t="s">
        <v>5794</v>
      </c>
      <c r="AL559" s="7">
        <v>0</v>
      </c>
      <c r="AM559" s="7">
        <v>0</v>
      </c>
      <c r="AN559" s="7" t="s">
        <v>5318</v>
      </c>
    </row>
    <row r="560" spans="1:40" ht="63" customHeight="1" x14ac:dyDescent="0.2">
      <c r="A560" s="7">
        <v>5639</v>
      </c>
      <c r="B560" s="7" t="s">
        <v>1703</v>
      </c>
      <c r="C560" s="7" t="s">
        <v>1704</v>
      </c>
      <c r="D560" s="7" t="s">
        <v>25</v>
      </c>
      <c r="F560" s="7" t="s">
        <v>470</v>
      </c>
      <c r="G560" s="7" t="s">
        <v>175</v>
      </c>
      <c r="H560" s="7" t="s">
        <v>251</v>
      </c>
      <c r="I560" s="7" t="s">
        <v>13</v>
      </c>
      <c r="J560" s="7" t="s">
        <v>1705</v>
      </c>
      <c r="K560" s="7" t="s">
        <v>1706</v>
      </c>
      <c r="L560" s="7" t="s">
        <v>5795</v>
      </c>
      <c r="M560" s="7">
        <v>0</v>
      </c>
      <c r="N560" s="7" t="s">
        <v>5044</v>
      </c>
      <c r="O560" s="7" t="s">
        <v>5044</v>
      </c>
      <c r="P560" s="7">
        <v>0</v>
      </c>
      <c r="Q560" s="7">
        <v>0</v>
      </c>
      <c r="R560" s="7">
        <v>0</v>
      </c>
      <c r="S560" s="7">
        <v>1</v>
      </c>
      <c r="T560" s="7">
        <v>4</v>
      </c>
      <c r="U560" s="7">
        <v>106</v>
      </c>
      <c r="V560" s="7">
        <v>0</v>
      </c>
      <c r="W560" s="7">
        <v>1</v>
      </c>
      <c r="X560" s="7">
        <v>0</v>
      </c>
      <c r="Y560" s="7">
        <v>0</v>
      </c>
      <c r="Z560" s="7">
        <v>0</v>
      </c>
      <c r="AA560" s="7">
        <v>0</v>
      </c>
      <c r="AB560" s="7">
        <v>1</v>
      </c>
      <c r="AC560" s="7">
        <v>1</v>
      </c>
      <c r="AD560" s="7" t="s">
        <v>5044</v>
      </c>
      <c r="AE560" s="7" t="s">
        <v>5044</v>
      </c>
      <c r="AF560" s="7" t="s">
        <v>5044</v>
      </c>
      <c r="AG560" s="7">
        <v>2</v>
      </c>
      <c r="AH560" s="7">
        <v>1</v>
      </c>
      <c r="AI560" s="7">
        <v>2</v>
      </c>
      <c r="AJ560" s="7" t="s">
        <v>5044</v>
      </c>
      <c r="AK560" s="7" t="s">
        <v>5318</v>
      </c>
      <c r="AL560" s="7">
        <v>0</v>
      </c>
      <c r="AM560" s="7">
        <v>0</v>
      </c>
    </row>
    <row r="561" spans="1:40" ht="63" customHeight="1" x14ac:dyDescent="0.2">
      <c r="A561" s="7">
        <v>5663</v>
      </c>
      <c r="B561" s="7" t="s">
        <v>1707</v>
      </c>
      <c r="C561" s="7" t="s">
        <v>1708</v>
      </c>
      <c r="D561" s="7" t="s">
        <v>149</v>
      </c>
      <c r="F561" s="7" t="s">
        <v>80</v>
      </c>
      <c r="G561" s="7" t="s">
        <v>11</v>
      </c>
      <c r="H561" s="7" t="s">
        <v>38</v>
      </c>
      <c r="I561" s="7" t="s">
        <v>13</v>
      </c>
      <c r="J561" s="7" t="s">
        <v>1709</v>
      </c>
      <c r="K561" s="7" t="s">
        <v>1710</v>
      </c>
      <c r="L561" s="7" t="s">
        <v>5796</v>
      </c>
      <c r="M561" s="7">
        <v>0</v>
      </c>
      <c r="N561" s="7" t="s">
        <v>5044</v>
      </c>
      <c r="O561" s="7" t="s">
        <v>5044</v>
      </c>
      <c r="P561" s="7">
        <v>0</v>
      </c>
      <c r="Q561" s="7">
        <v>0</v>
      </c>
      <c r="R561" s="7">
        <v>0</v>
      </c>
      <c r="S561" s="7">
        <v>1</v>
      </c>
      <c r="T561" s="7">
        <v>4</v>
      </c>
      <c r="U561" s="7">
        <v>100</v>
      </c>
      <c r="V561" s="7">
        <v>0</v>
      </c>
      <c r="W561" s="7">
        <v>1</v>
      </c>
      <c r="X561" s="7">
        <v>0</v>
      </c>
      <c r="Y561" s="7">
        <v>0</v>
      </c>
      <c r="Z561" s="7">
        <v>0</v>
      </c>
      <c r="AA561" s="7">
        <v>0</v>
      </c>
      <c r="AB561" s="7">
        <v>1</v>
      </c>
      <c r="AC561" s="7">
        <v>1</v>
      </c>
      <c r="AD561" s="7" t="s">
        <v>5044</v>
      </c>
      <c r="AE561" s="7" t="s">
        <v>5044</v>
      </c>
      <c r="AF561" s="7" t="s">
        <v>5044</v>
      </c>
      <c r="AG561" s="7">
        <v>0</v>
      </c>
      <c r="AH561" s="7" t="s">
        <v>5044</v>
      </c>
      <c r="AI561" s="7" t="s">
        <v>5044</v>
      </c>
      <c r="AJ561" s="7" t="s">
        <v>5044</v>
      </c>
      <c r="AK561" s="7" t="s">
        <v>5318</v>
      </c>
      <c r="AL561" s="7">
        <v>0</v>
      </c>
      <c r="AM561" s="7">
        <v>0</v>
      </c>
      <c r="AN561" s="7" t="s">
        <v>5318</v>
      </c>
    </row>
    <row r="562" spans="1:40" ht="63" customHeight="1" x14ac:dyDescent="0.2">
      <c r="A562" s="7">
        <v>5683</v>
      </c>
      <c r="B562" s="7" t="s">
        <v>1711</v>
      </c>
      <c r="C562" s="7" t="s">
        <v>1712</v>
      </c>
      <c r="D562" s="7" t="s">
        <v>101</v>
      </c>
      <c r="F562" s="7" t="s">
        <v>197</v>
      </c>
      <c r="G562" s="7" t="s">
        <v>32</v>
      </c>
      <c r="H562" s="7" t="s">
        <v>160</v>
      </c>
      <c r="I562" s="7" t="s">
        <v>13</v>
      </c>
      <c r="J562" s="7" t="s">
        <v>1713</v>
      </c>
      <c r="K562" s="7" t="s">
        <v>1714</v>
      </c>
      <c r="L562" s="7" t="s">
        <v>5797</v>
      </c>
      <c r="M562" s="7">
        <v>0</v>
      </c>
      <c r="N562" s="7" t="s">
        <v>5044</v>
      </c>
      <c r="O562" s="7" t="s">
        <v>5044</v>
      </c>
      <c r="P562" s="7">
        <v>0</v>
      </c>
      <c r="Q562" s="7">
        <v>0</v>
      </c>
      <c r="R562" s="7">
        <v>0</v>
      </c>
      <c r="S562" s="7">
        <v>1</v>
      </c>
      <c r="T562" s="7">
        <v>2</v>
      </c>
      <c r="U562" s="7">
        <v>100</v>
      </c>
      <c r="V562" s="7">
        <v>0</v>
      </c>
      <c r="W562" s="7">
        <v>1</v>
      </c>
      <c r="X562" s="7">
        <v>0</v>
      </c>
      <c r="Y562" s="7">
        <v>0</v>
      </c>
      <c r="Z562" s="7">
        <v>1</v>
      </c>
      <c r="AA562" s="7">
        <v>0</v>
      </c>
      <c r="AB562" s="7">
        <v>1</v>
      </c>
      <c r="AC562" s="7">
        <v>1</v>
      </c>
      <c r="AD562" s="7" t="s">
        <v>5044</v>
      </c>
      <c r="AE562" s="7" t="s">
        <v>5044</v>
      </c>
      <c r="AF562" s="7" t="s">
        <v>5044</v>
      </c>
      <c r="AG562" s="7">
        <v>0</v>
      </c>
      <c r="AH562" s="7" t="s">
        <v>5044</v>
      </c>
      <c r="AI562" s="7" t="s">
        <v>5044</v>
      </c>
      <c r="AJ562" s="7">
        <v>1</v>
      </c>
      <c r="AK562" s="7" t="s">
        <v>6497</v>
      </c>
      <c r="AL562" s="7">
        <v>0</v>
      </c>
      <c r="AM562" s="7">
        <v>0</v>
      </c>
    </row>
    <row r="563" spans="1:40" ht="63" customHeight="1" x14ac:dyDescent="0.2">
      <c r="A563" s="7">
        <v>5689</v>
      </c>
      <c r="B563" s="7" t="s">
        <v>1723</v>
      </c>
      <c r="C563" s="7" t="s">
        <v>1724</v>
      </c>
      <c r="D563" s="7" t="s">
        <v>16</v>
      </c>
      <c r="F563" s="7" t="s">
        <v>1725</v>
      </c>
      <c r="G563" s="7" t="s">
        <v>11</v>
      </c>
      <c r="H563" s="7" t="s">
        <v>730</v>
      </c>
      <c r="I563" s="7" t="s">
        <v>13</v>
      </c>
      <c r="J563" s="7" t="s">
        <v>1726</v>
      </c>
      <c r="K563" s="7" t="s">
        <v>1727</v>
      </c>
      <c r="L563" s="7" t="s">
        <v>5798</v>
      </c>
      <c r="M563" s="7">
        <v>0</v>
      </c>
      <c r="N563" s="7" t="s">
        <v>5044</v>
      </c>
      <c r="O563" s="7" t="s">
        <v>5044</v>
      </c>
      <c r="P563" s="7">
        <v>0</v>
      </c>
      <c r="Q563" s="7">
        <v>0</v>
      </c>
      <c r="R563" s="7">
        <v>0</v>
      </c>
      <c r="S563" s="7">
        <v>3</v>
      </c>
      <c r="T563" s="7">
        <v>1</v>
      </c>
      <c r="U563" s="7">
        <v>116</v>
      </c>
      <c r="V563" s="7">
        <v>0</v>
      </c>
      <c r="W563" s="7">
        <v>1</v>
      </c>
      <c r="X563" s="7">
        <v>0</v>
      </c>
      <c r="Y563" s="7">
        <v>0</v>
      </c>
      <c r="Z563" s="7">
        <v>0</v>
      </c>
      <c r="AA563" s="7">
        <v>0</v>
      </c>
      <c r="AB563" s="7">
        <v>1</v>
      </c>
      <c r="AC563" s="7">
        <v>1</v>
      </c>
      <c r="AD563" s="7" t="s">
        <v>5044</v>
      </c>
      <c r="AE563" s="7" t="s">
        <v>5044</v>
      </c>
      <c r="AF563" s="7" t="s">
        <v>5044</v>
      </c>
      <c r="AG563" s="7">
        <v>2</v>
      </c>
      <c r="AH563" s="7">
        <v>2</v>
      </c>
      <c r="AI563" s="7">
        <v>2</v>
      </c>
      <c r="AJ563" s="7" t="s">
        <v>5044</v>
      </c>
      <c r="AK563" s="7" t="s">
        <v>5318</v>
      </c>
      <c r="AL563" s="7">
        <v>1</v>
      </c>
      <c r="AM563" s="7">
        <v>0</v>
      </c>
      <c r="AN563" s="7" t="s">
        <v>5318</v>
      </c>
    </row>
    <row r="564" spans="1:40" ht="63" customHeight="1" x14ac:dyDescent="0.2">
      <c r="A564" s="7">
        <v>5718</v>
      </c>
      <c r="B564" s="7" t="s">
        <v>1728</v>
      </c>
      <c r="C564" s="7" t="s">
        <v>1729</v>
      </c>
      <c r="D564" s="7" t="s">
        <v>56</v>
      </c>
      <c r="F564" s="7" t="s">
        <v>1730</v>
      </c>
      <c r="G564" s="7" t="s">
        <v>92</v>
      </c>
      <c r="H564" s="7" t="s">
        <v>1731</v>
      </c>
      <c r="I564" s="7" t="s">
        <v>13</v>
      </c>
      <c r="J564" s="7" t="s">
        <v>1732</v>
      </c>
      <c r="K564" s="7" t="s">
        <v>1733</v>
      </c>
      <c r="L564" s="7" t="s">
        <v>5799</v>
      </c>
      <c r="M564" s="7">
        <v>0</v>
      </c>
      <c r="N564" s="7" t="s">
        <v>5044</v>
      </c>
      <c r="O564" s="7" t="s">
        <v>5044</v>
      </c>
      <c r="P564" s="7">
        <v>0</v>
      </c>
      <c r="Q564" s="7">
        <v>0</v>
      </c>
      <c r="R564" s="7">
        <v>0</v>
      </c>
      <c r="S564" s="7">
        <v>4</v>
      </c>
      <c r="T564" s="7">
        <v>1</v>
      </c>
      <c r="U564" s="7">
        <v>10</v>
      </c>
      <c r="V564" s="7">
        <v>0</v>
      </c>
      <c r="W564" s="7">
        <v>1</v>
      </c>
      <c r="X564" s="7">
        <v>0</v>
      </c>
      <c r="Y564" s="7">
        <v>0</v>
      </c>
      <c r="Z564" s="7">
        <v>0</v>
      </c>
      <c r="AA564" s="7">
        <v>0</v>
      </c>
      <c r="AB564" s="7">
        <v>1</v>
      </c>
      <c r="AC564" s="7">
        <v>1</v>
      </c>
      <c r="AD564" s="7" t="s">
        <v>5044</v>
      </c>
      <c r="AE564" s="7" t="s">
        <v>5044</v>
      </c>
      <c r="AF564" s="7" t="s">
        <v>5044</v>
      </c>
      <c r="AG564" s="7">
        <v>1</v>
      </c>
      <c r="AH564" s="7">
        <v>0</v>
      </c>
      <c r="AI564" s="7">
        <v>0</v>
      </c>
      <c r="AJ564" s="7" t="s">
        <v>5044</v>
      </c>
      <c r="AK564" s="7" t="s">
        <v>5318</v>
      </c>
      <c r="AL564" s="7">
        <v>0</v>
      </c>
      <c r="AM564" s="7">
        <v>0</v>
      </c>
      <c r="AN564" s="7" t="s">
        <v>5318</v>
      </c>
    </row>
    <row r="565" spans="1:40" ht="63" customHeight="1" x14ac:dyDescent="0.2">
      <c r="A565" s="7">
        <v>5738</v>
      </c>
      <c r="B565" s="7" t="s">
        <v>1734</v>
      </c>
      <c r="C565" s="7" t="s">
        <v>1735</v>
      </c>
      <c r="D565" s="7" t="s">
        <v>30</v>
      </c>
      <c r="F565" s="7" t="s">
        <v>293</v>
      </c>
      <c r="G565" s="7" t="s">
        <v>27</v>
      </c>
      <c r="H565" s="7" t="s">
        <v>427</v>
      </c>
      <c r="I565" s="7" t="s">
        <v>437</v>
      </c>
      <c r="J565" s="7" t="s">
        <v>1736</v>
      </c>
      <c r="K565" s="7" t="s">
        <v>1737</v>
      </c>
      <c r="L565" s="11" t="s">
        <v>5044</v>
      </c>
      <c r="M565" s="7">
        <v>0</v>
      </c>
      <c r="N565" s="7" t="s">
        <v>5044</v>
      </c>
      <c r="O565" s="7" t="s">
        <v>5044</v>
      </c>
      <c r="P565" s="7">
        <v>0</v>
      </c>
      <c r="Q565" s="7">
        <v>0</v>
      </c>
      <c r="R565" s="7">
        <v>0</v>
      </c>
      <c r="S565" s="7">
        <v>1</v>
      </c>
      <c r="T565" s="7">
        <v>5</v>
      </c>
      <c r="U565" s="7">
        <v>57</v>
      </c>
      <c r="V565" s="7">
        <v>0</v>
      </c>
      <c r="W565" s="7">
        <v>1</v>
      </c>
      <c r="X565" s="7">
        <v>0</v>
      </c>
      <c r="Y565" s="7">
        <v>0</v>
      </c>
      <c r="Z565" s="7">
        <v>0</v>
      </c>
      <c r="AA565" s="7">
        <v>0</v>
      </c>
      <c r="AB565" s="7">
        <v>1</v>
      </c>
      <c r="AC565" s="7">
        <v>1</v>
      </c>
      <c r="AD565" s="7" t="s">
        <v>5044</v>
      </c>
      <c r="AE565" s="7" t="s">
        <v>5044</v>
      </c>
      <c r="AF565" s="7" t="s">
        <v>5044</v>
      </c>
      <c r="AG565" s="7">
        <v>1</v>
      </c>
      <c r="AH565" s="7">
        <v>0</v>
      </c>
      <c r="AI565" s="7">
        <v>0</v>
      </c>
      <c r="AJ565" s="7" t="s">
        <v>5044</v>
      </c>
      <c r="AK565" s="7" t="s">
        <v>5318</v>
      </c>
      <c r="AL565" s="7">
        <v>0</v>
      </c>
      <c r="AM565" s="7">
        <v>0</v>
      </c>
      <c r="AN565" s="7" t="s">
        <v>5318</v>
      </c>
    </row>
    <row r="566" spans="1:40" ht="63" customHeight="1" x14ac:dyDescent="0.2">
      <c r="A566" s="7">
        <v>5748</v>
      </c>
      <c r="B566" s="7" t="s">
        <v>1738</v>
      </c>
      <c r="C566" s="7" t="s">
        <v>1739</v>
      </c>
      <c r="D566" s="7" t="s">
        <v>101</v>
      </c>
      <c r="F566" s="7" t="s">
        <v>65</v>
      </c>
      <c r="G566" s="7" t="s">
        <v>27</v>
      </c>
      <c r="H566" s="7" t="s">
        <v>427</v>
      </c>
      <c r="I566" s="7" t="s">
        <v>13</v>
      </c>
      <c r="J566" s="7" t="s">
        <v>1740</v>
      </c>
      <c r="K566" s="7" t="s">
        <v>1741</v>
      </c>
      <c r="L566" s="11" t="s">
        <v>5044</v>
      </c>
      <c r="M566" s="7">
        <v>0</v>
      </c>
      <c r="N566" s="7" t="s">
        <v>5044</v>
      </c>
      <c r="O566" s="7" t="s">
        <v>5044</v>
      </c>
      <c r="P566" s="7">
        <v>1</v>
      </c>
      <c r="Q566" s="7">
        <v>0</v>
      </c>
      <c r="R566" s="7">
        <v>0</v>
      </c>
      <c r="S566" s="7">
        <v>1</v>
      </c>
      <c r="T566" s="7">
        <v>1</v>
      </c>
      <c r="U566" s="7">
        <v>60</v>
      </c>
      <c r="V566" s="7">
        <v>0</v>
      </c>
      <c r="W566" s="7">
        <v>1</v>
      </c>
      <c r="X566" s="7">
        <v>0</v>
      </c>
      <c r="Y566" s="7">
        <v>0</v>
      </c>
      <c r="Z566" s="7">
        <v>0</v>
      </c>
      <c r="AA566" s="7">
        <v>0</v>
      </c>
      <c r="AB566" s="7">
        <v>1</v>
      </c>
      <c r="AC566" s="7">
        <v>1</v>
      </c>
      <c r="AD566" s="7" t="s">
        <v>5044</v>
      </c>
      <c r="AE566" s="7" t="s">
        <v>5044</v>
      </c>
      <c r="AF566" s="7" t="s">
        <v>5044</v>
      </c>
      <c r="AG566" s="7">
        <v>2</v>
      </c>
      <c r="AH566" s="7">
        <v>3</v>
      </c>
      <c r="AI566" s="7">
        <v>0</v>
      </c>
      <c r="AJ566" s="7" t="s">
        <v>5044</v>
      </c>
      <c r="AK566" s="7">
        <v>1</v>
      </c>
      <c r="AL566" s="7">
        <v>1</v>
      </c>
      <c r="AM566" s="7">
        <v>0</v>
      </c>
      <c r="AN566" s="7" t="s">
        <v>5318</v>
      </c>
    </row>
    <row r="567" spans="1:40" ht="63" customHeight="1" x14ac:dyDescent="0.2">
      <c r="A567" s="7">
        <v>5752</v>
      </c>
      <c r="B567" s="7" t="s">
        <v>1742</v>
      </c>
      <c r="C567" s="7" t="s">
        <v>1743</v>
      </c>
      <c r="D567" s="7" t="s">
        <v>41</v>
      </c>
      <c r="F567" s="7" t="s">
        <v>163</v>
      </c>
      <c r="G567" s="7" t="s">
        <v>32</v>
      </c>
      <c r="H567" s="7" t="s">
        <v>911</v>
      </c>
      <c r="I567" s="7" t="s">
        <v>13</v>
      </c>
      <c r="J567" s="7" t="s">
        <v>1744</v>
      </c>
      <c r="K567" s="7" t="s">
        <v>1745</v>
      </c>
      <c r="L567" s="7" t="s">
        <v>5800</v>
      </c>
      <c r="M567" s="7">
        <v>0</v>
      </c>
      <c r="N567" s="7" t="s">
        <v>5044</v>
      </c>
      <c r="O567" s="7" t="s">
        <v>5044</v>
      </c>
      <c r="P567" s="7">
        <v>0</v>
      </c>
      <c r="Q567" s="7">
        <v>0</v>
      </c>
      <c r="R567" s="7">
        <v>0</v>
      </c>
      <c r="S567" s="7">
        <v>1</v>
      </c>
      <c r="T567" s="7">
        <v>1</v>
      </c>
      <c r="U567" s="7">
        <v>340</v>
      </c>
      <c r="V567" s="7">
        <v>0</v>
      </c>
      <c r="W567" s="7">
        <v>1</v>
      </c>
      <c r="X567" s="7">
        <v>0</v>
      </c>
      <c r="Y567" s="7">
        <v>0</v>
      </c>
      <c r="Z567" s="7">
        <v>0</v>
      </c>
      <c r="AA567" s="7">
        <v>0</v>
      </c>
      <c r="AB567" s="7">
        <v>1</v>
      </c>
      <c r="AC567" s="7">
        <v>1</v>
      </c>
      <c r="AD567" s="7" t="s">
        <v>5044</v>
      </c>
      <c r="AE567" s="7" t="s">
        <v>5044</v>
      </c>
      <c r="AF567" s="7" t="s">
        <v>5044</v>
      </c>
      <c r="AG567" s="7">
        <v>2</v>
      </c>
      <c r="AH567" s="7">
        <v>2</v>
      </c>
      <c r="AI567" s="7">
        <v>2</v>
      </c>
      <c r="AJ567" s="7" t="s">
        <v>5044</v>
      </c>
      <c r="AK567" s="7" t="s">
        <v>5801</v>
      </c>
      <c r="AL567" s="7">
        <v>0</v>
      </c>
      <c r="AM567" s="7">
        <v>0</v>
      </c>
      <c r="AN567" s="7" t="s">
        <v>5318</v>
      </c>
    </row>
    <row r="568" spans="1:40" ht="63" customHeight="1" x14ac:dyDescent="0.2">
      <c r="A568" s="7">
        <v>5753</v>
      </c>
      <c r="B568" s="7" t="s">
        <v>1746</v>
      </c>
      <c r="C568" s="7" t="s">
        <v>1747</v>
      </c>
      <c r="D568" s="7" t="s">
        <v>74</v>
      </c>
      <c r="F568" s="7" t="s">
        <v>254</v>
      </c>
      <c r="G568" s="7" t="s">
        <v>52</v>
      </c>
      <c r="H568" s="7" t="s">
        <v>53</v>
      </c>
      <c r="I568" s="7" t="s">
        <v>13</v>
      </c>
      <c r="J568" s="7" t="s">
        <v>1748</v>
      </c>
      <c r="K568" s="7" t="s">
        <v>1749</v>
      </c>
      <c r="L568" s="7" t="s">
        <v>5802</v>
      </c>
      <c r="M568" s="7">
        <v>1</v>
      </c>
      <c r="N568" s="7">
        <v>0</v>
      </c>
      <c r="O568" s="7" t="s">
        <v>5044</v>
      </c>
      <c r="P568" s="7">
        <v>0</v>
      </c>
      <c r="Q568" s="7">
        <v>0</v>
      </c>
      <c r="R568" s="7">
        <v>0</v>
      </c>
      <c r="S568" s="7">
        <v>1</v>
      </c>
      <c r="T568" s="7">
        <v>1</v>
      </c>
      <c r="U568" s="7">
        <v>440</v>
      </c>
      <c r="V568" s="7">
        <v>0</v>
      </c>
      <c r="W568" s="7">
        <v>1</v>
      </c>
      <c r="X568" s="7">
        <v>0</v>
      </c>
      <c r="Y568" s="7">
        <v>0</v>
      </c>
      <c r="Z568" s="7">
        <v>1</v>
      </c>
      <c r="AA568" s="7">
        <v>0</v>
      </c>
      <c r="AB568" s="7">
        <v>1</v>
      </c>
      <c r="AC568" s="7" t="s">
        <v>5044</v>
      </c>
      <c r="AD568" s="7" t="s">
        <v>5044</v>
      </c>
      <c r="AE568" s="7" t="s">
        <v>5044</v>
      </c>
      <c r="AF568" s="7" t="s">
        <v>5044</v>
      </c>
      <c r="AG568" s="7" t="s">
        <v>5044</v>
      </c>
      <c r="AH568" s="7" t="s">
        <v>5044</v>
      </c>
      <c r="AI568" s="7" t="s">
        <v>5044</v>
      </c>
      <c r="AJ568" s="7" t="s">
        <v>5044</v>
      </c>
      <c r="AK568" s="7" t="s">
        <v>5318</v>
      </c>
      <c r="AL568" s="7" t="s">
        <v>5044</v>
      </c>
      <c r="AM568" s="7">
        <v>0</v>
      </c>
      <c r="AN568" s="7" t="s">
        <v>5318</v>
      </c>
    </row>
    <row r="569" spans="1:40" ht="63" customHeight="1" x14ac:dyDescent="0.2">
      <c r="A569" s="7">
        <v>5754</v>
      </c>
      <c r="B569" s="7" t="s">
        <v>1750</v>
      </c>
      <c r="C569" s="7" t="s">
        <v>1751</v>
      </c>
      <c r="D569" s="7" t="s">
        <v>101</v>
      </c>
      <c r="F569" s="7" t="s">
        <v>932</v>
      </c>
      <c r="G569" s="7" t="s">
        <v>175</v>
      </c>
      <c r="H569" s="7" t="s">
        <v>38</v>
      </c>
      <c r="I569" s="7" t="s">
        <v>13</v>
      </c>
      <c r="J569" s="7" t="s">
        <v>1752</v>
      </c>
      <c r="K569" s="7" t="s">
        <v>1753</v>
      </c>
      <c r="L569" s="7" t="s">
        <v>5803</v>
      </c>
      <c r="M569" s="7">
        <v>0</v>
      </c>
      <c r="N569" s="7" t="s">
        <v>5044</v>
      </c>
      <c r="O569" s="7" t="s">
        <v>5044</v>
      </c>
      <c r="P569" s="7">
        <v>1</v>
      </c>
      <c r="Q569" s="7">
        <v>0</v>
      </c>
      <c r="R569" s="7">
        <v>0</v>
      </c>
      <c r="S569" s="7">
        <v>1</v>
      </c>
      <c r="T569" s="7">
        <v>2</v>
      </c>
      <c r="U569" s="7">
        <v>62</v>
      </c>
      <c r="V569" s="7">
        <v>0</v>
      </c>
      <c r="W569" s="7">
        <v>1</v>
      </c>
      <c r="X569" s="7">
        <v>0</v>
      </c>
      <c r="Y569" s="7">
        <v>0</v>
      </c>
      <c r="Z569" s="7">
        <v>1</v>
      </c>
      <c r="AA569" s="7">
        <v>0</v>
      </c>
      <c r="AB569" s="7">
        <v>1</v>
      </c>
      <c r="AC569" s="7">
        <v>1</v>
      </c>
      <c r="AD569" s="7" t="s">
        <v>5044</v>
      </c>
      <c r="AE569" s="7" t="s">
        <v>5044</v>
      </c>
      <c r="AF569" s="7" t="s">
        <v>5044</v>
      </c>
      <c r="AG569" s="7">
        <v>2</v>
      </c>
      <c r="AH569" s="7">
        <v>2</v>
      </c>
      <c r="AI569" s="7">
        <v>2</v>
      </c>
      <c r="AJ569" s="7">
        <v>0</v>
      </c>
      <c r="AK569" s="7" t="s">
        <v>5318</v>
      </c>
      <c r="AL569" s="7" t="s">
        <v>5044</v>
      </c>
      <c r="AM569" s="7">
        <v>0</v>
      </c>
      <c r="AN569" s="7" t="s">
        <v>2539</v>
      </c>
    </row>
    <row r="570" spans="1:40" ht="63" customHeight="1" x14ac:dyDescent="0.2">
      <c r="A570" s="7">
        <v>5781</v>
      </c>
      <c r="B570" s="7" t="s">
        <v>1754</v>
      </c>
      <c r="C570" s="7" t="s">
        <v>1755</v>
      </c>
      <c r="D570" s="7" t="s">
        <v>46</v>
      </c>
      <c r="F570" s="7" t="s">
        <v>1756</v>
      </c>
      <c r="G570" s="7" t="s">
        <v>32</v>
      </c>
      <c r="H570" s="7" t="s">
        <v>972</v>
      </c>
      <c r="I570" s="7" t="s">
        <v>13</v>
      </c>
      <c r="J570" s="7" t="s">
        <v>1757</v>
      </c>
      <c r="K570" s="7" t="s">
        <v>1758</v>
      </c>
      <c r="L570" s="7" t="s">
        <v>5724</v>
      </c>
      <c r="M570" s="7">
        <v>0</v>
      </c>
      <c r="N570" s="7" t="s">
        <v>5044</v>
      </c>
      <c r="O570" s="7" t="s">
        <v>5044</v>
      </c>
      <c r="P570" s="7">
        <v>0</v>
      </c>
      <c r="Q570" s="7">
        <v>0</v>
      </c>
      <c r="R570" s="7">
        <v>0</v>
      </c>
      <c r="S570" s="7">
        <v>1</v>
      </c>
      <c r="T570" s="7">
        <v>1</v>
      </c>
      <c r="U570" s="7">
        <v>207</v>
      </c>
      <c r="V570" s="7">
        <v>1</v>
      </c>
      <c r="W570" s="7">
        <v>0</v>
      </c>
      <c r="X570" s="7">
        <v>0</v>
      </c>
      <c r="Y570" s="7">
        <v>0</v>
      </c>
      <c r="Z570" s="7">
        <v>0</v>
      </c>
      <c r="AA570" s="7">
        <v>0</v>
      </c>
      <c r="AB570" s="7">
        <v>1</v>
      </c>
      <c r="AC570" s="7">
        <v>1</v>
      </c>
      <c r="AD570" s="7">
        <v>2</v>
      </c>
      <c r="AE570" s="7">
        <v>1</v>
      </c>
      <c r="AF570" s="7">
        <v>1</v>
      </c>
      <c r="AG570" s="7" t="s">
        <v>5044</v>
      </c>
      <c r="AH570" s="7" t="s">
        <v>5044</v>
      </c>
      <c r="AI570" s="7" t="s">
        <v>5044</v>
      </c>
      <c r="AJ570" s="7" t="s">
        <v>5044</v>
      </c>
      <c r="AK570" s="7" t="s">
        <v>5804</v>
      </c>
      <c r="AL570" s="7">
        <v>1</v>
      </c>
      <c r="AM570" s="7">
        <v>0</v>
      </c>
    </row>
    <row r="571" spans="1:40" ht="63" customHeight="1" x14ac:dyDescent="0.2">
      <c r="A571" s="7">
        <v>5840</v>
      </c>
      <c r="B571" s="7" t="s">
        <v>1759</v>
      </c>
      <c r="C571" s="7" t="s">
        <v>1760</v>
      </c>
      <c r="D571" s="7" t="s">
        <v>95</v>
      </c>
      <c r="F571" s="7" t="s">
        <v>791</v>
      </c>
      <c r="H571" s="7" t="s">
        <v>490</v>
      </c>
      <c r="I571" s="7" t="s">
        <v>13</v>
      </c>
      <c r="J571" s="7" t="s">
        <v>1761</v>
      </c>
      <c r="K571" s="7" t="s">
        <v>1762</v>
      </c>
      <c r="L571" s="7" t="s">
        <v>5805</v>
      </c>
      <c r="M571" s="7">
        <v>0</v>
      </c>
      <c r="N571" s="7" t="s">
        <v>5044</v>
      </c>
      <c r="O571" s="7" t="s">
        <v>5044</v>
      </c>
      <c r="P571" s="7">
        <v>0</v>
      </c>
      <c r="Q571" s="7">
        <v>0</v>
      </c>
      <c r="R571" s="7">
        <v>0</v>
      </c>
      <c r="S571" s="7">
        <v>3</v>
      </c>
      <c r="T571" s="7">
        <v>6</v>
      </c>
      <c r="U571" s="7">
        <v>224</v>
      </c>
      <c r="V571" s="7">
        <v>0</v>
      </c>
      <c r="W571" s="7">
        <v>1</v>
      </c>
      <c r="X571" s="7">
        <v>0</v>
      </c>
      <c r="Y571" s="7">
        <v>0</v>
      </c>
      <c r="Z571" s="7">
        <v>0</v>
      </c>
      <c r="AA571" s="7">
        <v>0</v>
      </c>
      <c r="AB571" s="7">
        <v>1</v>
      </c>
      <c r="AC571" s="7">
        <v>1</v>
      </c>
      <c r="AD571" s="7" t="s">
        <v>5044</v>
      </c>
      <c r="AE571" s="7" t="s">
        <v>5044</v>
      </c>
      <c r="AF571" s="7" t="s">
        <v>5044</v>
      </c>
      <c r="AG571" s="7">
        <v>2</v>
      </c>
      <c r="AH571" s="7">
        <v>3</v>
      </c>
      <c r="AI571" s="7">
        <v>0</v>
      </c>
      <c r="AJ571" s="7" t="s">
        <v>5044</v>
      </c>
      <c r="AK571" s="7" t="s">
        <v>5806</v>
      </c>
      <c r="AL571" s="7">
        <v>1</v>
      </c>
      <c r="AM571" s="7">
        <v>0</v>
      </c>
      <c r="AN571" s="7" t="s">
        <v>5318</v>
      </c>
    </row>
    <row r="572" spans="1:40" ht="63" customHeight="1" x14ac:dyDescent="0.2">
      <c r="A572" s="7">
        <v>5854</v>
      </c>
      <c r="B572" s="7" t="s">
        <v>1763</v>
      </c>
      <c r="C572" s="7" t="s">
        <v>1764</v>
      </c>
      <c r="D572" s="7" t="s">
        <v>16</v>
      </c>
      <c r="F572" s="7" t="s">
        <v>865</v>
      </c>
      <c r="G572" s="7" t="s">
        <v>92</v>
      </c>
      <c r="H572" s="7" t="s">
        <v>286</v>
      </c>
      <c r="I572" s="7" t="s">
        <v>13</v>
      </c>
      <c r="J572" s="7" t="s">
        <v>1765</v>
      </c>
      <c r="K572" s="7" t="s">
        <v>1766</v>
      </c>
      <c r="L572" s="7" t="s">
        <v>5807</v>
      </c>
      <c r="M572" s="7">
        <v>0</v>
      </c>
      <c r="N572" s="7" t="s">
        <v>5044</v>
      </c>
      <c r="O572" s="7" t="s">
        <v>5044</v>
      </c>
      <c r="P572" s="7">
        <v>0</v>
      </c>
      <c r="Q572" s="7">
        <v>0</v>
      </c>
      <c r="R572" s="7">
        <v>0</v>
      </c>
      <c r="S572" s="7">
        <v>11</v>
      </c>
      <c r="T572" s="7">
        <v>4</v>
      </c>
      <c r="U572" s="7">
        <v>70</v>
      </c>
      <c r="V572" s="7">
        <v>0</v>
      </c>
      <c r="W572" s="7">
        <v>1</v>
      </c>
      <c r="X572" s="7">
        <v>0</v>
      </c>
      <c r="Y572" s="7">
        <v>0</v>
      </c>
      <c r="Z572" s="7">
        <v>0</v>
      </c>
      <c r="AA572" s="7">
        <v>0</v>
      </c>
      <c r="AB572" s="7">
        <v>1</v>
      </c>
      <c r="AC572" s="7">
        <v>1</v>
      </c>
      <c r="AD572" s="7" t="s">
        <v>5044</v>
      </c>
      <c r="AE572" s="7" t="s">
        <v>5044</v>
      </c>
      <c r="AF572" s="7" t="s">
        <v>5044</v>
      </c>
      <c r="AG572" s="7">
        <v>2</v>
      </c>
      <c r="AH572" s="7">
        <v>1</v>
      </c>
      <c r="AI572" s="7">
        <v>1</v>
      </c>
      <c r="AJ572" s="7" t="s">
        <v>5044</v>
      </c>
      <c r="AK572" s="7" t="s">
        <v>5318</v>
      </c>
      <c r="AL572" s="7">
        <v>1</v>
      </c>
      <c r="AM572" s="7">
        <v>0</v>
      </c>
      <c r="AN572" s="7" t="s">
        <v>5318</v>
      </c>
    </row>
    <row r="573" spans="1:40" ht="63" customHeight="1" x14ac:dyDescent="0.2">
      <c r="A573" s="7">
        <v>5859</v>
      </c>
      <c r="B573" s="7" t="s">
        <v>1767</v>
      </c>
      <c r="C573" s="7" t="s">
        <v>1768</v>
      </c>
      <c r="D573" s="7" t="s">
        <v>46</v>
      </c>
      <c r="F573" s="7" t="s">
        <v>220</v>
      </c>
      <c r="G573" s="7" t="s">
        <v>52</v>
      </c>
      <c r="H573" s="7" t="s">
        <v>119</v>
      </c>
      <c r="I573" s="7" t="s">
        <v>13</v>
      </c>
      <c r="J573" s="7" t="s">
        <v>1769</v>
      </c>
      <c r="K573" s="7" t="s">
        <v>1770</v>
      </c>
      <c r="L573" s="7" t="s">
        <v>5808</v>
      </c>
      <c r="M573" s="7">
        <v>1</v>
      </c>
      <c r="N573" s="7">
        <v>0</v>
      </c>
      <c r="O573" s="7" t="s">
        <v>5044</v>
      </c>
      <c r="P573" s="7">
        <v>0</v>
      </c>
      <c r="Q573" s="7">
        <v>0</v>
      </c>
      <c r="R573" s="7">
        <v>0</v>
      </c>
      <c r="S573" s="7">
        <v>1</v>
      </c>
      <c r="T573" s="7">
        <v>1</v>
      </c>
      <c r="U573" s="7">
        <v>276</v>
      </c>
      <c r="V573" s="7">
        <v>1</v>
      </c>
      <c r="W573" s="7">
        <v>0</v>
      </c>
      <c r="X573" s="7">
        <v>0</v>
      </c>
      <c r="Y573" s="7">
        <v>0</v>
      </c>
      <c r="Z573" s="7">
        <v>0</v>
      </c>
      <c r="AA573" s="7">
        <v>0</v>
      </c>
      <c r="AB573" s="7">
        <v>1</v>
      </c>
      <c r="AC573" s="7" t="s">
        <v>5044</v>
      </c>
      <c r="AD573" s="7" t="s">
        <v>5044</v>
      </c>
      <c r="AE573" s="7" t="s">
        <v>5044</v>
      </c>
      <c r="AF573" s="7" t="s">
        <v>5044</v>
      </c>
      <c r="AG573" s="7" t="s">
        <v>5044</v>
      </c>
      <c r="AH573" s="7" t="s">
        <v>5044</v>
      </c>
      <c r="AI573" s="7" t="s">
        <v>5044</v>
      </c>
      <c r="AJ573" s="7" t="s">
        <v>5044</v>
      </c>
      <c r="AK573" s="7" t="s">
        <v>5318</v>
      </c>
      <c r="AL573" s="7" t="s">
        <v>5044</v>
      </c>
      <c r="AM573" s="7">
        <v>0</v>
      </c>
      <c r="AN573" s="7" t="s">
        <v>5318</v>
      </c>
    </row>
    <row r="574" spans="1:40" ht="63" customHeight="1" x14ac:dyDescent="0.2">
      <c r="A574" s="7">
        <v>5866</v>
      </c>
      <c r="B574" s="7" t="s">
        <v>1771</v>
      </c>
      <c r="C574" s="7" t="s">
        <v>1772</v>
      </c>
      <c r="D574" s="7" t="s">
        <v>35</v>
      </c>
      <c r="F574" s="7" t="s">
        <v>470</v>
      </c>
      <c r="G574" s="7" t="s">
        <v>32</v>
      </c>
      <c r="H574" s="7" t="s">
        <v>679</v>
      </c>
      <c r="I574" s="7" t="s">
        <v>13</v>
      </c>
      <c r="J574" s="7" t="s">
        <v>1773</v>
      </c>
      <c r="K574" s="7" t="s">
        <v>1774</v>
      </c>
      <c r="L574" s="7" t="s">
        <v>5809</v>
      </c>
      <c r="M574" s="7">
        <v>0</v>
      </c>
      <c r="N574" s="7" t="s">
        <v>5044</v>
      </c>
      <c r="O574" s="7" t="s">
        <v>5044</v>
      </c>
      <c r="P574" s="7">
        <v>0</v>
      </c>
      <c r="Q574" s="7">
        <v>0</v>
      </c>
      <c r="R574" s="7">
        <v>0</v>
      </c>
      <c r="S574" s="7">
        <v>3</v>
      </c>
      <c r="T574" s="7">
        <v>1</v>
      </c>
      <c r="U574" s="7">
        <v>295</v>
      </c>
      <c r="V574" s="7">
        <v>1</v>
      </c>
      <c r="W574" s="7">
        <v>0</v>
      </c>
      <c r="X574" s="7">
        <v>0</v>
      </c>
      <c r="Y574" s="7">
        <v>0</v>
      </c>
      <c r="Z574" s="7">
        <v>0</v>
      </c>
      <c r="AA574" s="7">
        <v>0</v>
      </c>
      <c r="AB574" s="7">
        <v>1</v>
      </c>
      <c r="AC574" s="7">
        <v>1</v>
      </c>
      <c r="AD574" s="7">
        <v>2</v>
      </c>
      <c r="AE574" s="7">
        <v>3</v>
      </c>
      <c r="AF574" s="7">
        <v>0</v>
      </c>
      <c r="AG574" s="7" t="s">
        <v>5044</v>
      </c>
      <c r="AH574" s="7" t="s">
        <v>5044</v>
      </c>
      <c r="AI574" s="7" t="s">
        <v>5044</v>
      </c>
      <c r="AJ574" s="7" t="s">
        <v>5044</v>
      </c>
      <c r="AK574" s="7" t="s">
        <v>5778</v>
      </c>
      <c r="AL574" s="7">
        <v>0</v>
      </c>
      <c r="AM574" s="7">
        <v>0</v>
      </c>
      <c r="AN574" s="7" t="s">
        <v>5318</v>
      </c>
    </row>
    <row r="575" spans="1:40" ht="63" customHeight="1" x14ac:dyDescent="0.2">
      <c r="A575" s="7">
        <v>5881</v>
      </c>
      <c r="B575" s="7" t="s">
        <v>1779</v>
      </c>
      <c r="C575" s="7" t="s">
        <v>1780</v>
      </c>
      <c r="D575" s="7" t="s">
        <v>95</v>
      </c>
      <c r="F575" s="7" t="s">
        <v>458</v>
      </c>
      <c r="G575" s="7" t="s">
        <v>18</v>
      </c>
      <c r="H575" s="7" t="s">
        <v>1781</v>
      </c>
      <c r="I575" s="7" t="s">
        <v>13</v>
      </c>
      <c r="J575" s="7" t="s">
        <v>1782</v>
      </c>
      <c r="L575" s="7" t="s">
        <v>6141</v>
      </c>
      <c r="M575" s="7">
        <v>0</v>
      </c>
      <c r="N575" s="7" t="s">
        <v>5044</v>
      </c>
      <c r="O575" s="7" t="s">
        <v>5044</v>
      </c>
      <c r="P575" s="7">
        <v>1</v>
      </c>
      <c r="Q575" s="7">
        <v>0</v>
      </c>
      <c r="R575" s="7">
        <v>0</v>
      </c>
      <c r="S575" s="7">
        <v>1</v>
      </c>
      <c r="T575" s="7">
        <v>6</v>
      </c>
      <c r="U575" s="7">
        <v>59</v>
      </c>
      <c r="V575" s="7">
        <v>0</v>
      </c>
      <c r="W575" s="7">
        <v>1</v>
      </c>
      <c r="X575" s="7">
        <v>0</v>
      </c>
      <c r="Y575" s="7">
        <v>0</v>
      </c>
      <c r="Z575" s="7">
        <v>0</v>
      </c>
      <c r="AA575" s="7">
        <v>0</v>
      </c>
      <c r="AB575" s="7">
        <v>0</v>
      </c>
      <c r="AC575" s="7">
        <v>1</v>
      </c>
      <c r="AD575" s="7" t="s">
        <v>5044</v>
      </c>
      <c r="AE575" s="7" t="s">
        <v>5044</v>
      </c>
      <c r="AF575" s="7" t="s">
        <v>5044</v>
      </c>
      <c r="AG575" s="7">
        <v>1</v>
      </c>
      <c r="AH575" s="7">
        <v>0</v>
      </c>
      <c r="AI575" s="7">
        <v>0</v>
      </c>
      <c r="AJ575" s="7" t="s">
        <v>5044</v>
      </c>
      <c r="AK575" s="7" t="s">
        <v>5318</v>
      </c>
      <c r="AL575" s="7" t="s">
        <v>5044</v>
      </c>
      <c r="AM575" s="7">
        <v>0</v>
      </c>
    </row>
    <row r="576" spans="1:40" ht="63" customHeight="1" x14ac:dyDescent="0.2">
      <c r="A576" s="7">
        <v>5895</v>
      </c>
      <c r="B576" s="7" t="s">
        <v>1783</v>
      </c>
      <c r="C576" s="7" t="s">
        <v>1784</v>
      </c>
      <c r="D576" s="7" t="s">
        <v>16</v>
      </c>
      <c r="F576" s="7" t="s">
        <v>37</v>
      </c>
      <c r="G576" s="7" t="s">
        <v>52</v>
      </c>
      <c r="H576" s="7" t="s">
        <v>396</v>
      </c>
      <c r="I576" s="7" t="s">
        <v>13</v>
      </c>
      <c r="J576" s="7" t="s">
        <v>1785</v>
      </c>
      <c r="K576" s="7" t="s">
        <v>1786</v>
      </c>
      <c r="L576" s="7" t="s">
        <v>5810</v>
      </c>
      <c r="M576" s="7">
        <v>1</v>
      </c>
      <c r="N576" s="7">
        <v>0</v>
      </c>
      <c r="O576" s="7" t="s">
        <v>5044</v>
      </c>
      <c r="P576" s="7">
        <v>0</v>
      </c>
      <c r="Q576" s="7">
        <v>0</v>
      </c>
      <c r="R576" s="7">
        <v>0</v>
      </c>
      <c r="S576" s="7">
        <v>1</v>
      </c>
      <c r="T576" s="7">
        <v>1</v>
      </c>
      <c r="U576" s="7">
        <v>244</v>
      </c>
      <c r="V576" s="7">
        <v>0</v>
      </c>
      <c r="W576" s="7">
        <v>1</v>
      </c>
      <c r="X576" s="7">
        <v>0</v>
      </c>
      <c r="Y576" s="7">
        <v>0</v>
      </c>
      <c r="Z576" s="7">
        <v>1</v>
      </c>
      <c r="AA576" s="7">
        <v>0</v>
      </c>
      <c r="AB576" s="7">
        <v>1</v>
      </c>
      <c r="AC576" s="7" t="s">
        <v>5044</v>
      </c>
      <c r="AD576" s="7" t="s">
        <v>5044</v>
      </c>
      <c r="AE576" s="7" t="s">
        <v>5044</v>
      </c>
      <c r="AF576" s="7" t="s">
        <v>5044</v>
      </c>
      <c r="AG576" s="7" t="s">
        <v>5044</v>
      </c>
      <c r="AH576" s="7" t="s">
        <v>5044</v>
      </c>
      <c r="AI576" s="7" t="s">
        <v>5044</v>
      </c>
      <c r="AJ576" s="7" t="s">
        <v>5044</v>
      </c>
      <c r="AK576" s="7" t="s">
        <v>5318</v>
      </c>
      <c r="AL576" s="7" t="s">
        <v>5044</v>
      </c>
      <c r="AM576" s="7">
        <v>0</v>
      </c>
      <c r="AN576" s="7" t="s">
        <v>5318</v>
      </c>
    </row>
    <row r="577" spans="1:40" ht="63" customHeight="1" x14ac:dyDescent="0.2">
      <c r="A577" s="7">
        <v>5917</v>
      </c>
      <c r="B577" s="7" t="s">
        <v>1791</v>
      </c>
      <c r="C577" s="7" t="s">
        <v>1792</v>
      </c>
      <c r="D577" s="7" t="s">
        <v>16</v>
      </c>
      <c r="F577" s="7" t="s">
        <v>65</v>
      </c>
      <c r="G577" s="7" t="s">
        <v>52</v>
      </c>
      <c r="H577" s="7" t="s">
        <v>119</v>
      </c>
      <c r="I577" s="7" t="s">
        <v>13</v>
      </c>
      <c r="J577" s="7" t="s">
        <v>1793</v>
      </c>
      <c r="K577" s="7" t="s">
        <v>1794</v>
      </c>
      <c r="L577" s="7" t="s">
        <v>5812</v>
      </c>
      <c r="M577" s="7">
        <v>1</v>
      </c>
      <c r="N577" s="7">
        <v>0</v>
      </c>
      <c r="O577" s="7" t="s">
        <v>5044</v>
      </c>
      <c r="P577" s="7">
        <v>0</v>
      </c>
      <c r="Q577" s="7">
        <v>0</v>
      </c>
      <c r="R577" s="7">
        <v>0</v>
      </c>
      <c r="S577" s="7">
        <v>1</v>
      </c>
      <c r="T577" s="7">
        <v>1</v>
      </c>
      <c r="U577" s="7">
        <v>1200</v>
      </c>
      <c r="V577" s="7">
        <v>1</v>
      </c>
      <c r="W577" s="7">
        <v>0</v>
      </c>
      <c r="X577" s="7">
        <v>0</v>
      </c>
      <c r="Y577" s="7">
        <v>0</v>
      </c>
      <c r="Z577" s="7">
        <v>0</v>
      </c>
      <c r="AA577" s="7">
        <v>0</v>
      </c>
      <c r="AB577" s="7">
        <v>1</v>
      </c>
      <c r="AC577" s="7" t="s">
        <v>5044</v>
      </c>
      <c r="AD577" s="7" t="s">
        <v>5044</v>
      </c>
      <c r="AE577" s="7" t="s">
        <v>5044</v>
      </c>
      <c r="AF577" s="7" t="s">
        <v>5044</v>
      </c>
      <c r="AG577" s="7" t="s">
        <v>5044</v>
      </c>
      <c r="AH577" s="7" t="s">
        <v>5044</v>
      </c>
      <c r="AI577" s="7" t="s">
        <v>5044</v>
      </c>
      <c r="AJ577" s="7" t="s">
        <v>5044</v>
      </c>
      <c r="AK577" s="7" t="s">
        <v>5318</v>
      </c>
      <c r="AL577" s="7" t="s">
        <v>5044</v>
      </c>
      <c r="AM577" s="7">
        <v>0</v>
      </c>
    </row>
    <row r="578" spans="1:40" ht="63" customHeight="1" x14ac:dyDescent="0.2">
      <c r="A578" s="7">
        <v>5924</v>
      </c>
      <c r="B578" s="7" t="s">
        <v>1795</v>
      </c>
      <c r="C578" s="7" t="s">
        <v>1796</v>
      </c>
      <c r="D578" s="7" t="s">
        <v>22</v>
      </c>
      <c r="F578" s="7" t="s">
        <v>1048</v>
      </c>
      <c r="G578" s="7" t="s">
        <v>11</v>
      </c>
      <c r="H578" s="7" t="s">
        <v>43</v>
      </c>
      <c r="I578" s="7" t="s">
        <v>13</v>
      </c>
      <c r="J578" s="7" t="s">
        <v>1797</v>
      </c>
      <c r="K578" s="7" t="s">
        <v>1798</v>
      </c>
      <c r="L578" s="7" t="s">
        <v>5813</v>
      </c>
      <c r="M578" s="7">
        <v>0</v>
      </c>
      <c r="N578" s="7" t="s">
        <v>5044</v>
      </c>
      <c r="O578" s="7" t="s">
        <v>5044</v>
      </c>
      <c r="P578" s="7">
        <v>0</v>
      </c>
      <c r="Q578" s="7">
        <v>0</v>
      </c>
      <c r="R578" s="7">
        <v>0</v>
      </c>
      <c r="S578" s="7">
        <v>1</v>
      </c>
      <c r="T578" s="7">
        <v>1</v>
      </c>
      <c r="U578" s="7">
        <v>128</v>
      </c>
      <c r="V578" s="7">
        <v>0</v>
      </c>
      <c r="W578" s="7">
        <v>1</v>
      </c>
      <c r="X578" s="7">
        <v>0</v>
      </c>
      <c r="Y578" s="7">
        <v>0</v>
      </c>
      <c r="Z578" s="7">
        <v>0</v>
      </c>
      <c r="AA578" s="7">
        <v>0</v>
      </c>
      <c r="AB578" s="7">
        <v>1</v>
      </c>
      <c r="AC578" s="7">
        <v>1</v>
      </c>
      <c r="AD578" s="7" t="s">
        <v>5044</v>
      </c>
      <c r="AE578" s="7" t="s">
        <v>5044</v>
      </c>
      <c r="AF578" s="7" t="s">
        <v>5044</v>
      </c>
      <c r="AG578" s="7">
        <v>1</v>
      </c>
      <c r="AH578" s="7">
        <v>0</v>
      </c>
      <c r="AI578" s="7">
        <v>0</v>
      </c>
      <c r="AJ578" s="7" t="s">
        <v>5044</v>
      </c>
      <c r="AK578" s="7" t="s">
        <v>5318</v>
      </c>
      <c r="AL578" s="7">
        <v>0</v>
      </c>
      <c r="AM578" s="7">
        <v>0</v>
      </c>
      <c r="AN578" s="7" t="s">
        <v>5318</v>
      </c>
    </row>
    <row r="579" spans="1:40" ht="63" customHeight="1" x14ac:dyDescent="0.2">
      <c r="A579" s="7">
        <v>5925</v>
      </c>
      <c r="B579" s="7" t="s">
        <v>1799</v>
      </c>
      <c r="C579" s="7" t="s">
        <v>1800</v>
      </c>
      <c r="D579" s="7" t="s">
        <v>95</v>
      </c>
      <c r="F579" s="7" t="s">
        <v>1801</v>
      </c>
      <c r="G579" s="7" t="s">
        <v>11</v>
      </c>
      <c r="H579" s="7" t="s">
        <v>43</v>
      </c>
      <c r="I579" s="7" t="s">
        <v>437</v>
      </c>
      <c r="J579" s="7" t="s">
        <v>1802</v>
      </c>
      <c r="K579" s="7" t="s">
        <v>1803</v>
      </c>
      <c r="L579" s="7" t="s">
        <v>5814</v>
      </c>
      <c r="M579" s="7">
        <v>0</v>
      </c>
      <c r="N579" s="7" t="s">
        <v>5044</v>
      </c>
      <c r="O579" s="7" t="s">
        <v>5044</v>
      </c>
      <c r="P579" s="7">
        <v>0</v>
      </c>
      <c r="Q579" s="7">
        <v>0</v>
      </c>
      <c r="R579" s="7">
        <v>0</v>
      </c>
      <c r="S579" s="7">
        <v>1</v>
      </c>
      <c r="T579" s="7">
        <v>1</v>
      </c>
      <c r="U579" s="7">
        <v>270</v>
      </c>
      <c r="V579" s="7">
        <v>1</v>
      </c>
      <c r="W579" s="7">
        <v>0</v>
      </c>
      <c r="X579" s="7">
        <v>0</v>
      </c>
      <c r="Y579" s="7">
        <v>0</v>
      </c>
      <c r="Z579" s="7">
        <v>0</v>
      </c>
      <c r="AA579" s="7">
        <v>0</v>
      </c>
      <c r="AB579" s="7">
        <v>1</v>
      </c>
      <c r="AC579" s="7">
        <v>1</v>
      </c>
      <c r="AD579" s="7">
        <v>1</v>
      </c>
      <c r="AE579" s="7">
        <v>0</v>
      </c>
      <c r="AF579" s="7">
        <v>0</v>
      </c>
      <c r="AG579" s="7" t="s">
        <v>5044</v>
      </c>
      <c r="AH579" s="7" t="s">
        <v>5044</v>
      </c>
      <c r="AI579" s="7" t="s">
        <v>5044</v>
      </c>
      <c r="AJ579" s="7" t="s">
        <v>5044</v>
      </c>
      <c r="AK579" s="7" t="s">
        <v>5318</v>
      </c>
      <c r="AL579" s="7">
        <v>0</v>
      </c>
      <c r="AM579" s="7">
        <v>0</v>
      </c>
      <c r="AN579" s="7" t="s">
        <v>5318</v>
      </c>
    </row>
    <row r="580" spans="1:40" ht="63" customHeight="1" x14ac:dyDescent="0.2">
      <c r="A580" s="7">
        <v>5954</v>
      </c>
      <c r="B580" s="7" t="s">
        <v>1804</v>
      </c>
      <c r="C580" s="7" t="s">
        <v>1805</v>
      </c>
      <c r="D580" s="7" t="s">
        <v>74</v>
      </c>
      <c r="F580" s="7" t="s">
        <v>118</v>
      </c>
      <c r="G580" s="7" t="s">
        <v>52</v>
      </c>
      <c r="H580" s="7" t="s">
        <v>840</v>
      </c>
      <c r="I580" s="7" t="s">
        <v>13</v>
      </c>
      <c r="J580" s="7" t="s">
        <v>1806</v>
      </c>
      <c r="K580" s="7" t="s">
        <v>1807</v>
      </c>
      <c r="L580" s="7" t="s">
        <v>5815</v>
      </c>
      <c r="M580" s="7">
        <v>1</v>
      </c>
      <c r="N580" s="7">
        <v>0</v>
      </c>
      <c r="O580" s="7" t="s">
        <v>5044</v>
      </c>
      <c r="P580" s="7">
        <v>0</v>
      </c>
      <c r="Q580" s="7">
        <v>0</v>
      </c>
      <c r="R580" s="7">
        <v>0</v>
      </c>
      <c r="S580" s="7" t="s">
        <v>7674</v>
      </c>
      <c r="T580" s="7">
        <v>1</v>
      </c>
      <c r="U580" s="7">
        <v>250</v>
      </c>
      <c r="V580" s="7">
        <v>0</v>
      </c>
      <c r="W580" s="7">
        <v>1</v>
      </c>
      <c r="X580" s="7">
        <v>0</v>
      </c>
      <c r="Y580" s="7">
        <v>0</v>
      </c>
      <c r="Z580" s="7">
        <v>0</v>
      </c>
      <c r="AA580" s="7">
        <v>0</v>
      </c>
      <c r="AB580" s="7">
        <v>1</v>
      </c>
      <c r="AC580" s="7" t="s">
        <v>5044</v>
      </c>
      <c r="AD580" s="7" t="s">
        <v>5044</v>
      </c>
      <c r="AE580" s="7" t="s">
        <v>5044</v>
      </c>
      <c r="AF580" s="7" t="s">
        <v>5044</v>
      </c>
      <c r="AG580" s="7" t="s">
        <v>5044</v>
      </c>
      <c r="AH580" s="7" t="s">
        <v>5044</v>
      </c>
      <c r="AI580" s="7" t="s">
        <v>5044</v>
      </c>
      <c r="AJ580" s="7" t="s">
        <v>5044</v>
      </c>
      <c r="AK580" s="7" t="s">
        <v>5318</v>
      </c>
      <c r="AL580" s="7" t="s">
        <v>5044</v>
      </c>
      <c r="AM580" s="7">
        <v>0</v>
      </c>
      <c r="AN580" s="7" t="s">
        <v>5318</v>
      </c>
    </row>
    <row r="581" spans="1:40" ht="63" customHeight="1" x14ac:dyDescent="0.2">
      <c r="A581" s="7">
        <v>5959</v>
      </c>
      <c r="B581" s="7" t="s">
        <v>1808</v>
      </c>
      <c r="C581" s="7" t="s">
        <v>1809</v>
      </c>
      <c r="D581" s="7" t="s">
        <v>16</v>
      </c>
      <c r="F581" s="7" t="s">
        <v>186</v>
      </c>
      <c r="G581" s="7" t="s">
        <v>52</v>
      </c>
      <c r="H581" s="7" t="s">
        <v>43</v>
      </c>
      <c r="I581" s="7" t="s">
        <v>13</v>
      </c>
      <c r="J581" s="7" t="s">
        <v>1810</v>
      </c>
      <c r="K581" s="7" t="s">
        <v>1811</v>
      </c>
      <c r="L581" s="7" t="s">
        <v>5816</v>
      </c>
      <c r="M581" s="7">
        <v>0</v>
      </c>
      <c r="N581" s="7" t="s">
        <v>5044</v>
      </c>
      <c r="O581" s="7" t="s">
        <v>5044</v>
      </c>
      <c r="P581" s="7">
        <v>0</v>
      </c>
      <c r="Q581" s="7">
        <v>0</v>
      </c>
      <c r="R581" s="7">
        <v>0</v>
      </c>
      <c r="S581" s="7">
        <v>1</v>
      </c>
      <c r="T581" s="7">
        <v>5</v>
      </c>
      <c r="U581" s="7">
        <v>56</v>
      </c>
      <c r="V581" s="7">
        <v>0</v>
      </c>
      <c r="W581" s="7">
        <v>1</v>
      </c>
      <c r="X581" s="7">
        <v>0</v>
      </c>
      <c r="Y581" s="7">
        <v>0</v>
      </c>
      <c r="Z581" s="7">
        <v>0</v>
      </c>
      <c r="AA581" s="7">
        <v>0</v>
      </c>
      <c r="AB581" s="7">
        <v>1</v>
      </c>
      <c r="AC581" s="7">
        <v>1</v>
      </c>
      <c r="AD581" s="7" t="s">
        <v>5044</v>
      </c>
      <c r="AE581" s="7" t="s">
        <v>5044</v>
      </c>
      <c r="AF581" s="7" t="s">
        <v>5044</v>
      </c>
      <c r="AG581" s="7">
        <v>1</v>
      </c>
      <c r="AH581" s="7">
        <v>0</v>
      </c>
      <c r="AI581" s="7">
        <v>0</v>
      </c>
      <c r="AJ581" s="7" t="s">
        <v>5044</v>
      </c>
      <c r="AK581" s="7" t="s">
        <v>5318</v>
      </c>
      <c r="AL581" s="7">
        <v>0</v>
      </c>
      <c r="AM581" s="7">
        <v>0</v>
      </c>
    </row>
    <row r="582" spans="1:40" ht="63" customHeight="1" x14ac:dyDescent="0.2">
      <c r="A582" s="7">
        <v>5981</v>
      </c>
      <c r="B582" s="7" t="s">
        <v>1812</v>
      </c>
      <c r="C582" s="7" t="s">
        <v>1813</v>
      </c>
      <c r="D582" s="7" t="s">
        <v>22</v>
      </c>
      <c r="F582" s="7" t="s">
        <v>299</v>
      </c>
      <c r="G582" s="7" t="s">
        <v>18</v>
      </c>
      <c r="H582" s="7" t="s">
        <v>1814</v>
      </c>
      <c r="I582" s="7" t="s">
        <v>13</v>
      </c>
      <c r="J582" s="7" t="s">
        <v>1815</v>
      </c>
      <c r="K582" s="7" t="s">
        <v>1816</v>
      </c>
      <c r="L582" s="11" t="s">
        <v>5044</v>
      </c>
      <c r="M582" s="7">
        <v>0</v>
      </c>
      <c r="N582" s="7" t="s">
        <v>5044</v>
      </c>
      <c r="O582" s="7" t="s">
        <v>5044</v>
      </c>
      <c r="P582" s="7">
        <v>0</v>
      </c>
      <c r="Q582" s="7">
        <v>0</v>
      </c>
      <c r="R582" s="7">
        <v>0</v>
      </c>
      <c r="S582" s="7">
        <v>1</v>
      </c>
      <c r="T582" s="7">
        <v>4</v>
      </c>
      <c r="U582" s="7">
        <v>144</v>
      </c>
      <c r="V582" s="7">
        <v>1</v>
      </c>
      <c r="W582" s="7">
        <v>0</v>
      </c>
      <c r="X582" s="7">
        <v>0</v>
      </c>
      <c r="Y582" s="7">
        <v>1</v>
      </c>
      <c r="Z582" s="7">
        <v>0</v>
      </c>
      <c r="AA582" s="7">
        <v>0</v>
      </c>
      <c r="AB582" s="7">
        <v>1</v>
      </c>
      <c r="AC582" s="7">
        <v>1</v>
      </c>
      <c r="AD582" s="7">
        <v>1</v>
      </c>
      <c r="AE582" s="7">
        <v>0</v>
      </c>
      <c r="AF582" s="7">
        <v>0</v>
      </c>
      <c r="AG582" s="7" t="s">
        <v>5044</v>
      </c>
      <c r="AH582" s="7" t="s">
        <v>5044</v>
      </c>
      <c r="AI582" s="7" t="s">
        <v>5044</v>
      </c>
      <c r="AJ582" s="7">
        <v>0</v>
      </c>
      <c r="AK582" s="7" t="s">
        <v>5318</v>
      </c>
      <c r="AL582" s="7">
        <v>1</v>
      </c>
      <c r="AM582" s="7">
        <v>0</v>
      </c>
      <c r="AN582" s="7" t="s">
        <v>5318</v>
      </c>
    </row>
    <row r="583" spans="1:40" ht="63" customHeight="1" x14ac:dyDescent="0.2">
      <c r="A583" s="7">
        <v>6008</v>
      </c>
      <c r="B583" s="7" t="s">
        <v>1817</v>
      </c>
      <c r="C583" s="7" t="s">
        <v>1818</v>
      </c>
      <c r="D583" s="7" t="s">
        <v>375</v>
      </c>
      <c r="F583" s="7" t="s">
        <v>1819</v>
      </c>
      <c r="G583" s="7" t="s">
        <v>11</v>
      </c>
      <c r="H583" s="7" t="s">
        <v>730</v>
      </c>
      <c r="I583" s="7" t="s">
        <v>13</v>
      </c>
      <c r="J583" s="7" t="s">
        <v>1820</v>
      </c>
      <c r="K583" s="7" t="s">
        <v>1821</v>
      </c>
      <c r="L583" s="11" t="s">
        <v>5044</v>
      </c>
      <c r="M583" s="7">
        <v>0</v>
      </c>
      <c r="N583" s="7" t="s">
        <v>5044</v>
      </c>
      <c r="O583" s="7" t="s">
        <v>5044</v>
      </c>
      <c r="P583" s="7">
        <v>0</v>
      </c>
      <c r="Q583" s="7">
        <v>0</v>
      </c>
      <c r="R583" s="7">
        <v>0</v>
      </c>
      <c r="S583" s="7">
        <v>3</v>
      </c>
      <c r="T583" s="7">
        <v>1</v>
      </c>
      <c r="U583" s="7">
        <v>60</v>
      </c>
      <c r="V583" s="7">
        <v>0</v>
      </c>
      <c r="W583" s="7">
        <v>1</v>
      </c>
      <c r="X583" s="7">
        <v>0</v>
      </c>
      <c r="Y583" s="7">
        <v>0</v>
      </c>
      <c r="Z583" s="7">
        <v>0</v>
      </c>
      <c r="AA583" s="7">
        <v>0</v>
      </c>
      <c r="AB583" s="7">
        <v>1</v>
      </c>
      <c r="AC583" s="7">
        <v>1</v>
      </c>
      <c r="AD583" s="7" t="s">
        <v>5044</v>
      </c>
      <c r="AE583" s="7" t="s">
        <v>5044</v>
      </c>
      <c r="AF583" s="7" t="s">
        <v>5044</v>
      </c>
      <c r="AG583" s="7">
        <v>2</v>
      </c>
      <c r="AH583" s="7">
        <v>3</v>
      </c>
      <c r="AI583" s="7">
        <v>0</v>
      </c>
      <c r="AJ583" s="7" t="s">
        <v>5044</v>
      </c>
      <c r="AK583" s="7" t="s">
        <v>6493</v>
      </c>
      <c r="AL583" s="7" t="s">
        <v>5044</v>
      </c>
      <c r="AM583" s="7">
        <v>0</v>
      </c>
    </row>
    <row r="584" spans="1:40" ht="63" customHeight="1" x14ac:dyDescent="0.2">
      <c r="A584" s="7">
        <v>6010</v>
      </c>
      <c r="B584" s="7" t="s">
        <v>1822</v>
      </c>
      <c r="C584" s="7" t="s">
        <v>1823</v>
      </c>
      <c r="D584" s="7" t="s">
        <v>149</v>
      </c>
      <c r="F584" s="7" t="s">
        <v>419</v>
      </c>
      <c r="G584" s="7" t="s">
        <v>11</v>
      </c>
      <c r="H584" s="7" t="s">
        <v>43</v>
      </c>
      <c r="I584" s="7" t="s">
        <v>13</v>
      </c>
      <c r="J584" s="7" t="s">
        <v>1824</v>
      </c>
      <c r="K584" s="7" t="s">
        <v>1825</v>
      </c>
      <c r="L584" s="7" t="s">
        <v>5817</v>
      </c>
      <c r="M584" s="7">
        <v>0</v>
      </c>
      <c r="N584" s="7" t="s">
        <v>5044</v>
      </c>
      <c r="O584" s="7" t="s">
        <v>5044</v>
      </c>
      <c r="P584" s="7">
        <v>0</v>
      </c>
      <c r="Q584" s="7">
        <v>0</v>
      </c>
      <c r="R584" s="7">
        <v>0</v>
      </c>
      <c r="S584" s="7">
        <v>1</v>
      </c>
      <c r="T584" s="7">
        <v>1</v>
      </c>
      <c r="U584" s="7">
        <v>110</v>
      </c>
      <c r="V584" s="7">
        <v>0</v>
      </c>
      <c r="W584" s="7">
        <v>1</v>
      </c>
      <c r="X584" s="7">
        <v>0</v>
      </c>
      <c r="Y584" s="7">
        <v>0</v>
      </c>
      <c r="Z584" s="7">
        <v>1</v>
      </c>
      <c r="AA584" s="7">
        <v>0</v>
      </c>
      <c r="AB584" s="7">
        <v>1</v>
      </c>
      <c r="AC584" s="7">
        <v>1</v>
      </c>
      <c r="AD584" s="7" t="s">
        <v>5044</v>
      </c>
      <c r="AE584" s="7" t="s">
        <v>5044</v>
      </c>
      <c r="AF584" s="7" t="s">
        <v>5044</v>
      </c>
      <c r="AG584" s="7">
        <v>2</v>
      </c>
      <c r="AH584" s="7">
        <v>3</v>
      </c>
      <c r="AI584" s="7">
        <v>0</v>
      </c>
      <c r="AJ584" s="7">
        <v>1</v>
      </c>
      <c r="AK584" s="14" t="s">
        <v>7664</v>
      </c>
      <c r="AL584" s="7">
        <v>1</v>
      </c>
      <c r="AM584" s="7">
        <v>0</v>
      </c>
    </row>
    <row r="585" spans="1:40" ht="63" customHeight="1" x14ac:dyDescent="0.2">
      <c r="A585" s="7">
        <v>6012</v>
      </c>
      <c r="B585" s="7" t="s">
        <v>1826</v>
      </c>
      <c r="C585" s="7" t="s">
        <v>1827</v>
      </c>
      <c r="D585" s="7" t="s">
        <v>1828</v>
      </c>
      <c r="F585" s="7" t="s">
        <v>234</v>
      </c>
      <c r="G585" s="7" t="s">
        <v>175</v>
      </c>
      <c r="H585" s="7" t="s">
        <v>1165</v>
      </c>
      <c r="I585" s="7" t="s">
        <v>13</v>
      </c>
      <c r="J585" s="7" t="s">
        <v>1829</v>
      </c>
      <c r="K585" s="7" t="s">
        <v>1830</v>
      </c>
      <c r="L585" s="11" t="s">
        <v>5044</v>
      </c>
      <c r="M585" s="7">
        <v>0</v>
      </c>
      <c r="N585" s="7" t="s">
        <v>5044</v>
      </c>
      <c r="O585" s="7" t="s">
        <v>5044</v>
      </c>
      <c r="P585" s="7">
        <v>0</v>
      </c>
      <c r="Q585" s="7">
        <v>0</v>
      </c>
      <c r="R585" s="7">
        <v>0</v>
      </c>
      <c r="S585" s="7">
        <v>1</v>
      </c>
      <c r="T585" s="7">
        <v>1</v>
      </c>
      <c r="U585" s="7">
        <v>47</v>
      </c>
      <c r="V585" s="7">
        <v>0</v>
      </c>
      <c r="W585" s="7">
        <v>1</v>
      </c>
      <c r="X585" s="7">
        <v>0</v>
      </c>
      <c r="Y585" s="7">
        <v>0</v>
      </c>
      <c r="Z585" s="7">
        <v>0</v>
      </c>
      <c r="AA585" s="7">
        <v>0</v>
      </c>
      <c r="AB585" s="7">
        <v>1</v>
      </c>
      <c r="AC585" s="7">
        <v>1</v>
      </c>
      <c r="AD585" s="7" t="s">
        <v>5044</v>
      </c>
      <c r="AE585" s="7" t="s">
        <v>5044</v>
      </c>
      <c r="AF585" s="7" t="s">
        <v>5044</v>
      </c>
      <c r="AG585" s="7">
        <v>2</v>
      </c>
      <c r="AH585" s="7">
        <v>3</v>
      </c>
      <c r="AI585" s="7">
        <v>0</v>
      </c>
      <c r="AJ585" s="7" t="s">
        <v>5044</v>
      </c>
      <c r="AK585" s="7" t="s">
        <v>5818</v>
      </c>
      <c r="AL585" s="7">
        <v>0</v>
      </c>
      <c r="AM585" s="7">
        <v>0</v>
      </c>
      <c r="AN585" s="7" t="s">
        <v>5318</v>
      </c>
    </row>
    <row r="586" spans="1:40" ht="63" customHeight="1" x14ac:dyDescent="0.2">
      <c r="A586" s="7">
        <v>6021</v>
      </c>
      <c r="B586" s="7" t="s">
        <v>1831</v>
      </c>
      <c r="C586" s="7" t="s">
        <v>1832</v>
      </c>
      <c r="D586" s="7" t="s">
        <v>16</v>
      </c>
      <c r="F586" s="7" t="s">
        <v>1042</v>
      </c>
      <c r="G586" s="7" t="s">
        <v>18</v>
      </c>
      <c r="H586" s="7" t="s">
        <v>1833</v>
      </c>
      <c r="I586" s="7" t="s">
        <v>13</v>
      </c>
      <c r="J586" s="7" t="s">
        <v>1834</v>
      </c>
      <c r="K586" s="7" t="s">
        <v>1835</v>
      </c>
      <c r="L586" s="7" t="s">
        <v>5819</v>
      </c>
      <c r="M586" s="7">
        <v>0</v>
      </c>
      <c r="N586" s="7" t="s">
        <v>5044</v>
      </c>
      <c r="O586" s="7" t="s">
        <v>5044</v>
      </c>
      <c r="P586" s="7">
        <v>0</v>
      </c>
      <c r="Q586" s="7">
        <v>0</v>
      </c>
      <c r="R586" s="7">
        <v>0</v>
      </c>
      <c r="S586" s="7">
        <v>11</v>
      </c>
      <c r="T586" s="7">
        <v>4</v>
      </c>
      <c r="U586" s="7">
        <v>223</v>
      </c>
      <c r="V586" s="7">
        <v>0</v>
      </c>
      <c r="W586" s="7">
        <v>1</v>
      </c>
      <c r="X586" s="7">
        <v>0</v>
      </c>
      <c r="Y586" s="7">
        <v>0</v>
      </c>
      <c r="Z586" s="7">
        <v>0</v>
      </c>
      <c r="AA586" s="7">
        <v>0</v>
      </c>
      <c r="AB586" s="7">
        <v>1</v>
      </c>
      <c r="AC586" s="7">
        <v>1</v>
      </c>
      <c r="AD586" s="7" t="s">
        <v>5044</v>
      </c>
      <c r="AE586" s="7" t="s">
        <v>5044</v>
      </c>
      <c r="AF586" s="7" t="s">
        <v>5044</v>
      </c>
      <c r="AG586" s="7">
        <v>2</v>
      </c>
      <c r="AH586" s="7">
        <v>2</v>
      </c>
      <c r="AI586" s="7">
        <v>2</v>
      </c>
      <c r="AJ586" s="7" t="s">
        <v>5044</v>
      </c>
      <c r="AK586" s="7" t="s">
        <v>5820</v>
      </c>
      <c r="AL586" s="7">
        <v>0</v>
      </c>
      <c r="AM586" s="7">
        <v>0</v>
      </c>
      <c r="AN586" s="7" t="s">
        <v>5318</v>
      </c>
    </row>
    <row r="587" spans="1:40" ht="63" customHeight="1" x14ac:dyDescent="0.2">
      <c r="A587" s="7">
        <v>6022</v>
      </c>
      <c r="B587" s="7" t="s">
        <v>1836</v>
      </c>
      <c r="C587" s="7" t="s">
        <v>1837</v>
      </c>
      <c r="D587" s="7" t="s">
        <v>41</v>
      </c>
      <c r="F587" s="7" t="s">
        <v>27</v>
      </c>
      <c r="G587" s="7" t="s">
        <v>52</v>
      </c>
      <c r="H587" s="7" t="s">
        <v>1838</v>
      </c>
      <c r="I587" s="7" t="s">
        <v>13</v>
      </c>
      <c r="J587" s="7" t="s">
        <v>1839</v>
      </c>
      <c r="K587" s="7" t="s">
        <v>1840</v>
      </c>
      <c r="L587" s="7" t="s">
        <v>5821</v>
      </c>
      <c r="M587" s="7">
        <v>1</v>
      </c>
      <c r="N587" s="7">
        <v>0</v>
      </c>
      <c r="O587" s="7" t="s">
        <v>5044</v>
      </c>
      <c r="P587" s="7">
        <v>1</v>
      </c>
      <c r="Q587" s="7">
        <v>0</v>
      </c>
      <c r="R587" s="7">
        <v>0</v>
      </c>
      <c r="S587" s="7" t="s">
        <v>7670</v>
      </c>
      <c r="T587" s="7">
        <v>5</v>
      </c>
      <c r="U587" s="7">
        <v>40</v>
      </c>
      <c r="V587" s="7">
        <v>0</v>
      </c>
      <c r="W587" s="7">
        <v>1</v>
      </c>
      <c r="X587" s="7">
        <v>0</v>
      </c>
      <c r="Y587" s="7">
        <v>0</v>
      </c>
      <c r="Z587" s="7">
        <v>0</v>
      </c>
      <c r="AA587" s="7">
        <v>0</v>
      </c>
      <c r="AB587" s="7">
        <v>1</v>
      </c>
      <c r="AC587" s="7" t="s">
        <v>5044</v>
      </c>
      <c r="AD587" s="7" t="s">
        <v>5044</v>
      </c>
      <c r="AE587" s="7" t="s">
        <v>5044</v>
      </c>
      <c r="AF587" s="7" t="s">
        <v>5044</v>
      </c>
      <c r="AG587" s="7" t="s">
        <v>5044</v>
      </c>
      <c r="AH587" s="7" t="s">
        <v>5044</v>
      </c>
      <c r="AI587" s="7" t="s">
        <v>5044</v>
      </c>
      <c r="AJ587" s="7" t="s">
        <v>5044</v>
      </c>
      <c r="AK587" s="7" t="s">
        <v>5318</v>
      </c>
      <c r="AL587" s="7" t="s">
        <v>5044</v>
      </c>
      <c r="AM587" s="7">
        <v>0</v>
      </c>
      <c r="AN587" s="7" t="s">
        <v>5318</v>
      </c>
    </row>
    <row r="588" spans="1:40" ht="63" customHeight="1" x14ac:dyDescent="0.2">
      <c r="A588" s="7">
        <v>6027</v>
      </c>
      <c r="B588" s="7" t="s">
        <v>1841</v>
      </c>
      <c r="C588" s="7" t="s">
        <v>1842</v>
      </c>
      <c r="D588" s="7" t="s">
        <v>56</v>
      </c>
      <c r="F588" s="7" t="s">
        <v>52</v>
      </c>
      <c r="G588" s="7" t="s">
        <v>18</v>
      </c>
      <c r="H588" s="7" t="s">
        <v>362</v>
      </c>
      <c r="I588" s="7" t="s">
        <v>13</v>
      </c>
      <c r="J588" s="7" t="s">
        <v>1843</v>
      </c>
      <c r="K588" s="7" t="s">
        <v>1844</v>
      </c>
      <c r="L588" s="7" t="s">
        <v>5822</v>
      </c>
      <c r="M588" s="7">
        <v>0</v>
      </c>
      <c r="N588" s="7" t="s">
        <v>5044</v>
      </c>
      <c r="O588" s="7" t="s">
        <v>5044</v>
      </c>
      <c r="P588" s="7">
        <v>0</v>
      </c>
      <c r="Q588" s="7">
        <v>0</v>
      </c>
      <c r="R588" s="7">
        <v>0</v>
      </c>
      <c r="S588" s="7">
        <v>1</v>
      </c>
      <c r="T588" s="7">
        <v>1</v>
      </c>
      <c r="U588" s="7">
        <v>75</v>
      </c>
      <c r="V588" s="7">
        <v>0</v>
      </c>
      <c r="W588" s="7">
        <v>1</v>
      </c>
      <c r="X588" s="7">
        <v>0</v>
      </c>
      <c r="Y588" s="7">
        <v>0</v>
      </c>
      <c r="Z588" s="7">
        <v>0</v>
      </c>
      <c r="AA588" s="7">
        <v>0</v>
      </c>
      <c r="AB588" s="7">
        <v>1</v>
      </c>
      <c r="AC588" s="7">
        <v>1</v>
      </c>
      <c r="AD588" s="7" t="s">
        <v>5044</v>
      </c>
      <c r="AE588" s="7" t="s">
        <v>5044</v>
      </c>
      <c r="AF588" s="7" t="s">
        <v>5044</v>
      </c>
      <c r="AG588" s="7">
        <v>2</v>
      </c>
      <c r="AH588" s="7">
        <v>3</v>
      </c>
      <c r="AI588" s="7">
        <v>0</v>
      </c>
      <c r="AJ588" s="7" t="s">
        <v>5044</v>
      </c>
      <c r="AK588" s="7">
        <v>1</v>
      </c>
      <c r="AL588" s="7">
        <v>0</v>
      </c>
      <c r="AM588" s="7">
        <v>0</v>
      </c>
      <c r="AN588" s="7" t="s">
        <v>5318</v>
      </c>
    </row>
    <row r="589" spans="1:40" ht="63" customHeight="1" x14ac:dyDescent="0.2">
      <c r="A589" s="7">
        <v>6029</v>
      </c>
      <c r="B589" s="7" t="s">
        <v>1845</v>
      </c>
      <c r="C589" s="7" t="s">
        <v>1846</v>
      </c>
      <c r="D589" s="7" t="s">
        <v>74</v>
      </c>
      <c r="F589" s="7" t="s">
        <v>47</v>
      </c>
      <c r="G589" s="7" t="s">
        <v>52</v>
      </c>
      <c r="H589" s="7" t="s">
        <v>273</v>
      </c>
      <c r="I589" s="7" t="s">
        <v>13</v>
      </c>
      <c r="J589" s="7" t="s">
        <v>1847</v>
      </c>
      <c r="K589" s="7" t="s">
        <v>1848</v>
      </c>
      <c r="L589" s="7" t="s">
        <v>5823</v>
      </c>
      <c r="M589" s="7">
        <v>1</v>
      </c>
      <c r="N589" s="7">
        <v>0</v>
      </c>
      <c r="O589" s="7" t="s">
        <v>5044</v>
      </c>
      <c r="P589" s="7">
        <v>1</v>
      </c>
      <c r="Q589" s="7">
        <v>0</v>
      </c>
      <c r="R589" s="7">
        <v>0</v>
      </c>
      <c r="S589" s="7" t="s">
        <v>5696</v>
      </c>
      <c r="T589" s="7">
        <v>5</v>
      </c>
      <c r="U589" s="7">
        <v>30</v>
      </c>
      <c r="V589" s="7">
        <v>0</v>
      </c>
      <c r="W589" s="7">
        <v>1</v>
      </c>
      <c r="X589" s="7">
        <v>0</v>
      </c>
      <c r="Y589" s="7">
        <v>0</v>
      </c>
      <c r="Z589" s="7">
        <v>0</v>
      </c>
      <c r="AA589" s="7">
        <v>0</v>
      </c>
      <c r="AB589" s="7">
        <v>1</v>
      </c>
      <c r="AC589" s="7" t="s">
        <v>5044</v>
      </c>
      <c r="AD589" s="7" t="s">
        <v>5044</v>
      </c>
      <c r="AE589" s="7" t="s">
        <v>5044</v>
      </c>
      <c r="AF589" s="7" t="s">
        <v>5044</v>
      </c>
      <c r="AG589" s="7" t="s">
        <v>5044</v>
      </c>
      <c r="AH589" s="7" t="s">
        <v>5044</v>
      </c>
      <c r="AI589" s="7" t="s">
        <v>5044</v>
      </c>
      <c r="AJ589" s="7" t="s">
        <v>5044</v>
      </c>
      <c r="AK589" s="7" t="s">
        <v>5318</v>
      </c>
      <c r="AL589" s="7" t="s">
        <v>5044</v>
      </c>
      <c r="AM589" s="7">
        <v>0</v>
      </c>
      <c r="AN589" s="7" t="s">
        <v>5318</v>
      </c>
    </row>
    <row r="590" spans="1:40" ht="63" customHeight="1" x14ac:dyDescent="0.2">
      <c r="A590" s="7">
        <v>6033</v>
      </c>
      <c r="B590" s="7" t="s">
        <v>1849</v>
      </c>
      <c r="C590" s="7" t="s">
        <v>1850</v>
      </c>
      <c r="D590" s="7" t="s">
        <v>41</v>
      </c>
      <c r="F590" s="7" t="s">
        <v>703</v>
      </c>
      <c r="G590" s="7" t="s">
        <v>175</v>
      </c>
      <c r="H590" s="7" t="s">
        <v>160</v>
      </c>
      <c r="I590" s="7" t="s">
        <v>13</v>
      </c>
      <c r="J590" s="7" t="s">
        <v>1851</v>
      </c>
      <c r="K590" s="7" t="s">
        <v>1852</v>
      </c>
      <c r="L590" s="7" t="s">
        <v>5824</v>
      </c>
      <c r="M590" s="7">
        <v>0</v>
      </c>
      <c r="N590" s="7" t="s">
        <v>5044</v>
      </c>
      <c r="O590" s="7" t="s">
        <v>5044</v>
      </c>
      <c r="P590" s="7">
        <v>0</v>
      </c>
      <c r="Q590" s="7">
        <v>0</v>
      </c>
      <c r="R590" s="7">
        <v>0</v>
      </c>
      <c r="S590" s="7">
        <v>1</v>
      </c>
      <c r="T590" s="7">
        <v>1</v>
      </c>
      <c r="U590" s="7">
        <v>198</v>
      </c>
      <c r="V590" s="7">
        <v>0</v>
      </c>
      <c r="W590" s="7">
        <v>1</v>
      </c>
      <c r="X590" s="7">
        <v>0</v>
      </c>
      <c r="Y590" s="7">
        <v>0</v>
      </c>
      <c r="Z590" s="7">
        <v>0</v>
      </c>
      <c r="AA590" s="7">
        <v>0</v>
      </c>
      <c r="AB590" s="7">
        <v>1</v>
      </c>
      <c r="AC590" s="7">
        <v>1</v>
      </c>
      <c r="AD590" s="7" t="s">
        <v>5044</v>
      </c>
      <c r="AE590" s="7" t="s">
        <v>5044</v>
      </c>
      <c r="AF590" s="7" t="s">
        <v>5044</v>
      </c>
      <c r="AG590" s="7">
        <v>1</v>
      </c>
      <c r="AH590" s="7">
        <v>0</v>
      </c>
      <c r="AI590" s="7">
        <v>0</v>
      </c>
      <c r="AJ590" s="7" t="s">
        <v>5044</v>
      </c>
      <c r="AK590" s="7" t="s">
        <v>5318</v>
      </c>
      <c r="AL590" s="7">
        <v>0</v>
      </c>
      <c r="AM590" s="7">
        <v>0</v>
      </c>
      <c r="AN590" s="7" t="s">
        <v>5318</v>
      </c>
    </row>
    <row r="591" spans="1:40" ht="63" customHeight="1" x14ac:dyDescent="0.2">
      <c r="A591" s="7">
        <v>6043</v>
      </c>
      <c r="B591" s="7" t="s">
        <v>1853</v>
      </c>
      <c r="C591" s="7" t="s">
        <v>1854</v>
      </c>
      <c r="D591" s="7" t="s">
        <v>22</v>
      </c>
      <c r="F591" s="7" t="s">
        <v>1855</v>
      </c>
      <c r="G591" s="7" t="s">
        <v>32</v>
      </c>
      <c r="H591" s="7" t="s">
        <v>12</v>
      </c>
      <c r="I591" s="7" t="s">
        <v>13</v>
      </c>
      <c r="J591" s="7" t="s">
        <v>1856</v>
      </c>
      <c r="K591" s="7" t="s">
        <v>1857</v>
      </c>
      <c r="L591" s="7" t="s">
        <v>5214</v>
      </c>
      <c r="M591" s="7">
        <v>0</v>
      </c>
      <c r="N591" s="7" t="s">
        <v>5044</v>
      </c>
      <c r="O591" s="7" t="s">
        <v>5044</v>
      </c>
      <c r="P591" s="7">
        <v>0</v>
      </c>
      <c r="Q591" s="7">
        <v>0</v>
      </c>
      <c r="R591" s="7">
        <v>0</v>
      </c>
      <c r="S591" s="7">
        <v>5</v>
      </c>
      <c r="T591" s="7">
        <v>1</v>
      </c>
      <c r="U591" s="7">
        <v>262</v>
      </c>
      <c r="V591" s="7">
        <v>1</v>
      </c>
      <c r="W591" s="7">
        <v>0</v>
      </c>
      <c r="X591" s="7">
        <v>0</v>
      </c>
      <c r="Y591" s="7">
        <v>0</v>
      </c>
      <c r="Z591" s="7">
        <v>0</v>
      </c>
      <c r="AA591" s="7">
        <v>0</v>
      </c>
      <c r="AB591" s="7">
        <v>1</v>
      </c>
      <c r="AC591" s="7">
        <v>1</v>
      </c>
      <c r="AD591" s="7">
        <v>2</v>
      </c>
      <c r="AE591" s="7">
        <v>3</v>
      </c>
      <c r="AF591" s="7">
        <v>0</v>
      </c>
      <c r="AG591" s="7" t="s">
        <v>5044</v>
      </c>
      <c r="AH591" s="7" t="s">
        <v>5044</v>
      </c>
      <c r="AI591" s="7" t="s">
        <v>5044</v>
      </c>
      <c r="AJ591" s="7" t="s">
        <v>5044</v>
      </c>
      <c r="AK591" s="7">
        <v>2</v>
      </c>
      <c r="AL591" s="7">
        <v>0</v>
      </c>
      <c r="AM591" s="7">
        <v>0</v>
      </c>
      <c r="AN591" s="7" t="s">
        <v>5318</v>
      </c>
    </row>
    <row r="592" spans="1:40" ht="63" customHeight="1" x14ac:dyDescent="0.2">
      <c r="A592" s="7">
        <v>6058</v>
      </c>
      <c r="B592" s="7" t="s">
        <v>1858</v>
      </c>
      <c r="C592" s="7" t="s">
        <v>1859</v>
      </c>
      <c r="D592" s="7" t="s">
        <v>16</v>
      </c>
      <c r="F592" s="7" t="s">
        <v>147</v>
      </c>
      <c r="G592" s="7" t="s">
        <v>48</v>
      </c>
      <c r="H592" s="7" t="s">
        <v>1860</v>
      </c>
      <c r="I592" s="7" t="s">
        <v>13</v>
      </c>
      <c r="J592" s="7" t="s">
        <v>1861</v>
      </c>
      <c r="K592" s="7" t="s">
        <v>1862</v>
      </c>
      <c r="L592" s="7" t="s">
        <v>5825</v>
      </c>
      <c r="M592" s="7">
        <v>1</v>
      </c>
      <c r="N592" s="7">
        <v>0</v>
      </c>
      <c r="O592" s="7" t="s">
        <v>5044</v>
      </c>
      <c r="P592" s="7">
        <v>0</v>
      </c>
      <c r="Q592" s="7">
        <v>0</v>
      </c>
      <c r="R592" s="7">
        <v>0</v>
      </c>
      <c r="S592" s="7">
        <v>1</v>
      </c>
      <c r="T592" s="7">
        <v>4</v>
      </c>
      <c r="U592" s="7">
        <v>238</v>
      </c>
      <c r="V592" s="7">
        <v>0</v>
      </c>
      <c r="W592" s="7">
        <v>1</v>
      </c>
      <c r="X592" s="7">
        <v>0</v>
      </c>
      <c r="Y592" s="7">
        <v>0</v>
      </c>
      <c r="Z592" s="7">
        <v>0</v>
      </c>
      <c r="AA592" s="7">
        <v>0</v>
      </c>
      <c r="AB592" s="7">
        <v>1</v>
      </c>
      <c r="AC592" s="7" t="s">
        <v>5044</v>
      </c>
      <c r="AD592" s="7" t="s">
        <v>5044</v>
      </c>
      <c r="AE592" s="7" t="s">
        <v>5044</v>
      </c>
      <c r="AF592" s="7" t="s">
        <v>5044</v>
      </c>
      <c r="AG592" s="7" t="s">
        <v>5044</v>
      </c>
      <c r="AH592" s="7" t="s">
        <v>5044</v>
      </c>
      <c r="AI592" s="7" t="s">
        <v>5044</v>
      </c>
      <c r="AJ592" s="7" t="s">
        <v>5044</v>
      </c>
      <c r="AK592" s="7" t="s">
        <v>5318</v>
      </c>
      <c r="AL592" s="7" t="s">
        <v>5044</v>
      </c>
      <c r="AM592" s="7">
        <v>0</v>
      </c>
      <c r="AN592" s="7" t="s">
        <v>5318</v>
      </c>
    </row>
    <row r="593" spans="1:41" ht="63" customHeight="1" x14ac:dyDescent="0.2">
      <c r="A593" s="7">
        <v>6059</v>
      </c>
      <c r="B593" s="7" t="s">
        <v>1863</v>
      </c>
      <c r="C593" s="7" t="s">
        <v>1859</v>
      </c>
      <c r="D593" s="7" t="s">
        <v>41</v>
      </c>
      <c r="F593" s="7" t="s">
        <v>136</v>
      </c>
      <c r="G593" s="7" t="s">
        <v>163</v>
      </c>
      <c r="H593" s="7" t="s">
        <v>1860</v>
      </c>
      <c r="I593" s="7" t="s">
        <v>13</v>
      </c>
      <c r="J593" s="7" t="s">
        <v>1864</v>
      </c>
      <c r="K593" s="7" t="s">
        <v>1865</v>
      </c>
      <c r="L593" s="7" t="s">
        <v>5826</v>
      </c>
      <c r="M593" s="7">
        <v>1</v>
      </c>
      <c r="N593" s="7">
        <v>0</v>
      </c>
      <c r="O593" s="7" t="s">
        <v>5044</v>
      </c>
      <c r="P593" s="7">
        <v>0</v>
      </c>
      <c r="Q593" s="7">
        <v>0</v>
      </c>
      <c r="R593" s="7">
        <v>0</v>
      </c>
      <c r="S593" s="7">
        <v>1</v>
      </c>
      <c r="T593" s="7">
        <v>4</v>
      </c>
      <c r="U593" s="7">
        <v>565</v>
      </c>
      <c r="V593" s="7">
        <v>0</v>
      </c>
      <c r="W593" s="7">
        <v>1</v>
      </c>
      <c r="X593" s="7">
        <v>0</v>
      </c>
      <c r="Y593" s="7">
        <v>0</v>
      </c>
      <c r="Z593" s="7">
        <v>0</v>
      </c>
      <c r="AA593" s="7">
        <v>0</v>
      </c>
      <c r="AB593" s="7">
        <v>1</v>
      </c>
      <c r="AC593" s="7" t="s">
        <v>5044</v>
      </c>
      <c r="AD593" s="7" t="s">
        <v>5044</v>
      </c>
      <c r="AE593" s="7" t="s">
        <v>5044</v>
      </c>
      <c r="AF593" s="7" t="s">
        <v>5044</v>
      </c>
      <c r="AG593" s="7" t="s">
        <v>5044</v>
      </c>
      <c r="AH593" s="7" t="s">
        <v>5044</v>
      </c>
      <c r="AI593" s="7" t="s">
        <v>5044</v>
      </c>
      <c r="AJ593" s="7" t="s">
        <v>5044</v>
      </c>
      <c r="AK593" s="7" t="s">
        <v>5318</v>
      </c>
      <c r="AL593" s="7" t="s">
        <v>5044</v>
      </c>
      <c r="AM593" s="7">
        <v>0</v>
      </c>
      <c r="AN593" s="7" t="s">
        <v>5318</v>
      </c>
    </row>
    <row r="594" spans="1:41" ht="63" customHeight="1" x14ac:dyDescent="0.2">
      <c r="A594" s="7">
        <v>6064</v>
      </c>
      <c r="B594" s="7" t="s">
        <v>1866</v>
      </c>
      <c r="C594" s="7" t="s">
        <v>1867</v>
      </c>
      <c r="D594" s="7" t="s">
        <v>16</v>
      </c>
      <c r="F594" s="7" t="s">
        <v>83</v>
      </c>
      <c r="G594" s="7" t="s">
        <v>11</v>
      </c>
      <c r="H594" s="7" t="s">
        <v>1868</v>
      </c>
      <c r="I594" s="7" t="s">
        <v>13</v>
      </c>
      <c r="J594" s="7" t="s">
        <v>1869</v>
      </c>
      <c r="K594" s="7" t="s">
        <v>1870</v>
      </c>
      <c r="L594" s="7" t="s">
        <v>5827</v>
      </c>
      <c r="M594" s="7">
        <v>0</v>
      </c>
      <c r="N594" s="7" t="s">
        <v>5044</v>
      </c>
      <c r="O594" s="7" t="s">
        <v>5044</v>
      </c>
      <c r="P594" s="7">
        <v>0</v>
      </c>
      <c r="Q594" s="7">
        <v>0</v>
      </c>
      <c r="R594" s="7">
        <v>0</v>
      </c>
      <c r="S594" s="7">
        <v>9</v>
      </c>
      <c r="T594" s="7">
        <v>4</v>
      </c>
      <c r="U594" s="7">
        <v>864</v>
      </c>
      <c r="V594" s="7">
        <v>0</v>
      </c>
      <c r="W594" s="7">
        <v>1</v>
      </c>
      <c r="X594" s="7">
        <v>0</v>
      </c>
      <c r="Y594" s="7">
        <v>0</v>
      </c>
      <c r="Z594" s="7">
        <v>0</v>
      </c>
      <c r="AA594" s="7">
        <v>0</v>
      </c>
      <c r="AB594" s="7">
        <v>1</v>
      </c>
      <c r="AC594" s="7">
        <v>1</v>
      </c>
      <c r="AD594" s="7" t="s">
        <v>5044</v>
      </c>
      <c r="AE594" s="7" t="s">
        <v>5044</v>
      </c>
      <c r="AF594" s="7" t="s">
        <v>5044</v>
      </c>
      <c r="AG594" s="7">
        <v>2</v>
      </c>
      <c r="AH594" s="7">
        <v>2</v>
      </c>
      <c r="AI594" s="7">
        <v>2</v>
      </c>
      <c r="AJ594" s="7" t="s">
        <v>5044</v>
      </c>
      <c r="AK594" s="7" t="s">
        <v>5318</v>
      </c>
      <c r="AL594" s="7">
        <v>1</v>
      </c>
      <c r="AM594" s="7">
        <v>0</v>
      </c>
      <c r="AN594" s="7" t="s">
        <v>5318</v>
      </c>
    </row>
    <row r="595" spans="1:41" ht="63" customHeight="1" x14ac:dyDescent="0.2">
      <c r="A595" s="7">
        <v>6066</v>
      </c>
      <c r="B595" s="7" t="s">
        <v>1875</v>
      </c>
      <c r="C595" s="7" t="s">
        <v>1876</v>
      </c>
      <c r="D595" s="7" t="s">
        <v>41</v>
      </c>
      <c r="F595" s="7" t="s">
        <v>42</v>
      </c>
      <c r="G595" s="7" t="s">
        <v>11</v>
      </c>
      <c r="H595" s="7" t="s">
        <v>43</v>
      </c>
      <c r="I595" s="7" t="s">
        <v>13</v>
      </c>
      <c r="J595" s="7" t="s">
        <v>1877</v>
      </c>
      <c r="K595" s="7" t="s">
        <v>1878</v>
      </c>
      <c r="L595" s="7" t="s">
        <v>5828</v>
      </c>
      <c r="M595" s="7">
        <v>0</v>
      </c>
      <c r="N595" s="7" t="s">
        <v>5044</v>
      </c>
      <c r="O595" s="7" t="s">
        <v>5044</v>
      </c>
      <c r="P595" s="7">
        <v>0</v>
      </c>
      <c r="Q595" s="7">
        <v>0</v>
      </c>
      <c r="R595" s="7">
        <v>0</v>
      </c>
      <c r="S595" s="7">
        <v>1</v>
      </c>
      <c r="T595" s="7">
        <v>4</v>
      </c>
      <c r="U595" s="7">
        <v>300</v>
      </c>
      <c r="V595" s="7">
        <v>0</v>
      </c>
      <c r="W595" s="7">
        <v>1</v>
      </c>
      <c r="X595" s="7">
        <v>0</v>
      </c>
      <c r="Y595" s="7">
        <v>0</v>
      </c>
      <c r="Z595" s="7">
        <v>0</v>
      </c>
      <c r="AA595" s="7">
        <v>0</v>
      </c>
      <c r="AB595" s="7">
        <v>1</v>
      </c>
      <c r="AC595" s="7">
        <v>1</v>
      </c>
      <c r="AD595" s="7" t="s">
        <v>5044</v>
      </c>
      <c r="AE595" s="7" t="s">
        <v>5044</v>
      </c>
      <c r="AF595" s="7" t="s">
        <v>5044</v>
      </c>
      <c r="AG595" s="7">
        <v>2</v>
      </c>
      <c r="AH595" s="7">
        <v>3</v>
      </c>
      <c r="AI595" s="7">
        <v>0</v>
      </c>
      <c r="AJ595" s="7" t="s">
        <v>5044</v>
      </c>
      <c r="AK595" s="7">
        <v>1</v>
      </c>
      <c r="AL595" s="7">
        <v>0</v>
      </c>
      <c r="AM595" s="7">
        <v>0</v>
      </c>
    </row>
    <row r="596" spans="1:41" ht="63" customHeight="1" x14ac:dyDescent="0.2">
      <c r="A596" s="7">
        <v>6073</v>
      </c>
      <c r="B596" s="7" t="s">
        <v>1879</v>
      </c>
      <c r="C596" s="7" t="s">
        <v>1880</v>
      </c>
      <c r="D596" s="7" t="s">
        <v>95</v>
      </c>
      <c r="F596" s="7" t="s">
        <v>521</v>
      </c>
      <c r="G596" s="7" t="s">
        <v>52</v>
      </c>
      <c r="H596" s="7" t="s">
        <v>1881</v>
      </c>
      <c r="I596" s="7" t="s">
        <v>13</v>
      </c>
      <c r="J596" s="7" t="s">
        <v>1882</v>
      </c>
      <c r="K596" s="7" t="s">
        <v>1883</v>
      </c>
      <c r="L596" s="11" t="s">
        <v>5044</v>
      </c>
      <c r="M596" s="7">
        <v>0</v>
      </c>
      <c r="N596" s="7" t="s">
        <v>5044</v>
      </c>
      <c r="O596" s="7" t="s">
        <v>5044</v>
      </c>
      <c r="P596" s="7">
        <v>0</v>
      </c>
      <c r="Q596" s="7">
        <v>0</v>
      </c>
      <c r="R596" s="7">
        <v>0</v>
      </c>
      <c r="S596" s="7">
        <v>4</v>
      </c>
      <c r="T596" s="7">
        <v>4</v>
      </c>
      <c r="U596" s="7">
        <v>88</v>
      </c>
      <c r="V596" s="7">
        <v>0</v>
      </c>
      <c r="W596" s="7">
        <v>1</v>
      </c>
      <c r="X596" s="7">
        <v>0</v>
      </c>
      <c r="Y596" s="7">
        <v>0</v>
      </c>
      <c r="Z596" s="7">
        <v>0</v>
      </c>
      <c r="AA596" s="7">
        <v>0</v>
      </c>
      <c r="AB596" s="7">
        <v>1</v>
      </c>
      <c r="AC596" s="7">
        <v>1</v>
      </c>
      <c r="AD596" s="7" t="s">
        <v>5044</v>
      </c>
      <c r="AE596" s="7" t="s">
        <v>5044</v>
      </c>
      <c r="AF596" s="7" t="s">
        <v>5044</v>
      </c>
      <c r="AG596" s="7">
        <v>2</v>
      </c>
      <c r="AH596" s="7">
        <v>3</v>
      </c>
      <c r="AI596" s="7">
        <v>0</v>
      </c>
      <c r="AJ596" s="7" t="s">
        <v>5044</v>
      </c>
      <c r="AK596" s="7">
        <v>1</v>
      </c>
      <c r="AL596" s="7">
        <v>0</v>
      </c>
      <c r="AM596" s="7">
        <v>0</v>
      </c>
      <c r="AN596" s="7" t="s">
        <v>5318</v>
      </c>
    </row>
    <row r="597" spans="1:41" ht="63" customHeight="1" x14ac:dyDescent="0.2">
      <c r="A597" s="7">
        <v>6078</v>
      </c>
      <c r="B597" s="7" t="s">
        <v>1884</v>
      </c>
      <c r="C597" s="7" t="s">
        <v>1885</v>
      </c>
      <c r="D597" s="7" t="s">
        <v>16</v>
      </c>
      <c r="F597" s="7" t="s">
        <v>662</v>
      </c>
      <c r="G597" s="7" t="s">
        <v>37</v>
      </c>
      <c r="H597" s="7" t="s">
        <v>663</v>
      </c>
      <c r="I597" s="7" t="s">
        <v>13</v>
      </c>
      <c r="J597" s="7" t="s">
        <v>1886</v>
      </c>
      <c r="K597" s="7" t="s">
        <v>1887</v>
      </c>
      <c r="L597" s="7" t="s">
        <v>5829</v>
      </c>
      <c r="M597" s="7">
        <v>0</v>
      </c>
      <c r="N597" s="7" t="s">
        <v>5044</v>
      </c>
      <c r="O597" s="7" t="s">
        <v>5044</v>
      </c>
      <c r="P597" s="7">
        <v>0</v>
      </c>
      <c r="Q597" s="7">
        <v>0</v>
      </c>
      <c r="R597" s="7">
        <v>0</v>
      </c>
      <c r="S597" s="7">
        <v>1</v>
      </c>
      <c r="T597" s="7">
        <v>5</v>
      </c>
      <c r="U597" s="7">
        <v>38</v>
      </c>
      <c r="V597" s="7">
        <v>0</v>
      </c>
      <c r="W597" s="7">
        <v>1</v>
      </c>
      <c r="X597" s="7">
        <v>0</v>
      </c>
      <c r="Y597" s="7">
        <v>0</v>
      </c>
      <c r="Z597" s="7">
        <v>0</v>
      </c>
      <c r="AA597" s="7">
        <v>0</v>
      </c>
      <c r="AB597" s="7">
        <v>1</v>
      </c>
      <c r="AC597" s="7">
        <v>1</v>
      </c>
      <c r="AD597" s="7" t="s">
        <v>5044</v>
      </c>
      <c r="AE597" s="7" t="s">
        <v>5044</v>
      </c>
      <c r="AF597" s="7" t="s">
        <v>5044</v>
      </c>
      <c r="AG597" s="7">
        <v>1</v>
      </c>
      <c r="AH597" s="7">
        <v>0</v>
      </c>
      <c r="AI597" s="7">
        <v>0</v>
      </c>
      <c r="AJ597" s="7" t="s">
        <v>5044</v>
      </c>
      <c r="AK597" s="7" t="s">
        <v>5318</v>
      </c>
      <c r="AL597" s="7">
        <v>0</v>
      </c>
      <c r="AM597" s="7">
        <v>0</v>
      </c>
    </row>
    <row r="598" spans="1:41" ht="63" customHeight="1" x14ac:dyDescent="0.2">
      <c r="A598" s="7">
        <v>6100</v>
      </c>
      <c r="B598" s="7" t="s">
        <v>1888</v>
      </c>
      <c r="C598" s="7" t="s">
        <v>1889</v>
      </c>
      <c r="D598" s="7" t="s">
        <v>41</v>
      </c>
      <c r="F598" s="7" t="s">
        <v>865</v>
      </c>
      <c r="G598" s="7" t="s">
        <v>17</v>
      </c>
      <c r="H598" s="7" t="s">
        <v>1890</v>
      </c>
      <c r="I598" s="7" t="s">
        <v>13</v>
      </c>
      <c r="J598" s="7" t="s">
        <v>1891</v>
      </c>
      <c r="K598" s="7" t="s">
        <v>1892</v>
      </c>
      <c r="L598" s="7" t="s">
        <v>5830</v>
      </c>
      <c r="M598" s="7">
        <v>0</v>
      </c>
      <c r="N598" s="7" t="s">
        <v>5044</v>
      </c>
      <c r="O598" s="7" t="s">
        <v>5044</v>
      </c>
      <c r="P598" s="7">
        <v>0</v>
      </c>
      <c r="Q598" s="7">
        <v>0</v>
      </c>
      <c r="R598" s="7">
        <v>0</v>
      </c>
      <c r="S598" s="7">
        <v>1</v>
      </c>
      <c r="T598" s="7">
        <v>1</v>
      </c>
      <c r="U598" s="7">
        <v>20</v>
      </c>
      <c r="V598" s="7">
        <v>0</v>
      </c>
      <c r="W598" s="7">
        <v>1</v>
      </c>
      <c r="X598" s="7">
        <v>0</v>
      </c>
      <c r="Y598" s="7">
        <v>0</v>
      </c>
      <c r="Z598" s="7">
        <v>0</v>
      </c>
      <c r="AA598" s="7">
        <v>0</v>
      </c>
      <c r="AB598" s="7">
        <v>1</v>
      </c>
      <c r="AC598" s="7">
        <v>0</v>
      </c>
      <c r="AD598" s="7" t="s">
        <v>5044</v>
      </c>
      <c r="AE598" s="7" t="s">
        <v>5044</v>
      </c>
      <c r="AF598" s="7" t="s">
        <v>5044</v>
      </c>
      <c r="AG598" s="7">
        <v>0</v>
      </c>
      <c r="AH598" s="7" t="s">
        <v>5044</v>
      </c>
      <c r="AI598" s="7" t="s">
        <v>5044</v>
      </c>
      <c r="AJ598" s="7" t="s">
        <v>5044</v>
      </c>
      <c r="AK598" s="7" t="s">
        <v>5318</v>
      </c>
      <c r="AL598" s="7">
        <v>0</v>
      </c>
      <c r="AM598" s="7">
        <v>0</v>
      </c>
      <c r="AN598" s="7" t="s">
        <v>5318</v>
      </c>
    </row>
    <row r="599" spans="1:41" ht="63" customHeight="1" x14ac:dyDescent="0.2">
      <c r="A599" s="7">
        <v>6107</v>
      </c>
      <c r="B599" s="7" t="s">
        <v>1893</v>
      </c>
      <c r="C599" s="7" t="s">
        <v>1894</v>
      </c>
      <c r="D599" s="7" t="s">
        <v>30</v>
      </c>
      <c r="F599" s="7" t="s">
        <v>953</v>
      </c>
      <c r="G599" s="7" t="s">
        <v>52</v>
      </c>
      <c r="H599" s="7" t="s">
        <v>43</v>
      </c>
      <c r="I599" s="7" t="s">
        <v>13</v>
      </c>
      <c r="J599" s="7" t="s">
        <v>1895</v>
      </c>
      <c r="K599" s="7" t="s">
        <v>1896</v>
      </c>
      <c r="L599" s="7" t="s">
        <v>5831</v>
      </c>
      <c r="M599" s="7">
        <v>0</v>
      </c>
      <c r="N599" s="7" t="s">
        <v>5044</v>
      </c>
      <c r="O599" s="7" t="s">
        <v>5044</v>
      </c>
      <c r="P599" s="7">
        <v>0</v>
      </c>
      <c r="Q599" s="7">
        <v>0</v>
      </c>
      <c r="R599" s="7">
        <v>0</v>
      </c>
      <c r="S599" s="7">
        <v>1</v>
      </c>
      <c r="T599" s="7">
        <v>1</v>
      </c>
      <c r="U599" s="7">
        <v>200</v>
      </c>
      <c r="V599" s="7">
        <v>0</v>
      </c>
      <c r="W599" s="7">
        <v>1</v>
      </c>
      <c r="X599" s="7">
        <v>0</v>
      </c>
      <c r="Y599" s="7">
        <v>0</v>
      </c>
      <c r="Z599" s="7">
        <v>0</v>
      </c>
      <c r="AA599" s="7">
        <v>0</v>
      </c>
      <c r="AB599" s="7">
        <v>1</v>
      </c>
      <c r="AC599" s="7">
        <v>1</v>
      </c>
      <c r="AD599" s="7" t="s">
        <v>5044</v>
      </c>
      <c r="AE599" s="7" t="s">
        <v>5044</v>
      </c>
      <c r="AF599" s="7" t="s">
        <v>5044</v>
      </c>
      <c r="AG599" s="7">
        <v>1</v>
      </c>
      <c r="AH599" s="7">
        <v>0</v>
      </c>
      <c r="AI599" s="7">
        <v>0</v>
      </c>
      <c r="AJ599" s="7" t="s">
        <v>5044</v>
      </c>
      <c r="AK599" s="7" t="s">
        <v>5318</v>
      </c>
      <c r="AL599" s="7">
        <v>0</v>
      </c>
      <c r="AM599" s="7">
        <v>0</v>
      </c>
    </row>
    <row r="600" spans="1:41" ht="63" customHeight="1" x14ac:dyDescent="0.2">
      <c r="A600" s="7">
        <v>6117</v>
      </c>
      <c r="B600" s="7" t="s">
        <v>1897</v>
      </c>
      <c r="C600" s="7" t="s">
        <v>1898</v>
      </c>
      <c r="D600" s="7" t="s">
        <v>95</v>
      </c>
      <c r="F600" s="7" t="s">
        <v>260</v>
      </c>
      <c r="G600" s="7" t="s">
        <v>32</v>
      </c>
      <c r="H600" s="7" t="s">
        <v>38</v>
      </c>
      <c r="I600" s="7" t="s">
        <v>13</v>
      </c>
      <c r="J600" s="7" t="s">
        <v>1899</v>
      </c>
      <c r="K600" s="7" t="s">
        <v>1900</v>
      </c>
      <c r="L600" s="7" t="s">
        <v>5832</v>
      </c>
      <c r="M600" s="7">
        <v>0</v>
      </c>
      <c r="N600" s="7" t="s">
        <v>5044</v>
      </c>
      <c r="O600" s="7" t="s">
        <v>5044</v>
      </c>
      <c r="P600" s="7">
        <v>0</v>
      </c>
      <c r="Q600" s="7">
        <v>0</v>
      </c>
      <c r="R600" s="7">
        <v>0</v>
      </c>
      <c r="S600" s="7">
        <v>1</v>
      </c>
      <c r="T600" s="7">
        <v>1</v>
      </c>
      <c r="U600" s="7">
        <v>156</v>
      </c>
      <c r="V600" s="7">
        <v>0</v>
      </c>
      <c r="W600" s="7">
        <v>1</v>
      </c>
      <c r="X600" s="7">
        <v>0</v>
      </c>
      <c r="Y600" s="7">
        <v>0</v>
      </c>
      <c r="Z600" s="7">
        <v>0</v>
      </c>
      <c r="AA600" s="7">
        <v>0</v>
      </c>
      <c r="AB600" s="7">
        <v>1</v>
      </c>
      <c r="AC600" s="7">
        <v>1</v>
      </c>
      <c r="AD600" s="7" t="s">
        <v>5044</v>
      </c>
      <c r="AE600" s="7" t="s">
        <v>5044</v>
      </c>
      <c r="AF600" s="7" t="s">
        <v>5044</v>
      </c>
      <c r="AG600" s="7">
        <v>1</v>
      </c>
      <c r="AH600" s="7">
        <v>0</v>
      </c>
      <c r="AI600" s="7">
        <v>0</v>
      </c>
      <c r="AJ600" s="7" t="s">
        <v>5044</v>
      </c>
      <c r="AK600" s="7" t="s">
        <v>5833</v>
      </c>
      <c r="AL600" s="7">
        <v>1</v>
      </c>
      <c r="AM600" s="7">
        <v>0</v>
      </c>
    </row>
    <row r="601" spans="1:41" ht="63" customHeight="1" x14ac:dyDescent="0.2">
      <c r="A601" s="7">
        <v>6157</v>
      </c>
      <c r="B601" s="7" t="s">
        <v>1901</v>
      </c>
      <c r="C601" s="7" t="s">
        <v>1902</v>
      </c>
      <c r="D601" s="7" t="s">
        <v>35</v>
      </c>
      <c r="F601" s="7" t="s">
        <v>36</v>
      </c>
      <c r="G601" s="7" t="s">
        <v>48</v>
      </c>
      <c r="H601" s="7" t="s">
        <v>38</v>
      </c>
      <c r="I601" s="7" t="s">
        <v>13</v>
      </c>
      <c r="J601" s="7" t="s">
        <v>1903</v>
      </c>
      <c r="K601" s="7" t="s">
        <v>1904</v>
      </c>
      <c r="L601" s="11" t="s">
        <v>5044</v>
      </c>
      <c r="M601" s="7">
        <v>0</v>
      </c>
      <c r="N601" s="7" t="s">
        <v>5044</v>
      </c>
      <c r="O601" s="7" t="s">
        <v>5044</v>
      </c>
      <c r="P601" s="7">
        <v>0</v>
      </c>
      <c r="Q601" s="7">
        <v>0</v>
      </c>
      <c r="R601" s="7">
        <v>0</v>
      </c>
      <c r="S601" s="7" t="s">
        <v>5170</v>
      </c>
      <c r="T601" s="7">
        <v>1</v>
      </c>
      <c r="U601" s="7">
        <v>107</v>
      </c>
      <c r="V601" s="7">
        <v>0</v>
      </c>
      <c r="W601" s="7">
        <v>1</v>
      </c>
      <c r="X601" s="7">
        <v>0</v>
      </c>
      <c r="Y601" s="7">
        <v>0</v>
      </c>
      <c r="Z601" s="7">
        <v>0</v>
      </c>
      <c r="AA601" s="7">
        <v>0</v>
      </c>
      <c r="AB601" s="7">
        <v>1</v>
      </c>
      <c r="AC601" s="7">
        <v>1</v>
      </c>
      <c r="AD601" s="7" t="s">
        <v>5044</v>
      </c>
      <c r="AE601" s="7" t="s">
        <v>5044</v>
      </c>
      <c r="AF601" s="7" t="s">
        <v>5044</v>
      </c>
      <c r="AG601" s="7">
        <v>2</v>
      </c>
      <c r="AH601" s="7">
        <v>2</v>
      </c>
      <c r="AI601" s="7">
        <v>2</v>
      </c>
      <c r="AJ601" s="7" t="s">
        <v>5044</v>
      </c>
      <c r="AK601" s="7" t="s">
        <v>5834</v>
      </c>
      <c r="AL601" s="7">
        <v>0</v>
      </c>
      <c r="AM601" s="7">
        <v>0</v>
      </c>
    </row>
    <row r="602" spans="1:41" ht="63" customHeight="1" x14ac:dyDescent="0.2">
      <c r="A602" s="7">
        <v>6165</v>
      </c>
      <c r="B602" s="7" t="s">
        <v>1905</v>
      </c>
      <c r="C602" s="7" t="s">
        <v>1906</v>
      </c>
      <c r="D602" s="7" t="s">
        <v>101</v>
      </c>
      <c r="F602" s="7" t="s">
        <v>62</v>
      </c>
      <c r="G602" s="7" t="s">
        <v>144</v>
      </c>
      <c r="H602" s="7" t="s">
        <v>202</v>
      </c>
      <c r="I602" s="7" t="s">
        <v>13</v>
      </c>
      <c r="J602" s="7" t="s">
        <v>1907</v>
      </c>
      <c r="K602" s="7" t="s">
        <v>1908</v>
      </c>
      <c r="L602" s="7" t="s">
        <v>5835</v>
      </c>
      <c r="M602" s="7">
        <v>0</v>
      </c>
      <c r="N602" s="7" t="s">
        <v>5044</v>
      </c>
      <c r="O602" s="7" t="s">
        <v>5044</v>
      </c>
      <c r="P602" s="7">
        <v>0</v>
      </c>
      <c r="Q602" s="7">
        <v>0</v>
      </c>
      <c r="R602" s="7">
        <v>0</v>
      </c>
      <c r="S602" s="7">
        <v>9</v>
      </c>
      <c r="T602" s="7">
        <v>1</v>
      </c>
      <c r="U602" s="7">
        <v>85</v>
      </c>
      <c r="V602" s="7">
        <v>0</v>
      </c>
      <c r="W602" s="7">
        <v>1</v>
      </c>
      <c r="X602" s="7">
        <v>0</v>
      </c>
      <c r="Y602" s="7">
        <v>0</v>
      </c>
      <c r="Z602" s="7">
        <v>0</v>
      </c>
      <c r="AA602" s="7">
        <v>0</v>
      </c>
      <c r="AB602" s="7">
        <v>1</v>
      </c>
      <c r="AC602" s="7">
        <v>1</v>
      </c>
      <c r="AD602" s="7" t="s">
        <v>5044</v>
      </c>
      <c r="AE602" s="7" t="s">
        <v>5044</v>
      </c>
      <c r="AF602" s="7" t="s">
        <v>5044</v>
      </c>
      <c r="AG602" s="7">
        <v>2</v>
      </c>
      <c r="AH602" s="7">
        <v>3</v>
      </c>
      <c r="AI602" s="7">
        <v>0</v>
      </c>
      <c r="AJ602" s="7" t="s">
        <v>5044</v>
      </c>
      <c r="AK602" s="7" t="s">
        <v>5836</v>
      </c>
      <c r="AL602" s="7">
        <v>1</v>
      </c>
      <c r="AM602" s="7">
        <v>0</v>
      </c>
      <c r="AN602" s="7" t="s">
        <v>5318</v>
      </c>
    </row>
    <row r="603" spans="1:41" ht="63" customHeight="1" x14ac:dyDescent="0.2">
      <c r="A603" s="7">
        <v>6178</v>
      </c>
      <c r="B603" s="7" t="s">
        <v>1909</v>
      </c>
      <c r="C603" s="7" t="s">
        <v>1910</v>
      </c>
      <c r="D603" s="7" t="s">
        <v>30</v>
      </c>
      <c r="F603" s="7" t="s">
        <v>697</v>
      </c>
      <c r="G603" s="7" t="s">
        <v>32</v>
      </c>
      <c r="H603" s="7" t="s">
        <v>698</v>
      </c>
      <c r="I603" s="7" t="s">
        <v>13</v>
      </c>
      <c r="J603" s="7" t="s">
        <v>1911</v>
      </c>
      <c r="K603" s="7" t="s">
        <v>1912</v>
      </c>
      <c r="L603" s="11" t="s">
        <v>5044</v>
      </c>
      <c r="M603" s="7">
        <v>0</v>
      </c>
      <c r="N603" s="7" t="s">
        <v>5044</v>
      </c>
      <c r="O603" s="7" t="s">
        <v>5044</v>
      </c>
      <c r="P603" s="7">
        <v>0</v>
      </c>
      <c r="Q603" s="7">
        <v>0</v>
      </c>
      <c r="R603" s="7">
        <v>0</v>
      </c>
      <c r="S603" s="7">
        <v>9</v>
      </c>
      <c r="T603" s="7">
        <v>1</v>
      </c>
      <c r="U603" s="7">
        <v>150</v>
      </c>
      <c r="V603" s="7">
        <v>0</v>
      </c>
      <c r="W603" s="7">
        <v>1</v>
      </c>
      <c r="X603" s="7">
        <v>0</v>
      </c>
      <c r="Y603" s="7">
        <v>0</v>
      </c>
      <c r="Z603" s="7">
        <v>0</v>
      </c>
      <c r="AA603" s="7">
        <v>0</v>
      </c>
      <c r="AB603" s="7">
        <v>1</v>
      </c>
      <c r="AC603" s="7">
        <v>1</v>
      </c>
      <c r="AD603" s="7" t="s">
        <v>5044</v>
      </c>
      <c r="AE603" s="7" t="s">
        <v>5044</v>
      </c>
      <c r="AF603" s="7" t="s">
        <v>5044</v>
      </c>
      <c r="AG603" s="7">
        <v>2</v>
      </c>
      <c r="AH603" s="7">
        <v>3</v>
      </c>
      <c r="AI603" s="7">
        <v>0</v>
      </c>
      <c r="AJ603" s="7" t="s">
        <v>5044</v>
      </c>
      <c r="AK603" s="7" t="s">
        <v>5837</v>
      </c>
      <c r="AL603" s="7">
        <v>1</v>
      </c>
      <c r="AM603" s="7">
        <v>0</v>
      </c>
      <c r="AN603" s="7" t="s">
        <v>5318</v>
      </c>
    </row>
    <row r="604" spans="1:41" ht="63" customHeight="1" x14ac:dyDescent="0.2">
      <c r="A604" s="7">
        <v>6182</v>
      </c>
      <c r="B604" s="7" t="s">
        <v>1913</v>
      </c>
      <c r="C604" s="7" t="s">
        <v>1914</v>
      </c>
      <c r="D604" s="7" t="s">
        <v>16</v>
      </c>
      <c r="F604" s="7" t="s">
        <v>118</v>
      </c>
      <c r="G604" s="7" t="s">
        <v>52</v>
      </c>
      <c r="H604" s="7" t="s">
        <v>53</v>
      </c>
      <c r="I604" s="7" t="s">
        <v>13</v>
      </c>
      <c r="J604" s="7" t="s">
        <v>1915</v>
      </c>
      <c r="K604" s="7" t="s">
        <v>1916</v>
      </c>
      <c r="L604" s="7" t="s">
        <v>5838</v>
      </c>
      <c r="M604" s="7">
        <v>1</v>
      </c>
      <c r="N604" s="7">
        <v>0</v>
      </c>
      <c r="O604" s="7" t="s">
        <v>5044</v>
      </c>
      <c r="P604" s="7">
        <v>0</v>
      </c>
      <c r="Q604" s="7">
        <v>0</v>
      </c>
      <c r="R604" s="7">
        <v>0</v>
      </c>
      <c r="S604" s="7" t="s">
        <v>7669</v>
      </c>
      <c r="T604" s="7">
        <v>4</v>
      </c>
      <c r="U604" s="7">
        <v>160</v>
      </c>
      <c r="V604" s="7">
        <v>0</v>
      </c>
      <c r="W604" s="7">
        <v>1</v>
      </c>
      <c r="X604" s="7">
        <v>0</v>
      </c>
      <c r="Y604" s="7">
        <v>0</v>
      </c>
      <c r="Z604" s="7">
        <v>0</v>
      </c>
      <c r="AA604" s="7">
        <v>0</v>
      </c>
      <c r="AB604" s="7">
        <v>1</v>
      </c>
      <c r="AC604" s="7" t="s">
        <v>5044</v>
      </c>
      <c r="AD604" s="7" t="s">
        <v>5044</v>
      </c>
      <c r="AE604" s="7" t="s">
        <v>5044</v>
      </c>
      <c r="AF604" s="7" t="s">
        <v>5044</v>
      </c>
      <c r="AG604" s="7" t="s">
        <v>5044</v>
      </c>
      <c r="AH604" s="7" t="s">
        <v>5044</v>
      </c>
      <c r="AI604" s="7" t="s">
        <v>5044</v>
      </c>
      <c r="AJ604" s="7" t="s">
        <v>5044</v>
      </c>
      <c r="AK604" s="7" t="s">
        <v>5318</v>
      </c>
      <c r="AL604" s="7" t="s">
        <v>5044</v>
      </c>
      <c r="AM604" s="7">
        <v>0</v>
      </c>
      <c r="AN604" s="7" t="s">
        <v>5318</v>
      </c>
    </row>
    <row r="605" spans="1:41" ht="63" customHeight="1" x14ac:dyDescent="0.2">
      <c r="A605" s="7">
        <v>6185</v>
      </c>
      <c r="B605" s="7" t="s">
        <v>1917</v>
      </c>
      <c r="C605" s="7" t="s">
        <v>1918</v>
      </c>
      <c r="D605" s="7" t="s">
        <v>46</v>
      </c>
      <c r="F605" s="7" t="s">
        <v>1919</v>
      </c>
      <c r="G605" s="7" t="s">
        <v>37</v>
      </c>
      <c r="H605" s="7" t="s">
        <v>202</v>
      </c>
      <c r="I605" s="7" t="s">
        <v>13</v>
      </c>
      <c r="J605" s="7" t="s">
        <v>1920</v>
      </c>
      <c r="K605" s="7" t="s">
        <v>1921</v>
      </c>
      <c r="L605" s="7" t="s">
        <v>5839</v>
      </c>
      <c r="M605" s="7">
        <v>0</v>
      </c>
      <c r="N605" s="7" t="s">
        <v>5044</v>
      </c>
      <c r="O605" s="7" t="s">
        <v>5044</v>
      </c>
      <c r="P605" s="7">
        <v>0</v>
      </c>
      <c r="Q605" s="7">
        <v>0</v>
      </c>
      <c r="R605" s="7">
        <v>0</v>
      </c>
      <c r="S605" s="7">
        <v>9</v>
      </c>
      <c r="T605" s="7">
        <v>4</v>
      </c>
      <c r="U605" s="7">
        <v>140</v>
      </c>
      <c r="V605" s="7">
        <v>0</v>
      </c>
      <c r="W605" s="7">
        <v>1</v>
      </c>
      <c r="X605" s="7">
        <v>0</v>
      </c>
      <c r="Y605" s="7">
        <v>0</v>
      </c>
      <c r="Z605" s="7">
        <v>0</v>
      </c>
      <c r="AA605" s="7">
        <v>0</v>
      </c>
      <c r="AB605" s="7">
        <v>1</v>
      </c>
      <c r="AC605" s="7">
        <v>1</v>
      </c>
      <c r="AD605" s="7" t="s">
        <v>5044</v>
      </c>
      <c r="AE605" s="7" t="s">
        <v>5044</v>
      </c>
      <c r="AF605" s="7" t="s">
        <v>5044</v>
      </c>
      <c r="AG605" s="7">
        <v>2</v>
      </c>
      <c r="AH605" s="7">
        <v>3</v>
      </c>
      <c r="AI605" s="7">
        <v>0</v>
      </c>
      <c r="AJ605" s="7" t="s">
        <v>5044</v>
      </c>
      <c r="AK605" s="7">
        <v>1</v>
      </c>
      <c r="AL605" s="7">
        <v>0</v>
      </c>
      <c r="AM605" s="7">
        <v>0</v>
      </c>
      <c r="AN605" s="7" t="s">
        <v>5318</v>
      </c>
    </row>
    <row r="606" spans="1:41" ht="63" customHeight="1" x14ac:dyDescent="0.2">
      <c r="A606" s="7">
        <v>6188</v>
      </c>
      <c r="B606" s="7" t="s">
        <v>1922</v>
      </c>
      <c r="C606" s="7" t="s">
        <v>1923</v>
      </c>
      <c r="D606" s="7" t="s">
        <v>56</v>
      </c>
      <c r="F606" s="7" t="s">
        <v>325</v>
      </c>
      <c r="G606" s="7" t="s">
        <v>27</v>
      </c>
      <c r="H606" s="7" t="s">
        <v>238</v>
      </c>
      <c r="I606" s="7" t="s">
        <v>13</v>
      </c>
      <c r="J606" s="7" t="s">
        <v>1924</v>
      </c>
      <c r="K606" s="7" t="s">
        <v>1925</v>
      </c>
      <c r="L606" s="11" t="s">
        <v>5044</v>
      </c>
      <c r="M606" s="7">
        <v>0</v>
      </c>
      <c r="N606" s="7" t="s">
        <v>5044</v>
      </c>
      <c r="O606" s="7" t="s">
        <v>5044</v>
      </c>
      <c r="P606" s="7">
        <v>0</v>
      </c>
      <c r="Q606" s="7">
        <v>0</v>
      </c>
      <c r="R606" s="7">
        <v>0</v>
      </c>
      <c r="S606" s="7">
        <v>3</v>
      </c>
      <c r="T606" s="7">
        <v>4</v>
      </c>
      <c r="U606" s="7">
        <v>40</v>
      </c>
      <c r="V606" s="7">
        <v>0</v>
      </c>
      <c r="W606" s="7">
        <v>1</v>
      </c>
      <c r="X606" s="7">
        <v>0</v>
      </c>
      <c r="Y606" s="7">
        <v>0</v>
      </c>
      <c r="Z606" s="7">
        <v>0</v>
      </c>
      <c r="AA606" s="7">
        <v>0</v>
      </c>
      <c r="AB606" s="7">
        <v>1</v>
      </c>
      <c r="AC606" s="7">
        <v>1</v>
      </c>
      <c r="AD606" s="7" t="s">
        <v>5044</v>
      </c>
      <c r="AE606" s="7" t="s">
        <v>5044</v>
      </c>
      <c r="AF606" s="7" t="s">
        <v>5044</v>
      </c>
      <c r="AG606" s="7">
        <v>2</v>
      </c>
      <c r="AH606" s="7">
        <v>3</v>
      </c>
      <c r="AI606" s="7">
        <v>0</v>
      </c>
      <c r="AJ606" s="7" t="s">
        <v>5044</v>
      </c>
      <c r="AK606" s="7" t="s">
        <v>5840</v>
      </c>
      <c r="AL606" s="7">
        <v>0</v>
      </c>
      <c r="AM606" s="7">
        <v>0</v>
      </c>
      <c r="AN606" s="7" t="s">
        <v>5841</v>
      </c>
      <c r="AO606" s="7" t="s">
        <v>6494</v>
      </c>
    </row>
    <row r="607" spans="1:41" ht="63" customHeight="1" x14ac:dyDescent="0.2">
      <c r="A607" s="7">
        <v>6199</v>
      </c>
      <c r="B607" s="7" t="s">
        <v>1926</v>
      </c>
      <c r="C607" s="7" t="s">
        <v>1927</v>
      </c>
      <c r="D607" s="7" t="s">
        <v>41</v>
      </c>
      <c r="F607" s="7" t="s">
        <v>237</v>
      </c>
      <c r="G607" s="7" t="s">
        <v>18</v>
      </c>
      <c r="H607" s="7" t="s">
        <v>157</v>
      </c>
      <c r="I607" s="7" t="s">
        <v>13</v>
      </c>
      <c r="J607" s="7" t="s">
        <v>1928</v>
      </c>
      <c r="K607" s="7" t="s">
        <v>1929</v>
      </c>
      <c r="L607" s="7" t="s">
        <v>5842</v>
      </c>
      <c r="M607" s="7">
        <v>0</v>
      </c>
      <c r="N607" s="7" t="s">
        <v>5044</v>
      </c>
      <c r="O607" s="7" t="s">
        <v>5044</v>
      </c>
      <c r="P607" s="7">
        <v>0</v>
      </c>
      <c r="Q607" s="7">
        <v>0</v>
      </c>
      <c r="R607" s="7">
        <v>0</v>
      </c>
      <c r="S607" s="7">
        <v>1</v>
      </c>
      <c r="T607" s="7">
        <v>4</v>
      </c>
      <c r="U607" s="7">
        <v>186</v>
      </c>
      <c r="V607" s="7">
        <v>0</v>
      </c>
      <c r="W607" s="7">
        <v>1</v>
      </c>
      <c r="X607" s="7">
        <v>0</v>
      </c>
      <c r="Y607" s="7">
        <v>0</v>
      </c>
      <c r="Z607" s="7">
        <v>0</v>
      </c>
      <c r="AA607" s="7">
        <v>0</v>
      </c>
      <c r="AB607" s="7">
        <v>1</v>
      </c>
      <c r="AC607" s="7">
        <v>1</v>
      </c>
      <c r="AD607" s="7" t="s">
        <v>5044</v>
      </c>
      <c r="AE607" s="7" t="s">
        <v>5044</v>
      </c>
      <c r="AF607" s="7" t="s">
        <v>5044</v>
      </c>
      <c r="AG607" s="7">
        <v>2</v>
      </c>
      <c r="AH607" s="7">
        <v>2</v>
      </c>
      <c r="AI607" s="7">
        <v>2</v>
      </c>
      <c r="AJ607" s="7" t="s">
        <v>5044</v>
      </c>
      <c r="AK607" s="7" t="s">
        <v>5843</v>
      </c>
      <c r="AL607" s="7">
        <v>1</v>
      </c>
      <c r="AM607" s="7">
        <v>0</v>
      </c>
      <c r="AN607" s="7" t="s">
        <v>5217</v>
      </c>
    </row>
    <row r="608" spans="1:41" ht="63" customHeight="1" x14ac:dyDescent="0.2">
      <c r="A608" s="7">
        <v>6210</v>
      </c>
      <c r="B608" s="7" t="s">
        <v>1930</v>
      </c>
      <c r="C608" s="7" t="s">
        <v>1931</v>
      </c>
      <c r="D608" s="7" t="s">
        <v>101</v>
      </c>
      <c r="F608" s="7" t="s">
        <v>168</v>
      </c>
      <c r="G608" s="7" t="s">
        <v>32</v>
      </c>
      <c r="H608" s="7" t="s">
        <v>1237</v>
      </c>
      <c r="I608" s="7" t="s">
        <v>13</v>
      </c>
      <c r="J608" s="7" t="s">
        <v>1932</v>
      </c>
      <c r="K608" s="7" t="s">
        <v>1933</v>
      </c>
      <c r="L608" s="7" t="s">
        <v>5844</v>
      </c>
      <c r="M608" s="7">
        <v>0</v>
      </c>
      <c r="N608" s="7" t="s">
        <v>5044</v>
      </c>
      <c r="O608" s="7" t="s">
        <v>5044</v>
      </c>
      <c r="P608" s="7">
        <v>1</v>
      </c>
      <c r="Q608" s="7">
        <v>0</v>
      </c>
      <c r="R608" s="7">
        <v>0</v>
      </c>
      <c r="S608" s="7">
        <v>1</v>
      </c>
      <c r="T608" s="7">
        <v>4</v>
      </c>
      <c r="U608" s="7">
        <v>60</v>
      </c>
      <c r="V608" s="7">
        <v>0</v>
      </c>
      <c r="W608" s="7">
        <v>1</v>
      </c>
      <c r="X608" s="7">
        <v>0</v>
      </c>
      <c r="Y608" s="7">
        <v>0</v>
      </c>
      <c r="Z608" s="7">
        <v>0</v>
      </c>
      <c r="AA608" s="7">
        <v>0</v>
      </c>
      <c r="AB608" s="7">
        <v>1</v>
      </c>
      <c r="AC608" s="7">
        <v>1</v>
      </c>
      <c r="AD608" s="7" t="s">
        <v>5044</v>
      </c>
      <c r="AE608" s="7" t="s">
        <v>5044</v>
      </c>
      <c r="AF608" s="7" t="s">
        <v>5044</v>
      </c>
      <c r="AG608" s="7">
        <v>2</v>
      </c>
      <c r="AH608" s="7">
        <v>3</v>
      </c>
      <c r="AI608" s="7">
        <v>0</v>
      </c>
      <c r="AJ608" s="7" t="s">
        <v>5044</v>
      </c>
      <c r="AK608" s="7" t="s">
        <v>5845</v>
      </c>
      <c r="AL608" s="7">
        <v>1</v>
      </c>
      <c r="AM608" s="7">
        <v>0</v>
      </c>
      <c r="AN608" s="7" t="s">
        <v>5318</v>
      </c>
    </row>
    <row r="609" spans="1:40" ht="63" customHeight="1" x14ac:dyDescent="0.2">
      <c r="A609" s="7">
        <v>6221</v>
      </c>
      <c r="B609" s="7" t="s">
        <v>1934</v>
      </c>
      <c r="C609" s="7" t="s">
        <v>1935</v>
      </c>
      <c r="D609" s="7" t="s">
        <v>56</v>
      </c>
      <c r="F609" s="7" t="s">
        <v>521</v>
      </c>
      <c r="G609" s="7" t="s">
        <v>18</v>
      </c>
      <c r="H609" s="7" t="s">
        <v>38</v>
      </c>
      <c r="I609" s="7" t="s">
        <v>13</v>
      </c>
      <c r="J609" s="7" t="s">
        <v>1936</v>
      </c>
      <c r="K609" s="7" t="s">
        <v>1937</v>
      </c>
      <c r="L609" s="7" t="s">
        <v>5846</v>
      </c>
      <c r="M609" s="7">
        <v>0</v>
      </c>
      <c r="N609" s="7" t="s">
        <v>5044</v>
      </c>
      <c r="O609" s="7" t="s">
        <v>5044</v>
      </c>
      <c r="P609" s="7">
        <v>0</v>
      </c>
      <c r="Q609" s="7">
        <v>0</v>
      </c>
      <c r="R609" s="7">
        <v>0</v>
      </c>
      <c r="S609" s="7">
        <v>1</v>
      </c>
      <c r="T609" s="7">
        <v>4</v>
      </c>
      <c r="U609" s="7">
        <v>200</v>
      </c>
      <c r="V609" s="7">
        <v>0</v>
      </c>
      <c r="W609" s="7">
        <v>1</v>
      </c>
      <c r="X609" s="7">
        <v>0</v>
      </c>
      <c r="Y609" s="7">
        <v>0</v>
      </c>
      <c r="Z609" s="7">
        <v>0</v>
      </c>
      <c r="AA609" s="7">
        <v>0</v>
      </c>
      <c r="AB609" s="7">
        <v>1</v>
      </c>
      <c r="AC609" s="7">
        <v>1</v>
      </c>
      <c r="AD609" s="7" t="s">
        <v>5044</v>
      </c>
      <c r="AE609" s="7" t="s">
        <v>5044</v>
      </c>
      <c r="AF609" s="7" t="s">
        <v>5044</v>
      </c>
      <c r="AG609" s="7">
        <v>1</v>
      </c>
      <c r="AH609" s="7">
        <v>0</v>
      </c>
      <c r="AI609" s="7">
        <v>0</v>
      </c>
      <c r="AJ609" s="7" t="s">
        <v>5044</v>
      </c>
      <c r="AK609" s="7" t="s">
        <v>5318</v>
      </c>
      <c r="AL609" s="7">
        <v>1</v>
      </c>
      <c r="AM609" s="7">
        <v>0</v>
      </c>
    </row>
    <row r="610" spans="1:40" ht="63" customHeight="1" x14ac:dyDescent="0.2">
      <c r="A610" s="7">
        <v>6226</v>
      </c>
      <c r="B610" s="7" t="s">
        <v>1938</v>
      </c>
      <c r="C610" s="7" t="s">
        <v>1939</v>
      </c>
      <c r="D610" s="7" t="s">
        <v>16</v>
      </c>
      <c r="F610" s="7" t="s">
        <v>571</v>
      </c>
      <c r="H610" s="7" t="s">
        <v>1940</v>
      </c>
      <c r="I610" s="7" t="s">
        <v>13</v>
      </c>
      <c r="J610" s="7" t="s">
        <v>1941</v>
      </c>
      <c r="K610" s="7" t="s">
        <v>1942</v>
      </c>
      <c r="L610" s="11" t="s">
        <v>5044</v>
      </c>
      <c r="M610" s="7">
        <v>0</v>
      </c>
      <c r="N610" s="7" t="s">
        <v>5044</v>
      </c>
      <c r="O610" s="7" t="s">
        <v>5044</v>
      </c>
      <c r="P610" s="7">
        <v>0</v>
      </c>
      <c r="Q610" s="7">
        <v>0</v>
      </c>
      <c r="R610" s="7">
        <v>0</v>
      </c>
      <c r="S610" s="7">
        <v>1</v>
      </c>
      <c r="T610" s="7">
        <v>4</v>
      </c>
      <c r="U610" s="7">
        <v>79</v>
      </c>
      <c r="V610" s="7">
        <v>0</v>
      </c>
      <c r="W610" s="7">
        <v>1</v>
      </c>
      <c r="X610" s="7">
        <v>0</v>
      </c>
      <c r="Y610" s="7">
        <v>0</v>
      </c>
      <c r="Z610" s="7">
        <v>0</v>
      </c>
      <c r="AA610" s="7">
        <v>0</v>
      </c>
      <c r="AB610" s="7">
        <v>1</v>
      </c>
      <c r="AC610" s="7">
        <v>1</v>
      </c>
      <c r="AD610" s="7" t="s">
        <v>5044</v>
      </c>
      <c r="AE610" s="7" t="s">
        <v>5044</v>
      </c>
      <c r="AF610" s="7" t="s">
        <v>5044</v>
      </c>
      <c r="AG610" s="7">
        <v>2</v>
      </c>
      <c r="AH610" s="7">
        <v>2</v>
      </c>
      <c r="AI610" s="7">
        <v>2</v>
      </c>
      <c r="AJ610" s="7" t="s">
        <v>5044</v>
      </c>
      <c r="AK610" s="7" t="s">
        <v>5318</v>
      </c>
      <c r="AL610" s="7">
        <v>1</v>
      </c>
      <c r="AM610" s="7">
        <v>0</v>
      </c>
      <c r="AN610" s="7" t="s">
        <v>5318</v>
      </c>
    </row>
    <row r="611" spans="1:40" ht="63" customHeight="1" x14ac:dyDescent="0.2">
      <c r="A611" s="7">
        <v>6229</v>
      </c>
      <c r="B611" s="7" t="s">
        <v>1943</v>
      </c>
      <c r="C611" s="7" t="s">
        <v>1944</v>
      </c>
      <c r="D611" s="7" t="s">
        <v>101</v>
      </c>
      <c r="F611" s="7" t="s">
        <v>37</v>
      </c>
      <c r="G611" s="7" t="s">
        <v>48</v>
      </c>
      <c r="H611" s="7" t="s">
        <v>241</v>
      </c>
      <c r="I611" s="7" t="s">
        <v>13</v>
      </c>
      <c r="J611" s="7" t="s">
        <v>1945</v>
      </c>
      <c r="K611" s="7" t="s">
        <v>1946</v>
      </c>
      <c r="L611" s="7" t="s">
        <v>5847</v>
      </c>
      <c r="M611" s="7">
        <v>0</v>
      </c>
      <c r="N611" s="7" t="s">
        <v>5044</v>
      </c>
      <c r="O611" s="7" t="s">
        <v>5044</v>
      </c>
      <c r="P611" s="7">
        <v>0</v>
      </c>
      <c r="Q611" s="7">
        <v>0</v>
      </c>
      <c r="R611" s="7">
        <v>0</v>
      </c>
      <c r="S611" s="7">
        <v>1</v>
      </c>
      <c r="T611" s="7">
        <v>4</v>
      </c>
      <c r="U611" s="7">
        <v>227</v>
      </c>
      <c r="V611" s="7">
        <v>1</v>
      </c>
      <c r="W611" s="7">
        <v>0</v>
      </c>
      <c r="X611" s="7">
        <v>0</v>
      </c>
      <c r="Y611" s="7">
        <v>0</v>
      </c>
      <c r="Z611" s="7">
        <v>0</v>
      </c>
      <c r="AA611" s="7">
        <v>0</v>
      </c>
      <c r="AB611" s="7">
        <v>1</v>
      </c>
      <c r="AC611" s="7">
        <v>1</v>
      </c>
      <c r="AD611" s="7">
        <v>2</v>
      </c>
      <c r="AE611" s="7">
        <v>3</v>
      </c>
      <c r="AF611" s="7">
        <v>0</v>
      </c>
      <c r="AG611" s="7" t="s">
        <v>5044</v>
      </c>
      <c r="AH611" s="7" t="s">
        <v>5044</v>
      </c>
      <c r="AI611" s="7" t="s">
        <v>5044</v>
      </c>
      <c r="AJ611" s="7" t="s">
        <v>5044</v>
      </c>
      <c r="AK611" s="7" t="s">
        <v>5778</v>
      </c>
      <c r="AL611" s="7">
        <v>1</v>
      </c>
      <c r="AM611" s="7">
        <v>0</v>
      </c>
      <c r="AN611" s="7" t="s">
        <v>5217</v>
      </c>
    </row>
    <row r="612" spans="1:40" ht="63" customHeight="1" x14ac:dyDescent="0.2">
      <c r="A612" s="7">
        <v>6233</v>
      </c>
      <c r="B612" s="7" t="s">
        <v>1947</v>
      </c>
      <c r="C612" s="7" t="s">
        <v>1948</v>
      </c>
      <c r="D612" s="7" t="s">
        <v>41</v>
      </c>
      <c r="F612" s="7" t="s">
        <v>338</v>
      </c>
      <c r="G612" s="7" t="s">
        <v>92</v>
      </c>
      <c r="H612" s="7" t="s">
        <v>1949</v>
      </c>
      <c r="I612" s="7" t="s">
        <v>13</v>
      </c>
      <c r="J612" s="7" t="s">
        <v>1950</v>
      </c>
      <c r="K612" s="7" t="s">
        <v>1951</v>
      </c>
      <c r="L612" s="7" t="s">
        <v>5848</v>
      </c>
      <c r="M612" s="7">
        <v>0</v>
      </c>
      <c r="N612" s="7" t="s">
        <v>5044</v>
      </c>
      <c r="O612" s="7" t="s">
        <v>5044</v>
      </c>
      <c r="P612" s="7">
        <v>0</v>
      </c>
      <c r="Q612" s="7">
        <v>0</v>
      </c>
      <c r="R612" s="7">
        <v>0</v>
      </c>
      <c r="S612" s="7">
        <v>1</v>
      </c>
      <c r="T612" s="7">
        <v>4</v>
      </c>
      <c r="U612" s="7">
        <v>80</v>
      </c>
      <c r="V612" s="7">
        <v>0</v>
      </c>
      <c r="W612" s="7">
        <v>1</v>
      </c>
      <c r="X612" s="7">
        <v>0</v>
      </c>
      <c r="Y612" s="7">
        <v>0</v>
      </c>
      <c r="Z612" s="7">
        <v>0</v>
      </c>
      <c r="AA612" s="7">
        <v>0</v>
      </c>
      <c r="AB612" s="7">
        <v>1</v>
      </c>
      <c r="AC612" s="7">
        <v>1</v>
      </c>
      <c r="AD612" s="7" t="s">
        <v>5044</v>
      </c>
      <c r="AE612" s="7" t="s">
        <v>5044</v>
      </c>
      <c r="AF612" s="7" t="s">
        <v>5044</v>
      </c>
      <c r="AG612" s="7">
        <v>2</v>
      </c>
      <c r="AH612" s="7">
        <v>3</v>
      </c>
      <c r="AI612" s="7">
        <v>0</v>
      </c>
      <c r="AJ612" s="7" t="s">
        <v>5044</v>
      </c>
      <c r="AK612" s="7">
        <v>1</v>
      </c>
      <c r="AL612" s="7">
        <v>1</v>
      </c>
      <c r="AM612" s="7">
        <v>0</v>
      </c>
      <c r="AN612" s="7" t="s">
        <v>5318</v>
      </c>
    </row>
    <row r="613" spans="1:40" ht="63" customHeight="1" x14ac:dyDescent="0.2">
      <c r="A613" s="7">
        <v>6239</v>
      </c>
      <c r="B613" s="7" t="s">
        <v>1952</v>
      </c>
      <c r="C613" s="7" t="s">
        <v>1953</v>
      </c>
      <c r="D613" s="7" t="s">
        <v>16</v>
      </c>
      <c r="F613" s="7" t="s">
        <v>11</v>
      </c>
      <c r="G613" s="7" t="s">
        <v>32</v>
      </c>
      <c r="H613" s="7" t="s">
        <v>1954</v>
      </c>
      <c r="I613" s="7" t="s">
        <v>13</v>
      </c>
      <c r="J613" s="7" t="s">
        <v>1955</v>
      </c>
      <c r="K613" s="7" t="s">
        <v>1956</v>
      </c>
      <c r="L613" s="11" t="s">
        <v>5044</v>
      </c>
      <c r="M613" s="7">
        <v>0</v>
      </c>
      <c r="N613" s="7" t="s">
        <v>5044</v>
      </c>
      <c r="O613" s="7" t="s">
        <v>5044</v>
      </c>
      <c r="P613" s="7">
        <v>0</v>
      </c>
      <c r="Q613" s="7">
        <v>0</v>
      </c>
      <c r="R613" s="7">
        <v>0</v>
      </c>
      <c r="S613" s="7">
        <v>10</v>
      </c>
      <c r="T613" s="7">
        <v>4</v>
      </c>
      <c r="U613" s="7">
        <v>24</v>
      </c>
      <c r="V613" s="7">
        <v>0</v>
      </c>
      <c r="W613" s="7">
        <v>1</v>
      </c>
      <c r="X613" s="7">
        <v>0</v>
      </c>
      <c r="Y613" s="7">
        <v>0</v>
      </c>
      <c r="Z613" s="7">
        <v>0</v>
      </c>
      <c r="AA613" s="7">
        <v>0</v>
      </c>
      <c r="AB613" s="7">
        <v>1</v>
      </c>
      <c r="AC613" s="7">
        <v>1</v>
      </c>
      <c r="AD613" s="7" t="s">
        <v>5044</v>
      </c>
      <c r="AE613" s="7" t="s">
        <v>5044</v>
      </c>
      <c r="AF613" s="7" t="s">
        <v>5044</v>
      </c>
      <c r="AG613" s="7">
        <v>1</v>
      </c>
      <c r="AH613" s="7">
        <v>0</v>
      </c>
      <c r="AI613" s="7">
        <v>0</v>
      </c>
      <c r="AJ613" s="7" t="s">
        <v>5044</v>
      </c>
      <c r="AK613" s="7" t="s">
        <v>5318</v>
      </c>
      <c r="AL613" s="7">
        <v>0</v>
      </c>
      <c r="AM613" s="7">
        <v>0</v>
      </c>
      <c r="AN613" s="7" t="s">
        <v>5318</v>
      </c>
    </row>
    <row r="614" spans="1:40" ht="63" customHeight="1" x14ac:dyDescent="0.2">
      <c r="A614" s="7">
        <v>6241</v>
      </c>
      <c r="B614" s="7" t="s">
        <v>1957</v>
      </c>
      <c r="C614" s="7" t="s">
        <v>1958</v>
      </c>
      <c r="D614" s="7" t="s">
        <v>101</v>
      </c>
      <c r="F614" s="7" t="s">
        <v>37</v>
      </c>
      <c r="G614" s="7" t="s">
        <v>32</v>
      </c>
      <c r="H614" s="7" t="s">
        <v>708</v>
      </c>
      <c r="I614" s="7" t="s">
        <v>13</v>
      </c>
      <c r="J614" s="7" t="s">
        <v>1959</v>
      </c>
      <c r="K614" s="7" t="s">
        <v>1960</v>
      </c>
      <c r="L614" s="11" t="s">
        <v>5044</v>
      </c>
      <c r="M614" s="7">
        <v>0</v>
      </c>
      <c r="N614" s="7" t="s">
        <v>5044</v>
      </c>
      <c r="O614" s="7" t="s">
        <v>5044</v>
      </c>
      <c r="P614" s="7">
        <v>0</v>
      </c>
      <c r="Q614" s="7">
        <v>0</v>
      </c>
      <c r="R614" s="7">
        <v>0</v>
      </c>
      <c r="S614" s="7">
        <v>3</v>
      </c>
      <c r="T614" s="7">
        <v>1</v>
      </c>
      <c r="U614" s="7">
        <v>178</v>
      </c>
      <c r="V614" s="7">
        <v>0</v>
      </c>
      <c r="W614" s="7">
        <v>1</v>
      </c>
      <c r="X614" s="7">
        <v>0</v>
      </c>
      <c r="Y614" s="7">
        <v>0</v>
      </c>
      <c r="Z614" s="7">
        <v>0</v>
      </c>
      <c r="AA614" s="7">
        <v>0</v>
      </c>
      <c r="AB614" s="7">
        <v>1</v>
      </c>
      <c r="AC614" s="7">
        <v>1</v>
      </c>
      <c r="AD614" s="7" t="s">
        <v>5044</v>
      </c>
      <c r="AE614" s="7" t="s">
        <v>5044</v>
      </c>
      <c r="AF614" s="7" t="s">
        <v>5044</v>
      </c>
      <c r="AG614" s="7">
        <v>2</v>
      </c>
      <c r="AH614" s="7">
        <v>3</v>
      </c>
      <c r="AI614" s="7">
        <v>0</v>
      </c>
      <c r="AJ614" s="7" t="s">
        <v>5044</v>
      </c>
      <c r="AK614" s="7">
        <v>1</v>
      </c>
      <c r="AL614" s="7">
        <v>0</v>
      </c>
      <c r="AM614" s="7">
        <v>0</v>
      </c>
      <c r="AN614" s="7" t="s">
        <v>5318</v>
      </c>
    </row>
    <row r="615" spans="1:40" ht="63" customHeight="1" x14ac:dyDescent="0.2">
      <c r="A615" s="7">
        <v>6257</v>
      </c>
      <c r="B615" s="7" t="s">
        <v>1965</v>
      </c>
      <c r="C615" s="7" t="s">
        <v>1966</v>
      </c>
      <c r="D615" s="7" t="s">
        <v>101</v>
      </c>
      <c r="F615" s="7" t="s">
        <v>1967</v>
      </c>
      <c r="G615" s="7" t="s">
        <v>144</v>
      </c>
      <c r="H615" s="7" t="s">
        <v>459</v>
      </c>
      <c r="I615" s="7" t="s">
        <v>13</v>
      </c>
      <c r="J615" s="7" t="s">
        <v>1968</v>
      </c>
      <c r="K615" s="7" t="s">
        <v>1969</v>
      </c>
      <c r="L615" s="7" t="s">
        <v>5849</v>
      </c>
      <c r="M615" s="7">
        <v>0</v>
      </c>
      <c r="N615" s="7" t="s">
        <v>5044</v>
      </c>
      <c r="O615" s="7" t="s">
        <v>5044</v>
      </c>
      <c r="P615" s="7">
        <v>0</v>
      </c>
      <c r="Q615" s="7">
        <v>0</v>
      </c>
      <c r="R615" s="7">
        <v>0</v>
      </c>
      <c r="S615" s="7">
        <v>1</v>
      </c>
      <c r="T615" s="7">
        <v>1</v>
      </c>
      <c r="U615" s="7">
        <v>261</v>
      </c>
      <c r="V615" s="7">
        <v>1</v>
      </c>
      <c r="W615" s="7">
        <v>0</v>
      </c>
      <c r="X615" s="7">
        <v>0</v>
      </c>
      <c r="Y615" s="7">
        <v>1</v>
      </c>
      <c r="Z615" s="7">
        <v>0</v>
      </c>
      <c r="AA615" s="7">
        <v>0</v>
      </c>
      <c r="AB615" s="7">
        <v>1</v>
      </c>
      <c r="AC615" s="7">
        <v>1</v>
      </c>
      <c r="AD615" s="7">
        <v>1</v>
      </c>
      <c r="AE615" s="7">
        <v>0</v>
      </c>
      <c r="AF615" s="7">
        <v>0</v>
      </c>
      <c r="AG615" s="7" t="s">
        <v>5044</v>
      </c>
      <c r="AH615" s="7" t="s">
        <v>5044</v>
      </c>
      <c r="AI615" s="7" t="s">
        <v>5044</v>
      </c>
      <c r="AJ615" s="7">
        <v>0</v>
      </c>
      <c r="AK615" s="7" t="s">
        <v>5318</v>
      </c>
      <c r="AL615" s="7">
        <v>0</v>
      </c>
      <c r="AM615" s="7">
        <v>0</v>
      </c>
      <c r="AN615" s="7" t="s">
        <v>5318</v>
      </c>
    </row>
    <row r="616" spans="1:40" ht="63" customHeight="1" x14ac:dyDescent="0.2">
      <c r="A616" s="7">
        <v>6266</v>
      </c>
      <c r="B616" s="7" t="s">
        <v>1970</v>
      </c>
      <c r="C616" s="7" t="s">
        <v>1971</v>
      </c>
      <c r="D616" s="7" t="s">
        <v>41</v>
      </c>
      <c r="F616" s="7" t="s">
        <v>254</v>
      </c>
      <c r="G616" s="7" t="s">
        <v>175</v>
      </c>
      <c r="H616" s="7" t="s">
        <v>164</v>
      </c>
      <c r="I616" s="7" t="s">
        <v>13</v>
      </c>
      <c r="J616" s="7" t="s">
        <v>1972</v>
      </c>
      <c r="L616" s="7" t="s">
        <v>6495</v>
      </c>
      <c r="M616" s="7">
        <v>0</v>
      </c>
      <c r="N616" s="7" t="s">
        <v>5044</v>
      </c>
      <c r="O616" s="7" t="s">
        <v>5044</v>
      </c>
      <c r="P616" s="7">
        <v>0</v>
      </c>
      <c r="Q616" s="7">
        <v>0</v>
      </c>
      <c r="R616" s="7">
        <v>0</v>
      </c>
      <c r="S616" s="7">
        <v>9</v>
      </c>
      <c r="T616" s="7">
        <v>4</v>
      </c>
      <c r="U616" s="7">
        <v>52</v>
      </c>
      <c r="V616" s="7">
        <v>0</v>
      </c>
      <c r="W616" s="7">
        <v>1</v>
      </c>
      <c r="X616" s="7">
        <v>0</v>
      </c>
      <c r="Y616" s="7">
        <v>0</v>
      </c>
      <c r="Z616" s="7">
        <v>0</v>
      </c>
      <c r="AA616" s="7">
        <v>0</v>
      </c>
      <c r="AB616" s="7">
        <v>1</v>
      </c>
      <c r="AC616" s="7">
        <v>0</v>
      </c>
      <c r="AD616" s="7" t="s">
        <v>5044</v>
      </c>
      <c r="AE616" s="7" t="s">
        <v>5044</v>
      </c>
      <c r="AF616" s="7" t="s">
        <v>5044</v>
      </c>
      <c r="AG616" s="7">
        <v>0</v>
      </c>
      <c r="AH616" s="7" t="s">
        <v>5044</v>
      </c>
      <c r="AI616" s="7" t="s">
        <v>5044</v>
      </c>
      <c r="AJ616" s="7" t="s">
        <v>5044</v>
      </c>
      <c r="AK616" s="7" t="s">
        <v>5318</v>
      </c>
      <c r="AL616" s="7">
        <v>1</v>
      </c>
      <c r="AM616" s="7">
        <v>0</v>
      </c>
    </row>
    <row r="617" spans="1:40" ht="63" customHeight="1" x14ac:dyDescent="0.2">
      <c r="A617" s="7">
        <v>6267</v>
      </c>
      <c r="B617" s="7" t="s">
        <v>1973</v>
      </c>
      <c r="C617" s="7" t="s">
        <v>1974</v>
      </c>
      <c r="D617" s="7" t="s">
        <v>101</v>
      </c>
      <c r="F617" s="7" t="s">
        <v>107</v>
      </c>
      <c r="G617" s="7" t="s">
        <v>17</v>
      </c>
      <c r="H617" s="7" t="s">
        <v>1975</v>
      </c>
      <c r="I617" s="7" t="s">
        <v>13</v>
      </c>
      <c r="J617" s="7" t="s">
        <v>1976</v>
      </c>
      <c r="K617" s="7" t="s">
        <v>1977</v>
      </c>
      <c r="L617" s="7" t="s">
        <v>5850</v>
      </c>
      <c r="M617" s="7">
        <v>0</v>
      </c>
      <c r="N617" s="7" t="s">
        <v>5044</v>
      </c>
      <c r="O617" s="7" t="s">
        <v>5044</v>
      </c>
      <c r="P617" s="7">
        <v>0</v>
      </c>
      <c r="Q617" s="7">
        <v>0</v>
      </c>
      <c r="R617" s="7">
        <v>0</v>
      </c>
      <c r="S617" s="7">
        <v>9</v>
      </c>
      <c r="T617" s="7">
        <v>4</v>
      </c>
      <c r="U617" s="7">
        <v>218</v>
      </c>
      <c r="V617" s="7">
        <v>0</v>
      </c>
      <c r="W617" s="7">
        <v>1</v>
      </c>
      <c r="X617" s="7">
        <v>0</v>
      </c>
      <c r="Y617" s="7">
        <v>0</v>
      </c>
      <c r="Z617" s="7">
        <v>0</v>
      </c>
      <c r="AA617" s="7">
        <v>0</v>
      </c>
      <c r="AB617" s="7">
        <v>1</v>
      </c>
      <c r="AC617" s="7">
        <v>0</v>
      </c>
      <c r="AD617" s="7" t="s">
        <v>5044</v>
      </c>
      <c r="AE617" s="7" t="s">
        <v>5044</v>
      </c>
      <c r="AF617" s="7" t="s">
        <v>5044</v>
      </c>
      <c r="AG617" s="7">
        <v>0</v>
      </c>
      <c r="AH617" s="7" t="s">
        <v>5044</v>
      </c>
      <c r="AI617" s="7" t="s">
        <v>5044</v>
      </c>
      <c r="AJ617" s="7" t="s">
        <v>5044</v>
      </c>
      <c r="AK617" s="7" t="s">
        <v>5318</v>
      </c>
      <c r="AL617" s="7">
        <v>1</v>
      </c>
      <c r="AM617" s="7">
        <v>0</v>
      </c>
    </row>
    <row r="618" spans="1:40" ht="63" customHeight="1" x14ac:dyDescent="0.2">
      <c r="A618" s="7">
        <v>6278</v>
      </c>
      <c r="B618" s="7" t="s">
        <v>1978</v>
      </c>
      <c r="C618" s="7" t="s">
        <v>1979</v>
      </c>
      <c r="D618" s="7" t="s">
        <v>22</v>
      </c>
      <c r="F618" s="7" t="s">
        <v>114</v>
      </c>
      <c r="G618" s="7" t="s">
        <v>52</v>
      </c>
      <c r="H618" s="7" t="s">
        <v>102</v>
      </c>
      <c r="I618" s="7" t="s">
        <v>13</v>
      </c>
      <c r="J618" s="7" t="s">
        <v>1980</v>
      </c>
      <c r="K618" s="7" t="s">
        <v>1981</v>
      </c>
      <c r="L618" s="7" t="s">
        <v>5851</v>
      </c>
      <c r="M618" s="7">
        <v>0</v>
      </c>
      <c r="N618" s="7" t="s">
        <v>5044</v>
      </c>
      <c r="O618" s="7" t="s">
        <v>5044</v>
      </c>
      <c r="P618" s="7">
        <v>0</v>
      </c>
      <c r="Q618" s="7">
        <v>0</v>
      </c>
      <c r="R618" s="7">
        <v>0</v>
      </c>
      <c r="S618" s="7">
        <v>3</v>
      </c>
      <c r="T618" s="7">
        <v>4</v>
      </c>
      <c r="U618" s="7">
        <v>290</v>
      </c>
      <c r="V618" s="7">
        <v>1</v>
      </c>
      <c r="W618" s="7">
        <v>0</v>
      </c>
      <c r="X618" s="7">
        <v>0</v>
      </c>
      <c r="Y618" s="7">
        <v>0</v>
      </c>
      <c r="Z618" s="7">
        <v>0</v>
      </c>
      <c r="AA618" s="7">
        <v>0</v>
      </c>
      <c r="AB618" s="7">
        <v>1</v>
      </c>
      <c r="AC618" s="7">
        <v>1</v>
      </c>
      <c r="AD618" s="7">
        <v>2</v>
      </c>
      <c r="AE618" s="7">
        <v>2</v>
      </c>
      <c r="AF618" s="27" t="s">
        <v>5044</v>
      </c>
      <c r="AG618" s="7" t="s">
        <v>5044</v>
      </c>
      <c r="AH618" s="7" t="s">
        <v>5044</v>
      </c>
      <c r="AI618" s="7" t="s">
        <v>5044</v>
      </c>
      <c r="AJ618" s="7" t="s">
        <v>5044</v>
      </c>
      <c r="AL618" s="7">
        <v>1</v>
      </c>
      <c r="AM618" s="7">
        <v>0</v>
      </c>
      <c r="AN618" s="7" t="s">
        <v>5217</v>
      </c>
    </row>
    <row r="619" spans="1:40" ht="63" customHeight="1" x14ac:dyDescent="0.2">
      <c r="A619" s="7">
        <v>6279</v>
      </c>
      <c r="B619" s="7" t="s">
        <v>1982</v>
      </c>
      <c r="C619" s="7" t="s">
        <v>1983</v>
      </c>
      <c r="D619" s="7" t="s">
        <v>25</v>
      </c>
      <c r="F619" s="7" t="s">
        <v>791</v>
      </c>
      <c r="G619" s="7" t="s">
        <v>18</v>
      </c>
      <c r="H619" s="7" t="s">
        <v>1984</v>
      </c>
      <c r="I619" s="7" t="s">
        <v>13</v>
      </c>
      <c r="J619" s="7" t="s">
        <v>1985</v>
      </c>
      <c r="K619" s="7" t="s">
        <v>1986</v>
      </c>
      <c r="L619" s="7" t="s">
        <v>5852</v>
      </c>
      <c r="M619" s="7">
        <v>0</v>
      </c>
      <c r="N619" s="7" t="s">
        <v>5044</v>
      </c>
      <c r="O619" s="7" t="s">
        <v>5044</v>
      </c>
      <c r="P619" s="7">
        <v>0</v>
      </c>
      <c r="Q619" s="7">
        <v>0</v>
      </c>
      <c r="R619" s="7">
        <v>0</v>
      </c>
      <c r="S619" s="7">
        <v>3</v>
      </c>
      <c r="T619" s="7">
        <v>4</v>
      </c>
      <c r="U619" s="7">
        <v>73</v>
      </c>
      <c r="V619" s="7">
        <v>0</v>
      </c>
      <c r="W619" s="7">
        <v>1</v>
      </c>
      <c r="X619" s="7">
        <v>0</v>
      </c>
      <c r="Y619" s="7">
        <v>0</v>
      </c>
      <c r="Z619" s="7">
        <v>0</v>
      </c>
      <c r="AA619" s="7">
        <v>0</v>
      </c>
      <c r="AB619" s="7">
        <v>1</v>
      </c>
      <c r="AC619" s="7">
        <v>1</v>
      </c>
      <c r="AD619" s="7" t="s">
        <v>5044</v>
      </c>
      <c r="AE619" s="7" t="s">
        <v>5044</v>
      </c>
      <c r="AF619" s="7" t="s">
        <v>5044</v>
      </c>
      <c r="AG619" s="7">
        <v>2</v>
      </c>
      <c r="AH619" s="7">
        <v>3</v>
      </c>
      <c r="AI619" s="7">
        <v>0</v>
      </c>
      <c r="AJ619" s="7" t="s">
        <v>5044</v>
      </c>
      <c r="AK619" s="7" t="s">
        <v>5853</v>
      </c>
      <c r="AL619" s="7">
        <v>1</v>
      </c>
      <c r="AM619" s="7">
        <v>0</v>
      </c>
    </row>
    <row r="620" spans="1:40" ht="63" customHeight="1" x14ac:dyDescent="0.2">
      <c r="A620" s="7">
        <v>6282</v>
      </c>
      <c r="B620" s="7" t="s">
        <v>1987</v>
      </c>
      <c r="C620" s="7" t="s">
        <v>1988</v>
      </c>
      <c r="D620" s="7" t="s">
        <v>74</v>
      </c>
      <c r="F620" s="7" t="s">
        <v>1989</v>
      </c>
      <c r="H620" s="7" t="s">
        <v>775</v>
      </c>
      <c r="I620" s="7" t="s">
        <v>13</v>
      </c>
      <c r="J620" s="7" t="s">
        <v>1990</v>
      </c>
      <c r="K620" s="7" t="s">
        <v>1991</v>
      </c>
      <c r="L620" s="7" t="s">
        <v>5854</v>
      </c>
      <c r="M620" s="7">
        <v>0</v>
      </c>
      <c r="N620" s="7" t="s">
        <v>5044</v>
      </c>
      <c r="O620" s="7" t="s">
        <v>5044</v>
      </c>
      <c r="P620" s="7">
        <v>0</v>
      </c>
      <c r="Q620" s="7">
        <v>0</v>
      </c>
      <c r="R620" s="7">
        <v>0</v>
      </c>
      <c r="S620" s="7">
        <v>1</v>
      </c>
      <c r="T620" s="7">
        <v>4</v>
      </c>
      <c r="U620" s="7">
        <v>320</v>
      </c>
      <c r="V620" s="7">
        <v>0</v>
      </c>
      <c r="W620" s="7">
        <v>1</v>
      </c>
      <c r="X620" s="7">
        <v>0</v>
      </c>
      <c r="Y620" s="7">
        <v>0</v>
      </c>
      <c r="Z620" s="7">
        <v>0</v>
      </c>
      <c r="AA620" s="7">
        <v>0</v>
      </c>
      <c r="AB620" s="7">
        <v>1</v>
      </c>
      <c r="AC620" s="7">
        <v>1</v>
      </c>
      <c r="AD620" s="7" t="s">
        <v>5044</v>
      </c>
      <c r="AE620" s="7" t="s">
        <v>5044</v>
      </c>
      <c r="AF620" s="7" t="s">
        <v>5044</v>
      </c>
      <c r="AG620" s="7">
        <v>2</v>
      </c>
      <c r="AH620" s="7">
        <v>2</v>
      </c>
      <c r="AI620" s="7">
        <v>2</v>
      </c>
      <c r="AJ620" s="7" t="s">
        <v>5044</v>
      </c>
      <c r="AK620" s="7" t="s">
        <v>5318</v>
      </c>
      <c r="AL620" s="7">
        <v>1</v>
      </c>
      <c r="AM620" s="7">
        <v>0</v>
      </c>
      <c r="AN620" s="7" t="s">
        <v>5318</v>
      </c>
    </row>
    <row r="621" spans="1:40" ht="63" customHeight="1" x14ac:dyDescent="0.2">
      <c r="A621" s="7">
        <v>6288</v>
      </c>
      <c r="B621" s="7" t="s">
        <v>1992</v>
      </c>
      <c r="C621" s="7" t="s">
        <v>1993</v>
      </c>
      <c r="D621" s="7" t="s">
        <v>74</v>
      </c>
      <c r="F621" s="7" t="s">
        <v>351</v>
      </c>
      <c r="G621" s="7" t="s">
        <v>52</v>
      </c>
      <c r="H621" s="7" t="s">
        <v>217</v>
      </c>
      <c r="I621" s="7" t="s">
        <v>13</v>
      </c>
      <c r="J621" s="7" t="s">
        <v>1994</v>
      </c>
      <c r="K621" s="7" t="s">
        <v>1995</v>
      </c>
      <c r="L621" s="7" t="s">
        <v>5855</v>
      </c>
      <c r="M621" s="7">
        <v>0</v>
      </c>
      <c r="N621" s="7" t="s">
        <v>5044</v>
      </c>
      <c r="O621" s="7" t="s">
        <v>5044</v>
      </c>
      <c r="P621" s="7">
        <v>0</v>
      </c>
      <c r="Q621" s="7">
        <v>0</v>
      </c>
      <c r="R621" s="7">
        <v>0</v>
      </c>
      <c r="S621" s="7">
        <v>1</v>
      </c>
      <c r="T621" s="7">
        <v>4</v>
      </c>
      <c r="U621" s="7">
        <v>536</v>
      </c>
      <c r="V621" s="7">
        <v>0</v>
      </c>
      <c r="W621" s="7">
        <v>1</v>
      </c>
      <c r="X621" s="7">
        <v>0</v>
      </c>
      <c r="Y621" s="7">
        <v>0</v>
      </c>
      <c r="Z621" s="7">
        <v>0</v>
      </c>
      <c r="AA621" s="7">
        <v>0</v>
      </c>
      <c r="AB621" s="7">
        <v>1</v>
      </c>
      <c r="AC621" s="7">
        <v>1</v>
      </c>
      <c r="AD621" s="7" t="s">
        <v>5044</v>
      </c>
      <c r="AE621" s="7" t="s">
        <v>5044</v>
      </c>
      <c r="AF621" s="7" t="s">
        <v>5044</v>
      </c>
      <c r="AG621" s="7">
        <v>1</v>
      </c>
      <c r="AH621" s="7">
        <v>0</v>
      </c>
      <c r="AI621" s="7">
        <v>0</v>
      </c>
      <c r="AJ621" s="7" t="s">
        <v>5044</v>
      </c>
      <c r="AK621" s="7" t="s">
        <v>5318</v>
      </c>
      <c r="AL621" s="7">
        <v>0</v>
      </c>
      <c r="AM621" s="7">
        <v>0</v>
      </c>
    </row>
    <row r="622" spans="1:40" ht="63" customHeight="1" x14ac:dyDescent="0.2">
      <c r="A622" s="7">
        <v>6298</v>
      </c>
      <c r="B622" s="7" t="s">
        <v>1996</v>
      </c>
      <c r="C622" s="7" t="s">
        <v>1997</v>
      </c>
      <c r="D622" s="7" t="s">
        <v>41</v>
      </c>
      <c r="F622" s="7" t="s">
        <v>372</v>
      </c>
      <c r="G622" s="7" t="s">
        <v>11</v>
      </c>
      <c r="H622" s="7" t="s">
        <v>578</v>
      </c>
      <c r="I622" s="7" t="s">
        <v>13</v>
      </c>
      <c r="J622" s="7" t="s">
        <v>1998</v>
      </c>
      <c r="K622" s="7" t="s">
        <v>1999</v>
      </c>
      <c r="L622" s="7" t="s">
        <v>5856</v>
      </c>
      <c r="M622" s="7">
        <v>0</v>
      </c>
      <c r="N622" s="7" t="s">
        <v>5044</v>
      </c>
      <c r="O622" s="7" t="s">
        <v>5044</v>
      </c>
      <c r="P622" s="7">
        <v>0</v>
      </c>
      <c r="Q622" s="7">
        <v>0</v>
      </c>
      <c r="R622" s="7">
        <v>0</v>
      </c>
      <c r="S622" s="7">
        <v>4</v>
      </c>
      <c r="T622" s="7">
        <v>5</v>
      </c>
      <c r="U622" s="7">
        <v>60</v>
      </c>
      <c r="V622" s="7">
        <v>0</v>
      </c>
      <c r="W622" s="7">
        <v>1</v>
      </c>
      <c r="X622" s="7">
        <v>0</v>
      </c>
      <c r="Y622" s="7">
        <v>0</v>
      </c>
      <c r="Z622" s="7">
        <v>0</v>
      </c>
      <c r="AA622" s="7">
        <v>0</v>
      </c>
      <c r="AB622" s="7">
        <v>1</v>
      </c>
      <c r="AC622" s="7">
        <v>1</v>
      </c>
      <c r="AD622" s="7" t="s">
        <v>5044</v>
      </c>
      <c r="AE622" s="7" t="s">
        <v>5044</v>
      </c>
      <c r="AF622" s="7" t="s">
        <v>5044</v>
      </c>
      <c r="AG622" s="7">
        <v>2</v>
      </c>
      <c r="AH622" s="7">
        <v>3</v>
      </c>
      <c r="AI622" s="7">
        <v>0</v>
      </c>
      <c r="AJ622" s="7" t="s">
        <v>5044</v>
      </c>
      <c r="AK622" s="7">
        <v>1</v>
      </c>
      <c r="AL622" s="7">
        <v>1</v>
      </c>
      <c r="AM622" s="7">
        <v>0</v>
      </c>
      <c r="AN622" s="7" t="s">
        <v>5318</v>
      </c>
    </row>
    <row r="623" spans="1:40" ht="63" customHeight="1" x14ac:dyDescent="0.2">
      <c r="A623" s="7">
        <v>6299</v>
      </c>
      <c r="B623" s="7" t="s">
        <v>2000</v>
      </c>
      <c r="C623" s="7" t="s">
        <v>2001</v>
      </c>
      <c r="D623" s="7" t="s">
        <v>16</v>
      </c>
      <c r="F623" s="7" t="s">
        <v>65</v>
      </c>
      <c r="G623" s="7" t="s">
        <v>52</v>
      </c>
      <c r="H623" s="7" t="s">
        <v>2002</v>
      </c>
      <c r="I623" s="7" t="s">
        <v>13</v>
      </c>
      <c r="J623" s="7" t="s">
        <v>2003</v>
      </c>
      <c r="K623" s="7" t="s">
        <v>2004</v>
      </c>
      <c r="L623" s="7" t="s">
        <v>5857</v>
      </c>
      <c r="M623" s="7">
        <v>0</v>
      </c>
      <c r="N623" s="7" t="s">
        <v>5044</v>
      </c>
      <c r="O623" s="7" t="s">
        <v>5044</v>
      </c>
      <c r="P623" s="7">
        <v>0</v>
      </c>
      <c r="Q623" s="7">
        <v>0</v>
      </c>
      <c r="R623" s="7">
        <v>0</v>
      </c>
      <c r="S623" s="7">
        <v>4</v>
      </c>
      <c r="T623" s="7">
        <v>5</v>
      </c>
      <c r="U623" s="7">
        <v>60</v>
      </c>
      <c r="V623" s="7">
        <v>0</v>
      </c>
      <c r="W623" s="7">
        <v>1</v>
      </c>
      <c r="X623" s="7">
        <v>0</v>
      </c>
      <c r="Y623" s="7">
        <v>0</v>
      </c>
      <c r="Z623" s="7">
        <v>0</v>
      </c>
      <c r="AA623" s="7">
        <v>0</v>
      </c>
      <c r="AB623" s="7">
        <v>1</v>
      </c>
      <c r="AC623" s="7">
        <v>1</v>
      </c>
      <c r="AD623" s="7" t="s">
        <v>5044</v>
      </c>
      <c r="AE623" s="7" t="s">
        <v>5044</v>
      </c>
      <c r="AF623" s="7" t="s">
        <v>5044</v>
      </c>
      <c r="AG623" s="7">
        <v>2</v>
      </c>
      <c r="AH623" s="7">
        <v>3</v>
      </c>
      <c r="AI623" s="7">
        <v>0</v>
      </c>
      <c r="AJ623" s="7" t="s">
        <v>5044</v>
      </c>
      <c r="AK623" s="7">
        <v>1</v>
      </c>
      <c r="AL623" s="7">
        <v>1</v>
      </c>
      <c r="AM623" s="7">
        <v>0</v>
      </c>
      <c r="AN623" s="7" t="s">
        <v>5318</v>
      </c>
    </row>
    <row r="624" spans="1:40" ht="63" customHeight="1" x14ac:dyDescent="0.2">
      <c r="A624" s="7">
        <v>6310</v>
      </c>
      <c r="B624" s="7" t="s">
        <v>2005</v>
      </c>
      <c r="C624" s="7" t="s">
        <v>2006</v>
      </c>
      <c r="D624" s="7" t="s">
        <v>30</v>
      </c>
      <c r="F624" s="7" t="s">
        <v>133</v>
      </c>
      <c r="G624" s="7" t="s">
        <v>37</v>
      </c>
      <c r="H624" s="7" t="s">
        <v>43</v>
      </c>
      <c r="I624" s="7" t="s">
        <v>13</v>
      </c>
      <c r="J624" s="7" t="s">
        <v>2007</v>
      </c>
      <c r="K624" s="7" t="s">
        <v>2008</v>
      </c>
      <c r="L624" s="7" t="s">
        <v>5858</v>
      </c>
      <c r="M624" s="7">
        <v>0</v>
      </c>
      <c r="N624" s="7" t="s">
        <v>5044</v>
      </c>
      <c r="O624" s="7" t="s">
        <v>5044</v>
      </c>
      <c r="P624" s="7">
        <v>0</v>
      </c>
      <c r="Q624" s="7">
        <v>0</v>
      </c>
      <c r="R624" s="7">
        <v>0</v>
      </c>
      <c r="S624" s="7">
        <v>1</v>
      </c>
      <c r="T624" s="7">
        <v>5</v>
      </c>
      <c r="U624" s="7">
        <v>168</v>
      </c>
      <c r="V624" s="7">
        <v>0</v>
      </c>
      <c r="W624" s="7">
        <v>1</v>
      </c>
      <c r="X624" s="7">
        <v>0</v>
      </c>
      <c r="Y624" s="7">
        <v>0</v>
      </c>
      <c r="Z624" s="7">
        <v>0</v>
      </c>
      <c r="AA624" s="7">
        <v>0</v>
      </c>
      <c r="AB624" s="7">
        <v>1</v>
      </c>
      <c r="AC624" s="7">
        <v>1</v>
      </c>
      <c r="AD624" s="7" t="s">
        <v>5044</v>
      </c>
      <c r="AE624" s="7" t="s">
        <v>5044</v>
      </c>
      <c r="AF624" s="7" t="s">
        <v>5044</v>
      </c>
      <c r="AG624" s="7">
        <v>2</v>
      </c>
      <c r="AH624" s="7">
        <v>3</v>
      </c>
      <c r="AI624" s="7">
        <v>0</v>
      </c>
      <c r="AJ624" s="7" t="s">
        <v>5044</v>
      </c>
      <c r="AK624" s="7">
        <v>1</v>
      </c>
      <c r="AL624" s="7">
        <v>0</v>
      </c>
      <c r="AM624" s="7">
        <v>0</v>
      </c>
      <c r="AN624" s="7" t="s">
        <v>5318</v>
      </c>
    </row>
    <row r="625" spans="1:40" ht="63" customHeight="1" x14ac:dyDescent="0.2">
      <c r="A625" s="7">
        <v>6338</v>
      </c>
      <c r="B625" s="7" t="s">
        <v>2014</v>
      </c>
      <c r="C625" s="7" t="s">
        <v>2015</v>
      </c>
      <c r="D625" s="7" t="s">
        <v>56</v>
      </c>
      <c r="F625" s="7" t="s">
        <v>703</v>
      </c>
      <c r="G625" s="7" t="s">
        <v>37</v>
      </c>
      <c r="H625" s="7" t="s">
        <v>1502</v>
      </c>
      <c r="I625" s="7" t="s">
        <v>13</v>
      </c>
      <c r="J625" s="7" t="s">
        <v>2016</v>
      </c>
      <c r="K625" s="7" t="s">
        <v>2017</v>
      </c>
      <c r="L625" s="7" t="s">
        <v>5859</v>
      </c>
      <c r="M625" s="7">
        <v>0</v>
      </c>
      <c r="N625" s="7" t="s">
        <v>5044</v>
      </c>
      <c r="O625" s="9" t="s">
        <v>5044</v>
      </c>
      <c r="P625" s="7">
        <v>0</v>
      </c>
      <c r="Q625" s="7">
        <v>0</v>
      </c>
      <c r="R625" s="7">
        <v>0</v>
      </c>
      <c r="S625" s="7">
        <v>3</v>
      </c>
      <c r="T625" s="7">
        <v>4</v>
      </c>
      <c r="U625" s="7">
        <v>67</v>
      </c>
      <c r="V625" s="7">
        <v>0</v>
      </c>
      <c r="W625" s="7">
        <v>1</v>
      </c>
      <c r="X625" s="7">
        <v>0</v>
      </c>
      <c r="Y625" s="7">
        <v>0</v>
      </c>
      <c r="Z625" s="7">
        <v>0</v>
      </c>
      <c r="AA625" s="7">
        <v>0</v>
      </c>
      <c r="AB625" s="7">
        <v>1</v>
      </c>
      <c r="AC625" s="7">
        <v>0</v>
      </c>
      <c r="AD625" s="7" t="s">
        <v>5044</v>
      </c>
      <c r="AE625" s="7" t="s">
        <v>5044</v>
      </c>
      <c r="AF625" s="7" t="s">
        <v>5044</v>
      </c>
      <c r="AG625" s="7">
        <v>0</v>
      </c>
      <c r="AH625" s="7" t="s">
        <v>5044</v>
      </c>
      <c r="AI625" s="7" t="s">
        <v>5044</v>
      </c>
      <c r="AJ625" s="7" t="s">
        <v>5044</v>
      </c>
      <c r="AK625" s="7" t="s">
        <v>5318</v>
      </c>
      <c r="AL625" s="7">
        <v>0</v>
      </c>
      <c r="AM625" s="7">
        <v>0</v>
      </c>
    </row>
    <row r="626" spans="1:40" ht="63" customHeight="1" x14ac:dyDescent="0.2">
      <c r="A626" s="7">
        <v>6361</v>
      </c>
      <c r="B626" s="7" t="s">
        <v>2018</v>
      </c>
      <c r="C626" s="7" t="s">
        <v>2019</v>
      </c>
      <c r="D626" s="7" t="s">
        <v>46</v>
      </c>
      <c r="F626" s="7" t="s">
        <v>332</v>
      </c>
      <c r="G626" s="7" t="s">
        <v>17</v>
      </c>
      <c r="H626" s="7" t="s">
        <v>217</v>
      </c>
      <c r="I626" s="7" t="s">
        <v>13</v>
      </c>
      <c r="J626" s="7" t="s">
        <v>2020</v>
      </c>
      <c r="K626" s="7" t="s">
        <v>2021</v>
      </c>
      <c r="L626" s="7" t="s">
        <v>5860</v>
      </c>
      <c r="M626" s="7">
        <v>0</v>
      </c>
      <c r="N626" s="7" t="s">
        <v>5044</v>
      </c>
      <c r="O626" s="7" t="s">
        <v>5044</v>
      </c>
      <c r="P626" s="7">
        <v>0</v>
      </c>
      <c r="Q626" s="7">
        <v>0</v>
      </c>
      <c r="R626" s="7">
        <v>0</v>
      </c>
      <c r="S626" s="7">
        <v>11</v>
      </c>
      <c r="T626" s="7">
        <v>4</v>
      </c>
      <c r="U626" s="7">
        <v>96</v>
      </c>
      <c r="V626" s="7">
        <v>0</v>
      </c>
      <c r="W626" s="7">
        <v>1</v>
      </c>
      <c r="X626" s="7">
        <v>0</v>
      </c>
      <c r="Y626" s="7">
        <v>0</v>
      </c>
      <c r="Z626" s="7">
        <v>0</v>
      </c>
      <c r="AA626" s="7">
        <v>0</v>
      </c>
      <c r="AB626" s="7">
        <v>1</v>
      </c>
      <c r="AC626" s="7">
        <v>1</v>
      </c>
      <c r="AD626" s="7" t="s">
        <v>5044</v>
      </c>
      <c r="AE626" s="7" t="s">
        <v>5044</v>
      </c>
      <c r="AF626" s="7" t="s">
        <v>5044</v>
      </c>
      <c r="AG626" s="7">
        <v>2</v>
      </c>
      <c r="AH626" s="7">
        <v>3</v>
      </c>
      <c r="AI626" s="7">
        <v>0</v>
      </c>
      <c r="AJ626" s="7" t="s">
        <v>5044</v>
      </c>
      <c r="AK626" s="7" t="s">
        <v>5861</v>
      </c>
      <c r="AL626" s="7" t="s">
        <v>5044</v>
      </c>
      <c r="AM626" s="7">
        <v>0</v>
      </c>
      <c r="AN626" s="7" t="s">
        <v>6293</v>
      </c>
    </row>
    <row r="627" spans="1:40" ht="63" customHeight="1" x14ac:dyDescent="0.2">
      <c r="A627" s="7">
        <v>6371</v>
      </c>
      <c r="B627" s="7" t="s">
        <v>2022</v>
      </c>
      <c r="C627" s="7" t="s">
        <v>2023</v>
      </c>
      <c r="D627" s="7" t="s">
        <v>41</v>
      </c>
      <c r="F627" s="7" t="s">
        <v>223</v>
      </c>
      <c r="G627" s="7" t="s">
        <v>32</v>
      </c>
      <c r="H627" s="7" t="s">
        <v>224</v>
      </c>
      <c r="I627" s="7" t="s">
        <v>437</v>
      </c>
      <c r="J627" s="7" t="s">
        <v>2024</v>
      </c>
      <c r="K627" s="7" t="s">
        <v>2025</v>
      </c>
      <c r="L627" s="7" t="s">
        <v>5862</v>
      </c>
      <c r="M627" s="7">
        <v>0</v>
      </c>
      <c r="N627" s="7" t="s">
        <v>5044</v>
      </c>
      <c r="O627" s="7" t="s">
        <v>5044</v>
      </c>
      <c r="P627" s="7">
        <v>0</v>
      </c>
      <c r="Q627" s="7">
        <v>0</v>
      </c>
      <c r="R627" s="7">
        <v>0</v>
      </c>
      <c r="S627" s="7" t="s">
        <v>7670</v>
      </c>
      <c r="T627" s="7">
        <v>4</v>
      </c>
      <c r="U627" s="7">
        <v>1802</v>
      </c>
      <c r="V627" s="7">
        <v>0</v>
      </c>
      <c r="W627" s="7">
        <v>1</v>
      </c>
      <c r="X627" s="7">
        <v>0</v>
      </c>
      <c r="Y627" s="7">
        <v>0</v>
      </c>
      <c r="Z627" s="7">
        <v>0</v>
      </c>
      <c r="AA627" s="7">
        <v>0</v>
      </c>
      <c r="AB627" s="7">
        <v>1</v>
      </c>
      <c r="AC627" s="7">
        <v>0</v>
      </c>
      <c r="AD627" s="7" t="s">
        <v>5044</v>
      </c>
      <c r="AE627" s="7" t="s">
        <v>5044</v>
      </c>
      <c r="AF627" s="7" t="s">
        <v>5044</v>
      </c>
      <c r="AG627" s="7">
        <v>2</v>
      </c>
      <c r="AH627" s="7">
        <v>1</v>
      </c>
      <c r="AI627" s="7">
        <v>1</v>
      </c>
      <c r="AJ627" s="7" t="s">
        <v>5044</v>
      </c>
      <c r="AK627" s="7" t="s">
        <v>5863</v>
      </c>
      <c r="AL627" s="7">
        <v>1</v>
      </c>
      <c r="AM627" s="7">
        <v>0</v>
      </c>
      <c r="AN627" s="7" t="s">
        <v>5318</v>
      </c>
    </row>
    <row r="628" spans="1:40" ht="63" customHeight="1" x14ac:dyDescent="0.2">
      <c r="A628" s="7">
        <v>6375</v>
      </c>
      <c r="B628" s="7" t="s">
        <v>2026</v>
      </c>
      <c r="C628" s="7" t="s">
        <v>2027</v>
      </c>
      <c r="D628" s="7" t="s">
        <v>101</v>
      </c>
      <c r="F628" s="7" t="s">
        <v>107</v>
      </c>
      <c r="G628" s="7" t="s">
        <v>52</v>
      </c>
      <c r="H628" s="7" t="s">
        <v>53</v>
      </c>
      <c r="I628" s="7" t="s">
        <v>13</v>
      </c>
      <c r="J628" s="7" t="s">
        <v>2028</v>
      </c>
      <c r="K628" s="7" t="s">
        <v>2029</v>
      </c>
      <c r="L628" s="7" t="s">
        <v>5864</v>
      </c>
      <c r="M628" s="7">
        <v>1</v>
      </c>
      <c r="N628" s="7">
        <v>0</v>
      </c>
      <c r="O628" s="7" t="s">
        <v>5044</v>
      </c>
      <c r="P628" s="7">
        <v>0</v>
      </c>
      <c r="Q628" s="7">
        <v>0</v>
      </c>
      <c r="R628" s="7">
        <v>0</v>
      </c>
      <c r="S628" s="7">
        <v>1</v>
      </c>
      <c r="T628" s="7">
        <v>1</v>
      </c>
      <c r="U628" s="7">
        <v>116</v>
      </c>
      <c r="V628" s="7">
        <v>0</v>
      </c>
      <c r="W628" s="7">
        <v>1</v>
      </c>
      <c r="X628" s="7">
        <v>0</v>
      </c>
      <c r="Y628" s="7">
        <v>0</v>
      </c>
      <c r="Z628" s="7">
        <v>0</v>
      </c>
      <c r="AA628" s="7">
        <v>0</v>
      </c>
      <c r="AB628" s="7">
        <v>1</v>
      </c>
      <c r="AC628" s="7" t="s">
        <v>5044</v>
      </c>
      <c r="AD628" s="7" t="s">
        <v>5044</v>
      </c>
      <c r="AE628" s="7" t="s">
        <v>5044</v>
      </c>
      <c r="AF628" s="7" t="s">
        <v>5044</v>
      </c>
      <c r="AG628" s="7" t="s">
        <v>5044</v>
      </c>
      <c r="AH628" s="7" t="s">
        <v>5044</v>
      </c>
      <c r="AI628" s="7" t="s">
        <v>5044</v>
      </c>
      <c r="AJ628" s="7" t="s">
        <v>5044</v>
      </c>
      <c r="AK628" s="7" t="s">
        <v>5318</v>
      </c>
      <c r="AL628" s="7" t="s">
        <v>5044</v>
      </c>
      <c r="AM628" s="7">
        <v>0</v>
      </c>
      <c r="AN628" s="7" t="s">
        <v>5318</v>
      </c>
    </row>
    <row r="629" spans="1:40" ht="63" customHeight="1" x14ac:dyDescent="0.2">
      <c r="A629" s="7">
        <v>6379</v>
      </c>
      <c r="B629" s="7" t="s">
        <v>2030</v>
      </c>
      <c r="C629" s="7" t="s">
        <v>2031</v>
      </c>
      <c r="D629" s="7" t="s">
        <v>41</v>
      </c>
      <c r="F629" s="7" t="s">
        <v>201</v>
      </c>
      <c r="G629" s="7" t="s">
        <v>18</v>
      </c>
      <c r="H629" s="7" t="s">
        <v>202</v>
      </c>
      <c r="I629" s="7" t="s">
        <v>13</v>
      </c>
      <c r="J629" s="7" t="s">
        <v>2032</v>
      </c>
      <c r="K629" s="7" t="s">
        <v>2033</v>
      </c>
      <c r="L629" s="7" t="s">
        <v>5865</v>
      </c>
      <c r="M629" s="7">
        <v>0</v>
      </c>
      <c r="N629" s="7" t="s">
        <v>5044</v>
      </c>
      <c r="O629" s="7" t="s">
        <v>5044</v>
      </c>
      <c r="P629" s="7">
        <v>0</v>
      </c>
      <c r="Q629" s="7">
        <v>0</v>
      </c>
      <c r="R629" s="7">
        <v>0</v>
      </c>
      <c r="S629" s="7">
        <v>9</v>
      </c>
      <c r="T629" s="7">
        <v>4</v>
      </c>
      <c r="U629" s="7">
        <v>555</v>
      </c>
      <c r="V629" s="7">
        <v>0</v>
      </c>
      <c r="W629" s="7">
        <v>1</v>
      </c>
      <c r="X629" s="7">
        <v>0</v>
      </c>
      <c r="Y629" s="7">
        <v>0</v>
      </c>
      <c r="Z629" s="7">
        <v>0</v>
      </c>
      <c r="AA629" s="7">
        <v>0</v>
      </c>
      <c r="AB629" s="7">
        <v>1</v>
      </c>
      <c r="AC629" s="7">
        <v>1</v>
      </c>
      <c r="AD629" s="7" t="s">
        <v>5044</v>
      </c>
      <c r="AE629" s="7" t="s">
        <v>5044</v>
      </c>
      <c r="AF629" s="7" t="s">
        <v>5044</v>
      </c>
      <c r="AG629" s="7">
        <v>1</v>
      </c>
      <c r="AH629" s="7">
        <v>0</v>
      </c>
      <c r="AI629" s="7">
        <v>0</v>
      </c>
      <c r="AJ629" s="7" t="s">
        <v>5044</v>
      </c>
      <c r="AK629" s="7" t="s">
        <v>5318</v>
      </c>
      <c r="AL629" s="7">
        <v>0</v>
      </c>
      <c r="AM629" s="7">
        <v>0</v>
      </c>
    </row>
    <row r="630" spans="1:40" ht="63" customHeight="1" x14ac:dyDescent="0.2">
      <c r="A630" s="7">
        <v>6380</v>
      </c>
      <c r="B630" s="7" t="s">
        <v>2034</v>
      </c>
      <c r="C630" s="7" t="s">
        <v>2035</v>
      </c>
      <c r="D630" s="7" t="s">
        <v>74</v>
      </c>
      <c r="F630" s="7" t="s">
        <v>47</v>
      </c>
      <c r="G630" s="7" t="s">
        <v>52</v>
      </c>
      <c r="H630" s="7" t="s">
        <v>708</v>
      </c>
      <c r="I630" s="7" t="s">
        <v>13</v>
      </c>
      <c r="J630" s="7" t="s">
        <v>2036</v>
      </c>
      <c r="K630" s="7" t="s">
        <v>2037</v>
      </c>
      <c r="L630" s="7" t="s">
        <v>5866</v>
      </c>
      <c r="M630" s="7">
        <v>0</v>
      </c>
      <c r="N630" s="7" t="s">
        <v>5044</v>
      </c>
      <c r="O630" s="7" t="s">
        <v>5044</v>
      </c>
      <c r="P630" s="7">
        <v>0</v>
      </c>
      <c r="Q630" s="7">
        <v>0</v>
      </c>
      <c r="R630" s="7">
        <v>0</v>
      </c>
      <c r="S630" s="7">
        <v>3</v>
      </c>
      <c r="T630" s="7">
        <v>4</v>
      </c>
      <c r="U630" s="7">
        <v>100</v>
      </c>
      <c r="V630" s="7">
        <v>0</v>
      </c>
      <c r="W630" s="7">
        <v>1</v>
      </c>
      <c r="X630" s="7">
        <v>0</v>
      </c>
      <c r="Y630" s="7">
        <v>0</v>
      </c>
      <c r="Z630" s="7">
        <v>0</v>
      </c>
      <c r="AA630" s="7">
        <v>0</v>
      </c>
      <c r="AB630" s="7">
        <v>1</v>
      </c>
      <c r="AC630" s="7">
        <v>1</v>
      </c>
      <c r="AD630" s="7" t="s">
        <v>5044</v>
      </c>
      <c r="AE630" s="7" t="s">
        <v>5044</v>
      </c>
      <c r="AF630" s="7" t="s">
        <v>5044</v>
      </c>
      <c r="AG630" s="7">
        <v>1</v>
      </c>
      <c r="AH630" s="7">
        <v>0</v>
      </c>
      <c r="AI630" s="7">
        <v>0</v>
      </c>
      <c r="AJ630" s="7" t="s">
        <v>5044</v>
      </c>
      <c r="AK630" s="7" t="s">
        <v>5318</v>
      </c>
      <c r="AL630" s="7">
        <v>1</v>
      </c>
      <c r="AM630" s="7">
        <v>0</v>
      </c>
      <c r="AN630" s="7" t="s">
        <v>5217</v>
      </c>
    </row>
    <row r="631" spans="1:40" ht="63" customHeight="1" x14ac:dyDescent="0.2">
      <c r="A631" s="7">
        <v>6459</v>
      </c>
      <c r="B631" s="7" t="s">
        <v>2038</v>
      </c>
      <c r="C631" s="7" t="s">
        <v>2039</v>
      </c>
      <c r="D631" s="7" t="s">
        <v>101</v>
      </c>
      <c r="F631" s="7" t="s">
        <v>932</v>
      </c>
      <c r="G631" s="7" t="s">
        <v>37</v>
      </c>
      <c r="H631" s="7" t="s">
        <v>38</v>
      </c>
      <c r="I631" s="7" t="s">
        <v>13</v>
      </c>
      <c r="J631" s="7" t="s">
        <v>2040</v>
      </c>
      <c r="K631" s="7" t="s">
        <v>2041</v>
      </c>
      <c r="L631" s="7" t="s">
        <v>5867</v>
      </c>
      <c r="M631" s="7">
        <v>0</v>
      </c>
      <c r="N631" s="7" t="s">
        <v>5044</v>
      </c>
      <c r="O631" s="7" t="s">
        <v>5044</v>
      </c>
      <c r="P631" s="7">
        <v>0</v>
      </c>
      <c r="Q631" s="7">
        <v>0</v>
      </c>
      <c r="R631" s="7">
        <v>0</v>
      </c>
      <c r="S631" s="7">
        <v>7</v>
      </c>
      <c r="T631" s="7">
        <v>4</v>
      </c>
      <c r="U631" s="7">
        <v>400</v>
      </c>
      <c r="V631" s="7">
        <v>0</v>
      </c>
      <c r="W631" s="7">
        <v>1</v>
      </c>
      <c r="X631" s="7">
        <v>0</v>
      </c>
      <c r="Y631" s="7">
        <v>0</v>
      </c>
      <c r="Z631" s="7">
        <v>0</v>
      </c>
      <c r="AA631" s="7">
        <v>0</v>
      </c>
      <c r="AB631" s="7">
        <v>1</v>
      </c>
      <c r="AC631" s="7">
        <v>1</v>
      </c>
      <c r="AD631" s="7" t="s">
        <v>5044</v>
      </c>
      <c r="AE631" s="7" t="s">
        <v>5044</v>
      </c>
      <c r="AF631" s="7" t="s">
        <v>5044</v>
      </c>
      <c r="AG631" s="7">
        <v>2</v>
      </c>
      <c r="AH631" s="7">
        <v>3</v>
      </c>
      <c r="AI631" s="7">
        <v>0</v>
      </c>
      <c r="AJ631" s="7" t="s">
        <v>5044</v>
      </c>
      <c r="AK631" s="7">
        <v>1</v>
      </c>
      <c r="AL631" s="7" t="s">
        <v>5044</v>
      </c>
      <c r="AM631" s="7">
        <v>0</v>
      </c>
      <c r="AN631" s="7" t="s">
        <v>6293</v>
      </c>
    </row>
    <row r="632" spans="1:40" ht="63" customHeight="1" x14ac:dyDescent="0.2">
      <c r="A632" s="7">
        <v>6462</v>
      </c>
      <c r="B632" s="7" t="s">
        <v>2042</v>
      </c>
      <c r="C632" s="7" t="s">
        <v>2043</v>
      </c>
      <c r="D632" s="7" t="s">
        <v>101</v>
      </c>
      <c r="F632" s="7" t="s">
        <v>254</v>
      </c>
      <c r="G632" s="7" t="s">
        <v>1042</v>
      </c>
      <c r="H632" s="7" t="s">
        <v>255</v>
      </c>
      <c r="I632" s="7" t="s">
        <v>13</v>
      </c>
      <c r="J632" s="7" t="s">
        <v>2044</v>
      </c>
      <c r="K632" s="7" t="s">
        <v>2045</v>
      </c>
      <c r="L632" s="7" t="s">
        <v>5086</v>
      </c>
      <c r="M632" s="7">
        <v>0</v>
      </c>
      <c r="N632" s="7" t="s">
        <v>5044</v>
      </c>
      <c r="O632" s="7" t="s">
        <v>5044</v>
      </c>
      <c r="P632" s="7">
        <v>0</v>
      </c>
      <c r="Q632" s="7">
        <v>0</v>
      </c>
      <c r="R632" s="7">
        <v>0</v>
      </c>
      <c r="S632" s="7">
        <v>3</v>
      </c>
      <c r="T632" s="7">
        <v>1</v>
      </c>
      <c r="U632" s="7">
        <v>820</v>
      </c>
      <c r="V632" s="7">
        <v>0</v>
      </c>
      <c r="W632" s="7">
        <v>1</v>
      </c>
      <c r="X632" s="7">
        <v>0</v>
      </c>
      <c r="Y632" s="7">
        <v>0</v>
      </c>
      <c r="Z632" s="7">
        <v>0</v>
      </c>
      <c r="AA632" s="7">
        <v>0</v>
      </c>
      <c r="AB632" s="7">
        <v>1</v>
      </c>
      <c r="AC632" s="7">
        <v>1</v>
      </c>
      <c r="AD632" s="7" t="s">
        <v>5044</v>
      </c>
      <c r="AE632" s="7" t="s">
        <v>5044</v>
      </c>
      <c r="AF632" s="7" t="s">
        <v>5044</v>
      </c>
      <c r="AG632" s="7">
        <v>1</v>
      </c>
      <c r="AH632" s="7">
        <v>0</v>
      </c>
      <c r="AI632" s="7">
        <v>0</v>
      </c>
      <c r="AJ632" s="7" t="s">
        <v>5044</v>
      </c>
      <c r="AK632" s="7" t="s">
        <v>5318</v>
      </c>
      <c r="AL632" s="7">
        <v>1</v>
      </c>
      <c r="AM632" s="7">
        <v>0</v>
      </c>
      <c r="AN632" s="7" t="s">
        <v>5217</v>
      </c>
    </row>
    <row r="633" spans="1:40" ht="63" customHeight="1" x14ac:dyDescent="0.2">
      <c r="A633" s="7">
        <v>6470</v>
      </c>
      <c r="B633" s="7" t="s">
        <v>2046</v>
      </c>
      <c r="C633" s="7" t="s">
        <v>2047</v>
      </c>
      <c r="D633" s="7" t="s">
        <v>22</v>
      </c>
      <c r="F633" s="7" t="s">
        <v>2048</v>
      </c>
      <c r="G633" s="7" t="s">
        <v>18</v>
      </c>
      <c r="H633" s="7" t="s">
        <v>740</v>
      </c>
      <c r="I633" s="7" t="s">
        <v>13</v>
      </c>
      <c r="J633" s="7" t="s">
        <v>2049</v>
      </c>
      <c r="K633" s="7" t="s">
        <v>2050</v>
      </c>
      <c r="L633" s="7" t="s">
        <v>5868</v>
      </c>
      <c r="M633" s="7">
        <v>0</v>
      </c>
      <c r="N633" s="7" t="s">
        <v>5044</v>
      </c>
      <c r="O633" s="7" t="s">
        <v>5044</v>
      </c>
      <c r="P633" s="7">
        <v>0</v>
      </c>
      <c r="Q633" s="7">
        <v>0</v>
      </c>
      <c r="R633" s="7">
        <v>0</v>
      </c>
      <c r="S633" s="7">
        <v>1</v>
      </c>
      <c r="T633" s="7">
        <v>2</v>
      </c>
      <c r="U633" s="7">
        <v>121</v>
      </c>
      <c r="V633" s="7">
        <v>0</v>
      </c>
      <c r="W633" s="7">
        <v>1</v>
      </c>
      <c r="X633" s="7">
        <v>0</v>
      </c>
      <c r="Y633" s="7">
        <v>0</v>
      </c>
      <c r="Z633" s="7">
        <v>0</v>
      </c>
      <c r="AA633" s="7">
        <v>0</v>
      </c>
      <c r="AB633" s="7">
        <v>1</v>
      </c>
      <c r="AC633" s="7">
        <v>1</v>
      </c>
      <c r="AD633" s="7" t="s">
        <v>5044</v>
      </c>
      <c r="AE633" s="7" t="s">
        <v>5044</v>
      </c>
      <c r="AF633" s="7" t="s">
        <v>5044</v>
      </c>
      <c r="AG633" s="7">
        <v>1</v>
      </c>
      <c r="AH633" s="7">
        <v>0</v>
      </c>
      <c r="AI633" s="7">
        <v>0</v>
      </c>
      <c r="AJ633" s="7" t="s">
        <v>5044</v>
      </c>
      <c r="AK633" s="7" t="s">
        <v>5318</v>
      </c>
      <c r="AL633" s="7" t="s">
        <v>5044</v>
      </c>
      <c r="AM633" s="7">
        <v>0</v>
      </c>
      <c r="AN633" s="7" t="s">
        <v>5105</v>
      </c>
    </row>
    <row r="634" spans="1:40" ht="63" customHeight="1" x14ac:dyDescent="0.2">
      <c r="A634" s="7">
        <v>6485</v>
      </c>
      <c r="B634" s="7" t="s">
        <v>2051</v>
      </c>
      <c r="C634" s="7" t="s">
        <v>2052</v>
      </c>
      <c r="D634" s="7" t="s">
        <v>2053</v>
      </c>
      <c r="F634" s="7" t="s">
        <v>2054</v>
      </c>
      <c r="G634" s="7" t="s">
        <v>37</v>
      </c>
      <c r="H634" s="7" t="s">
        <v>43</v>
      </c>
      <c r="I634" s="7" t="s">
        <v>437</v>
      </c>
      <c r="J634" s="7" t="s">
        <v>2055</v>
      </c>
      <c r="K634" s="7" t="s">
        <v>2056</v>
      </c>
      <c r="L634" s="11" t="s">
        <v>5044</v>
      </c>
      <c r="M634" s="7">
        <v>0</v>
      </c>
      <c r="N634" s="7" t="s">
        <v>5044</v>
      </c>
      <c r="O634" s="7" t="s">
        <v>5044</v>
      </c>
      <c r="P634" s="7">
        <v>0</v>
      </c>
      <c r="Q634" s="7">
        <v>0</v>
      </c>
      <c r="R634" s="7">
        <v>0</v>
      </c>
      <c r="S634" s="7">
        <v>1</v>
      </c>
      <c r="T634" s="7">
        <v>1</v>
      </c>
      <c r="U634" s="7">
        <v>100</v>
      </c>
      <c r="V634" s="7">
        <v>0</v>
      </c>
      <c r="W634" s="7">
        <v>1</v>
      </c>
      <c r="X634" s="7">
        <v>0</v>
      </c>
      <c r="Y634" s="7">
        <v>0</v>
      </c>
      <c r="Z634" s="7">
        <v>0</v>
      </c>
      <c r="AA634" s="7">
        <v>0</v>
      </c>
      <c r="AB634" s="7">
        <v>1</v>
      </c>
      <c r="AC634" s="7">
        <v>1</v>
      </c>
      <c r="AD634" s="7" t="s">
        <v>5044</v>
      </c>
      <c r="AE634" s="7" t="s">
        <v>5044</v>
      </c>
      <c r="AF634" s="7" t="s">
        <v>5044</v>
      </c>
      <c r="AG634" s="7">
        <v>2</v>
      </c>
      <c r="AH634" s="7">
        <v>3</v>
      </c>
      <c r="AI634" s="7">
        <v>0</v>
      </c>
      <c r="AJ634" s="7" t="s">
        <v>5044</v>
      </c>
      <c r="AK634" s="7">
        <v>1</v>
      </c>
      <c r="AL634" s="7">
        <v>1</v>
      </c>
      <c r="AM634" s="7">
        <v>0</v>
      </c>
      <c r="AN634" s="7" t="s">
        <v>5318</v>
      </c>
    </row>
    <row r="635" spans="1:40" ht="63" customHeight="1" x14ac:dyDescent="0.2">
      <c r="A635" s="7">
        <v>6501</v>
      </c>
      <c r="B635" s="7" t="s">
        <v>2057</v>
      </c>
      <c r="C635" s="7" t="s">
        <v>2058</v>
      </c>
      <c r="D635" s="7" t="s">
        <v>46</v>
      </c>
      <c r="F635" s="7" t="s">
        <v>322</v>
      </c>
      <c r="G635" s="7" t="s">
        <v>175</v>
      </c>
      <c r="H635" s="7" t="s">
        <v>251</v>
      </c>
      <c r="I635" s="7" t="s">
        <v>13</v>
      </c>
      <c r="J635" s="7" t="s">
        <v>2059</v>
      </c>
      <c r="K635" s="7" t="s">
        <v>2060</v>
      </c>
      <c r="L635" s="7" t="s">
        <v>5869</v>
      </c>
      <c r="M635" s="7">
        <v>0</v>
      </c>
      <c r="N635" s="7" t="s">
        <v>5044</v>
      </c>
      <c r="O635" s="7" t="s">
        <v>5044</v>
      </c>
      <c r="P635" s="7">
        <v>0</v>
      </c>
      <c r="Q635" s="7">
        <v>0</v>
      </c>
      <c r="R635" s="7">
        <v>0</v>
      </c>
      <c r="S635" s="7">
        <v>1</v>
      </c>
      <c r="T635" s="7">
        <v>2</v>
      </c>
      <c r="U635" s="7">
        <v>35</v>
      </c>
      <c r="V635" s="7">
        <v>1</v>
      </c>
      <c r="W635" s="7">
        <v>0</v>
      </c>
      <c r="X635" s="7">
        <v>0</v>
      </c>
      <c r="Y635" s="7">
        <v>0</v>
      </c>
      <c r="Z635" s="7">
        <v>0</v>
      </c>
      <c r="AA635" s="7">
        <v>0</v>
      </c>
      <c r="AB635" s="7">
        <v>1</v>
      </c>
      <c r="AC635" s="7">
        <v>1</v>
      </c>
      <c r="AD635" s="7">
        <v>2</v>
      </c>
      <c r="AE635" s="7">
        <v>2</v>
      </c>
      <c r="AF635" s="7">
        <v>2</v>
      </c>
      <c r="AG635" s="7" t="s">
        <v>5044</v>
      </c>
      <c r="AH635" s="7" t="s">
        <v>5044</v>
      </c>
      <c r="AI635" s="7" t="s">
        <v>5044</v>
      </c>
      <c r="AJ635" s="7" t="s">
        <v>5044</v>
      </c>
      <c r="AL635" s="7">
        <v>0</v>
      </c>
      <c r="AM635" s="7">
        <v>0</v>
      </c>
      <c r="AN635" s="7" t="s">
        <v>5318</v>
      </c>
    </row>
    <row r="636" spans="1:40" ht="63" customHeight="1" x14ac:dyDescent="0.2">
      <c r="A636" s="7">
        <v>6504</v>
      </c>
      <c r="B636" s="7" t="s">
        <v>2061</v>
      </c>
      <c r="C636" s="7" t="s">
        <v>2062</v>
      </c>
      <c r="D636" s="7" t="s">
        <v>22</v>
      </c>
      <c r="F636" s="7" t="s">
        <v>2063</v>
      </c>
      <c r="G636" s="7" t="s">
        <v>743</v>
      </c>
      <c r="H636" s="7" t="s">
        <v>663</v>
      </c>
      <c r="I636" s="7" t="s">
        <v>13</v>
      </c>
      <c r="J636" s="7" t="s">
        <v>2064</v>
      </c>
      <c r="K636" s="7" t="s">
        <v>2065</v>
      </c>
      <c r="L636" s="7" t="s">
        <v>5870</v>
      </c>
      <c r="M636" s="7">
        <v>0</v>
      </c>
      <c r="N636" s="7" t="s">
        <v>5044</v>
      </c>
      <c r="O636" s="7" t="s">
        <v>5044</v>
      </c>
      <c r="P636" s="7">
        <v>0</v>
      </c>
      <c r="Q636" s="7">
        <v>0</v>
      </c>
      <c r="R636" s="7">
        <v>0</v>
      </c>
      <c r="S636" s="7">
        <v>1</v>
      </c>
      <c r="T636" s="7">
        <v>5</v>
      </c>
      <c r="U636" s="7">
        <v>102</v>
      </c>
      <c r="V636" s="7">
        <v>0</v>
      </c>
      <c r="W636" s="7">
        <v>1</v>
      </c>
      <c r="X636" s="7">
        <v>0</v>
      </c>
      <c r="Y636" s="7">
        <v>0</v>
      </c>
      <c r="Z636" s="7">
        <v>0</v>
      </c>
      <c r="AA636" s="7">
        <v>0</v>
      </c>
      <c r="AB636" s="7">
        <v>1</v>
      </c>
      <c r="AC636" s="7">
        <v>0</v>
      </c>
      <c r="AD636" s="7" t="s">
        <v>5044</v>
      </c>
      <c r="AE636" s="7" t="s">
        <v>5044</v>
      </c>
      <c r="AF636" s="7" t="s">
        <v>5044</v>
      </c>
      <c r="AG636" s="7">
        <v>0</v>
      </c>
      <c r="AH636" s="7" t="s">
        <v>5044</v>
      </c>
      <c r="AI636" s="7" t="s">
        <v>5044</v>
      </c>
      <c r="AJ636" s="7" t="s">
        <v>5044</v>
      </c>
      <c r="AK636" s="7" t="s">
        <v>5871</v>
      </c>
      <c r="AL636" s="7">
        <v>1</v>
      </c>
      <c r="AM636" s="7">
        <v>0</v>
      </c>
      <c r="AN636" s="7" t="s">
        <v>5318</v>
      </c>
    </row>
    <row r="637" spans="1:40" ht="63" customHeight="1" x14ac:dyDescent="0.2">
      <c r="A637" s="7">
        <v>6505</v>
      </c>
      <c r="B637" s="7" t="s">
        <v>2066</v>
      </c>
      <c r="C637" s="7" t="s">
        <v>2067</v>
      </c>
      <c r="D637" s="7" t="s">
        <v>30</v>
      </c>
      <c r="F637" s="7" t="s">
        <v>110</v>
      </c>
      <c r="G637" s="7" t="s">
        <v>18</v>
      </c>
      <c r="H637" s="7" t="s">
        <v>38</v>
      </c>
      <c r="I637" s="7" t="s">
        <v>13</v>
      </c>
      <c r="J637" s="7" t="s">
        <v>2068</v>
      </c>
      <c r="K637" s="7" t="s">
        <v>2069</v>
      </c>
      <c r="L637" s="7" t="s">
        <v>5872</v>
      </c>
      <c r="M637" s="7">
        <v>0</v>
      </c>
      <c r="N637" s="7" t="s">
        <v>5044</v>
      </c>
      <c r="O637" s="7" t="s">
        <v>5044</v>
      </c>
      <c r="P637" s="7">
        <v>0</v>
      </c>
      <c r="Q637" s="7">
        <v>0</v>
      </c>
      <c r="R637" s="7">
        <v>0</v>
      </c>
      <c r="S637" s="7">
        <v>1</v>
      </c>
      <c r="T637" s="7">
        <v>5</v>
      </c>
      <c r="U637" s="7">
        <v>106</v>
      </c>
      <c r="V637" s="7">
        <v>0</v>
      </c>
      <c r="W637" s="7">
        <v>1</v>
      </c>
      <c r="X637" s="7">
        <v>0</v>
      </c>
      <c r="Y637" s="7">
        <v>0</v>
      </c>
      <c r="Z637" s="7">
        <v>0</v>
      </c>
      <c r="AA637" s="7">
        <v>0</v>
      </c>
      <c r="AB637" s="7">
        <v>1</v>
      </c>
      <c r="AC637" s="7">
        <v>1</v>
      </c>
      <c r="AD637" s="7" t="s">
        <v>5044</v>
      </c>
      <c r="AE637" s="7" t="s">
        <v>5044</v>
      </c>
      <c r="AF637" s="7" t="s">
        <v>5044</v>
      </c>
      <c r="AG637" s="7">
        <v>2</v>
      </c>
      <c r="AH637" s="7">
        <v>2</v>
      </c>
      <c r="AI637" s="7" t="s">
        <v>5044</v>
      </c>
      <c r="AJ637" s="7" t="s">
        <v>5044</v>
      </c>
      <c r="AK637" s="7" t="s">
        <v>5873</v>
      </c>
      <c r="AL637" s="7">
        <v>1</v>
      </c>
      <c r="AM637" s="7">
        <v>0</v>
      </c>
      <c r="AN637" s="7" t="s">
        <v>5318</v>
      </c>
    </row>
    <row r="638" spans="1:40" ht="63" customHeight="1" x14ac:dyDescent="0.2">
      <c r="A638" s="7">
        <v>6509</v>
      </c>
      <c r="B638" s="7" t="s">
        <v>2070</v>
      </c>
      <c r="C638" s="7" t="s">
        <v>2071</v>
      </c>
      <c r="D638" s="7" t="s">
        <v>95</v>
      </c>
      <c r="F638" s="7" t="s">
        <v>136</v>
      </c>
      <c r="G638" s="7" t="s">
        <v>52</v>
      </c>
      <c r="H638" s="7" t="s">
        <v>119</v>
      </c>
      <c r="I638" s="7" t="s">
        <v>13</v>
      </c>
      <c r="J638" s="7" t="s">
        <v>2072</v>
      </c>
      <c r="K638" s="7" t="s">
        <v>2073</v>
      </c>
      <c r="L638" s="7" t="s">
        <v>5874</v>
      </c>
      <c r="M638" s="7">
        <v>1</v>
      </c>
      <c r="N638" s="7">
        <v>0</v>
      </c>
      <c r="O638" s="7" t="s">
        <v>5044</v>
      </c>
      <c r="P638" s="7">
        <v>0</v>
      </c>
      <c r="Q638" s="7">
        <v>0</v>
      </c>
      <c r="R638" s="7">
        <v>0</v>
      </c>
      <c r="S638" s="7">
        <v>1</v>
      </c>
      <c r="T638" s="7">
        <v>1</v>
      </c>
      <c r="U638" s="7">
        <v>226</v>
      </c>
      <c r="V638" s="7">
        <v>0</v>
      </c>
      <c r="W638" s="7">
        <v>1</v>
      </c>
      <c r="X638" s="7">
        <v>0</v>
      </c>
      <c r="Y638" s="7">
        <v>0</v>
      </c>
      <c r="Z638" s="7">
        <v>0</v>
      </c>
      <c r="AA638" s="7">
        <v>0</v>
      </c>
      <c r="AB638" s="7">
        <v>1</v>
      </c>
      <c r="AC638" s="7" t="s">
        <v>5044</v>
      </c>
      <c r="AD638" s="7" t="s">
        <v>5044</v>
      </c>
      <c r="AE638" s="7" t="s">
        <v>5044</v>
      </c>
      <c r="AF638" s="7" t="s">
        <v>5044</v>
      </c>
      <c r="AG638" s="7" t="s">
        <v>5044</v>
      </c>
      <c r="AH638" s="7" t="s">
        <v>5044</v>
      </c>
      <c r="AI638" s="7" t="s">
        <v>5044</v>
      </c>
      <c r="AJ638" s="7" t="s">
        <v>5044</v>
      </c>
      <c r="AK638" s="7" t="s">
        <v>5318</v>
      </c>
      <c r="AL638" s="7" t="s">
        <v>5044</v>
      </c>
      <c r="AM638" s="7">
        <v>0</v>
      </c>
      <c r="AN638" s="7" t="s">
        <v>5318</v>
      </c>
    </row>
    <row r="639" spans="1:40" ht="63" customHeight="1" x14ac:dyDescent="0.2">
      <c r="A639" s="7">
        <v>6528</v>
      </c>
      <c r="B639" s="7" t="s">
        <v>2074</v>
      </c>
      <c r="C639" s="7" t="s">
        <v>2075</v>
      </c>
      <c r="D639" s="7" t="s">
        <v>46</v>
      </c>
      <c r="F639" s="7" t="s">
        <v>47</v>
      </c>
      <c r="G639" s="7" t="s">
        <v>52</v>
      </c>
      <c r="H639" s="7" t="s">
        <v>183</v>
      </c>
      <c r="I639" s="7" t="s">
        <v>13</v>
      </c>
      <c r="J639" s="7" t="s">
        <v>2076</v>
      </c>
      <c r="K639" s="7" t="s">
        <v>2077</v>
      </c>
      <c r="L639" s="7" t="s">
        <v>5875</v>
      </c>
      <c r="M639" s="7">
        <v>0</v>
      </c>
      <c r="N639" s="7" t="s">
        <v>5044</v>
      </c>
      <c r="O639" s="7" t="s">
        <v>5044</v>
      </c>
      <c r="P639" s="7">
        <v>0</v>
      </c>
      <c r="Q639" s="7">
        <v>0</v>
      </c>
      <c r="R639" s="7">
        <v>0</v>
      </c>
      <c r="S639" s="7">
        <v>3</v>
      </c>
      <c r="T639" s="7">
        <v>4</v>
      </c>
      <c r="U639" s="7">
        <v>42</v>
      </c>
      <c r="V639" s="7">
        <v>0</v>
      </c>
      <c r="W639" s="7">
        <v>1</v>
      </c>
      <c r="X639" s="7">
        <v>0</v>
      </c>
      <c r="Y639" s="7">
        <v>0</v>
      </c>
      <c r="Z639" s="7">
        <v>0</v>
      </c>
      <c r="AA639" s="7">
        <v>0</v>
      </c>
      <c r="AB639" s="7">
        <v>1</v>
      </c>
      <c r="AC639" s="7">
        <v>1</v>
      </c>
      <c r="AD639" s="7" t="s">
        <v>5044</v>
      </c>
      <c r="AE639" s="7" t="s">
        <v>5044</v>
      </c>
      <c r="AF639" s="7" t="s">
        <v>5044</v>
      </c>
      <c r="AG639" s="7">
        <v>1</v>
      </c>
      <c r="AH639" s="7">
        <v>0</v>
      </c>
      <c r="AI639" s="7">
        <v>0</v>
      </c>
      <c r="AJ639" s="7" t="s">
        <v>5044</v>
      </c>
      <c r="AK639" s="7" t="s">
        <v>5318</v>
      </c>
      <c r="AL639" s="7">
        <v>1</v>
      </c>
      <c r="AM639" s="7">
        <v>0</v>
      </c>
      <c r="AN639" s="7" t="s">
        <v>5318</v>
      </c>
    </row>
    <row r="640" spans="1:40" ht="63" customHeight="1" x14ac:dyDescent="0.2">
      <c r="A640" s="7">
        <v>6529</v>
      </c>
      <c r="B640" s="7" t="s">
        <v>2078</v>
      </c>
      <c r="C640" s="7" t="s">
        <v>2079</v>
      </c>
      <c r="D640" s="7" t="s">
        <v>56</v>
      </c>
      <c r="F640" s="7" t="s">
        <v>929</v>
      </c>
      <c r="G640" s="7" t="s">
        <v>11</v>
      </c>
      <c r="H640" s="7" t="s">
        <v>43</v>
      </c>
      <c r="I640" s="7" t="s">
        <v>13</v>
      </c>
      <c r="J640" s="7" t="s">
        <v>2080</v>
      </c>
      <c r="K640" s="7" t="s">
        <v>2081</v>
      </c>
      <c r="L640" s="11" t="s">
        <v>5044</v>
      </c>
      <c r="M640" s="7">
        <v>0</v>
      </c>
      <c r="N640" s="9" t="s">
        <v>5044</v>
      </c>
      <c r="O640" s="9" t="s">
        <v>5044</v>
      </c>
      <c r="P640" s="7">
        <v>0</v>
      </c>
      <c r="Q640" s="7">
        <v>0</v>
      </c>
      <c r="R640" s="7">
        <v>0</v>
      </c>
      <c r="S640" s="7">
        <v>1</v>
      </c>
      <c r="T640" s="7">
        <v>1</v>
      </c>
      <c r="U640" s="7">
        <v>393</v>
      </c>
      <c r="V640" s="7">
        <v>1</v>
      </c>
      <c r="W640" s="7">
        <v>0</v>
      </c>
      <c r="X640" s="7">
        <v>0</v>
      </c>
      <c r="Y640" s="7">
        <v>0</v>
      </c>
      <c r="Z640" s="7">
        <v>0</v>
      </c>
      <c r="AA640" s="7">
        <v>0</v>
      </c>
      <c r="AB640" s="7">
        <v>1</v>
      </c>
      <c r="AC640" s="7">
        <v>1</v>
      </c>
      <c r="AD640" s="7">
        <v>2</v>
      </c>
      <c r="AE640" s="7">
        <v>3</v>
      </c>
      <c r="AF640" s="7">
        <v>0</v>
      </c>
      <c r="AG640" s="7" t="s">
        <v>5044</v>
      </c>
      <c r="AH640" s="7" t="s">
        <v>5044</v>
      </c>
      <c r="AI640" s="7" t="s">
        <v>5044</v>
      </c>
      <c r="AJ640" s="7" t="s">
        <v>5044</v>
      </c>
      <c r="AK640" s="7">
        <v>1</v>
      </c>
      <c r="AL640" s="7">
        <v>0</v>
      </c>
      <c r="AM640" s="7">
        <v>0</v>
      </c>
      <c r="AN640" s="7" t="s">
        <v>5318</v>
      </c>
    </row>
    <row r="641" spans="1:40" ht="63" customHeight="1" x14ac:dyDescent="0.2">
      <c r="A641" s="7">
        <v>6536</v>
      </c>
      <c r="B641" s="7" t="s">
        <v>2082</v>
      </c>
      <c r="C641" s="7" t="s">
        <v>2083</v>
      </c>
      <c r="D641" s="7" t="s">
        <v>56</v>
      </c>
      <c r="F641" s="7" t="s">
        <v>197</v>
      </c>
      <c r="G641" s="7" t="s">
        <v>356</v>
      </c>
      <c r="H641" s="7" t="s">
        <v>329</v>
      </c>
      <c r="I641" s="7" t="s">
        <v>13</v>
      </c>
      <c r="J641" s="7" t="s">
        <v>2084</v>
      </c>
      <c r="K641" s="7" t="s">
        <v>2085</v>
      </c>
      <c r="L641" s="7" t="s">
        <v>5876</v>
      </c>
      <c r="M641" s="7">
        <v>0</v>
      </c>
      <c r="N641" s="7" t="s">
        <v>5044</v>
      </c>
      <c r="O641" s="7" t="s">
        <v>5044</v>
      </c>
      <c r="P641" s="7">
        <v>0</v>
      </c>
      <c r="Q641" s="7">
        <v>0</v>
      </c>
      <c r="R641" s="7">
        <v>0</v>
      </c>
      <c r="S641" s="7">
        <v>1</v>
      </c>
      <c r="T641" s="7">
        <v>1</v>
      </c>
      <c r="U641" s="7">
        <v>265</v>
      </c>
      <c r="V641" s="7">
        <v>0</v>
      </c>
      <c r="W641" s="7">
        <v>1</v>
      </c>
      <c r="X641" s="7">
        <v>0</v>
      </c>
      <c r="Y641" s="7">
        <v>0</v>
      </c>
      <c r="Z641" s="7">
        <v>0</v>
      </c>
      <c r="AA641" s="7">
        <v>0</v>
      </c>
      <c r="AB641" s="7">
        <v>1</v>
      </c>
      <c r="AC641" s="7">
        <v>1</v>
      </c>
      <c r="AD641" s="7" t="s">
        <v>5044</v>
      </c>
      <c r="AE641" s="7" t="s">
        <v>5044</v>
      </c>
      <c r="AF641" s="7" t="s">
        <v>5044</v>
      </c>
      <c r="AG641" s="7">
        <v>2</v>
      </c>
      <c r="AH641" s="7">
        <v>3</v>
      </c>
      <c r="AI641" s="7">
        <v>0</v>
      </c>
      <c r="AJ641" s="7" t="s">
        <v>5044</v>
      </c>
      <c r="AK641" s="7">
        <v>1</v>
      </c>
      <c r="AL641" s="7">
        <v>0</v>
      </c>
      <c r="AM641" s="7">
        <v>0</v>
      </c>
      <c r="AN641" s="7" t="s">
        <v>5318</v>
      </c>
    </row>
    <row r="642" spans="1:40" ht="63" customHeight="1" x14ac:dyDescent="0.2">
      <c r="A642" s="7">
        <v>6538</v>
      </c>
      <c r="B642" s="7" t="s">
        <v>2086</v>
      </c>
      <c r="C642" s="7" t="s">
        <v>2087</v>
      </c>
      <c r="D642" s="7" t="s">
        <v>101</v>
      </c>
      <c r="F642" s="7" t="s">
        <v>51</v>
      </c>
      <c r="G642" s="7" t="s">
        <v>52</v>
      </c>
      <c r="H642" s="7" t="s">
        <v>119</v>
      </c>
      <c r="I642" s="7" t="s">
        <v>13</v>
      </c>
      <c r="J642" s="7" t="s">
        <v>2088</v>
      </c>
      <c r="K642" s="7" t="s">
        <v>2089</v>
      </c>
      <c r="L642" s="7" t="s">
        <v>5877</v>
      </c>
      <c r="M642" s="7">
        <v>1</v>
      </c>
      <c r="N642" s="7">
        <v>0</v>
      </c>
      <c r="O642" s="7" t="s">
        <v>5044</v>
      </c>
      <c r="P642" s="7">
        <v>0</v>
      </c>
      <c r="Q642" s="7">
        <v>0</v>
      </c>
      <c r="R642" s="7">
        <v>0</v>
      </c>
      <c r="S642" s="7">
        <v>1</v>
      </c>
      <c r="T642" s="7">
        <v>1</v>
      </c>
      <c r="U642" s="7">
        <v>262</v>
      </c>
      <c r="V642" s="7">
        <v>0</v>
      </c>
      <c r="W642" s="7">
        <v>1</v>
      </c>
      <c r="X642" s="7">
        <v>0</v>
      </c>
      <c r="Y642" s="7">
        <v>0</v>
      </c>
      <c r="Z642" s="7">
        <v>0</v>
      </c>
      <c r="AA642" s="7">
        <v>0</v>
      </c>
      <c r="AB642" s="7">
        <v>1</v>
      </c>
      <c r="AC642" s="7" t="s">
        <v>5044</v>
      </c>
      <c r="AD642" s="7" t="s">
        <v>5044</v>
      </c>
      <c r="AE642" s="7" t="s">
        <v>5044</v>
      </c>
      <c r="AF642" s="7" t="s">
        <v>5044</v>
      </c>
      <c r="AG642" s="7" t="s">
        <v>5044</v>
      </c>
      <c r="AH642" s="7" t="s">
        <v>5044</v>
      </c>
      <c r="AI642" s="7" t="s">
        <v>5044</v>
      </c>
      <c r="AJ642" s="7" t="s">
        <v>5044</v>
      </c>
      <c r="AK642" s="7" t="s">
        <v>5318</v>
      </c>
      <c r="AL642" s="7" t="s">
        <v>5044</v>
      </c>
      <c r="AM642" s="7">
        <v>0</v>
      </c>
      <c r="AN642" s="7" t="s">
        <v>5318</v>
      </c>
    </row>
    <row r="643" spans="1:40" ht="63" customHeight="1" x14ac:dyDescent="0.2">
      <c r="A643" s="7">
        <v>6543</v>
      </c>
      <c r="B643" s="7" t="s">
        <v>2090</v>
      </c>
      <c r="C643" s="7" t="s">
        <v>2091</v>
      </c>
      <c r="D643" s="7" t="s">
        <v>41</v>
      </c>
      <c r="F643" s="7" t="s">
        <v>42</v>
      </c>
      <c r="G643" s="7" t="s">
        <v>32</v>
      </c>
      <c r="H643" s="7" t="s">
        <v>43</v>
      </c>
      <c r="I643" s="7" t="s">
        <v>13</v>
      </c>
      <c r="J643" s="7" t="s">
        <v>2092</v>
      </c>
      <c r="K643" s="7" t="s">
        <v>2093</v>
      </c>
      <c r="L643" s="7" t="s">
        <v>5878</v>
      </c>
      <c r="M643" s="7">
        <v>0</v>
      </c>
      <c r="N643" s="7" t="s">
        <v>5044</v>
      </c>
      <c r="O643" s="7" t="s">
        <v>5044</v>
      </c>
      <c r="P643" s="7">
        <v>0</v>
      </c>
      <c r="Q643" s="7">
        <v>0</v>
      </c>
      <c r="R643" s="7">
        <v>0</v>
      </c>
      <c r="S643" s="7">
        <v>1</v>
      </c>
      <c r="T643" s="7">
        <v>4</v>
      </c>
      <c r="U643" s="7">
        <v>388</v>
      </c>
      <c r="V643" s="7">
        <v>1</v>
      </c>
      <c r="W643" s="7">
        <v>0</v>
      </c>
      <c r="X643" s="7">
        <v>0</v>
      </c>
      <c r="Y643" s="7">
        <v>0</v>
      </c>
      <c r="Z643" s="7">
        <v>0</v>
      </c>
      <c r="AA643" s="7">
        <v>0</v>
      </c>
      <c r="AB643" s="7">
        <v>1</v>
      </c>
      <c r="AC643" s="7">
        <v>1</v>
      </c>
      <c r="AD643" s="7">
        <v>1</v>
      </c>
      <c r="AE643" s="7">
        <v>0</v>
      </c>
      <c r="AF643" s="7">
        <v>0</v>
      </c>
      <c r="AG643" s="7" t="s">
        <v>5044</v>
      </c>
      <c r="AH643" s="7" t="s">
        <v>5044</v>
      </c>
      <c r="AI643" s="7" t="s">
        <v>5044</v>
      </c>
      <c r="AJ643" s="7" t="s">
        <v>5044</v>
      </c>
      <c r="AK643" s="7" t="s">
        <v>5318</v>
      </c>
      <c r="AL643" s="7">
        <v>1</v>
      </c>
      <c r="AM643" s="7">
        <v>0</v>
      </c>
      <c r="AN643" s="7" t="s">
        <v>5318</v>
      </c>
    </row>
    <row r="644" spans="1:40" ht="63" customHeight="1" x14ac:dyDescent="0.2">
      <c r="A644" s="7">
        <v>6569</v>
      </c>
      <c r="B644" s="7" t="s">
        <v>2099</v>
      </c>
      <c r="C644" s="7" t="s">
        <v>2100</v>
      </c>
      <c r="D644" s="7" t="s">
        <v>16</v>
      </c>
      <c r="F644" s="7" t="s">
        <v>191</v>
      </c>
      <c r="G644" s="7" t="s">
        <v>144</v>
      </c>
      <c r="H644" s="7" t="s">
        <v>2101</v>
      </c>
      <c r="I644" s="7" t="s">
        <v>13</v>
      </c>
      <c r="J644" s="7" t="s">
        <v>2102</v>
      </c>
      <c r="K644" s="7" t="s">
        <v>2103</v>
      </c>
      <c r="L644" s="8" t="s">
        <v>6068</v>
      </c>
      <c r="M644" s="7">
        <v>0</v>
      </c>
      <c r="N644" s="9" t="s">
        <v>5044</v>
      </c>
      <c r="O644" s="9" t="s">
        <v>5044</v>
      </c>
      <c r="P644" s="7">
        <v>0</v>
      </c>
      <c r="Q644" s="7">
        <v>0</v>
      </c>
      <c r="R644" s="7">
        <v>0</v>
      </c>
      <c r="S644" s="7">
        <v>5</v>
      </c>
      <c r="T644" s="7">
        <v>4</v>
      </c>
      <c r="U644" s="7">
        <v>86</v>
      </c>
      <c r="V644" s="7">
        <v>0</v>
      </c>
      <c r="W644" s="7">
        <v>1</v>
      </c>
      <c r="X644" s="7">
        <v>0</v>
      </c>
      <c r="Y644" s="7">
        <v>0</v>
      </c>
      <c r="Z644" s="7">
        <v>0</v>
      </c>
      <c r="AA644" s="7">
        <v>0</v>
      </c>
      <c r="AB644" s="7">
        <v>1</v>
      </c>
      <c r="AC644" s="7">
        <v>0</v>
      </c>
      <c r="AD644" s="7" t="s">
        <v>5044</v>
      </c>
      <c r="AE644" s="7" t="s">
        <v>5044</v>
      </c>
      <c r="AF644" s="7" t="s">
        <v>5044</v>
      </c>
      <c r="AG644" s="7">
        <v>0</v>
      </c>
      <c r="AH644" s="7" t="s">
        <v>5044</v>
      </c>
      <c r="AI644" s="7" t="s">
        <v>5044</v>
      </c>
      <c r="AJ644" s="7" t="s">
        <v>5044</v>
      </c>
      <c r="AL644" s="7">
        <v>0</v>
      </c>
      <c r="AM644" s="7">
        <v>0</v>
      </c>
    </row>
    <row r="645" spans="1:40" ht="63" customHeight="1" x14ac:dyDescent="0.2">
      <c r="A645" s="7">
        <v>6574</v>
      </c>
      <c r="B645" s="7" t="s">
        <v>2104</v>
      </c>
      <c r="C645" s="7" t="s">
        <v>2105</v>
      </c>
      <c r="D645" s="7" t="s">
        <v>74</v>
      </c>
      <c r="F645" s="7" t="s">
        <v>254</v>
      </c>
      <c r="G645" s="7" t="s">
        <v>52</v>
      </c>
      <c r="H645" s="7" t="s">
        <v>53</v>
      </c>
      <c r="I645" s="7" t="s">
        <v>13</v>
      </c>
      <c r="J645" s="7" t="s">
        <v>2106</v>
      </c>
      <c r="K645" s="7" t="s">
        <v>2107</v>
      </c>
      <c r="L645" s="8" t="s">
        <v>6069</v>
      </c>
      <c r="M645" s="7">
        <v>1</v>
      </c>
      <c r="N645" s="7">
        <v>0</v>
      </c>
      <c r="O645" s="9" t="s">
        <v>5044</v>
      </c>
      <c r="P645" s="7">
        <v>0</v>
      </c>
      <c r="Q645" s="7">
        <v>0</v>
      </c>
      <c r="R645" s="7">
        <v>0</v>
      </c>
      <c r="S645" s="7">
        <v>1</v>
      </c>
      <c r="T645" s="7">
        <v>4</v>
      </c>
      <c r="U645" s="7">
        <v>312</v>
      </c>
      <c r="V645" s="7">
        <v>0</v>
      </c>
      <c r="W645" s="7">
        <v>1</v>
      </c>
      <c r="X645" s="7">
        <v>0</v>
      </c>
      <c r="Y645" s="7">
        <v>0</v>
      </c>
      <c r="Z645" s="7">
        <v>0</v>
      </c>
      <c r="AA645" s="7">
        <v>0</v>
      </c>
      <c r="AB645" s="7">
        <v>1</v>
      </c>
      <c r="AC645" s="7" t="s">
        <v>5044</v>
      </c>
      <c r="AD645" s="7" t="s">
        <v>5044</v>
      </c>
      <c r="AE645" s="7" t="s">
        <v>5044</v>
      </c>
      <c r="AF645" s="7" t="s">
        <v>5044</v>
      </c>
      <c r="AG645" s="7" t="s">
        <v>5044</v>
      </c>
      <c r="AH645" s="7" t="s">
        <v>5044</v>
      </c>
      <c r="AI645" s="7" t="s">
        <v>5044</v>
      </c>
      <c r="AJ645" s="7" t="s">
        <v>5044</v>
      </c>
      <c r="AL645" s="7" t="s">
        <v>5044</v>
      </c>
      <c r="AM645" s="7">
        <v>0</v>
      </c>
    </row>
    <row r="646" spans="1:40" ht="63" customHeight="1" x14ac:dyDescent="0.2">
      <c r="A646" s="7">
        <v>6576</v>
      </c>
      <c r="B646" s="7" t="s">
        <v>2108</v>
      </c>
      <c r="C646" s="7" t="s">
        <v>2109</v>
      </c>
      <c r="D646" s="7" t="s">
        <v>341</v>
      </c>
      <c r="F646" s="7" t="s">
        <v>2096</v>
      </c>
      <c r="G646" s="7" t="s">
        <v>175</v>
      </c>
      <c r="H646" s="7" t="s">
        <v>38</v>
      </c>
      <c r="I646" s="7" t="s">
        <v>13</v>
      </c>
      <c r="J646" s="7" t="s">
        <v>2110</v>
      </c>
      <c r="K646" s="7" t="s">
        <v>2111</v>
      </c>
      <c r="L646" s="11" t="s">
        <v>5044</v>
      </c>
      <c r="M646" s="7">
        <v>0</v>
      </c>
      <c r="N646" s="9" t="s">
        <v>5044</v>
      </c>
      <c r="O646" s="9" t="s">
        <v>5044</v>
      </c>
      <c r="P646" s="7">
        <v>0</v>
      </c>
      <c r="Q646" s="7">
        <v>0</v>
      </c>
      <c r="R646" s="7">
        <v>0</v>
      </c>
      <c r="S646" s="7">
        <v>1</v>
      </c>
      <c r="T646" s="7">
        <v>4</v>
      </c>
      <c r="U646" s="7">
        <v>70</v>
      </c>
      <c r="V646" s="7">
        <v>0</v>
      </c>
      <c r="W646" s="7">
        <v>1</v>
      </c>
      <c r="X646" s="7">
        <v>0</v>
      </c>
      <c r="Y646" s="7">
        <v>0</v>
      </c>
      <c r="Z646" s="7">
        <v>0</v>
      </c>
      <c r="AA646" s="7">
        <v>0</v>
      </c>
      <c r="AB646" s="7">
        <v>1</v>
      </c>
      <c r="AC646" s="7">
        <v>0</v>
      </c>
      <c r="AD646" s="7" t="s">
        <v>5044</v>
      </c>
      <c r="AE646" s="7" t="s">
        <v>5044</v>
      </c>
      <c r="AF646" s="7" t="s">
        <v>5044</v>
      </c>
      <c r="AG646" s="7">
        <v>0</v>
      </c>
      <c r="AH646" s="7" t="s">
        <v>5044</v>
      </c>
      <c r="AI646" s="7" t="s">
        <v>5044</v>
      </c>
      <c r="AJ646" s="7" t="s">
        <v>5044</v>
      </c>
      <c r="AL646" s="7">
        <v>0</v>
      </c>
      <c r="AM646" s="7">
        <v>0</v>
      </c>
    </row>
    <row r="647" spans="1:40" ht="63" customHeight="1" x14ac:dyDescent="0.2">
      <c r="A647" s="7">
        <v>6583</v>
      </c>
      <c r="B647" s="7" t="s">
        <v>2112</v>
      </c>
      <c r="C647" s="7" t="s">
        <v>2113</v>
      </c>
      <c r="D647" s="7" t="s">
        <v>22</v>
      </c>
      <c r="F647" s="7" t="s">
        <v>1048</v>
      </c>
      <c r="G647" s="7" t="s">
        <v>52</v>
      </c>
      <c r="H647" s="7" t="s">
        <v>43</v>
      </c>
      <c r="I647" s="7" t="s">
        <v>13</v>
      </c>
      <c r="J647" s="7" t="s">
        <v>2114</v>
      </c>
      <c r="K647" s="7" t="s">
        <v>2115</v>
      </c>
      <c r="L647" s="8" t="s">
        <v>6070</v>
      </c>
      <c r="M647" s="7">
        <v>0</v>
      </c>
      <c r="N647" s="9" t="s">
        <v>5044</v>
      </c>
      <c r="O647" s="9" t="s">
        <v>5044</v>
      </c>
      <c r="P647" s="7">
        <v>0</v>
      </c>
      <c r="Q647" s="7">
        <v>0</v>
      </c>
      <c r="R647" s="7">
        <v>0</v>
      </c>
      <c r="S647" s="7">
        <v>1</v>
      </c>
      <c r="T647" s="7">
        <v>2</v>
      </c>
      <c r="U647" s="7">
        <v>165</v>
      </c>
      <c r="V647" s="7">
        <v>0</v>
      </c>
      <c r="W647" s="7">
        <v>1</v>
      </c>
      <c r="X647" s="7">
        <v>0</v>
      </c>
      <c r="Y647" s="7">
        <v>0</v>
      </c>
      <c r="Z647" s="7">
        <v>0</v>
      </c>
      <c r="AA647" s="7">
        <v>0</v>
      </c>
      <c r="AB647" s="7">
        <v>1</v>
      </c>
      <c r="AC647" s="7">
        <v>1</v>
      </c>
      <c r="AD647" s="7" t="s">
        <v>5044</v>
      </c>
      <c r="AE647" s="7" t="s">
        <v>5044</v>
      </c>
      <c r="AF647" s="7" t="s">
        <v>5044</v>
      </c>
      <c r="AG647" s="7">
        <v>2</v>
      </c>
      <c r="AH647" s="7">
        <v>3</v>
      </c>
      <c r="AI647" s="7">
        <v>0</v>
      </c>
      <c r="AJ647" s="7" t="s">
        <v>5044</v>
      </c>
      <c r="AK647" s="7">
        <v>1</v>
      </c>
      <c r="AL647" s="7">
        <v>0</v>
      </c>
      <c r="AM647" s="7">
        <v>0</v>
      </c>
    </row>
    <row r="648" spans="1:40" ht="63" customHeight="1" x14ac:dyDescent="0.2">
      <c r="A648" s="7">
        <v>6590</v>
      </c>
      <c r="B648" s="7" t="s">
        <v>2116</v>
      </c>
      <c r="C648" s="7" t="s">
        <v>2117</v>
      </c>
      <c r="D648" s="7" t="s">
        <v>22</v>
      </c>
      <c r="F648" s="7" t="s">
        <v>114</v>
      </c>
      <c r="G648" s="7" t="s">
        <v>18</v>
      </c>
      <c r="H648" s="7" t="s">
        <v>102</v>
      </c>
      <c r="I648" s="7" t="s">
        <v>13</v>
      </c>
      <c r="J648" s="7" t="s">
        <v>2118</v>
      </c>
      <c r="K648" s="7" t="s">
        <v>2119</v>
      </c>
      <c r="L648" s="8" t="s">
        <v>6071</v>
      </c>
      <c r="M648" s="7">
        <v>0</v>
      </c>
      <c r="N648" s="9" t="s">
        <v>5044</v>
      </c>
      <c r="O648" s="9" t="s">
        <v>5044</v>
      </c>
      <c r="P648" s="7">
        <v>0</v>
      </c>
      <c r="Q648" s="7">
        <v>0</v>
      </c>
      <c r="R648" s="7">
        <v>0</v>
      </c>
      <c r="S648" s="7">
        <v>3</v>
      </c>
      <c r="T648" s="7">
        <v>4</v>
      </c>
      <c r="U648" s="7">
        <v>99</v>
      </c>
      <c r="V648" s="7">
        <v>0</v>
      </c>
      <c r="W648" s="7">
        <v>1</v>
      </c>
      <c r="X648" s="7">
        <v>0</v>
      </c>
      <c r="Y648" s="7">
        <v>0</v>
      </c>
      <c r="Z648" s="7">
        <v>0</v>
      </c>
      <c r="AA648" s="7">
        <v>0</v>
      </c>
      <c r="AB648" s="7">
        <v>1</v>
      </c>
      <c r="AC648" s="7">
        <v>1</v>
      </c>
      <c r="AD648" s="7" t="s">
        <v>5044</v>
      </c>
      <c r="AE648" s="7" t="s">
        <v>5044</v>
      </c>
      <c r="AF648" s="7" t="s">
        <v>5044</v>
      </c>
      <c r="AG648" s="7">
        <v>2</v>
      </c>
      <c r="AH648" s="7">
        <v>3</v>
      </c>
      <c r="AI648" s="7">
        <v>0</v>
      </c>
      <c r="AJ648" s="7" t="s">
        <v>5044</v>
      </c>
      <c r="AK648" s="7">
        <v>1</v>
      </c>
      <c r="AL648" s="7">
        <v>0</v>
      </c>
      <c r="AM648" s="7">
        <v>0</v>
      </c>
    </row>
    <row r="649" spans="1:40" ht="63" customHeight="1" x14ac:dyDescent="0.2">
      <c r="A649" s="7">
        <v>6592</v>
      </c>
      <c r="B649" s="7" t="s">
        <v>2120</v>
      </c>
      <c r="C649" s="7" t="s">
        <v>2121</v>
      </c>
      <c r="D649" s="7" t="s">
        <v>22</v>
      </c>
      <c r="F649" s="7" t="s">
        <v>1042</v>
      </c>
      <c r="G649" s="7" t="s">
        <v>48</v>
      </c>
      <c r="H649" s="7" t="s">
        <v>290</v>
      </c>
      <c r="I649" s="7" t="s">
        <v>13</v>
      </c>
      <c r="J649" s="7" t="s">
        <v>2122</v>
      </c>
      <c r="K649" s="7" t="s">
        <v>2123</v>
      </c>
      <c r="L649" s="6" t="s">
        <v>6072</v>
      </c>
      <c r="M649" s="7">
        <v>0</v>
      </c>
      <c r="N649" s="9" t="s">
        <v>5044</v>
      </c>
      <c r="O649" s="9" t="s">
        <v>5044</v>
      </c>
      <c r="P649" s="7">
        <v>0</v>
      </c>
      <c r="Q649" s="7">
        <v>0</v>
      </c>
      <c r="R649" s="7">
        <v>0</v>
      </c>
      <c r="S649" s="7">
        <v>1</v>
      </c>
      <c r="T649" s="7">
        <v>4</v>
      </c>
      <c r="U649" s="7">
        <v>103</v>
      </c>
      <c r="V649" s="7">
        <v>1</v>
      </c>
      <c r="W649" s="7">
        <v>0</v>
      </c>
      <c r="X649" s="7">
        <v>0</v>
      </c>
      <c r="Y649" s="7">
        <v>0</v>
      </c>
      <c r="Z649" s="7">
        <v>0</v>
      </c>
      <c r="AA649" s="7">
        <v>0</v>
      </c>
      <c r="AB649" s="7">
        <v>1</v>
      </c>
      <c r="AC649" s="7">
        <v>1</v>
      </c>
      <c r="AD649" s="7">
        <v>2</v>
      </c>
      <c r="AE649" s="7">
        <v>3</v>
      </c>
      <c r="AF649" s="7">
        <v>0</v>
      </c>
      <c r="AG649" s="7" t="s">
        <v>5044</v>
      </c>
      <c r="AH649" s="7" t="s">
        <v>5044</v>
      </c>
      <c r="AI649" s="7" t="s">
        <v>5044</v>
      </c>
      <c r="AJ649" s="7" t="s">
        <v>5044</v>
      </c>
      <c r="AK649" s="7">
        <v>1</v>
      </c>
      <c r="AL649" s="7">
        <v>0</v>
      </c>
      <c r="AM649" s="7">
        <v>0</v>
      </c>
    </row>
    <row r="650" spans="1:40" ht="63" customHeight="1" x14ac:dyDescent="0.2">
      <c r="A650" s="7">
        <v>6595</v>
      </c>
      <c r="B650" s="7" t="s">
        <v>2128</v>
      </c>
      <c r="C650" s="7" t="s">
        <v>2129</v>
      </c>
      <c r="D650" s="7" t="s">
        <v>35</v>
      </c>
      <c r="F650" s="7" t="s">
        <v>36</v>
      </c>
      <c r="G650" s="7" t="s">
        <v>47</v>
      </c>
      <c r="H650" s="7" t="s">
        <v>38</v>
      </c>
      <c r="I650" s="7" t="s">
        <v>13</v>
      </c>
      <c r="J650" s="7" t="s">
        <v>2130</v>
      </c>
      <c r="K650" s="7" t="s">
        <v>2131</v>
      </c>
      <c r="L650" s="6" t="s">
        <v>6073</v>
      </c>
      <c r="M650" s="7">
        <v>0</v>
      </c>
      <c r="N650" s="9" t="s">
        <v>5044</v>
      </c>
      <c r="O650" s="9" t="s">
        <v>5044</v>
      </c>
      <c r="P650" s="7">
        <v>0</v>
      </c>
      <c r="Q650" s="7">
        <v>0</v>
      </c>
      <c r="R650" s="7">
        <v>0</v>
      </c>
      <c r="S650" s="7">
        <v>1</v>
      </c>
      <c r="T650" s="7">
        <v>4</v>
      </c>
      <c r="U650" s="7">
        <v>126</v>
      </c>
      <c r="V650" s="7">
        <v>0</v>
      </c>
      <c r="W650" s="7">
        <v>1</v>
      </c>
      <c r="X650" s="7">
        <v>0</v>
      </c>
      <c r="Y650" s="7">
        <v>0</v>
      </c>
      <c r="Z650" s="7">
        <v>0</v>
      </c>
      <c r="AA650" s="7">
        <v>0</v>
      </c>
      <c r="AB650" s="7">
        <v>1</v>
      </c>
      <c r="AC650" s="7">
        <v>1</v>
      </c>
      <c r="AD650" s="7" t="s">
        <v>5044</v>
      </c>
      <c r="AE650" s="7" t="s">
        <v>5044</v>
      </c>
      <c r="AF650" s="7" t="s">
        <v>5044</v>
      </c>
      <c r="AG650" s="7">
        <v>1</v>
      </c>
      <c r="AH650" s="7">
        <v>0</v>
      </c>
      <c r="AI650" s="7">
        <v>0</v>
      </c>
      <c r="AJ650" s="7" t="s">
        <v>5044</v>
      </c>
      <c r="AL650" s="7">
        <v>0</v>
      </c>
      <c r="AM650" s="7">
        <v>0</v>
      </c>
    </row>
    <row r="651" spans="1:40" ht="63" customHeight="1" x14ac:dyDescent="0.2">
      <c r="A651" s="7">
        <v>6597</v>
      </c>
      <c r="B651" s="7" t="s">
        <v>2132</v>
      </c>
      <c r="C651" s="7" t="s">
        <v>2133</v>
      </c>
      <c r="D651" s="7" t="s">
        <v>41</v>
      </c>
      <c r="F651" s="7" t="s">
        <v>703</v>
      </c>
      <c r="G651" s="7" t="s">
        <v>32</v>
      </c>
      <c r="H651" s="7" t="s">
        <v>160</v>
      </c>
      <c r="I651" s="7" t="s">
        <v>13</v>
      </c>
      <c r="J651" s="7" t="s">
        <v>2134</v>
      </c>
      <c r="K651" s="7" t="s">
        <v>2135</v>
      </c>
      <c r="L651" s="8" t="s">
        <v>6074</v>
      </c>
      <c r="M651" s="7">
        <v>0</v>
      </c>
      <c r="N651" s="9" t="s">
        <v>5044</v>
      </c>
      <c r="O651" s="9" t="s">
        <v>5044</v>
      </c>
      <c r="P651" s="7">
        <v>0</v>
      </c>
      <c r="Q651" s="7">
        <v>0</v>
      </c>
      <c r="R651" s="7">
        <v>0</v>
      </c>
      <c r="S651" s="7">
        <v>1</v>
      </c>
      <c r="T651" s="7">
        <v>4</v>
      </c>
      <c r="U651" s="7">
        <v>84</v>
      </c>
      <c r="V651" s="7">
        <v>0</v>
      </c>
      <c r="W651" s="7">
        <v>1</v>
      </c>
      <c r="X651" s="7">
        <v>0</v>
      </c>
      <c r="Y651" s="7">
        <v>0</v>
      </c>
      <c r="Z651" s="7">
        <v>0</v>
      </c>
      <c r="AA651" s="7">
        <v>0</v>
      </c>
      <c r="AB651" s="7">
        <v>1</v>
      </c>
      <c r="AC651" s="7">
        <v>1</v>
      </c>
      <c r="AD651" s="7" t="s">
        <v>5044</v>
      </c>
      <c r="AE651" s="7" t="s">
        <v>5044</v>
      </c>
      <c r="AF651" s="7" t="s">
        <v>5044</v>
      </c>
      <c r="AG651" s="7">
        <v>2</v>
      </c>
      <c r="AH651" s="7">
        <v>3</v>
      </c>
      <c r="AI651" s="7">
        <v>0</v>
      </c>
      <c r="AJ651" s="7" t="s">
        <v>5044</v>
      </c>
      <c r="AK651" s="7" t="s">
        <v>6075</v>
      </c>
      <c r="AL651" s="7">
        <v>1</v>
      </c>
      <c r="AM651" s="7">
        <v>0</v>
      </c>
    </row>
    <row r="652" spans="1:40" ht="63" customHeight="1" x14ac:dyDescent="0.2">
      <c r="A652" s="7">
        <v>6599</v>
      </c>
      <c r="B652" s="7" t="s">
        <v>2136</v>
      </c>
      <c r="C652" s="7" t="s">
        <v>2137</v>
      </c>
      <c r="D652" s="7" t="s">
        <v>149</v>
      </c>
      <c r="F652" s="7" t="s">
        <v>234</v>
      </c>
      <c r="G652" s="7" t="s">
        <v>11</v>
      </c>
      <c r="H652" s="7" t="s">
        <v>490</v>
      </c>
      <c r="I652" s="7" t="s">
        <v>13</v>
      </c>
      <c r="J652" s="7" t="s">
        <v>2138</v>
      </c>
      <c r="K652" s="7" t="s">
        <v>2139</v>
      </c>
      <c r="L652" s="8" t="s">
        <v>6076</v>
      </c>
      <c r="M652" s="7">
        <v>0</v>
      </c>
      <c r="N652" s="9" t="s">
        <v>5044</v>
      </c>
      <c r="O652" s="9" t="s">
        <v>5044</v>
      </c>
      <c r="P652" s="7">
        <v>0</v>
      </c>
      <c r="Q652" s="7">
        <v>0</v>
      </c>
      <c r="R652" s="7">
        <v>0</v>
      </c>
      <c r="S652" s="7">
        <v>3</v>
      </c>
      <c r="T652" s="7">
        <v>4</v>
      </c>
      <c r="U652" s="7">
        <v>70</v>
      </c>
      <c r="V652" s="7">
        <v>0</v>
      </c>
      <c r="W652" s="7">
        <v>1</v>
      </c>
      <c r="X652" s="7">
        <v>0</v>
      </c>
      <c r="Y652" s="7">
        <v>0</v>
      </c>
      <c r="Z652" s="7">
        <v>0</v>
      </c>
      <c r="AA652" s="7">
        <v>0</v>
      </c>
      <c r="AB652" s="7">
        <v>1</v>
      </c>
      <c r="AC652" s="7">
        <v>1</v>
      </c>
      <c r="AD652" s="7" t="s">
        <v>5044</v>
      </c>
      <c r="AE652" s="7" t="s">
        <v>5044</v>
      </c>
      <c r="AF652" s="7" t="s">
        <v>5044</v>
      </c>
      <c r="AG652" s="7">
        <v>1</v>
      </c>
      <c r="AH652" s="7">
        <v>0</v>
      </c>
      <c r="AI652" s="7">
        <v>0</v>
      </c>
      <c r="AJ652" s="7" t="s">
        <v>5044</v>
      </c>
      <c r="AL652" s="7">
        <v>0</v>
      </c>
      <c r="AM652" s="7">
        <v>0</v>
      </c>
    </row>
    <row r="653" spans="1:40" ht="63" customHeight="1" x14ac:dyDescent="0.2">
      <c r="A653" s="7">
        <v>6618</v>
      </c>
      <c r="B653" s="7" t="s">
        <v>2140</v>
      </c>
      <c r="C653" s="7" t="s">
        <v>2141</v>
      </c>
      <c r="D653" s="7" t="s">
        <v>46</v>
      </c>
      <c r="F653" s="7" t="s">
        <v>900</v>
      </c>
      <c r="G653" s="7" t="s">
        <v>37</v>
      </c>
      <c r="H653" s="7" t="s">
        <v>43</v>
      </c>
      <c r="I653" s="7" t="s">
        <v>13</v>
      </c>
      <c r="J653" s="7" t="s">
        <v>2142</v>
      </c>
      <c r="K653" s="7" t="s">
        <v>2143</v>
      </c>
      <c r="L653" s="8" t="s">
        <v>5660</v>
      </c>
      <c r="M653" s="7">
        <v>0</v>
      </c>
      <c r="N653" s="9" t="s">
        <v>5044</v>
      </c>
      <c r="O653" s="9" t="s">
        <v>5044</v>
      </c>
      <c r="P653" s="7">
        <v>0</v>
      </c>
      <c r="Q653" s="7">
        <v>0</v>
      </c>
      <c r="R653" s="7">
        <v>0</v>
      </c>
      <c r="S653" s="7">
        <v>1</v>
      </c>
      <c r="T653" s="7">
        <v>4</v>
      </c>
      <c r="U653" s="7">
        <v>1050</v>
      </c>
      <c r="V653" s="7">
        <v>0</v>
      </c>
      <c r="W653" s="7">
        <v>1</v>
      </c>
      <c r="X653" s="7">
        <v>0</v>
      </c>
      <c r="Y653" s="7">
        <v>0</v>
      </c>
      <c r="Z653" s="7">
        <v>0</v>
      </c>
      <c r="AA653" s="7">
        <v>0</v>
      </c>
      <c r="AB653" s="7">
        <v>1</v>
      </c>
      <c r="AC653" s="7">
        <v>1</v>
      </c>
      <c r="AD653" s="7" t="s">
        <v>5044</v>
      </c>
      <c r="AE653" s="7" t="s">
        <v>5044</v>
      </c>
      <c r="AF653" s="7" t="s">
        <v>5044</v>
      </c>
      <c r="AG653" s="7">
        <v>1</v>
      </c>
      <c r="AH653" s="7">
        <v>0</v>
      </c>
      <c r="AI653" s="7">
        <v>0</v>
      </c>
      <c r="AJ653" s="7" t="s">
        <v>5044</v>
      </c>
      <c r="AL653" s="7" t="s">
        <v>5044</v>
      </c>
      <c r="AM653" s="7">
        <v>0</v>
      </c>
      <c r="AN653" s="7" t="s">
        <v>6293</v>
      </c>
    </row>
    <row r="654" spans="1:40" ht="63" customHeight="1" x14ac:dyDescent="0.2">
      <c r="A654" s="7">
        <v>6684</v>
      </c>
      <c r="B654" s="7" t="s">
        <v>2144</v>
      </c>
      <c r="C654" s="7" t="s">
        <v>2145</v>
      </c>
      <c r="D654" s="7" t="s">
        <v>46</v>
      </c>
      <c r="F654" s="7" t="s">
        <v>1346</v>
      </c>
      <c r="G654" s="7" t="s">
        <v>18</v>
      </c>
      <c r="H654" s="7" t="s">
        <v>390</v>
      </c>
      <c r="I654" s="7" t="s">
        <v>13</v>
      </c>
      <c r="J654" s="7" t="s">
        <v>2146</v>
      </c>
      <c r="K654" s="7" t="s">
        <v>2147</v>
      </c>
      <c r="L654" s="6" t="s">
        <v>6077</v>
      </c>
      <c r="M654" s="7">
        <v>0</v>
      </c>
      <c r="N654" s="9" t="s">
        <v>5044</v>
      </c>
      <c r="O654" s="9" t="s">
        <v>5044</v>
      </c>
      <c r="P654" s="7">
        <v>0</v>
      </c>
      <c r="Q654" s="7">
        <v>0</v>
      </c>
      <c r="R654" s="7">
        <v>0</v>
      </c>
      <c r="S654" s="7">
        <v>5</v>
      </c>
      <c r="T654" s="7">
        <v>2</v>
      </c>
      <c r="U654" s="7">
        <v>154</v>
      </c>
      <c r="V654" s="7">
        <v>0</v>
      </c>
      <c r="W654" s="7">
        <v>1</v>
      </c>
      <c r="X654" s="7">
        <v>0</v>
      </c>
      <c r="Y654" s="7">
        <v>0</v>
      </c>
      <c r="Z654" s="7">
        <v>0</v>
      </c>
      <c r="AA654" s="7">
        <v>0</v>
      </c>
      <c r="AB654" s="7">
        <v>1</v>
      </c>
      <c r="AC654" s="7">
        <v>1</v>
      </c>
      <c r="AD654" s="7" t="s">
        <v>5044</v>
      </c>
      <c r="AE654" s="7" t="s">
        <v>5044</v>
      </c>
      <c r="AF654" s="7" t="s">
        <v>5044</v>
      </c>
      <c r="AG654" s="7">
        <v>2</v>
      </c>
      <c r="AH654" s="7">
        <v>1</v>
      </c>
      <c r="AI654" s="7">
        <v>1</v>
      </c>
      <c r="AJ654" s="7" t="s">
        <v>5044</v>
      </c>
      <c r="AL654" s="7">
        <v>0</v>
      </c>
      <c r="AM654" s="7">
        <v>0</v>
      </c>
    </row>
    <row r="655" spans="1:40" ht="63" customHeight="1" x14ac:dyDescent="0.2">
      <c r="A655" s="7">
        <v>6691</v>
      </c>
      <c r="B655" s="7" t="s">
        <v>2148</v>
      </c>
      <c r="C655" s="7" t="s">
        <v>2149</v>
      </c>
      <c r="D655" s="7" t="s">
        <v>95</v>
      </c>
      <c r="F655" s="7" t="s">
        <v>416</v>
      </c>
      <c r="G655" s="7" t="s">
        <v>47</v>
      </c>
      <c r="H655" s="7" t="s">
        <v>1299</v>
      </c>
      <c r="I655" s="7" t="s">
        <v>13</v>
      </c>
      <c r="J655" s="7" t="s">
        <v>2150</v>
      </c>
      <c r="K655" s="7" t="s">
        <v>2151</v>
      </c>
      <c r="L655" s="8" t="s">
        <v>6078</v>
      </c>
      <c r="M655" s="7">
        <v>0</v>
      </c>
      <c r="N655" s="9" t="s">
        <v>5044</v>
      </c>
      <c r="O655" s="9" t="s">
        <v>5044</v>
      </c>
      <c r="P655" s="7">
        <v>0</v>
      </c>
      <c r="Q655" s="7">
        <v>0</v>
      </c>
      <c r="R655" s="7">
        <v>0</v>
      </c>
      <c r="S655" s="7">
        <v>9</v>
      </c>
      <c r="T655" s="7">
        <v>1</v>
      </c>
      <c r="U655" s="7">
        <v>100</v>
      </c>
      <c r="V655" s="7">
        <v>0</v>
      </c>
      <c r="W655" s="7">
        <v>1</v>
      </c>
      <c r="X655" s="7">
        <v>0</v>
      </c>
      <c r="Y655" s="7">
        <v>0</v>
      </c>
      <c r="Z655" s="7">
        <v>0</v>
      </c>
      <c r="AA655" s="7">
        <v>0</v>
      </c>
      <c r="AB655" s="7">
        <v>1</v>
      </c>
      <c r="AC655" s="7">
        <v>1</v>
      </c>
      <c r="AD655" s="7" t="s">
        <v>5044</v>
      </c>
      <c r="AE655" s="7" t="s">
        <v>5044</v>
      </c>
      <c r="AF655" s="7" t="s">
        <v>5044</v>
      </c>
      <c r="AG655" s="7">
        <v>2</v>
      </c>
      <c r="AH655" s="7">
        <v>3</v>
      </c>
      <c r="AI655" s="7">
        <v>0</v>
      </c>
      <c r="AJ655" s="7" t="s">
        <v>5044</v>
      </c>
      <c r="AK655" s="7" t="s">
        <v>6079</v>
      </c>
      <c r="AL655" s="7">
        <v>0</v>
      </c>
      <c r="AM655" s="7">
        <v>0</v>
      </c>
    </row>
    <row r="656" spans="1:40" ht="63" customHeight="1" x14ac:dyDescent="0.2">
      <c r="A656" s="7">
        <v>6696</v>
      </c>
      <c r="B656" s="7" t="s">
        <v>2152</v>
      </c>
      <c r="C656" s="7" t="s">
        <v>2153</v>
      </c>
      <c r="D656" s="7" t="s">
        <v>16</v>
      </c>
      <c r="F656" s="7" t="s">
        <v>27</v>
      </c>
      <c r="G656" s="7" t="s">
        <v>37</v>
      </c>
      <c r="H656" s="7" t="s">
        <v>708</v>
      </c>
      <c r="I656" s="7" t="s">
        <v>13</v>
      </c>
      <c r="J656" s="7" t="s">
        <v>2154</v>
      </c>
      <c r="K656" s="7" t="s">
        <v>2155</v>
      </c>
      <c r="L656" s="8" t="s">
        <v>6080</v>
      </c>
      <c r="M656" s="7">
        <v>0</v>
      </c>
      <c r="N656" s="9" t="s">
        <v>5044</v>
      </c>
      <c r="O656" s="9" t="s">
        <v>5044</v>
      </c>
      <c r="P656" s="7">
        <v>0</v>
      </c>
      <c r="Q656" s="7">
        <v>0</v>
      </c>
      <c r="R656" s="7">
        <v>0</v>
      </c>
      <c r="S656" s="7" t="s">
        <v>7670</v>
      </c>
      <c r="T656" s="7">
        <v>1</v>
      </c>
      <c r="U656" s="7">
        <v>104</v>
      </c>
      <c r="V656" s="7">
        <v>0</v>
      </c>
      <c r="W656" s="7">
        <v>1</v>
      </c>
      <c r="X656" s="7">
        <v>0</v>
      </c>
      <c r="Y656" s="7">
        <v>0</v>
      </c>
      <c r="Z656" s="7">
        <v>0</v>
      </c>
      <c r="AA656" s="7">
        <v>0</v>
      </c>
      <c r="AB656" s="7">
        <v>1</v>
      </c>
      <c r="AC656" s="7">
        <v>1</v>
      </c>
      <c r="AD656" s="7" t="s">
        <v>5044</v>
      </c>
      <c r="AE656" s="7" t="s">
        <v>5044</v>
      </c>
      <c r="AF656" s="7" t="s">
        <v>5044</v>
      </c>
      <c r="AG656" s="7">
        <v>2</v>
      </c>
      <c r="AH656" s="7">
        <v>2</v>
      </c>
      <c r="AI656" s="7">
        <v>2</v>
      </c>
      <c r="AJ656" s="7" t="s">
        <v>5044</v>
      </c>
      <c r="AL656" s="7">
        <v>0</v>
      </c>
      <c r="AM656" s="7">
        <v>0</v>
      </c>
    </row>
    <row r="657" spans="1:40" ht="63" customHeight="1" x14ac:dyDescent="0.2">
      <c r="A657" s="7">
        <v>6719</v>
      </c>
      <c r="B657" s="7" t="s">
        <v>2156</v>
      </c>
      <c r="C657" s="7" t="s">
        <v>2157</v>
      </c>
      <c r="D657" s="7" t="s">
        <v>56</v>
      </c>
      <c r="F657" s="7" t="s">
        <v>587</v>
      </c>
      <c r="G657" s="7" t="s">
        <v>175</v>
      </c>
      <c r="H657" s="7" t="s">
        <v>290</v>
      </c>
      <c r="I657" s="7" t="s">
        <v>13</v>
      </c>
      <c r="J657" s="7" t="s">
        <v>2158</v>
      </c>
      <c r="K657" s="7" t="s">
        <v>2159</v>
      </c>
      <c r="L657" s="11" t="s">
        <v>5044</v>
      </c>
      <c r="M657" s="7">
        <v>0</v>
      </c>
      <c r="N657" s="9" t="s">
        <v>5044</v>
      </c>
      <c r="O657" s="9" t="s">
        <v>5044</v>
      </c>
      <c r="P657" s="7">
        <v>0</v>
      </c>
      <c r="Q657" s="7">
        <v>0</v>
      </c>
      <c r="R657" s="7">
        <v>0</v>
      </c>
      <c r="S657" s="7">
        <v>1</v>
      </c>
      <c r="T657" s="7">
        <v>1</v>
      </c>
      <c r="U657" s="7">
        <v>26</v>
      </c>
      <c r="V657" s="7">
        <v>0</v>
      </c>
      <c r="W657" s="7">
        <v>1</v>
      </c>
      <c r="X657" s="7">
        <v>0</v>
      </c>
      <c r="Y657" s="7">
        <v>0</v>
      </c>
      <c r="Z657" s="7">
        <v>0</v>
      </c>
      <c r="AA657" s="7">
        <v>0</v>
      </c>
      <c r="AB657" s="7">
        <v>1</v>
      </c>
      <c r="AC657" s="7">
        <v>0</v>
      </c>
      <c r="AD657" s="7" t="s">
        <v>5044</v>
      </c>
      <c r="AE657" s="7" t="s">
        <v>5044</v>
      </c>
      <c r="AF657" s="7" t="s">
        <v>5044</v>
      </c>
      <c r="AG657" s="7">
        <v>0</v>
      </c>
      <c r="AH657" s="7" t="s">
        <v>5044</v>
      </c>
      <c r="AI657" s="7" t="s">
        <v>5044</v>
      </c>
      <c r="AJ657" s="7" t="s">
        <v>5044</v>
      </c>
      <c r="AL657" s="7" t="s">
        <v>5044</v>
      </c>
      <c r="AM657" s="7">
        <v>0</v>
      </c>
      <c r="AN657" s="7" t="s">
        <v>5105</v>
      </c>
    </row>
    <row r="658" spans="1:40" ht="63" customHeight="1" x14ac:dyDescent="0.2">
      <c r="A658" s="7">
        <v>6721</v>
      </c>
      <c r="B658" s="7" t="s">
        <v>2160</v>
      </c>
      <c r="C658" s="7" t="s">
        <v>2161</v>
      </c>
      <c r="D658" s="7" t="s">
        <v>56</v>
      </c>
      <c r="F658" s="7" t="s">
        <v>147</v>
      </c>
      <c r="G658" s="7" t="s">
        <v>92</v>
      </c>
      <c r="H658" s="7" t="s">
        <v>296</v>
      </c>
      <c r="I658" s="7" t="s">
        <v>13</v>
      </c>
      <c r="J658" s="7" t="s">
        <v>2162</v>
      </c>
      <c r="K658" s="7" t="s">
        <v>2163</v>
      </c>
      <c r="L658" s="6" t="s">
        <v>6081</v>
      </c>
      <c r="M658" s="7">
        <v>0</v>
      </c>
      <c r="N658" s="9" t="s">
        <v>5044</v>
      </c>
      <c r="O658" s="9" t="s">
        <v>5044</v>
      </c>
      <c r="P658" s="7">
        <v>0</v>
      </c>
      <c r="Q658" s="7">
        <v>0</v>
      </c>
      <c r="R658" s="7">
        <v>0</v>
      </c>
      <c r="S658" s="7">
        <v>1</v>
      </c>
      <c r="T658" s="7">
        <v>2</v>
      </c>
      <c r="U658" s="7">
        <v>34</v>
      </c>
      <c r="V658" s="7">
        <v>0</v>
      </c>
      <c r="W658" s="7">
        <v>1</v>
      </c>
      <c r="X658" s="7">
        <v>0</v>
      </c>
      <c r="Y658" s="7">
        <v>0</v>
      </c>
      <c r="Z658" s="7">
        <v>0</v>
      </c>
      <c r="AA658" s="7">
        <v>0</v>
      </c>
      <c r="AB658" s="7">
        <v>1</v>
      </c>
      <c r="AC658" s="7">
        <v>0</v>
      </c>
      <c r="AD658" s="7" t="s">
        <v>5044</v>
      </c>
      <c r="AE658" s="7" t="s">
        <v>5044</v>
      </c>
      <c r="AF658" s="7" t="s">
        <v>5044</v>
      </c>
      <c r="AG658" s="7">
        <v>0</v>
      </c>
      <c r="AH658" s="7" t="s">
        <v>5044</v>
      </c>
      <c r="AI658" s="7" t="s">
        <v>5044</v>
      </c>
      <c r="AJ658" s="7" t="s">
        <v>5044</v>
      </c>
      <c r="AL658" s="7">
        <v>1</v>
      </c>
      <c r="AM658" s="7">
        <v>0</v>
      </c>
    </row>
    <row r="659" spans="1:40" ht="63" customHeight="1" x14ac:dyDescent="0.2">
      <c r="A659" s="7">
        <v>6740</v>
      </c>
      <c r="B659" s="7" t="s">
        <v>2164</v>
      </c>
      <c r="C659" s="7" t="s">
        <v>2165</v>
      </c>
      <c r="D659" s="7" t="s">
        <v>74</v>
      </c>
      <c r="F659" s="7" t="s">
        <v>10</v>
      </c>
      <c r="H659" s="7" t="s">
        <v>2166</v>
      </c>
      <c r="I659" s="7" t="s">
        <v>13</v>
      </c>
      <c r="J659" s="7" t="s">
        <v>2167</v>
      </c>
      <c r="K659" s="7" t="s">
        <v>2168</v>
      </c>
      <c r="L659" s="6" t="s">
        <v>6082</v>
      </c>
      <c r="M659" s="7">
        <v>1</v>
      </c>
      <c r="N659" s="7">
        <v>0</v>
      </c>
      <c r="O659" s="9" t="s">
        <v>5044</v>
      </c>
      <c r="P659" s="7">
        <v>0</v>
      </c>
      <c r="Q659" s="7">
        <v>0</v>
      </c>
      <c r="R659" s="7">
        <v>0</v>
      </c>
      <c r="S659" s="7" t="s">
        <v>5488</v>
      </c>
      <c r="T659" s="7">
        <v>1</v>
      </c>
      <c r="U659" s="7">
        <v>184</v>
      </c>
      <c r="V659" s="7">
        <v>0</v>
      </c>
      <c r="W659" s="7">
        <v>1</v>
      </c>
      <c r="X659" s="7">
        <v>0</v>
      </c>
      <c r="Y659" s="7">
        <v>0</v>
      </c>
      <c r="Z659" s="7">
        <v>0</v>
      </c>
      <c r="AA659" s="7">
        <v>0</v>
      </c>
      <c r="AB659" s="7">
        <v>1</v>
      </c>
      <c r="AC659" s="7" t="s">
        <v>5044</v>
      </c>
      <c r="AD659" s="7" t="s">
        <v>5044</v>
      </c>
      <c r="AE659" s="7" t="s">
        <v>5044</v>
      </c>
      <c r="AF659" s="7" t="s">
        <v>5044</v>
      </c>
      <c r="AG659" s="7" t="s">
        <v>5044</v>
      </c>
      <c r="AH659" s="7" t="s">
        <v>5044</v>
      </c>
      <c r="AI659" s="7" t="s">
        <v>5044</v>
      </c>
      <c r="AJ659" s="7" t="s">
        <v>5044</v>
      </c>
      <c r="AL659" s="7" t="s">
        <v>5044</v>
      </c>
      <c r="AM659" s="7">
        <v>0</v>
      </c>
    </row>
    <row r="660" spans="1:40" ht="63" customHeight="1" x14ac:dyDescent="0.2">
      <c r="A660" s="7">
        <v>6744</v>
      </c>
      <c r="B660" s="7" t="s">
        <v>2169</v>
      </c>
      <c r="C660" s="7" t="s">
        <v>2170</v>
      </c>
      <c r="D660" s="7" t="s">
        <v>25</v>
      </c>
      <c r="F660" s="7" t="s">
        <v>865</v>
      </c>
      <c r="G660" s="7" t="s">
        <v>144</v>
      </c>
      <c r="H660" s="7" t="s">
        <v>413</v>
      </c>
      <c r="I660" s="7" t="s">
        <v>13</v>
      </c>
      <c r="J660" s="7" t="s">
        <v>2171</v>
      </c>
      <c r="K660" s="7" t="s">
        <v>2172</v>
      </c>
      <c r="L660" s="8" t="s">
        <v>6083</v>
      </c>
      <c r="M660" s="7">
        <v>0</v>
      </c>
      <c r="N660" s="9" t="s">
        <v>5044</v>
      </c>
      <c r="O660" s="9" t="s">
        <v>5044</v>
      </c>
      <c r="P660" s="7">
        <v>0</v>
      </c>
      <c r="Q660" s="7">
        <v>0</v>
      </c>
      <c r="R660" s="7">
        <v>0</v>
      </c>
      <c r="S660" s="7">
        <v>1</v>
      </c>
      <c r="T660" s="7">
        <v>1</v>
      </c>
      <c r="U660" s="7">
        <v>100</v>
      </c>
      <c r="V660" s="7">
        <v>0</v>
      </c>
      <c r="W660" s="7">
        <v>1</v>
      </c>
      <c r="X660" s="7">
        <v>0</v>
      </c>
      <c r="Y660" s="7">
        <v>0</v>
      </c>
      <c r="Z660" s="7">
        <v>0</v>
      </c>
      <c r="AA660" s="7">
        <v>0</v>
      </c>
      <c r="AB660" s="7">
        <v>1</v>
      </c>
      <c r="AC660" s="7">
        <v>0</v>
      </c>
      <c r="AD660" s="7" t="s">
        <v>5044</v>
      </c>
      <c r="AE660" s="7" t="s">
        <v>5044</v>
      </c>
      <c r="AF660" s="7" t="s">
        <v>5044</v>
      </c>
      <c r="AG660" s="7">
        <v>0</v>
      </c>
      <c r="AH660" s="7" t="s">
        <v>5044</v>
      </c>
      <c r="AI660" s="7" t="s">
        <v>5044</v>
      </c>
      <c r="AJ660" s="7" t="s">
        <v>5044</v>
      </c>
      <c r="AL660" s="7">
        <v>1</v>
      </c>
      <c r="AM660" s="7">
        <v>0</v>
      </c>
    </row>
    <row r="661" spans="1:40" ht="63" customHeight="1" x14ac:dyDescent="0.2">
      <c r="A661" s="7">
        <v>6753</v>
      </c>
      <c r="B661" s="7" t="s">
        <v>2173</v>
      </c>
      <c r="C661" s="7" t="s">
        <v>2174</v>
      </c>
      <c r="D661" s="7" t="s">
        <v>16</v>
      </c>
      <c r="F661" s="7" t="s">
        <v>114</v>
      </c>
      <c r="G661" s="7" t="s">
        <v>37</v>
      </c>
      <c r="H661" s="7" t="s">
        <v>160</v>
      </c>
      <c r="I661" s="7" t="s">
        <v>13</v>
      </c>
      <c r="J661" s="7" t="s">
        <v>2175</v>
      </c>
      <c r="K661" s="7" t="s">
        <v>2176</v>
      </c>
      <c r="L661" s="8" t="s">
        <v>6084</v>
      </c>
      <c r="M661" s="7">
        <v>0</v>
      </c>
      <c r="N661" s="9" t="s">
        <v>5044</v>
      </c>
      <c r="O661" s="9" t="s">
        <v>5044</v>
      </c>
      <c r="P661" s="7">
        <v>0</v>
      </c>
      <c r="Q661" s="7">
        <v>0</v>
      </c>
      <c r="R661" s="7">
        <v>0</v>
      </c>
      <c r="S661" s="7">
        <v>1</v>
      </c>
      <c r="T661" s="7">
        <v>1</v>
      </c>
      <c r="U661" s="7">
        <v>152</v>
      </c>
      <c r="V661" s="7">
        <v>0</v>
      </c>
      <c r="W661" s="7">
        <v>1</v>
      </c>
      <c r="X661" s="7">
        <v>0</v>
      </c>
      <c r="Y661" s="7">
        <v>0</v>
      </c>
      <c r="Z661" s="7">
        <v>0</v>
      </c>
      <c r="AA661" s="7">
        <v>0</v>
      </c>
      <c r="AB661" s="7">
        <v>1</v>
      </c>
      <c r="AC661" s="7">
        <v>1</v>
      </c>
      <c r="AD661" s="7" t="s">
        <v>5044</v>
      </c>
      <c r="AE661" s="7" t="s">
        <v>5044</v>
      </c>
      <c r="AF661" s="7" t="s">
        <v>5044</v>
      </c>
      <c r="AG661" s="7">
        <v>2</v>
      </c>
      <c r="AH661" s="7">
        <v>1</v>
      </c>
      <c r="AI661" s="7">
        <v>2</v>
      </c>
      <c r="AJ661" s="7" t="s">
        <v>5044</v>
      </c>
      <c r="AL661" s="7">
        <v>0</v>
      </c>
      <c r="AM661" s="7">
        <v>0</v>
      </c>
    </row>
    <row r="662" spans="1:40" ht="63" customHeight="1" x14ac:dyDescent="0.2">
      <c r="A662" s="7">
        <v>6766</v>
      </c>
      <c r="B662" s="7" t="s">
        <v>2177</v>
      </c>
      <c r="C662" s="7" t="s">
        <v>2178</v>
      </c>
      <c r="D662" s="7" t="s">
        <v>46</v>
      </c>
      <c r="F662" s="7" t="s">
        <v>18</v>
      </c>
      <c r="G662" s="7" t="s">
        <v>27</v>
      </c>
      <c r="H662" s="7" t="s">
        <v>362</v>
      </c>
      <c r="I662" s="7" t="s">
        <v>13</v>
      </c>
      <c r="J662" s="7" t="s">
        <v>2179</v>
      </c>
      <c r="K662" s="7" t="s">
        <v>2180</v>
      </c>
      <c r="L662" s="6" t="s">
        <v>6085</v>
      </c>
      <c r="M662" s="7">
        <v>0</v>
      </c>
      <c r="N662" s="9" t="s">
        <v>5044</v>
      </c>
      <c r="O662" s="9" t="s">
        <v>5044</v>
      </c>
      <c r="P662" s="7">
        <v>0</v>
      </c>
      <c r="Q662" s="7">
        <v>0</v>
      </c>
      <c r="R662" s="7">
        <v>0</v>
      </c>
      <c r="S662" s="7">
        <v>1</v>
      </c>
      <c r="T662" s="7">
        <v>1</v>
      </c>
      <c r="U662" s="7">
        <v>133</v>
      </c>
      <c r="V662" s="7">
        <v>0</v>
      </c>
      <c r="W662" s="7">
        <v>1</v>
      </c>
      <c r="X662" s="7">
        <v>0</v>
      </c>
      <c r="Y662" s="7">
        <v>0</v>
      </c>
      <c r="Z662" s="7">
        <v>0</v>
      </c>
      <c r="AA662" s="7">
        <v>0</v>
      </c>
      <c r="AB662" s="7">
        <v>1</v>
      </c>
      <c r="AC662" s="7">
        <v>1</v>
      </c>
      <c r="AD662" s="7" t="s">
        <v>5044</v>
      </c>
      <c r="AE662" s="7" t="s">
        <v>5044</v>
      </c>
      <c r="AF662" s="7" t="s">
        <v>5044</v>
      </c>
      <c r="AG662" s="7">
        <v>1</v>
      </c>
      <c r="AH662" s="7">
        <v>0</v>
      </c>
      <c r="AI662" s="7">
        <v>0</v>
      </c>
      <c r="AJ662" s="7" t="s">
        <v>5044</v>
      </c>
      <c r="AL662" s="7">
        <v>1</v>
      </c>
      <c r="AM662" s="7">
        <v>0</v>
      </c>
    </row>
    <row r="663" spans="1:40" ht="63" customHeight="1" x14ac:dyDescent="0.2">
      <c r="A663" s="7">
        <v>6790</v>
      </c>
      <c r="B663" s="7" t="s">
        <v>2181</v>
      </c>
      <c r="C663" s="7" t="s">
        <v>2182</v>
      </c>
      <c r="D663" s="7" t="s">
        <v>95</v>
      </c>
      <c r="F663" s="7" t="s">
        <v>2183</v>
      </c>
      <c r="H663" s="7" t="s">
        <v>1449</v>
      </c>
      <c r="I663" s="7" t="s">
        <v>13</v>
      </c>
      <c r="J663" s="7" t="s">
        <v>2184</v>
      </c>
      <c r="K663" s="7" t="s">
        <v>2185</v>
      </c>
      <c r="L663" s="11" t="s">
        <v>5044</v>
      </c>
      <c r="M663" s="7">
        <v>0</v>
      </c>
      <c r="N663" s="9" t="s">
        <v>5044</v>
      </c>
      <c r="O663" s="9" t="s">
        <v>5044</v>
      </c>
      <c r="P663" s="7">
        <v>0</v>
      </c>
      <c r="Q663" s="7">
        <v>0</v>
      </c>
      <c r="R663" s="7">
        <v>0</v>
      </c>
      <c r="S663" s="7">
        <v>7</v>
      </c>
      <c r="T663" s="7">
        <v>4</v>
      </c>
      <c r="U663" s="7">
        <v>60</v>
      </c>
      <c r="V663" s="7">
        <v>1</v>
      </c>
      <c r="W663" s="7">
        <v>0</v>
      </c>
      <c r="X663" s="7">
        <v>0</v>
      </c>
      <c r="Y663" s="7">
        <v>0</v>
      </c>
      <c r="Z663" s="7">
        <v>0</v>
      </c>
      <c r="AA663" s="7">
        <v>0</v>
      </c>
      <c r="AB663" s="7">
        <v>1</v>
      </c>
      <c r="AC663" s="7">
        <v>1</v>
      </c>
      <c r="AD663" s="7">
        <v>2</v>
      </c>
      <c r="AE663" s="7">
        <v>3</v>
      </c>
      <c r="AF663" s="7">
        <v>0</v>
      </c>
      <c r="AG663" s="7" t="s">
        <v>5044</v>
      </c>
      <c r="AH663" s="7" t="s">
        <v>5044</v>
      </c>
      <c r="AI663" s="7" t="s">
        <v>5044</v>
      </c>
      <c r="AJ663" s="7" t="s">
        <v>5044</v>
      </c>
      <c r="AK663" s="7">
        <v>1</v>
      </c>
      <c r="AL663" s="7">
        <v>1</v>
      </c>
      <c r="AM663" s="7">
        <v>0</v>
      </c>
    </row>
    <row r="664" spans="1:40" ht="63" customHeight="1" x14ac:dyDescent="0.2">
      <c r="A664" s="7">
        <v>6803</v>
      </c>
      <c r="B664" s="7" t="s">
        <v>2186</v>
      </c>
      <c r="C664" s="7" t="s">
        <v>2187</v>
      </c>
      <c r="D664" s="7" t="s">
        <v>22</v>
      </c>
      <c r="F664" s="7" t="s">
        <v>322</v>
      </c>
      <c r="G664" s="7" t="s">
        <v>32</v>
      </c>
      <c r="H664" s="7" t="s">
        <v>2188</v>
      </c>
      <c r="I664" s="7" t="s">
        <v>13</v>
      </c>
      <c r="J664" s="7" t="s">
        <v>2189</v>
      </c>
      <c r="K664" s="7" t="s">
        <v>2190</v>
      </c>
      <c r="L664" s="8" t="s">
        <v>6087</v>
      </c>
      <c r="M664" s="7">
        <v>0</v>
      </c>
      <c r="N664" s="9" t="s">
        <v>5044</v>
      </c>
      <c r="O664" s="9" t="s">
        <v>5044</v>
      </c>
      <c r="P664" s="7">
        <v>0</v>
      </c>
      <c r="Q664" s="7">
        <v>0</v>
      </c>
      <c r="R664" s="7">
        <v>0</v>
      </c>
      <c r="S664" s="7">
        <v>1</v>
      </c>
      <c r="T664" s="7">
        <v>3</v>
      </c>
      <c r="U664" s="7">
        <v>40</v>
      </c>
      <c r="V664" s="7">
        <v>0</v>
      </c>
      <c r="W664" s="7">
        <v>1</v>
      </c>
      <c r="X664" s="7">
        <v>0</v>
      </c>
      <c r="Y664" s="7">
        <v>0</v>
      </c>
      <c r="Z664" s="7">
        <v>0</v>
      </c>
      <c r="AA664" s="7">
        <v>0</v>
      </c>
      <c r="AB664" s="7">
        <v>1</v>
      </c>
      <c r="AC664" s="7">
        <v>0</v>
      </c>
      <c r="AD664" s="7" t="s">
        <v>5044</v>
      </c>
      <c r="AE664" s="7" t="s">
        <v>5044</v>
      </c>
      <c r="AF664" s="7" t="s">
        <v>5044</v>
      </c>
      <c r="AG664" s="7">
        <v>0</v>
      </c>
      <c r="AH664" s="7" t="s">
        <v>5044</v>
      </c>
      <c r="AI664" s="7" t="s">
        <v>5044</v>
      </c>
      <c r="AJ664" s="7" t="s">
        <v>5044</v>
      </c>
      <c r="AL664" s="7">
        <v>0</v>
      </c>
      <c r="AM664" s="7">
        <v>0</v>
      </c>
    </row>
    <row r="665" spans="1:40" ht="63" customHeight="1" x14ac:dyDescent="0.2">
      <c r="A665" s="7">
        <v>6812</v>
      </c>
      <c r="B665" s="7" t="s">
        <v>2191</v>
      </c>
      <c r="C665" s="7" t="s">
        <v>2192</v>
      </c>
      <c r="D665" s="7" t="s">
        <v>101</v>
      </c>
      <c r="F665" s="7" t="s">
        <v>107</v>
      </c>
      <c r="G665" s="7" t="s">
        <v>52</v>
      </c>
      <c r="H665" s="7" t="s">
        <v>53</v>
      </c>
      <c r="I665" s="7" t="s">
        <v>13</v>
      </c>
      <c r="J665" s="7" t="s">
        <v>2193</v>
      </c>
      <c r="K665" s="7" t="s">
        <v>2194</v>
      </c>
      <c r="L665" s="6" t="s">
        <v>6088</v>
      </c>
      <c r="M665" s="7">
        <v>1</v>
      </c>
      <c r="N665" s="7">
        <v>0</v>
      </c>
      <c r="O665" s="9" t="s">
        <v>5044</v>
      </c>
      <c r="P665" s="7">
        <v>0</v>
      </c>
      <c r="Q665" s="7">
        <v>0</v>
      </c>
      <c r="R665" s="7">
        <v>0</v>
      </c>
      <c r="S665" s="7">
        <v>5</v>
      </c>
      <c r="T665" s="7">
        <v>1</v>
      </c>
      <c r="U665" s="7">
        <v>225</v>
      </c>
      <c r="V665" s="7">
        <v>0</v>
      </c>
      <c r="W665" s="7">
        <v>1</v>
      </c>
      <c r="X665" s="7">
        <v>0</v>
      </c>
      <c r="Y665" s="7">
        <v>0</v>
      </c>
      <c r="Z665" s="7">
        <v>0</v>
      </c>
      <c r="AA665" s="7">
        <v>0</v>
      </c>
      <c r="AB665" s="7">
        <v>1</v>
      </c>
      <c r="AC665" s="7" t="s">
        <v>5044</v>
      </c>
      <c r="AD665" s="7" t="s">
        <v>5044</v>
      </c>
      <c r="AE665" s="7" t="s">
        <v>5044</v>
      </c>
      <c r="AF665" s="7" t="s">
        <v>5044</v>
      </c>
      <c r="AG665" s="7" t="s">
        <v>5044</v>
      </c>
      <c r="AH665" s="7" t="s">
        <v>5044</v>
      </c>
      <c r="AI665" s="7" t="s">
        <v>5044</v>
      </c>
      <c r="AJ665" s="7" t="s">
        <v>5044</v>
      </c>
      <c r="AL665" s="7" t="s">
        <v>5044</v>
      </c>
      <c r="AM665" s="7">
        <v>0</v>
      </c>
    </row>
    <row r="666" spans="1:40" ht="63" customHeight="1" x14ac:dyDescent="0.2">
      <c r="A666" s="7">
        <v>6818</v>
      </c>
      <c r="B666" s="7" t="s">
        <v>2195</v>
      </c>
      <c r="C666" s="7" t="s">
        <v>2196</v>
      </c>
      <c r="D666" s="7" t="s">
        <v>95</v>
      </c>
      <c r="F666" s="7" t="s">
        <v>136</v>
      </c>
      <c r="G666" s="7" t="s">
        <v>52</v>
      </c>
      <c r="H666" s="7" t="s">
        <v>656</v>
      </c>
      <c r="I666" s="7" t="s">
        <v>13</v>
      </c>
      <c r="J666" s="7" t="s">
        <v>2197</v>
      </c>
      <c r="K666" s="7" t="s">
        <v>2198</v>
      </c>
      <c r="L666" s="6" t="s">
        <v>6089</v>
      </c>
      <c r="M666" s="7">
        <v>1</v>
      </c>
      <c r="N666" s="7">
        <v>0</v>
      </c>
      <c r="O666" s="9" t="s">
        <v>5044</v>
      </c>
      <c r="P666" s="7">
        <v>0</v>
      </c>
      <c r="Q666" s="7">
        <v>0</v>
      </c>
      <c r="R666" s="7">
        <v>0</v>
      </c>
      <c r="S666" s="7" t="s">
        <v>5708</v>
      </c>
      <c r="T666" s="7">
        <v>1</v>
      </c>
      <c r="U666" s="7">
        <v>90</v>
      </c>
      <c r="V666" s="7">
        <v>0</v>
      </c>
      <c r="W666" s="7">
        <v>1</v>
      </c>
      <c r="X666" s="7">
        <v>0</v>
      </c>
      <c r="Y666" s="7">
        <v>0</v>
      </c>
      <c r="Z666" s="7">
        <v>0</v>
      </c>
      <c r="AA666" s="7">
        <v>0</v>
      </c>
      <c r="AB666" s="7">
        <v>1</v>
      </c>
      <c r="AC666" s="7" t="s">
        <v>5044</v>
      </c>
      <c r="AD666" s="7" t="s">
        <v>5044</v>
      </c>
      <c r="AE666" s="7" t="s">
        <v>5044</v>
      </c>
      <c r="AF666" s="7" t="s">
        <v>5044</v>
      </c>
      <c r="AG666" s="7" t="s">
        <v>5044</v>
      </c>
      <c r="AH666" s="7" t="s">
        <v>5044</v>
      </c>
      <c r="AI666" s="7" t="s">
        <v>5044</v>
      </c>
      <c r="AJ666" s="7" t="s">
        <v>5044</v>
      </c>
      <c r="AL666" s="7" t="s">
        <v>5044</v>
      </c>
      <c r="AM666" s="7">
        <v>0</v>
      </c>
    </row>
    <row r="667" spans="1:40" ht="63" customHeight="1" x14ac:dyDescent="0.2">
      <c r="A667" s="7">
        <v>6827</v>
      </c>
      <c r="B667" s="7" t="s">
        <v>2199</v>
      </c>
      <c r="C667" s="7" t="s">
        <v>2200</v>
      </c>
      <c r="D667" s="7" t="s">
        <v>56</v>
      </c>
      <c r="F667" s="7" t="s">
        <v>929</v>
      </c>
      <c r="G667" s="7" t="s">
        <v>11</v>
      </c>
      <c r="H667" s="7" t="s">
        <v>43</v>
      </c>
      <c r="I667" s="7" t="s">
        <v>13</v>
      </c>
      <c r="J667" s="7" t="s">
        <v>2201</v>
      </c>
      <c r="K667" s="7" t="s">
        <v>2202</v>
      </c>
      <c r="L667" s="6" t="s">
        <v>5177</v>
      </c>
      <c r="M667" s="7">
        <v>0</v>
      </c>
      <c r="N667" s="9" t="s">
        <v>5044</v>
      </c>
      <c r="O667" s="9" t="s">
        <v>5044</v>
      </c>
      <c r="P667" s="7">
        <v>0</v>
      </c>
      <c r="Q667" s="7">
        <v>0</v>
      </c>
      <c r="R667" s="7">
        <v>0</v>
      </c>
      <c r="S667" s="7">
        <v>1</v>
      </c>
      <c r="T667" s="7">
        <v>1</v>
      </c>
      <c r="U667" s="7">
        <v>155</v>
      </c>
      <c r="V667" s="7">
        <v>0</v>
      </c>
      <c r="W667" s="7">
        <v>1</v>
      </c>
      <c r="X667" s="7">
        <v>0</v>
      </c>
      <c r="Y667" s="7">
        <v>0</v>
      </c>
      <c r="Z667" s="7">
        <v>0</v>
      </c>
      <c r="AA667" s="7">
        <v>0</v>
      </c>
      <c r="AB667" s="7">
        <v>1</v>
      </c>
      <c r="AC667" s="7">
        <v>1</v>
      </c>
      <c r="AD667" s="7" t="s">
        <v>5044</v>
      </c>
      <c r="AE667" s="7" t="s">
        <v>5044</v>
      </c>
      <c r="AF667" s="7" t="s">
        <v>5044</v>
      </c>
      <c r="AG667" s="7">
        <v>2</v>
      </c>
      <c r="AH667" s="7">
        <v>1</v>
      </c>
      <c r="AI667" s="7">
        <v>2</v>
      </c>
      <c r="AJ667" s="7" t="s">
        <v>5044</v>
      </c>
      <c r="AL667" s="7">
        <v>0</v>
      </c>
      <c r="AM667" s="7">
        <v>0</v>
      </c>
    </row>
    <row r="668" spans="1:40" ht="63" customHeight="1" x14ac:dyDescent="0.2">
      <c r="A668" s="7">
        <v>6828</v>
      </c>
      <c r="B668" s="7" t="s">
        <v>2203</v>
      </c>
      <c r="C668" s="7" t="s">
        <v>2204</v>
      </c>
      <c r="D668" s="7" t="s">
        <v>74</v>
      </c>
      <c r="H668" s="7" t="s">
        <v>296</v>
      </c>
      <c r="I668" s="7" t="s">
        <v>13</v>
      </c>
      <c r="J668" s="7" t="s">
        <v>2205</v>
      </c>
      <c r="K668" s="7" t="s">
        <v>2206</v>
      </c>
      <c r="L668" s="6" t="s">
        <v>6090</v>
      </c>
      <c r="M668" s="7">
        <v>0</v>
      </c>
      <c r="N668" s="9" t="s">
        <v>5044</v>
      </c>
      <c r="O668" s="9" t="s">
        <v>5044</v>
      </c>
      <c r="P668" s="7">
        <v>0</v>
      </c>
      <c r="Q668" s="7">
        <v>0</v>
      </c>
      <c r="R668" s="7">
        <v>0</v>
      </c>
      <c r="S668" s="7">
        <v>1</v>
      </c>
      <c r="T668" s="7">
        <v>1</v>
      </c>
      <c r="U668" s="7">
        <v>116</v>
      </c>
      <c r="V668" s="7">
        <v>0</v>
      </c>
      <c r="W668" s="7">
        <v>1</v>
      </c>
      <c r="X668" s="7">
        <v>0</v>
      </c>
      <c r="Y668" s="7">
        <v>0</v>
      </c>
      <c r="Z668" s="7">
        <v>0</v>
      </c>
      <c r="AA668" s="7">
        <v>0</v>
      </c>
      <c r="AB668" s="7">
        <v>1</v>
      </c>
      <c r="AC668" s="7">
        <v>1</v>
      </c>
      <c r="AD668" s="7" t="s">
        <v>5044</v>
      </c>
      <c r="AE668" s="7" t="s">
        <v>5044</v>
      </c>
      <c r="AF668" s="7" t="s">
        <v>5044</v>
      </c>
      <c r="AG668" s="7">
        <v>2</v>
      </c>
      <c r="AH668" s="7">
        <v>3</v>
      </c>
      <c r="AI668" s="7">
        <v>0</v>
      </c>
      <c r="AJ668" s="7" t="s">
        <v>5044</v>
      </c>
      <c r="AK668" s="7">
        <v>1</v>
      </c>
      <c r="AL668" s="7">
        <v>1</v>
      </c>
      <c r="AM668" s="7">
        <v>0</v>
      </c>
    </row>
    <row r="669" spans="1:40" ht="63" customHeight="1" x14ac:dyDescent="0.2">
      <c r="A669" s="7">
        <v>6844</v>
      </c>
      <c r="B669" s="7" t="s">
        <v>2207</v>
      </c>
      <c r="C669" s="7" t="s">
        <v>2208</v>
      </c>
      <c r="D669" s="7" t="s">
        <v>46</v>
      </c>
      <c r="F669" s="7" t="s">
        <v>220</v>
      </c>
      <c r="G669" s="7" t="s">
        <v>52</v>
      </c>
      <c r="H669" s="7" t="s">
        <v>2002</v>
      </c>
      <c r="I669" s="7" t="s">
        <v>13</v>
      </c>
      <c r="J669" s="7" t="s">
        <v>2209</v>
      </c>
      <c r="K669" s="7" t="s">
        <v>2210</v>
      </c>
      <c r="L669" s="6" t="s">
        <v>6091</v>
      </c>
      <c r="M669" s="7">
        <v>0</v>
      </c>
      <c r="N669" s="9" t="s">
        <v>5044</v>
      </c>
      <c r="O669" s="9" t="s">
        <v>5044</v>
      </c>
      <c r="P669" s="7">
        <v>0</v>
      </c>
      <c r="Q669" s="7">
        <v>0</v>
      </c>
      <c r="R669" s="7">
        <v>0</v>
      </c>
      <c r="S669" s="7">
        <v>1</v>
      </c>
      <c r="T669" s="7">
        <v>1</v>
      </c>
      <c r="U669" s="7">
        <v>70</v>
      </c>
      <c r="V669" s="7">
        <v>0</v>
      </c>
      <c r="W669" s="7">
        <v>1</v>
      </c>
      <c r="X669" s="7">
        <v>0</v>
      </c>
      <c r="Y669" s="7">
        <v>0</v>
      </c>
      <c r="Z669" s="7">
        <v>0</v>
      </c>
      <c r="AA669" s="7">
        <v>0</v>
      </c>
      <c r="AB669" s="7">
        <v>1</v>
      </c>
      <c r="AC669" s="7">
        <v>1</v>
      </c>
      <c r="AD669" s="7" t="s">
        <v>5044</v>
      </c>
      <c r="AE669" s="7" t="s">
        <v>5044</v>
      </c>
      <c r="AF669" s="7" t="s">
        <v>5044</v>
      </c>
      <c r="AG669" s="7">
        <v>1</v>
      </c>
      <c r="AH669" s="7">
        <v>0</v>
      </c>
      <c r="AI669" s="7">
        <v>0</v>
      </c>
      <c r="AJ669" s="7" t="s">
        <v>5044</v>
      </c>
      <c r="AL669" s="7">
        <v>0</v>
      </c>
      <c r="AM669" s="7">
        <v>0</v>
      </c>
    </row>
    <row r="670" spans="1:40" ht="63" customHeight="1" x14ac:dyDescent="0.2">
      <c r="A670" s="7">
        <v>6847</v>
      </c>
      <c r="B670" s="7" t="s">
        <v>2211</v>
      </c>
      <c r="C670" s="7" t="s">
        <v>2212</v>
      </c>
      <c r="D670" s="7" t="s">
        <v>46</v>
      </c>
      <c r="F670" s="7" t="s">
        <v>788</v>
      </c>
      <c r="G670" s="7" t="s">
        <v>17</v>
      </c>
      <c r="H670" s="7" t="s">
        <v>290</v>
      </c>
      <c r="I670" s="7" t="s">
        <v>13</v>
      </c>
      <c r="J670" s="7" t="s">
        <v>2213</v>
      </c>
      <c r="K670" s="7" t="s">
        <v>2214</v>
      </c>
      <c r="L670" s="6" t="s">
        <v>6092</v>
      </c>
      <c r="M670" s="7">
        <v>0</v>
      </c>
      <c r="N670" s="9" t="s">
        <v>5044</v>
      </c>
      <c r="O670" s="9" t="s">
        <v>5044</v>
      </c>
      <c r="P670" s="7">
        <v>0</v>
      </c>
      <c r="Q670" s="7">
        <v>0</v>
      </c>
      <c r="R670" s="7">
        <v>0</v>
      </c>
      <c r="S670" s="7">
        <v>1</v>
      </c>
      <c r="T670" s="7">
        <v>1</v>
      </c>
      <c r="U670" s="7">
        <v>126</v>
      </c>
      <c r="V670" s="7">
        <v>0</v>
      </c>
      <c r="W670" s="7">
        <v>1</v>
      </c>
      <c r="X670" s="7">
        <v>0</v>
      </c>
      <c r="Y670" s="7">
        <v>0</v>
      </c>
      <c r="Z670" s="7">
        <v>0</v>
      </c>
      <c r="AA670" s="7">
        <v>0</v>
      </c>
      <c r="AB670" s="7">
        <v>1</v>
      </c>
      <c r="AC670" s="7">
        <v>1</v>
      </c>
      <c r="AD670" s="7" t="s">
        <v>5044</v>
      </c>
      <c r="AE670" s="7" t="s">
        <v>5044</v>
      </c>
      <c r="AF670" s="7" t="s">
        <v>5044</v>
      </c>
      <c r="AG670" s="7">
        <v>2</v>
      </c>
      <c r="AH670" s="7">
        <v>3</v>
      </c>
      <c r="AI670" s="7">
        <v>0</v>
      </c>
      <c r="AJ670" s="7" t="s">
        <v>5044</v>
      </c>
      <c r="AK670" s="7">
        <v>1</v>
      </c>
      <c r="AL670" s="7">
        <v>0</v>
      </c>
      <c r="AM670" s="7">
        <v>0</v>
      </c>
    </row>
    <row r="671" spans="1:40" ht="63" customHeight="1" x14ac:dyDescent="0.2">
      <c r="A671" s="7">
        <v>6879</v>
      </c>
      <c r="B671" s="7" t="s">
        <v>2219</v>
      </c>
      <c r="C671" s="7" t="s">
        <v>2220</v>
      </c>
      <c r="D671" s="7" t="s">
        <v>41</v>
      </c>
      <c r="F671" s="7" t="s">
        <v>2221</v>
      </c>
      <c r="G671" s="7" t="s">
        <v>18</v>
      </c>
      <c r="H671" s="7" t="s">
        <v>71</v>
      </c>
      <c r="I671" s="7" t="s">
        <v>13</v>
      </c>
      <c r="J671" s="7" t="s">
        <v>2222</v>
      </c>
      <c r="K671" s="7" t="s">
        <v>2223</v>
      </c>
      <c r="L671" s="8" t="s">
        <v>6093</v>
      </c>
      <c r="M671" s="7">
        <v>0</v>
      </c>
      <c r="N671" s="9" t="s">
        <v>5044</v>
      </c>
      <c r="O671" s="9" t="s">
        <v>5044</v>
      </c>
      <c r="P671" s="7">
        <v>0</v>
      </c>
      <c r="Q671" s="7">
        <v>0</v>
      </c>
      <c r="R671" s="7">
        <v>0</v>
      </c>
      <c r="S671" s="7">
        <v>1</v>
      </c>
      <c r="T671" s="7">
        <v>4</v>
      </c>
      <c r="U671" s="7">
        <v>141</v>
      </c>
      <c r="V671" s="7">
        <v>0</v>
      </c>
      <c r="W671" s="7">
        <v>1</v>
      </c>
      <c r="X671" s="7">
        <v>0</v>
      </c>
      <c r="Y671" s="7">
        <v>0</v>
      </c>
      <c r="Z671" s="7">
        <v>0</v>
      </c>
      <c r="AA671" s="7">
        <v>0</v>
      </c>
      <c r="AB671" s="7">
        <v>1</v>
      </c>
      <c r="AC671" s="7">
        <v>1</v>
      </c>
      <c r="AD671" s="7" t="s">
        <v>5044</v>
      </c>
      <c r="AE671" s="7" t="s">
        <v>5044</v>
      </c>
      <c r="AF671" s="7" t="s">
        <v>5044</v>
      </c>
      <c r="AG671" s="7">
        <v>2</v>
      </c>
      <c r="AH671" s="7">
        <v>3</v>
      </c>
      <c r="AI671" s="7">
        <v>0</v>
      </c>
      <c r="AJ671" s="7" t="s">
        <v>5044</v>
      </c>
      <c r="AK671" s="7" t="s">
        <v>6094</v>
      </c>
      <c r="AL671" s="7">
        <v>0</v>
      </c>
      <c r="AM671" s="7">
        <v>0</v>
      </c>
    </row>
    <row r="672" spans="1:40" ht="63" customHeight="1" x14ac:dyDescent="0.2">
      <c r="A672" s="7">
        <v>6889</v>
      </c>
      <c r="B672" s="7" t="s">
        <v>2224</v>
      </c>
      <c r="C672" s="7" t="s">
        <v>2225</v>
      </c>
      <c r="D672" s="7" t="s">
        <v>375</v>
      </c>
      <c r="F672" s="7" t="s">
        <v>163</v>
      </c>
      <c r="G672" s="7" t="s">
        <v>144</v>
      </c>
      <c r="H672" s="7" t="s">
        <v>238</v>
      </c>
      <c r="I672" s="7" t="s">
        <v>13</v>
      </c>
      <c r="J672" s="7" t="s">
        <v>2226</v>
      </c>
      <c r="K672" s="7" t="s">
        <v>2227</v>
      </c>
      <c r="L672" s="11" t="s">
        <v>5044</v>
      </c>
      <c r="M672" s="7">
        <v>0</v>
      </c>
      <c r="N672" s="9" t="s">
        <v>5044</v>
      </c>
      <c r="O672" s="9" t="s">
        <v>5044</v>
      </c>
      <c r="P672" s="7">
        <v>0</v>
      </c>
      <c r="Q672" s="7">
        <v>0</v>
      </c>
      <c r="R672" s="7">
        <v>0</v>
      </c>
      <c r="S672" s="7">
        <v>3</v>
      </c>
      <c r="T672" s="7">
        <v>4</v>
      </c>
      <c r="U672" s="7">
        <v>50</v>
      </c>
      <c r="V672" s="7">
        <v>0</v>
      </c>
      <c r="W672" s="7">
        <v>1</v>
      </c>
      <c r="X672" s="7">
        <v>0</v>
      </c>
      <c r="Y672" s="7">
        <v>0</v>
      </c>
      <c r="Z672" s="7">
        <v>0</v>
      </c>
      <c r="AA672" s="7">
        <v>0</v>
      </c>
      <c r="AB672" s="7">
        <v>1</v>
      </c>
      <c r="AC672" s="7">
        <v>1</v>
      </c>
      <c r="AD672" s="7" t="s">
        <v>5044</v>
      </c>
      <c r="AE672" s="7" t="s">
        <v>5044</v>
      </c>
      <c r="AF672" s="7" t="s">
        <v>5044</v>
      </c>
      <c r="AG672" s="7">
        <v>1</v>
      </c>
      <c r="AH672" s="7">
        <v>0</v>
      </c>
      <c r="AI672" s="7">
        <v>0</v>
      </c>
      <c r="AJ672" s="7" t="s">
        <v>5044</v>
      </c>
      <c r="AL672" s="7">
        <v>1</v>
      </c>
      <c r="AM672" s="7">
        <v>0</v>
      </c>
    </row>
    <row r="673" spans="1:40" ht="63" customHeight="1" x14ac:dyDescent="0.2">
      <c r="A673" s="7">
        <v>6912</v>
      </c>
      <c r="B673" s="7" t="s">
        <v>2228</v>
      </c>
      <c r="C673" s="7" t="s">
        <v>2229</v>
      </c>
      <c r="D673" s="7" t="s">
        <v>30</v>
      </c>
      <c r="F673" s="7" t="s">
        <v>58</v>
      </c>
      <c r="G673" s="7" t="s">
        <v>48</v>
      </c>
      <c r="H673" s="7" t="s">
        <v>238</v>
      </c>
      <c r="I673" s="7" t="s">
        <v>13</v>
      </c>
      <c r="J673" s="7" t="s">
        <v>2230</v>
      </c>
      <c r="K673" s="7" t="s">
        <v>2231</v>
      </c>
      <c r="L673" s="11" t="s">
        <v>5044</v>
      </c>
      <c r="M673" s="7">
        <v>0</v>
      </c>
      <c r="N673" s="9" t="s">
        <v>5044</v>
      </c>
      <c r="O673" s="9" t="s">
        <v>5044</v>
      </c>
      <c r="P673" s="7">
        <v>0</v>
      </c>
      <c r="Q673" s="7">
        <v>0</v>
      </c>
      <c r="R673" s="7">
        <v>0</v>
      </c>
      <c r="S673" s="7">
        <v>3</v>
      </c>
      <c r="T673" s="7">
        <v>4</v>
      </c>
      <c r="U673" s="7">
        <v>186</v>
      </c>
      <c r="V673" s="7">
        <v>0</v>
      </c>
      <c r="W673" s="7">
        <v>1</v>
      </c>
      <c r="X673" s="7">
        <v>0</v>
      </c>
      <c r="Y673" s="7">
        <v>0</v>
      </c>
      <c r="Z673" s="7">
        <v>0</v>
      </c>
      <c r="AA673" s="7">
        <v>0</v>
      </c>
      <c r="AB673" s="7">
        <v>1</v>
      </c>
      <c r="AC673" s="7">
        <v>1</v>
      </c>
      <c r="AD673" s="7" t="s">
        <v>5044</v>
      </c>
      <c r="AE673" s="7" t="s">
        <v>5044</v>
      </c>
      <c r="AF673" s="7" t="s">
        <v>5044</v>
      </c>
      <c r="AG673" s="7">
        <v>1</v>
      </c>
      <c r="AH673" s="7">
        <v>0</v>
      </c>
      <c r="AI673" s="7">
        <v>0</v>
      </c>
      <c r="AJ673" s="7" t="s">
        <v>5044</v>
      </c>
      <c r="AL673" s="7">
        <v>0</v>
      </c>
      <c r="AM673" s="7">
        <v>0</v>
      </c>
    </row>
    <row r="674" spans="1:40" ht="63" customHeight="1" x14ac:dyDescent="0.2">
      <c r="A674" s="7">
        <v>6913</v>
      </c>
      <c r="B674" s="7" t="s">
        <v>2232</v>
      </c>
      <c r="C674" s="7" t="s">
        <v>2233</v>
      </c>
      <c r="D674" s="7" t="s">
        <v>149</v>
      </c>
      <c r="F674" s="7" t="s">
        <v>2234</v>
      </c>
      <c r="G674" s="7" t="s">
        <v>52</v>
      </c>
      <c r="H674" s="7" t="s">
        <v>730</v>
      </c>
      <c r="I674" s="7" t="s">
        <v>13</v>
      </c>
      <c r="J674" s="7" t="s">
        <v>2235</v>
      </c>
      <c r="K674" s="7" t="s">
        <v>2236</v>
      </c>
      <c r="L674" s="11" t="s">
        <v>5044</v>
      </c>
      <c r="M674" s="7">
        <v>0</v>
      </c>
      <c r="N674" s="9" t="s">
        <v>5044</v>
      </c>
      <c r="O674" s="9" t="s">
        <v>5044</v>
      </c>
      <c r="P674" s="7">
        <v>0</v>
      </c>
      <c r="Q674" s="7">
        <v>0</v>
      </c>
      <c r="R674" s="7">
        <v>0</v>
      </c>
      <c r="S674" s="7">
        <v>3</v>
      </c>
      <c r="T674" s="7">
        <v>4</v>
      </c>
      <c r="U674" s="7">
        <v>158</v>
      </c>
      <c r="V674" s="7">
        <v>0</v>
      </c>
      <c r="W674" s="7">
        <v>1</v>
      </c>
      <c r="X674" s="7">
        <v>0</v>
      </c>
      <c r="Y674" s="7">
        <v>0</v>
      </c>
      <c r="Z674" s="7">
        <v>0</v>
      </c>
      <c r="AA674" s="7">
        <v>0</v>
      </c>
      <c r="AB674" s="7">
        <v>0</v>
      </c>
      <c r="AC674" s="7">
        <v>1</v>
      </c>
      <c r="AD674" s="7" t="s">
        <v>5044</v>
      </c>
      <c r="AE674" s="7" t="s">
        <v>5044</v>
      </c>
      <c r="AF674" s="7" t="s">
        <v>5044</v>
      </c>
      <c r="AG674" s="7">
        <v>1</v>
      </c>
      <c r="AH674" s="7">
        <v>0</v>
      </c>
      <c r="AI674" s="7">
        <v>0</v>
      </c>
      <c r="AJ674" s="7" t="s">
        <v>5044</v>
      </c>
      <c r="AL674" s="7" t="s">
        <v>5044</v>
      </c>
      <c r="AM674" s="7">
        <v>0</v>
      </c>
      <c r="AN674" s="7" t="s">
        <v>5105</v>
      </c>
    </row>
    <row r="675" spans="1:40" ht="63" customHeight="1" x14ac:dyDescent="0.2">
      <c r="A675" s="7">
        <v>6922</v>
      </c>
      <c r="B675" s="7" t="s">
        <v>2237</v>
      </c>
      <c r="C675" s="7" t="s">
        <v>2238</v>
      </c>
      <c r="D675" s="7" t="s">
        <v>22</v>
      </c>
      <c r="F675" s="7" t="s">
        <v>220</v>
      </c>
      <c r="G675" s="7" t="s">
        <v>52</v>
      </c>
      <c r="H675" s="7" t="s">
        <v>53</v>
      </c>
      <c r="I675" s="7" t="s">
        <v>13</v>
      </c>
      <c r="J675" s="7" t="s">
        <v>2239</v>
      </c>
      <c r="K675" s="7" t="s">
        <v>2240</v>
      </c>
      <c r="L675" s="6" t="s">
        <v>6095</v>
      </c>
      <c r="M675" s="7">
        <v>1</v>
      </c>
      <c r="N675" s="7">
        <v>0</v>
      </c>
      <c r="O675" s="9" t="s">
        <v>5044</v>
      </c>
      <c r="P675" s="7">
        <v>0</v>
      </c>
      <c r="Q675" s="7">
        <v>0</v>
      </c>
      <c r="R675" s="7">
        <v>0</v>
      </c>
      <c r="S675" s="7">
        <v>1</v>
      </c>
      <c r="T675" s="7">
        <v>1</v>
      </c>
      <c r="U675" s="7">
        <v>52</v>
      </c>
      <c r="V675" s="7">
        <v>0</v>
      </c>
      <c r="W675" s="7">
        <v>1</v>
      </c>
      <c r="X675" s="7">
        <v>0</v>
      </c>
      <c r="Y675" s="7">
        <v>0</v>
      </c>
      <c r="Z675" s="7">
        <v>0</v>
      </c>
      <c r="AA675" s="7">
        <v>0</v>
      </c>
      <c r="AB675" s="7">
        <v>1</v>
      </c>
      <c r="AC675" s="7" t="s">
        <v>5044</v>
      </c>
      <c r="AD675" s="7" t="s">
        <v>5044</v>
      </c>
      <c r="AE675" s="7" t="s">
        <v>5044</v>
      </c>
      <c r="AF675" s="7" t="s">
        <v>5044</v>
      </c>
      <c r="AG675" s="7" t="s">
        <v>5044</v>
      </c>
      <c r="AH675" s="7" t="s">
        <v>5044</v>
      </c>
      <c r="AI675" s="7" t="s">
        <v>5044</v>
      </c>
      <c r="AJ675" s="7" t="s">
        <v>5044</v>
      </c>
      <c r="AL675" s="7" t="s">
        <v>5044</v>
      </c>
      <c r="AM675" s="7">
        <v>0</v>
      </c>
    </row>
    <row r="676" spans="1:40" ht="63" customHeight="1" x14ac:dyDescent="0.2">
      <c r="A676" s="7">
        <v>6924</v>
      </c>
      <c r="B676" s="7" t="s">
        <v>2241</v>
      </c>
      <c r="C676" s="7" t="s">
        <v>2242</v>
      </c>
      <c r="D676" s="7" t="s">
        <v>101</v>
      </c>
      <c r="F676" s="7" t="s">
        <v>356</v>
      </c>
      <c r="G676" s="7" t="s">
        <v>48</v>
      </c>
      <c r="H676" s="7" t="s">
        <v>86</v>
      </c>
      <c r="I676" s="7" t="s">
        <v>13</v>
      </c>
      <c r="J676" s="7" t="s">
        <v>2243</v>
      </c>
      <c r="K676" s="7" t="s">
        <v>2244</v>
      </c>
      <c r="L676" s="11" t="s">
        <v>5044</v>
      </c>
      <c r="M676" s="7">
        <v>0</v>
      </c>
      <c r="N676" s="9" t="s">
        <v>5044</v>
      </c>
      <c r="O676" s="9" t="s">
        <v>5044</v>
      </c>
      <c r="P676" s="7">
        <v>0</v>
      </c>
      <c r="Q676" s="7">
        <v>0</v>
      </c>
      <c r="R676" s="7">
        <v>0</v>
      </c>
      <c r="S676" s="7">
        <v>5</v>
      </c>
      <c r="T676" s="7">
        <v>5</v>
      </c>
      <c r="U676" s="7">
        <v>101</v>
      </c>
      <c r="V676" s="7">
        <v>0</v>
      </c>
      <c r="W676" s="7">
        <v>1</v>
      </c>
      <c r="X676" s="7">
        <v>0</v>
      </c>
      <c r="Y676" s="7">
        <v>0</v>
      </c>
      <c r="Z676" s="7">
        <v>0</v>
      </c>
      <c r="AA676" s="7">
        <v>0</v>
      </c>
      <c r="AB676" s="7">
        <v>1</v>
      </c>
      <c r="AC676" s="7">
        <v>1</v>
      </c>
      <c r="AD676" s="7" t="s">
        <v>5044</v>
      </c>
      <c r="AE676" s="7" t="s">
        <v>5044</v>
      </c>
      <c r="AF676" s="7" t="s">
        <v>5044</v>
      </c>
      <c r="AG676" s="7">
        <v>2</v>
      </c>
      <c r="AH676" s="7">
        <v>3</v>
      </c>
      <c r="AI676" s="7">
        <v>0</v>
      </c>
      <c r="AJ676" s="7" t="s">
        <v>5044</v>
      </c>
      <c r="AK676" s="7">
        <v>1</v>
      </c>
      <c r="AL676" s="7">
        <v>0</v>
      </c>
      <c r="AM676" s="7">
        <v>0</v>
      </c>
    </row>
    <row r="677" spans="1:40" ht="63" customHeight="1" x14ac:dyDescent="0.2">
      <c r="A677" s="7">
        <v>6927</v>
      </c>
      <c r="B677" s="7" t="s">
        <v>2245</v>
      </c>
      <c r="C677" s="7" t="s">
        <v>2246</v>
      </c>
      <c r="D677" s="7" t="s">
        <v>41</v>
      </c>
      <c r="F677" s="7" t="s">
        <v>1144</v>
      </c>
      <c r="G677" s="7" t="s">
        <v>17</v>
      </c>
      <c r="H677" s="7" t="s">
        <v>2247</v>
      </c>
      <c r="I677" s="7" t="s">
        <v>13</v>
      </c>
      <c r="J677" s="7" t="s">
        <v>2248</v>
      </c>
      <c r="K677" s="7" t="s">
        <v>2249</v>
      </c>
      <c r="L677" s="8">
        <v>201700041</v>
      </c>
      <c r="M677" s="7">
        <v>0</v>
      </c>
      <c r="N677" s="9" t="s">
        <v>5044</v>
      </c>
      <c r="O677" s="9" t="s">
        <v>5044</v>
      </c>
      <c r="P677" s="7">
        <v>0</v>
      </c>
      <c r="Q677" s="7">
        <v>0</v>
      </c>
      <c r="R677" s="7">
        <v>0</v>
      </c>
      <c r="S677" s="7" t="s">
        <v>5772</v>
      </c>
      <c r="T677" s="7">
        <v>1</v>
      </c>
      <c r="U677" s="7">
        <v>73</v>
      </c>
      <c r="V677" s="7">
        <v>1</v>
      </c>
      <c r="W677" s="7">
        <v>0</v>
      </c>
      <c r="X677" s="7">
        <v>0</v>
      </c>
      <c r="Y677" s="7">
        <v>0</v>
      </c>
      <c r="Z677" s="7">
        <v>0</v>
      </c>
      <c r="AA677" s="7">
        <v>0</v>
      </c>
      <c r="AB677" s="7">
        <v>1</v>
      </c>
      <c r="AC677" s="7">
        <v>1</v>
      </c>
      <c r="AD677" s="7">
        <v>2</v>
      </c>
      <c r="AE677" s="7">
        <v>2</v>
      </c>
      <c r="AF677" s="7">
        <v>4</v>
      </c>
      <c r="AG677" s="7" t="s">
        <v>5044</v>
      </c>
      <c r="AH677" s="7" t="s">
        <v>5044</v>
      </c>
      <c r="AI677" s="7" t="s">
        <v>5044</v>
      </c>
      <c r="AJ677" s="7" t="s">
        <v>5044</v>
      </c>
      <c r="AL677" s="7">
        <v>0</v>
      </c>
      <c r="AM677" s="7">
        <v>0</v>
      </c>
    </row>
    <row r="678" spans="1:40" ht="63" customHeight="1" x14ac:dyDescent="0.2">
      <c r="A678" s="7">
        <v>6970</v>
      </c>
      <c r="B678" s="23" t="s">
        <v>2250</v>
      </c>
      <c r="C678" s="7" t="s">
        <v>2251</v>
      </c>
      <c r="D678" s="7" t="s">
        <v>41</v>
      </c>
      <c r="F678" s="7" t="s">
        <v>118</v>
      </c>
      <c r="G678" s="7" t="s">
        <v>48</v>
      </c>
      <c r="H678" s="7" t="s">
        <v>296</v>
      </c>
      <c r="I678" s="7" t="s">
        <v>13</v>
      </c>
      <c r="J678" s="7" t="s">
        <v>2252</v>
      </c>
      <c r="K678" s="7" t="s">
        <v>2253</v>
      </c>
      <c r="L678" s="8" t="s">
        <v>6096</v>
      </c>
      <c r="M678" s="7">
        <v>0</v>
      </c>
      <c r="N678" s="9" t="s">
        <v>5044</v>
      </c>
      <c r="O678" s="9" t="s">
        <v>5044</v>
      </c>
      <c r="P678" s="7">
        <v>0</v>
      </c>
      <c r="Q678" s="7">
        <v>0</v>
      </c>
      <c r="R678" s="7">
        <v>0</v>
      </c>
      <c r="S678" s="7">
        <v>1</v>
      </c>
      <c r="T678" s="7">
        <v>1</v>
      </c>
      <c r="U678" s="7">
        <v>130</v>
      </c>
      <c r="V678" s="7">
        <v>0</v>
      </c>
      <c r="W678" s="7">
        <v>1</v>
      </c>
      <c r="X678" s="7">
        <v>0</v>
      </c>
      <c r="Y678" s="7">
        <v>0</v>
      </c>
      <c r="Z678" s="7">
        <v>0</v>
      </c>
      <c r="AA678" s="7">
        <v>0</v>
      </c>
      <c r="AB678" s="7">
        <v>1</v>
      </c>
      <c r="AC678" s="7">
        <v>1</v>
      </c>
      <c r="AD678" s="7" t="s">
        <v>5044</v>
      </c>
      <c r="AE678" s="7" t="s">
        <v>5044</v>
      </c>
      <c r="AF678" s="7" t="s">
        <v>5044</v>
      </c>
      <c r="AG678" s="7">
        <v>2</v>
      </c>
      <c r="AH678" s="7">
        <v>2</v>
      </c>
      <c r="AI678" s="7">
        <v>2</v>
      </c>
      <c r="AJ678" s="7" t="s">
        <v>5044</v>
      </c>
      <c r="AL678" s="7" t="s">
        <v>5044</v>
      </c>
      <c r="AM678" s="7">
        <v>0</v>
      </c>
      <c r="AN678" s="7" t="s">
        <v>5105</v>
      </c>
    </row>
    <row r="679" spans="1:40" ht="63" customHeight="1" x14ac:dyDescent="0.2">
      <c r="A679" s="7">
        <v>6975</v>
      </c>
      <c r="B679" s="7" t="s">
        <v>2254</v>
      </c>
      <c r="C679" s="7" t="s">
        <v>2255</v>
      </c>
      <c r="D679" s="7" t="s">
        <v>74</v>
      </c>
      <c r="F679" s="7" t="s">
        <v>37</v>
      </c>
      <c r="G679" s="7" t="s">
        <v>11</v>
      </c>
      <c r="H679" s="7" t="s">
        <v>140</v>
      </c>
      <c r="I679" s="7" t="s">
        <v>13</v>
      </c>
      <c r="J679" s="7" t="s">
        <v>2256</v>
      </c>
      <c r="K679" s="7" t="s">
        <v>2257</v>
      </c>
      <c r="L679" s="6" t="s">
        <v>6097</v>
      </c>
      <c r="M679" s="7">
        <v>0</v>
      </c>
      <c r="N679" s="9" t="s">
        <v>5044</v>
      </c>
      <c r="O679" s="9" t="s">
        <v>5044</v>
      </c>
      <c r="P679" s="7">
        <v>0</v>
      </c>
      <c r="Q679" s="7">
        <v>0</v>
      </c>
      <c r="R679" s="7">
        <v>0</v>
      </c>
      <c r="S679" s="7" t="s">
        <v>5728</v>
      </c>
      <c r="T679" s="7">
        <v>1</v>
      </c>
      <c r="U679" s="7">
        <v>272</v>
      </c>
      <c r="V679" s="7">
        <v>0</v>
      </c>
      <c r="W679" s="7">
        <v>1</v>
      </c>
      <c r="X679" s="7">
        <v>0</v>
      </c>
      <c r="Y679" s="7">
        <v>0</v>
      </c>
      <c r="Z679" s="7">
        <v>0</v>
      </c>
      <c r="AA679" s="7">
        <v>0</v>
      </c>
      <c r="AB679" s="7">
        <v>1</v>
      </c>
      <c r="AC679" s="7">
        <v>1</v>
      </c>
      <c r="AD679" s="7" t="s">
        <v>5044</v>
      </c>
      <c r="AE679" s="7" t="s">
        <v>5044</v>
      </c>
      <c r="AF679" s="7" t="s">
        <v>5044</v>
      </c>
      <c r="AG679" s="7">
        <v>1</v>
      </c>
      <c r="AH679" s="7">
        <v>0</v>
      </c>
      <c r="AI679" s="7">
        <v>0</v>
      </c>
      <c r="AJ679" s="7" t="s">
        <v>5044</v>
      </c>
      <c r="AL679" s="7">
        <v>0</v>
      </c>
      <c r="AM679" s="7">
        <v>0</v>
      </c>
    </row>
    <row r="680" spans="1:40" ht="63" customHeight="1" x14ac:dyDescent="0.2">
      <c r="A680" s="7">
        <v>6985</v>
      </c>
      <c r="B680" s="7" t="s">
        <v>2258</v>
      </c>
      <c r="C680" s="7" t="s">
        <v>2259</v>
      </c>
      <c r="D680" s="7" t="s">
        <v>41</v>
      </c>
      <c r="F680" s="7" t="s">
        <v>312</v>
      </c>
      <c r="G680" s="7" t="s">
        <v>32</v>
      </c>
      <c r="H680" s="7" t="s">
        <v>38</v>
      </c>
      <c r="I680" s="7" t="s">
        <v>13</v>
      </c>
      <c r="J680" s="7" t="s">
        <v>2260</v>
      </c>
      <c r="K680" s="7" t="s">
        <v>2261</v>
      </c>
      <c r="L680" s="6" t="s">
        <v>6098</v>
      </c>
      <c r="M680" s="7">
        <v>0</v>
      </c>
      <c r="N680" s="9" t="s">
        <v>5044</v>
      </c>
      <c r="O680" s="9" t="s">
        <v>5044</v>
      </c>
      <c r="P680" s="7">
        <v>0</v>
      </c>
      <c r="Q680" s="7">
        <v>0</v>
      </c>
      <c r="R680" s="7">
        <v>0</v>
      </c>
      <c r="S680" s="7">
        <v>1</v>
      </c>
      <c r="T680" s="7">
        <v>1</v>
      </c>
      <c r="U680" s="7">
        <v>406</v>
      </c>
      <c r="V680" s="7">
        <v>0</v>
      </c>
      <c r="W680" s="7">
        <v>1</v>
      </c>
      <c r="X680" s="7">
        <v>0</v>
      </c>
      <c r="Y680" s="7">
        <v>0</v>
      </c>
      <c r="Z680" s="7">
        <v>0</v>
      </c>
      <c r="AA680" s="7">
        <v>0</v>
      </c>
      <c r="AB680" s="7">
        <v>1</v>
      </c>
      <c r="AC680" s="7">
        <v>1</v>
      </c>
      <c r="AD680" s="7" t="s">
        <v>5044</v>
      </c>
      <c r="AE680" s="7" t="s">
        <v>5044</v>
      </c>
      <c r="AF680" s="7" t="s">
        <v>5044</v>
      </c>
      <c r="AG680" s="7">
        <v>1</v>
      </c>
      <c r="AH680" s="7">
        <v>0</v>
      </c>
      <c r="AI680" s="7">
        <v>0</v>
      </c>
      <c r="AJ680" s="7" t="s">
        <v>5044</v>
      </c>
      <c r="AL680" s="7">
        <v>1</v>
      </c>
      <c r="AM680" s="7">
        <v>0</v>
      </c>
    </row>
    <row r="681" spans="1:40" ht="63" customHeight="1" x14ac:dyDescent="0.2">
      <c r="A681" s="7">
        <v>6988</v>
      </c>
      <c r="B681" s="7" t="s">
        <v>2262</v>
      </c>
      <c r="C681" s="7" t="s">
        <v>2263</v>
      </c>
      <c r="D681" s="7" t="s">
        <v>16</v>
      </c>
      <c r="F681" s="7" t="s">
        <v>37</v>
      </c>
      <c r="G681" s="7" t="s">
        <v>144</v>
      </c>
      <c r="H681" s="7" t="s">
        <v>396</v>
      </c>
      <c r="I681" s="7" t="s">
        <v>13</v>
      </c>
      <c r="J681" s="7" t="s">
        <v>2264</v>
      </c>
      <c r="K681" s="7" t="s">
        <v>2265</v>
      </c>
      <c r="L681" s="8" t="s">
        <v>5139</v>
      </c>
      <c r="M681" s="7">
        <v>0</v>
      </c>
      <c r="N681" s="9" t="s">
        <v>5044</v>
      </c>
      <c r="O681" s="9" t="s">
        <v>5044</v>
      </c>
      <c r="P681" s="7">
        <v>0</v>
      </c>
      <c r="Q681" s="7">
        <v>0</v>
      </c>
      <c r="R681" s="7">
        <v>0</v>
      </c>
      <c r="S681" s="7">
        <v>9</v>
      </c>
      <c r="T681" s="7">
        <v>1</v>
      </c>
      <c r="U681" s="7">
        <v>131</v>
      </c>
      <c r="V681" s="7">
        <v>0</v>
      </c>
      <c r="W681" s="7">
        <v>1</v>
      </c>
      <c r="X681" s="7">
        <v>0</v>
      </c>
      <c r="Y681" s="7">
        <v>0</v>
      </c>
      <c r="Z681" s="7">
        <v>0</v>
      </c>
      <c r="AA681" s="7">
        <v>0</v>
      </c>
      <c r="AB681" s="7">
        <v>1</v>
      </c>
      <c r="AC681" s="7">
        <v>1</v>
      </c>
      <c r="AD681" s="7" t="s">
        <v>5044</v>
      </c>
      <c r="AE681" s="7" t="s">
        <v>5044</v>
      </c>
      <c r="AF681" s="7" t="s">
        <v>5044</v>
      </c>
      <c r="AG681" s="7">
        <v>1</v>
      </c>
      <c r="AH681" s="7">
        <v>0</v>
      </c>
      <c r="AI681" s="7">
        <v>0</v>
      </c>
      <c r="AJ681" s="7" t="s">
        <v>5044</v>
      </c>
      <c r="AL681" s="7">
        <v>1</v>
      </c>
      <c r="AM681" s="7">
        <v>0</v>
      </c>
    </row>
    <row r="682" spans="1:40" ht="63" customHeight="1" x14ac:dyDescent="0.2">
      <c r="A682" s="7">
        <v>6990</v>
      </c>
      <c r="B682" s="7" t="s">
        <v>2266</v>
      </c>
      <c r="C682" s="7" t="s">
        <v>2267</v>
      </c>
      <c r="D682" s="7" t="s">
        <v>41</v>
      </c>
      <c r="F682" s="7" t="s">
        <v>829</v>
      </c>
      <c r="G682" s="7" t="s">
        <v>52</v>
      </c>
      <c r="H682" s="7" t="s">
        <v>679</v>
      </c>
      <c r="I682" s="7" t="s">
        <v>13</v>
      </c>
      <c r="J682" s="7" t="s">
        <v>2268</v>
      </c>
      <c r="K682" s="7" t="s">
        <v>2269</v>
      </c>
      <c r="L682" s="8" t="s">
        <v>6099</v>
      </c>
      <c r="M682" s="7">
        <v>0</v>
      </c>
      <c r="N682" s="9" t="s">
        <v>5044</v>
      </c>
      <c r="O682" s="9" t="s">
        <v>5044</v>
      </c>
      <c r="P682" s="7">
        <v>0</v>
      </c>
      <c r="Q682" s="7">
        <v>0</v>
      </c>
      <c r="R682" s="7">
        <v>0</v>
      </c>
      <c r="S682" s="7">
        <v>3</v>
      </c>
      <c r="T682" s="7">
        <v>1</v>
      </c>
      <c r="U682" s="7">
        <v>225</v>
      </c>
      <c r="V682" s="7">
        <v>0</v>
      </c>
      <c r="W682" s="7">
        <v>1</v>
      </c>
      <c r="X682" s="7">
        <v>0</v>
      </c>
      <c r="Y682" s="7">
        <v>0</v>
      </c>
      <c r="Z682" s="7">
        <v>0</v>
      </c>
      <c r="AA682" s="7">
        <v>0</v>
      </c>
      <c r="AB682" s="7">
        <v>1</v>
      </c>
      <c r="AC682" s="7">
        <v>1</v>
      </c>
      <c r="AD682" s="7" t="s">
        <v>5044</v>
      </c>
      <c r="AE682" s="7" t="s">
        <v>5044</v>
      </c>
      <c r="AF682" s="7" t="s">
        <v>5044</v>
      </c>
      <c r="AG682" s="7">
        <v>2</v>
      </c>
      <c r="AH682" s="7">
        <v>1</v>
      </c>
      <c r="AI682" s="7">
        <v>2</v>
      </c>
      <c r="AJ682" s="7" t="s">
        <v>5044</v>
      </c>
      <c r="AL682" s="7">
        <v>1</v>
      </c>
      <c r="AM682" s="7">
        <v>0</v>
      </c>
    </row>
    <row r="683" spans="1:40" ht="63" customHeight="1" x14ac:dyDescent="0.2">
      <c r="A683" s="7">
        <v>6992</v>
      </c>
      <c r="B683" s="7" t="s">
        <v>2270</v>
      </c>
      <c r="C683" s="7" t="s">
        <v>2271</v>
      </c>
      <c r="D683" s="7" t="s">
        <v>56</v>
      </c>
      <c r="F683" s="7" t="s">
        <v>118</v>
      </c>
      <c r="G683" s="7" t="s">
        <v>11</v>
      </c>
      <c r="H683" s="7" t="s">
        <v>2272</v>
      </c>
      <c r="I683" s="7" t="s">
        <v>13</v>
      </c>
      <c r="J683" s="7" t="s">
        <v>2273</v>
      </c>
      <c r="K683" s="7" t="s">
        <v>2274</v>
      </c>
      <c r="L683" s="11" t="s">
        <v>5044</v>
      </c>
      <c r="M683" s="7">
        <v>0</v>
      </c>
      <c r="N683" s="9" t="s">
        <v>5044</v>
      </c>
      <c r="O683" s="9" t="s">
        <v>5044</v>
      </c>
      <c r="P683" s="7">
        <v>0</v>
      </c>
      <c r="Q683" s="7">
        <v>0</v>
      </c>
      <c r="R683" s="7">
        <v>0</v>
      </c>
      <c r="S683" s="7">
        <v>3</v>
      </c>
      <c r="T683" s="7">
        <v>1</v>
      </c>
      <c r="U683" s="7">
        <v>106</v>
      </c>
      <c r="V683" s="7">
        <v>1</v>
      </c>
      <c r="W683" s="7">
        <v>0</v>
      </c>
      <c r="X683" s="7">
        <v>0</v>
      </c>
      <c r="Y683" s="7">
        <v>0</v>
      </c>
      <c r="Z683" s="7">
        <v>0</v>
      </c>
      <c r="AA683" s="7">
        <v>0</v>
      </c>
      <c r="AB683" s="7">
        <v>1</v>
      </c>
      <c r="AC683" s="7">
        <v>0</v>
      </c>
      <c r="AD683" s="7">
        <v>0</v>
      </c>
      <c r="AE683" s="7" t="s">
        <v>5044</v>
      </c>
      <c r="AF683" s="7" t="s">
        <v>5044</v>
      </c>
      <c r="AG683" s="7" t="s">
        <v>5044</v>
      </c>
      <c r="AH683" s="7" t="s">
        <v>5044</v>
      </c>
      <c r="AI683" s="7" t="s">
        <v>5044</v>
      </c>
      <c r="AJ683" s="7" t="s">
        <v>5044</v>
      </c>
      <c r="AL683" s="7">
        <v>0</v>
      </c>
      <c r="AM683" s="7">
        <v>0</v>
      </c>
    </row>
    <row r="684" spans="1:40" ht="63" customHeight="1" x14ac:dyDescent="0.2">
      <c r="A684" s="7">
        <v>7003</v>
      </c>
      <c r="B684" s="7" t="s">
        <v>2275</v>
      </c>
      <c r="C684" s="7" t="s">
        <v>2276</v>
      </c>
      <c r="D684" s="7" t="s">
        <v>25</v>
      </c>
      <c r="F684" s="7" t="s">
        <v>1042</v>
      </c>
      <c r="G684" s="7" t="s">
        <v>32</v>
      </c>
      <c r="H684" s="7" t="s">
        <v>891</v>
      </c>
      <c r="I684" s="7" t="s">
        <v>13</v>
      </c>
      <c r="J684" s="7" t="s">
        <v>2277</v>
      </c>
      <c r="K684" s="7" t="s">
        <v>2278</v>
      </c>
      <c r="L684" s="8" t="s">
        <v>6100</v>
      </c>
      <c r="M684" s="7">
        <v>0</v>
      </c>
      <c r="N684" s="9" t="s">
        <v>5044</v>
      </c>
      <c r="O684" s="9" t="s">
        <v>5044</v>
      </c>
      <c r="P684" s="7">
        <v>0</v>
      </c>
      <c r="Q684" s="7">
        <v>0</v>
      </c>
      <c r="R684" s="7">
        <v>0</v>
      </c>
      <c r="S684" s="7">
        <v>9</v>
      </c>
      <c r="T684" s="7">
        <v>1</v>
      </c>
      <c r="U684" s="7">
        <v>41</v>
      </c>
      <c r="V684" s="7">
        <v>0</v>
      </c>
      <c r="W684" s="7">
        <v>1</v>
      </c>
      <c r="X684" s="7">
        <v>0</v>
      </c>
      <c r="Y684" s="7">
        <v>0</v>
      </c>
      <c r="Z684" s="7">
        <v>0</v>
      </c>
      <c r="AA684" s="7">
        <v>0</v>
      </c>
      <c r="AB684" s="7">
        <v>1</v>
      </c>
      <c r="AC684" s="7">
        <v>1</v>
      </c>
      <c r="AD684" s="7" t="s">
        <v>5044</v>
      </c>
      <c r="AE684" s="7" t="s">
        <v>5044</v>
      </c>
      <c r="AF684" s="7" t="s">
        <v>5044</v>
      </c>
      <c r="AG684" s="7">
        <v>1</v>
      </c>
      <c r="AH684" s="7">
        <v>0</v>
      </c>
      <c r="AI684" s="7">
        <v>0</v>
      </c>
      <c r="AJ684" s="7" t="s">
        <v>5044</v>
      </c>
      <c r="AL684" s="7">
        <v>1</v>
      </c>
      <c r="AM684" s="7">
        <v>0</v>
      </c>
    </row>
    <row r="685" spans="1:40" ht="63" customHeight="1" x14ac:dyDescent="0.2">
      <c r="A685" s="7">
        <v>7006</v>
      </c>
      <c r="B685" s="7" t="s">
        <v>2279</v>
      </c>
      <c r="C685" s="7" t="s">
        <v>2280</v>
      </c>
      <c r="D685" s="7" t="s">
        <v>41</v>
      </c>
      <c r="F685" s="7" t="s">
        <v>65</v>
      </c>
      <c r="G685" s="7" t="s">
        <v>52</v>
      </c>
      <c r="H685" s="7" t="s">
        <v>53</v>
      </c>
      <c r="I685" s="7" t="s">
        <v>13</v>
      </c>
      <c r="J685" s="7" t="s">
        <v>2281</v>
      </c>
      <c r="K685" s="7" t="s">
        <v>2282</v>
      </c>
      <c r="L685" s="6" t="s">
        <v>6101</v>
      </c>
      <c r="M685" s="7">
        <v>1</v>
      </c>
      <c r="N685" s="7">
        <v>0</v>
      </c>
      <c r="O685" s="9" t="s">
        <v>5044</v>
      </c>
      <c r="P685" s="7">
        <v>0</v>
      </c>
      <c r="Q685" s="7">
        <v>0</v>
      </c>
      <c r="R685" s="7">
        <v>0</v>
      </c>
      <c r="S685" s="7">
        <v>1</v>
      </c>
      <c r="T685" s="7">
        <v>1</v>
      </c>
      <c r="U685" s="7">
        <v>800</v>
      </c>
      <c r="V685" s="7">
        <v>0</v>
      </c>
      <c r="W685" s="7">
        <v>1</v>
      </c>
      <c r="X685" s="7">
        <v>0</v>
      </c>
      <c r="Y685" s="7">
        <v>0</v>
      </c>
      <c r="Z685" s="7">
        <v>1</v>
      </c>
      <c r="AA685" s="7">
        <v>0</v>
      </c>
      <c r="AB685" s="7">
        <v>1</v>
      </c>
      <c r="AC685" s="7" t="s">
        <v>5044</v>
      </c>
      <c r="AD685" s="7" t="s">
        <v>5044</v>
      </c>
      <c r="AE685" s="7" t="s">
        <v>5044</v>
      </c>
      <c r="AF685" s="7" t="s">
        <v>5044</v>
      </c>
      <c r="AG685" s="7" t="s">
        <v>5044</v>
      </c>
      <c r="AH685" s="7" t="s">
        <v>5044</v>
      </c>
      <c r="AI685" s="7" t="s">
        <v>5044</v>
      </c>
      <c r="AJ685" s="7" t="s">
        <v>5044</v>
      </c>
      <c r="AL685" s="7" t="s">
        <v>5044</v>
      </c>
      <c r="AM685" s="7">
        <v>0</v>
      </c>
    </row>
    <row r="686" spans="1:40" ht="63" customHeight="1" x14ac:dyDescent="0.2">
      <c r="A686" s="7">
        <v>7007</v>
      </c>
      <c r="B686" s="7" t="s">
        <v>2283</v>
      </c>
      <c r="C686" s="7" t="s">
        <v>2284</v>
      </c>
      <c r="D686" s="7" t="s">
        <v>95</v>
      </c>
      <c r="F686" s="7" t="s">
        <v>147</v>
      </c>
      <c r="G686" s="7" t="s">
        <v>52</v>
      </c>
      <c r="H686" s="7" t="s">
        <v>53</v>
      </c>
      <c r="I686" s="7" t="s">
        <v>13</v>
      </c>
      <c r="J686" s="7" t="s">
        <v>2285</v>
      </c>
      <c r="K686" s="7" t="s">
        <v>2286</v>
      </c>
      <c r="L686" s="6" t="s">
        <v>6102</v>
      </c>
      <c r="M686" s="7">
        <v>1</v>
      </c>
      <c r="N686" s="7">
        <v>0</v>
      </c>
      <c r="O686" s="9" t="s">
        <v>5044</v>
      </c>
      <c r="P686" s="7">
        <v>0</v>
      </c>
      <c r="Q686" s="7">
        <v>0</v>
      </c>
      <c r="R686" s="7">
        <v>0</v>
      </c>
      <c r="S686" s="7">
        <v>1</v>
      </c>
      <c r="T686" s="7">
        <v>1</v>
      </c>
      <c r="U686" s="7">
        <v>80</v>
      </c>
      <c r="V686" s="7">
        <v>0</v>
      </c>
      <c r="W686" s="7">
        <v>1</v>
      </c>
      <c r="X686" s="7">
        <v>0</v>
      </c>
      <c r="Y686" s="7">
        <v>0</v>
      </c>
      <c r="Z686" s="7">
        <v>0</v>
      </c>
      <c r="AA686" s="7">
        <v>0</v>
      </c>
      <c r="AB686" s="7">
        <v>1</v>
      </c>
      <c r="AC686" s="7" t="s">
        <v>5044</v>
      </c>
      <c r="AD686" s="7" t="s">
        <v>5044</v>
      </c>
      <c r="AE686" s="7" t="s">
        <v>5044</v>
      </c>
      <c r="AF686" s="7" t="s">
        <v>5044</v>
      </c>
      <c r="AG686" s="7" t="s">
        <v>5044</v>
      </c>
      <c r="AH686" s="7" t="s">
        <v>5044</v>
      </c>
      <c r="AI686" s="7" t="s">
        <v>5044</v>
      </c>
      <c r="AJ686" s="7" t="s">
        <v>5044</v>
      </c>
      <c r="AL686" s="7" t="s">
        <v>5044</v>
      </c>
      <c r="AM686" s="7">
        <v>0</v>
      </c>
    </row>
    <row r="687" spans="1:40" ht="63" customHeight="1" x14ac:dyDescent="0.2">
      <c r="A687" s="7">
        <v>7010</v>
      </c>
      <c r="B687" s="7" t="s">
        <v>2287</v>
      </c>
      <c r="C687" s="7" t="s">
        <v>2288</v>
      </c>
      <c r="D687" s="7" t="s">
        <v>46</v>
      </c>
      <c r="F687" s="7" t="s">
        <v>299</v>
      </c>
      <c r="G687" s="7" t="s">
        <v>32</v>
      </c>
      <c r="H687" s="7" t="s">
        <v>692</v>
      </c>
      <c r="I687" s="7" t="s">
        <v>13</v>
      </c>
      <c r="J687" s="7" t="s">
        <v>2289</v>
      </c>
      <c r="K687" s="7" t="s">
        <v>2290</v>
      </c>
      <c r="L687" s="11" t="s">
        <v>5044</v>
      </c>
      <c r="M687" s="7">
        <v>0</v>
      </c>
      <c r="N687" s="9" t="s">
        <v>5044</v>
      </c>
      <c r="O687" s="9" t="s">
        <v>5044</v>
      </c>
      <c r="P687" s="7">
        <v>0</v>
      </c>
      <c r="Q687" s="7">
        <v>0</v>
      </c>
      <c r="R687" s="7">
        <v>0</v>
      </c>
      <c r="S687" s="7">
        <v>1</v>
      </c>
      <c r="T687" s="7">
        <v>1</v>
      </c>
      <c r="U687" s="7">
        <v>77</v>
      </c>
      <c r="V687" s="7">
        <v>0</v>
      </c>
      <c r="W687" s="7">
        <v>1</v>
      </c>
      <c r="X687" s="7">
        <v>0</v>
      </c>
      <c r="Y687" s="7">
        <v>0</v>
      </c>
      <c r="Z687" s="7">
        <v>0</v>
      </c>
      <c r="AA687" s="7">
        <v>0</v>
      </c>
      <c r="AB687" s="7">
        <v>1</v>
      </c>
      <c r="AC687" s="7">
        <v>1</v>
      </c>
      <c r="AD687" s="7" t="s">
        <v>5044</v>
      </c>
      <c r="AE687" s="7" t="s">
        <v>5044</v>
      </c>
      <c r="AF687" s="7" t="s">
        <v>5044</v>
      </c>
      <c r="AG687" s="7">
        <v>1</v>
      </c>
      <c r="AH687" s="7">
        <v>0</v>
      </c>
      <c r="AI687" s="7">
        <v>0</v>
      </c>
      <c r="AJ687" s="7" t="s">
        <v>5044</v>
      </c>
      <c r="AL687" s="7" t="s">
        <v>5044</v>
      </c>
      <c r="AM687" s="7">
        <v>0</v>
      </c>
      <c r="AN687" s="7" t="s">
        <v>5105</v>
      </c>
    </row>
    <row r="688" spans="1:40" ht="63" customHeight="1" x14ac:dyDescent="0.2">
      <c r="A688" s="7">
        <v>7013</v>
      </c>
      <c r="B688" s="23" t="s">
        <v>2291</v>
      </c>
      <c r="C688" s="7" t="s">
        <v>2292</v>
      </c>
      <c r="D688" s="7" t="s">
        <v>41</v>
      </c>
      <c r="F688" s="7" t="s">
        <v>92</v>
      </c>
      <c r="G688" s="7" t="s">
        <v>92</v>
      </c>
      <c r="H688" s="7" t="s">
        <v>19</v>
      </c>
      <c r="I688" s="7" t="s">
        <v>13</v>
      </c>
      <c r="J688" s="7" t="s">
        <v>2293</v>
      </c>
      <c r="K688" s="7" t="s">
        <v>2294</v>
      </c>
      <c r="L688" s="6" t="s">
        <v>6103</v>
      </c>
      <c r="M688" s="7">
        <v>1</v>
      </c>
      <c r="N688" s="9" t="s">
        <v>5044</v>
      </c>
      <c r="O688" s="9" t="s">
        <v>5044</v>
      </c>
      <c r="P688" s="7">
        <v>0</v>
      </c>
      <c r="Q688" s="7">
        <v>0</v>
      </c>
      <c r="R688" s="7">
        <v>0</v>
      </c>
      <c r="S688" s="7">
        <v>3</v>
      </c>
      <c r="T688" s="7">
        <v>1</v>
      </c>
      <c r="U688" s="7">
        <v>50</v>
      </c>
      <c r="V688" s="7">
        <v>0</v>
      </c>
      <c r="W688" s="7">
        <v>1</v>
      </c>
      <c r="X688" s="7">
        <v>0</v>
      </c>
      <c r="Y688" s="7">
        <v>0</v>
      </c>
      <c r="Z688" s="7">
        <v>1</v>
      </c>
      <c r="AA688" s="7">
        <v>0</v>
      </c>
      <c r="AB688" s="7">
        <v>1</v>
      </c>
      <c r="AC688" s="7" t="s">
        <v>5044</v>
      </c>
      <c r="AD688" s="7" t="s">
        <v>5044</v>
      </c>
      <c r="AE688" s="7" t="s">
        <v>5044</v>
      </c>
      <c r="AF688" s="7" t="s">
        <v>5044</v>
      </c>
      <c r="AG688" s="7" t="s">
        <v>5044</v>
      </c>
      <c r="AH688" s="7" t="s">
        <v>5044</v>
      </c>
      <c r="AI688" s="7" t="s">
        <v>5044</v>
      </c>
      <c r="AJ688" s="7" t="s">
        <v>5044</v>
      </c>
      <c r="AL688" s="7" t="s">
        <v>5044</v>
      </c>
      <c r="AM688" s="7">
        <v>0</v>
      </c>
    </row>
    <row r="689" spans="1:40" ht="63" customHeight="1" x14ac:dyDescent="0.2">
      <c r="A689" s="7">
        <v>7018</v>
      </c>
      <c r="B689" s="7" t="s">
        <v>2295</v>
      </c>
      <c r="C689" s="7" t="s">
        <v>2296</v>
      </c>
      <c r="D689" s="7" t="s">
        <v>74</v>
      </c>
      <c r="H689" s="7" t="s">
        <v>296</v>
      </c>
      <c r="I689" s="7" t="s">
        <v>13</v>
      </c>
      <c r="J689" s="7" t="s">
        <v>2297</v>
      </c>
      <c r="K689" s="7" t="s">
        <v>2298</v>
      </c>
      <c r="L689" s="11" t="s">
        <v>5044</v>
      </c>
      <c r="M689" s="7">
        <v>1</v>
      </c>
      <c r="N689" s="7">
        <v>0</v>
      </c>
      <c r="O689" s="9" t="s">
        <v>5044</v>
      </c>
      <c r="P689" s="7">
        <v>0</v>
      </c>
      <c r="Q689" s="7">
        <v>0</v>
      </c>
      <c r="R689" s="7">
        <v>0</v>
      </c>
      <c r="S689" s="7">
        <v>1</v>
      </c>
      <c r="T689" s="7">
        <v>1</v>
      </c>
      <c r="U689" s="7">
        <v>72</v>
      </c>
      <c r="V689" s="7">
        <v>0</v>
      </c>
      <c r="W689" s="7">
        <v>1</v>
      </c>
      <c r="X689" s="7">
        <v>0</v>
      </c>
      <c r="Y689" s="7">
        <v>0</v>
      </c>
      <c r="Z689" s="7">
        <v>0</v>
      </c>
      <c r="AA689" s="7">
        <v>0</v>
      </c>
      <c r="AB689" s="7">
        <v>1</v>
      </c>
      <c r="AC689" s="7" t="s">
        <v>5044</v>
      </c>
      <c r="AD689" s="7" t="s">
        <v>5044</v>
      </c>
      <c r="AE689" s="7" t="s">
        <v>5044</v>
      </c>
      <c r="AF689" s="7" t="s">
        <v>5044</v>
      </c>
      <c r="AG689" s="7" t="s">
        <v>5044</v>
      </c>
      <c r="AH689" s="7" t="s">
        <v>5044</v>
      </c>
      <c r="AI689" s="7" t="s">
        <v>5044</v>
      </c>
      <c r="AJ689" s="7" t="s">
        <v>5044</v>
      </c>
      <c r="AL689" s="7" t="s">
        <v>5044</v>
      </c>
      <c r="AM689" s="7">
        <v>0</v>
      </c>
    </row>
    <row r="690" spans="1:40" ht="63" customHeight="1" x14ac:dyDescent="0.2">
      <c r="A690" s="7">
        <v>7035</v>
      </c>
      <c r="B690" s="7" t="s">
        <v>2299</v>
      </c>
      <c r="C690" s="7" t="s">
        <v>2300</v>
      </c>
      <c r="D690" s="7" t="s">
        <v>46</v>
      </c>
      <c r="F690" s="7" t="s">
        <v>2301</v>
      </c>
      <c r="G690" s="7" t="s">
        <v>2302</v>
      </c>
      <c r="H690" s="7" t="s">
        <v>180</v>
      </c>
      <c r="I690" s="7" t="s">
        <v>13</v>
      </c>
      <c r="J690" s="7" t="s">
        <v>2303</v>
      </c>
      <c r="K690" s="7" t="s">
        <v>2304</v>
      </c>
      <c r="L690" s="7" t="s">
        <v>6104</v>
      </c>
      <c r="M690" s="7">
        <v>0</v>
      </c>
      <c r="N690" s="9" t="s">
        <v>5044</v>
      </c>
      <c r="O690" s="9" t="s">
        <v>5044</v>
      </c>
      <c r="P690" s="7">
        <v>0</v>
      </c>
      <c r="Q690" s="7">
        <v>0</v>
      </c>
      <c r="R690" s="7">
        <v>0</v>
      </c>
      <c r="S690" s="7">
        <v>1</v>
      </c>
      <c r="T690" s="7">
        <v>1</v>
      </c>
      <c r="U690" s="7">
        <v>417</v>
      </c>
      <c r="V690" s="7">
        <v>0</v>
      </c>
      <c r="W690" s="7">
        <v>1</v>
      </c>
      <c r="X690" s="7">
        <v>0</v>
      </c>
      <c r="Y690" s="7">
        <v>0</v>
      </c>
      <c r="Z690" s="7">
        <v>1</v>
      </c>
      <c r="AA690" s="7">
        <v>0</v>
      </c>
      <c r="AB690" s="7">
        <v>1</v>
      </c>
      <c r="AC690" s="7">
        <v>1</v>
      </c>
      <c r="AD690" s="7" t="s">
        <v>5044</v>
      </c>
      <c r="AE690" s="7" t="s">
        <v>5044</v>
      </c>
      <c r="AF690" s="7" t="s">
        <v>5044</v>
      </c>
      <c r="AG690" s="7">
        <v>1</v>
      </c>
      <c r="AH690" s="7">
        <v>0</v>
      </c>
      <c r="AI690" s="7">
        <v>0</v>
      </c>
      <c r="AJ690" s="7">
        <v>0</v>
      </c>
      <c r="AL690" s="7">
        <v>0</v>
      </c>
      <c r="AM690" s="7">
        <v>0</v>
      </c>
    </row>
    <row r="691" spans="1:40" ht="63" customHeight="1" x14ac:dyDescent="0.2">
      <c r="A691" s="7">
        <v>7049</v>
      </c>
      <c r="B691" s="7" t="s">
        <v>2305</v>
      </c>
      <c r="C691" s="7" t="s">
        <v>2306</v>
      </c>
      <c r="D691" s="7" t="s">
        <v>101</v>
      </c>
      <c r="F691" s="7" t="s">
        <v>1353</v>
      </c>
      <c r="G691" s="7" t="s">
        <v>52</v>
      </c>
      <c r="H691" s="7" t="s">
        <v>2307</v>
      </c>
      <c r="I691" s="7" t="s">
        <v>13</v>
      </c>
      <c r="J691" s="7" t="s">
        <v>2308</v>
      </c>
      <c r="L691" s="11" t="s">
        <v>5044</v>
      </c>
      <c r="M691" s="7">
        <v>0</v>
      </c>
      <c r="N691" s="9" t="s">
        <v>5044</v>
      </c>
      <c r="O691" s="9" t="s">
        <v>5044</v>
      </c>
      <c r="P691" s="7">
        <v>0</v>
      </c>
      <c r="Q691" s="7">
        <v>0</v>
      </c>
      <c r="R691" s="7">
        <v>0</v>
      </c>
      <c r="S691" s="7">
        <v>3</v>
      </c>
      <c r="T691" s="7">
        <v>1</v>
      </c>
      <c r="U691" s="7">
        <v>88</v>
      </c>
      <c r="V691" s="7">
        <v>0</v>
      </c>
      <c r="W691" s="7">
        <v>1</v>
      </c>
      <c r="X691" s="7">
        <v>0</v>
      </c>
      <c r="Y691" s="7">
        <v>0</v>
      </c>
      <c r="Z691" s="7">
        <v>0</v>
      </c>
      <c r="AA691" s="7">
        <v>0</v>
      </c>
      <c r="AB691" s="7">
        <v>1</v>
      </c>
      <c r="AC691" s="7">
        <v>1</v>
      </c>
      <c r="AD691" s="7" t="s">
        <v>5044</v>
      </c>
      <c r="AE691" s="7" t="s">
        <v>5044</v>
      </c>
      <c r="AF691" s="7" t="s">
        <v>5044</v>
      </c>
      <c r="AG691" s="7">
        <v>2</v>
      </c>
      <c r="AH691" s="7">
        <v>3</v>
      </c>
      <c r="AI691" s="7">
        <v>0</v>
      </c>
      <c r="AJ691" s="7" t="s">
        <v>5044</v>
      </c>
      <c r="AK691" s="7" t="s">
        <v>6499</v>
      </c>
      <c r="AL691" s="7" t="s">
        <v>5044</v>
      </c>
      <c r="AM691" s="7">
        <v>0</v>
      </c>
      <c r="AN691" s="7" t="s">
        <v>5105</v>
      </c>
    </row>
    <row r="692" spans="1:40" ht="63" customHeight="1" x14ac:dyDescent="0.2">
      <c r="A692" s="7">
        <v>7055</v>
      </c>
      <c r="B692" s="7" t="s">
        <v>2309</v>
      </c>
      <c r="C692" s="7" t="s">
        <v>2310</v>
      </c>
      <c r="D692" s="7" t="s">
        <v>101</v>
      </c>
      <c r="F692" s="7" t="s">
        <v>325</v>
      </c>
      <c r="G692" s="7" t="s">
        <v>37</v>
      </c>
      <c r="H692" s="7" t="s">
        <v>882</v>
      </c>
      <c r="I692" s="7" t="s">
        <v>13</v>
      </c>
      <c r="J692" s="7" t="s">
        <v>2311</v>
      </c>
      <c r="K692" s="7" t="s">
        <v>2312</v>
      </c>
      <c r="L692" s="6" t="s">
        <v>6105</v>
      </c>
      <c r="M692" s="7">
        <v>1</v>
      </c>
      <c r="N692" s="7">
        <v>0</v>
      </c>
      <c r="O692" s="9" t="s">
        <v>5044</v>
      </c>
      <c r="P692" s="7">
        <v>0</v>
      </c>
      <c r="Q692" s="7">
        <v>0</v>
      </c>
      <c r="R692" s="7">
        <v>0</v>
      </c>
      <c r="S692" s="7" t="s">
        <v>5708</v>
      </c>
      <c r="T692" s="7">
        <v>1</v>
      </c>
      <c r="U692" s="7">
        <v>538</v>
      </c>
      <c r="V692" s="7">
        <v>0</v>
      </c>
      <c r="W692" s="7">
        <v>1</v>
      </c>
      <c r="X692" s="7">
        <v>0</v>
      </c>
      <c r="Y692" s="7">
        <v>0</v>
      </c>
      <c r="Z692" s="7">
        <v>0</v>
      </c>
      <c r="AA692" s="7">
        <v>0</v>
      </c>
      <c r="AB692" s="7">
        <v>1</v>
      </c>
      <c r="AC692" s="7" t="s">
        <v>5044</v>
      </c>
      <c r="AD692" s="7" t="s">
        <v>5044</v>
      </c>
      <c r="AE692" s="7" t="s">
        <v>5044</v>
      </c>
      <c r="AF692" s="7" t="s">
        <v>5044</v>
      </c>
      <c r="AG692" s="7" t="s">
        <v>5044</v>
      </c>
      <c r="AH692" s="7" t="s">
        <v>5044</v>
      </c>
      <c r="AI692" s="7" t="s">
        <v>5044</v>
      </c>
      <c r="AJ692" s="7" t="s">
        <v>5044</v>
      </c>
      <c r="AL692" s="7" t="s">
        <v>5044</v>
      </c>
      <c r="AM692" s="7">
        <v>0</v>
      </c>
    </row>
    <row r="693" spans="1:40" ht="63" customHeight="1" x14ac:dyDescent="0.2">
      <c r="A693" s="7">
        <v>7057</v>
      </c>
      <c r="B693" s="7" t="s">
        <v>2313</v>
      </c>
      <c r="C693" s="7" t="s">
        <v>2314</v>
      </c>
      <c r="D693" s="7" t="s">
        <v>16</v>
      </c>
      <c r="F693" s="7" t="s">
        <v>92</v>
      </c>
      <c r="G693" s="7" t="s">
        <v>746</v>
      </c>
      <c r="H693" s="7" t="s">
        <v>862</v>
      </c>
      <c r="I693" s="7" t="s">
        <v>13</v>
      </c>
      <c r="J693" s="7" t="s">
        <v>2315</v>
      </c>
      <c r="K693" s="7" t="s">
        <v>2316</v>
      </c>
      <c r="L693" s="8" t="s">
        <v>6106</v>
      </c>
      <c r="M693" s="7">
        <v>0</v>
      </c>
      <c r="N693" s="9" t="s">
        <v>5044</v>
      </c>
      <c r="O693" s="9" t="s">
        <v>5044</v>
      </c>
      <c r="P693" s="7">
        <v>0</v>
      </c>
      <c r="Q693" s="7">
        <v>0</v>
      </c>
      <c r="R693" s="7">
        <v>0</v>
      </c>
      <c r="S693" s="7">
        <v>9</v>
      </c>
      <c r="T693" s="7">
        <v>4</v>
      </c>
      <c r="U693" s="7">
        <v>70</v>
      </c>
      <c r="V693" s="7">
        <v>0</v>
      </c>
      <c r="W693" s="7">
        <v>1</v>
      </c>
      <c r="X693" s="7">
        <v>0</v>
      </c>
      <c r="Y693" s="7">
        <v>0</v>
      </c>
      <c r="Z693" s="7">
        <v>0</v>
      </c>
      <c r="AA693" s="7">
        <v>0</v>
      </c>
      <c r="AB693" s="7">
        <v>1</v>
      </c>
      <c r="AC693" s="7">
        <v>0</v>
      </c>
      <c r="AD693" s="7" t="s">
        <v>5044</v>
      </c>
      <c r="AE693" s="7" t="s">
        <v>5044</v>
      </c>
      <c r="AF693" s="7" t="s">
        <v>5044</v>
      </c>
      <c r="AG693" s="7">
        <v>0</v>
      </c>
      <c r="AH693" s="7" t="s">
        <v>5044</v>
      </c>
      <c r="AI693" s="7" t="s">
        <v>5044</v>
      </c>
      <c r="AJ693" s="7" t="s">
        <v>5044</v>
      </c>
      <c r="AL693" s="7">
        <v>1</v>
      </c>
      <c r="AM693" s="7">
        <v>0</v>
      </c>
    </row>
    <row r="694" spans="1:40" ht="63" customHeight="1" x14ac:dyDescent="0.2">
      <c r="A694" s="7">
        <v>7066</v>
      </c>
      <c r="B694" s="7" t="s">
        <v>2317</v>
      </c>
      <c r="C694" s="7" t="s">
        <v>2318</v>
      </c>
      <c r="D694" s="7" t="s">
        <v>22</v>
      </c>
      <c r="F694" s="7" t="s">
        <v>543</v>
      </c>
      <c r="G694" s="7" t="s">
        <v>37</v>
      </c>
      <c r="H694" s="7" t="s">
        <v>71</v>
      </c>
      <c r="I694" s="7" t="s">
        <v>13</v>
      </c>
      <c r="J694" s="7" t="s">
        <v>2319</v>
      </c>
      <c r="K694" s="7" t="s">
        <v>2320</v>
      </c>
      <c r="L694" s="11" t="s">
        <v>5044</v>
      </c>
      <c r="M694" s="7">
        <v>0</v>
      </c>
      <c r="N694" s="9" t="s">
        <v>5044</v>
      </c>
      <c r="O694" s="9" t="s">
        <v>5044</v>
      </c>
      <c r="P694" s="7">
        <v>0</v>
      </c>
      <c r="Q694" s="7">
        <v>0</v>
      </c>
      <c r="R694" s="7">
        <v>0</v>
      </c>
      <c r="S694" s="7">
        <v>1</v>
      </c>
      <c r="T694" s="7">
        <v>4</v>
      </c>
      <c r="U694" s="7">
        <v>144</v>
      </c>
      <c r="V694" s="7">
        <v>1</v>
      </c>
      <c r="W694" s="7">
        <v>0</v>
      </c>
      <c r="X694" s="7">
        <v>0</v>
      </c>
      <c r="Y694" s="7">
        <v>0</v>
      </c>
      <c r="Z694" s="7">
        <v>0</v>
      </c>
      <c r="AA694" s="7">
        <v>0</v>
      </c>
      <c r="AB694" s="7">
        <v>1</v>
      </c>
      <c r="AC694" s="7">
        <v>1</v>
      </c>
      <c r="AD694" s="7">
        <v>2</v>
      </c>
      <c r="AE694" s="7">
        <v>1</v>
      </c>
      <c r="AF694" s="7">
        <v>1</v>
      </c>
      <c r="AG694" s="7" t="s">
        <v>5044</v>
      </c>
      <c r="AH694" s="7" t="s">
        <v>5044</v>
      </c>
      <c r="AI694" s="7" t="s">
        <v>5044</v>
      </c>
      <c r="AJ694" s="7" t="s">
        <v>5044</v>
      </c>
      <c r="AL694" s="7">
        <v>0</v>
      </c>
      <c r="AM694" s="7">
        <v>0</v>
      </c>
    </row>
    <row r="695" spans="1:40" ht="63" customHeight="1" x14ac:dyDescent="0.2">
      <c r="A695" s="7">
        <v>7080</v>
      </c>
      <c r="B695" s="7" t="s">
        <v>2321</v>
      </c>
      <c r="C695" s="7" t="s">
        <v>2322</v>
      </c>
      <c r="D695" s="7" t="s">
        <v>46</v>
      </c>
      <c r="F695" s="7" t="s">
        <v>143</v>
      </c>
      <c r="G695" s="7" t="s">
        <v>11</v>
      </c>
      <c r="H695" s="7" t="s">
        <v>157</v>
      </c>
      <c r="I695" s="7" t="s">
        <v>13</v>
      </c>
      <c r="J695" s="7" t="s">
        <v>2323</v>
      </c>
      <c r="K695" s="7" t="s">
        <v>2324</v>
      </c>
      <c r="L695" s="8" t="s">
        <v>6107</v>
      </c>
      <c r="M695" s="7">
        <v>0</v>
      </c>
      <c r="N695" s="9" t="s">
        <v>5044</v>
      </c>
      <c r="O695" s="9" t="s">
        <v>5044</v>
      </c>
      <c r="P695" s="7">
        <v>0</v>
      </c>
      <c r="Q695" s="7">
        <v>0</v>
      </c>
      <c r="R695" s="7">
        <v>0</v>
      </c>
      <c r="S695" s="7">
        <v>1</v>
      </c>
      <c r="T695" s="7">
        <v>4</v>
      </c>
      <c r="U695" s="7">
        <v>122</v>
      </c>
      <c r="V695" s="7">
        <v>0</v>
      </c>
      <c r="W695" s="7">
        <v>1</v>
      </c>
      <c r="X695" s="7">
        <v>0</v>
      </c>
      <c r="Y695" s="7">
        <v>0</v>
      </c>
      <c r="Z695" s="7">
        <v>0</v>
      </c>
      <c r="AA695" s="7">
        <v>0</v>
      </c>
      <c r="AB695" s="7">
        <v>1</v>
      </c>
      <c r="AC695" s="7">
        <v>1</v>
      </c>
      <c r="AD695" s="7" t="s">
        <v>5044</v>
      </c>
      <c r="AE695" s="7" t="s">
        <v>5044</v>
      </c>
      <c r="AF695" s="7" t="s">
        <v>5044</v>
      </c>
      <c r="AG695" s="7">
        <v>2</v>
      </c>
      <c r="AH695" s="7">
        <v>3</v>
      </c>
      <c r="AI695" s="7">
        <v>0</v>
      </c>
      <c r="AJ695" s="7" t="s">
        <v>5044</v>
      </c>
      <c r="AK695" s="7">
        <v>1</v>
      </c>
      <c r="AL695" s="7">
        <v>0</v>
      </c>
      <c r="AM695" s="7">
        <v>0</v>
      </c>
    </row>
    <row r="696" spans="1:40" ht="63" customHeight="1" x14ac:dyDescent="0.2">
      <c r="A696" s="7">
        <v>7086</v>
      </c>
      <c r="B696" s="23" t="s">
        <v>2325</v>
      </c>
      <c r="C696" s="7" t="s">
        <v>2326</v>
      </c>
      <c r="D696" s="7" t="s">
        <v>149</v>
      </c>
      <c r="F696" s="7" t="s">
        <v>2327</v>
      </c>
      <c r="G696" s="7" t="s">
        <v>18</v>
      </c>
      <c r="H696" s="7" t="s">
        <v>679</v>
      </c>
      <c r="I696" s="7" t="s">
        <v>13</v>
      </c>
      <c r="J696" s="7" t="s">
        <v>2328</v>
      </c>
      <c r="K696" s="7" t="s">
        <v>2329</v>
      </c>
      <c r="L696" s="8" t="s">
        <v>6108</v>
      </c>
      <c r="M696" s="7">
        <v>0</v>
      </c>
      <c r="N696" s="9" t="s">
        <v>5044</v>
      </c>
      <c r="O696" s="9" t="s">
        <v>5044</v>
      </c>
      <c r="P696" s="7">
        <v>0</v>
      </c>
      <c r="Q696" s="7">
        <v>0</v>
      </c>
      <c r="R696" s="7">
        <v>0</v>
      </c>
      <c r="S696" s="7">
        <v>3</v>
      </c>
      <c r="T696" s="7">
        <v>4</v>
      </c>
      <c r="U696" s="7">
        <v>136</v>
      </c>
      <c r="V696" s="7">
        <v>0</v>
      </c>
      <c r="W696" s="7">
        <v>1</v>
      </c>
      <c r="X696" s="7">
        <v>0</v>
      </c>
      <c r="Y696" s="7">
        <v>0</v>
      </c>
      <c r="Z696" s="7">
        <v>0</v>
      </c>
      <c r="AA696" s="7">
        <v>0</v>
      </c>
      <c r="AB696" s="7">
        <v>1</v>
      </c>
      <c r="AC696" s="7">
        <v>0</v>
      </c>
      <c r="AD696" s="7" t="s">
        <v>5044</v>
      </c>
      <c r="AE696" s="7" t="s">
        <v>5044</v>
      </c>
      <c r="AF696" s="7" t="s">
        <v>5044</v>
      </c>
      <c r="AG696" s="7">
        <v>0</v>
      </c>
      <c r="AH696" s="23" t="s">
        <v>5044</v>
      </c>
      <c r="AI696" s="7" t="s">
        <v>5044</v>
      </c>
      <c r="AJ696" s="7" t="s">
        <v>5044</v>
      </c>
      <c r="AL696" s="7" t="s">
        <v>5044</v>
      </c>
      <c r="AM696" s="7">
        <v>0</v>
      </c>
      <c r="AN696" s="7" t="s">
        <v>5105</v>
      </c>
    </row>
    <row r="697" spans="1:40" ht="63" customHeight="1" x14ac:dyDescent="0.2">
      <c r="A697" s="7">
        <v>7115</v>
      </c>
      <c r="B697" s="7" t="s">
        <v>2330</v>
      </c>
      <c r="C697" s="7" t="s">
        <v>2331</v>
      </c>
      <c r="D697" s="7" t="s">
        <v>101</v>
      </c>
      <c r="F697" s="7" t="s">
        <v>65</v>
      </c>
      <c r="G697" s="7" t="s">
        <v>37</v>
      </c>
      <c r="H697" s="7" t="s">
        <v>427</v>
      </c>
      <c r="I697" s="7" t="s">
        <v>13</v>
      </c>
      <c r="J697" s="7" t="s">
        <v>2332</v>
      </c>
      <c r="K697" s="7" t="s">
        <v>2333</v>
      </c>
      <c r="L697" s="6" t="s">
        <v>6109</v>
      </c>
      <c r="M697" s="7">
        <v>0</v>
      </c>
      <c r="N697" s="9" t="s">
        <v>5044</v>
      </c>
      <c r="O697" s="9" t="s">
        <v>5044</v>
      </c>
      <c r="P697" s="7">
        <v>0</v>
      </c>
      <c r="Q697" s="7">
        <v>0</v>
      </c>
      <c r="R697" s="7">
        <v>0</v>
      </c>
      <c r="S697" s="7">
        <v>1</v>
      </c>
      <c r="T697" s="7">
        <v>1</v>
      </c>
      <c r="U697" s="7">
        <v>150</v>
      </c>
      <c r="V697" s="7">
        <v>0</v>
      </c>
      <c r="W697" s="7">
        <v>1</v>
      </c>
      <c r="X697" s="7">
        <v>0</v>
      </c>
      <c r="Y697" s="7">
        <v>0</v>
      </c>
      <c r="Z697" s="7">
        <v>0</v>
      </c>
      <c r="AA697" s="7">
        <v>0</v>
      </c>
      <c r="AB697" s="7">
        <v>1</v>
      </c>
      <c r="AC697" s="7">
        <v>1</v>
      </c>
      <c r="AD697" s="7" t="s">
        <v>5044</v>
      </c>
      <c r="AE697" s="7" t="s">
        <v>5044</v>
      </c>
      <c r="AF697" s="7" t="s">
        <v>5044</v>
      </c>
      <c r="AG697" s="7">
        <v>2</v>
      </c>
      <c r="AH697" s="7">
        <v>3</v>
      </c>
      <c r="AI697" s="7">
        <v>0</v>
      </c>
      <c r="AJ697" s="7" t="s">
        <v>5044</v>
      </c>
      <c r="AK697" s="7">
        <v>1</v>
      </c>
      <c r="AL697" s="7">
        <v>0</v>
      </c>
      <c r="AM697" s="7">
        <v>0</v>
      </c>
    </row>
    <row r="698" spans="1:40" ht="63" customHeight="1" x14ac:dyDescent="0.2">
      <c r="A698" s="7">
        <v>7160</v>
      </c>
      <c r="B698" s="7" t="s">
        <v>2334</v>
      </c>
      <c r="C698" s="7" t="s">
        <v>2335</v>
      </c>
      <c r="D698" s="7" t="s">
        <v>56</v>
      </c>
      <c r="F698" s="7" t="s">
        <v>325</v>
      </c>
      <c r="G698" s="7" t="s">
        <v>92</v>
      </c>
      <c r="H698" s="7" t="s">
        <v>160</v>
      </c>
      <c r="I698" s="7" t="s">
        <v>13</v>
      </c>
      <c r="J698" s="7" t="s">
        <v>2336</v>
      </c>
      <c r="K698" s="7" t="s">
        <v>2337</v>
      </c>
      <c r="L698" s="8" t="s">
        <v>6110</v>
      </c>
      <c r="M698" s="7">
        <v>0</v>
      </c>
      <c r="N698" s="9" t="s">
        <v>5044</v>
      </c>
      <c r="O698" s="9" t="s">
        <v>5044</v>
      </c>
      <c r="P698" s="7">
        <v>0</v>
      </c>
      <c r="Q698" s="7">
        <v>0</v>
      </c>
      <c r="R698" s="7">
        <v>0</v>
      </c>
      <c r="S698" s="7">
        <v>1</v>
      </c>
      <c r="T698" s="7">
        <v>4</v>
      </c>
      <c r="U698" s="7">
        <v>120</v>
      </c>
      <c r="V698" s="7">
        <v>0</v>
      </c>
      <c r="W698" s="7">
        <v>1</v>
      </c>
      <c r="X698" s="7">
        <v>0</v>
      </c>
      <c r="Y698" s="7">
        <v>0</v>
      </c>
      <c r="Z698" s="7">
        <v>0</v>
      </c>
      <c r="AA698" s="7">
        <v>0</v>
      </c>
      <c r="AB698" s="7">
        <v>1</v>
      </c>
      <c r="AC698" s="7">
        <v>1</v>
      </c>
      <c r="AD698" s="7" t="s">
        <v>5044</v>
      </c>
      <c r="AE698" s="7" t="s">
        <v>5044</v>
      </c>
      <c r="AF698" s="7" t="s">
        <v>5044</v>
      </c>
      <c r="AG698" s="7">
        <v>1</v>
      </c>
      <c r="AH698" s="7">
        <v>0</v>
      </c>
      <c r="AI698" s="7">
        <v>0</v>
      </c>
      <c r="AJ698" s="7" t="s">
        <v>5044</v>
      </c>
      <c r="AL698" s="7">
        <v>1</v>
      </c>
      <c r="AM698" s="7">
        <v>0</v>
      </c>
    </row>
    <row r="699" spans="1:40" ht="63" customHeight="1" x14ac:dyDescent="0.2">
      <c r="A699" s="7">
        <v>7178</v>
      </c>
      <c r="B699" s="7" t="s">
        <v>2338</v>
      </c>
      <c r="C699" s="7" t="s">
        <v>2339</v>
      </c>
      <c r="D699" s="7" t="s">
        <v>46</v>
      </c>
      <c r="F699" s="7" t="s">
        <v>51</v>
      </c>
      <c r="G699" s="7" t="s">
        <v>52</v>
      </c>
      <c r="H699" s="7" t="s">
        <v>53</v>
      </c>
      <c r="I699" s="7" t="s">
        <v>13</v>
      </c>
      <c r="J699" s="7" t="s">
        <v>2340</v>
      </c>
      <c r="K699" s="7" t="s">
        <v>2341</v>
      </c>
      <c r="L699" s="8" t="s">
        <v>5906</v>
      </c>
      <c r="M699" s="7">
        <v>1</v>
      </c>
      <c r="N699" s="7">
        <v>0</v>
      </c>
      <c r="O699" s="9" t="s">
        <v>5044</v>
      </c>
      <c r="P699" s="7">
        <v>0</v>
      </c>
      <c r="Q699" s="7">
        <v>0</v>
      </c>
      <c r="R699" s="7">
        <v>0</v>
      </c>
      <c r="S699" s="7" t="s">
        <v>5772</v>
      </c>
      <c r="T699" s="7">
        <v>1</v>
      </c>
      <c r="U699" s="7">
        <v>500</v>
      </c>
      <c r="V699" s="7">
        <v>0</v>
      </c>
      <c r="W699" s="7">
        <v>1</v>
      </c>
      <c r="X699" s="7">
        <v>0</v>
      </c>
      <c r="Y699" s="7">
        <v>0</v>
      </c>
      <c r="Z699" s="7">
        <v>0</v>
      </c>
      <c r="AA699" s="7">
        <v>0</v>
      </c>
      <c r="AB699" s="7">
        <v>1</v>
      </c>
      <c r="AC699" s="7" t="s">
        <v>5044</v>
      </c>
      <c r="AD699" s="7" t="s">
        <v>5044</v>
      </c>
      <c r="AE699" s="7" t="s">
        <v>5044</v>
      </c>
      <c r="AF699" s="7" t="s">
        <v>5044</v>
      </c>
      <c r="AG699" s="7" t="s">
        <v>5044</v>
      </c>
      <c r="AH699" s="7" t="s">
        <v>5044</v>
      </c>
      <c r="AI699" s="7" t="s">
        <v>5044</v>
      </c>
      <c r="AJ699" s="7" t="s">
        <v>5044</v>
      </c>
      <c r="AL699" s="7" t="s">
        <v>5044</v>
      </c>
      <c r="AM699" s="7">
        <v>0</v>
      </c>
    </row>
    <row r="700" spans="1:40" ht="63" customHeight="1" x14ac:dyDescent="0.2">
      <c r="A700" s="7">
        <v>7179</v>
      </c>
      <c r="B700" s="7" t="s">
        <v>2342</v>
      </c>
      <c r="C700" s="7" t="s">
        <v>2343</v>
      </c>
      <c r="D700" s="7" t="s">
        <v>41</v>
      </c>
      <c r="F700" s="7" t="s">
        <v>92</v>
      </c>
      <c r="G700" s="7" t="s">
        <v>37</v>
      </c>
      <c r="H700" s="7" t="s">
        <v>19</v>
      </c>
      <c r="I700" s="7" t="s">
        <v>13</v>
      </c>
      <c r="J700" s="7" t="s">
        <v>2344</v>
      </c>
      <c r="K700" s="7" t="s">
        <v>2345</v>
      </c>
      <c r="L700" s="6" t="s">
        <v>6111</v>
      </c>
      <c r="M700" s="7">
        <v>0</v>
      </c>
      <c r="N700" s="9" t="s">
        <v>5044</v>
      </c>
      <c r="O700" s="9" t="s">
        <v>5044</v>
      </c>
      <c r="P700" s="7">
        <v>0</v>
      </c>
      <c r="Q700" s="7">
        <v>0</v>
      </c>
      <c r="R700" s="7">
        <v>0</v>
      </c>
      <c r="S700" s="7">
        <v>4</v>
      </c>
      <c r="T700" s="7">
        <v>1</v>
      </c>
      <c r="U700" s="7">
        <v>143</v>
      </c>
      <c r="V700" s="7">
        <v>0</v>
      </c>
      <c r="W700" s="7">
        <v>1</v>
      </c>
      <c r="X700" s="7">
        <v>0</v>
      </c>
      <c r="Y700" s="7">
        <v>0</v>
      </c>
      <c r="Z700" s="7">
        <v>0</v>
      </c>
      <c r="AA700" s="7">
        <v>0</v>
      </c>
      <c r="AB700" s="7">
        <v>1</v>
      </c>
      <c r="AC700" s="7">
        <v>1</v>
      </c>
      <c r="AD700" s="7" t="s">
        <v>5044</v>
      </c>
      <c r="AE700" s="7" t="s">
        <v>5044</v>
      </c>
      <c r="AF700" s="7" t="s">
        <v>5044</v>
      </c>
      <c r="AG700" s="7">
        <v>1</v>
      </c>
      <c r="AH700" s="7">
        <v>0</v>
      </c>
      <c r="AI700" s="7">
        <v>0</v>
      </c>
      <c r="AJ700" s="7" t="s">
        <v>5044</v>
      </c>
      <c r="AL700" s="7">
        <v>0</v>
      </c>
      <c r="AM700" s="7">
        <v>0</v>
      </c>
    </row>
    <row r="701" spans="1:40" ht="63" customHeight="1" x14ac:dyDescent="0.2">
      <c r="A701" s="7">
        <v>7183</v>
      </c>
      <c r="B701" s="7" t="s">
        <v>2346</v>
      </c>
      <c r="C701" s="7" t="s">
        <v>2347</v>
      </c>
      <c r="D701" s="7" t="s">
        <v>25</v>
      </c>
      <c r="F701" s="7" t="s">
        <v>325</v>
      </c>
      <c r="G701" s="7" t="s">
        <v>52</v>
      </c>
      <c r="H701" s="7" t="s">
        <v>670</v>
      </c>
      <c r="I701" s="7" t="s">
        <v>13</v>
      </c>
      <c r="J701" s="7" t="s">
        <v>2348</v>
      </c>
      <c r="K701" s="7" t="s">
        <v>2349</v>
      </c>
      <c r="L701" s="11" t="s">
        <v>5044</v>
      </c>
      <c r="M701" s="7">
        <v>0</v>
      </c>
      <c r="N701" s="9" t="s">
        <v>5044</v>
      </c>
      <c r="O701" s="9" t="s">
        <v>5044</v>
      </c>
      <c r="P701" s="7">
        <v>0</v>
      </c>
      <c r="Q701" s="7">
        <v>0</v>
      </c>
      <c r="R701" s="7">
        <v>0</v>
      </c>
      <c r="S701" s="7" t="s">
        <v>5728</v>
      </c>
      <c r="T701" s="7">
        <v>1</v>
      </c>
      <c r="U701" s="7">
        <v>29</v>
      </c>
      <c r="V701" s="7">
        <v>0</v>
      </c>
      <c r="W701" s="7">
        <v>1</v>
      </c>
      <c r="X701" s="7">
        <v>0</v>
      </c>
      <c r="Y701" s="7">
        <v>0</v>
      </c>
      <c r="Z701" s="7">
        <v>0</v>
      </c>
      <c r="AA701" s="7">
        <v>0</v>
      </c>
      <c r="AB701" s="7">
        <v>1</v>
      </c>
      <c r="AC701" s="7">
        <v>1</v>
      </c>
      <c r="AD701" s="7" t="s">
        <v>5044</v>
      </c>
      <c r="AE701" s="7" t="s">
        <v>5044</v>
      </c>
      <c r="AF701" s="7" t="s">
        <v>5044</v>
      </c>
      <c r="AG701" s="7">
        <v>1</v>
      </c>
      <c r="AH701" s="7">
        <v>0</v>
      </c>
      <c r="AI701" s="7">
        <v>0</v>
      </c>
      <c r="AJ701" s="7" t="s">
        <v>5044</v>
      </c>
      <c r="AL701" s="7" t="s">
        <v>5044</v>
      </c>
      <c r="AM701" s="7">
        <v>0</v>
      </c>
      <c r="AN701" s="7" t="s">
        <v>5105</v>
      </c>
    </row>
    <row r="702" spans="1:40" ht="63" customHeight="1" x14ac:dyDescent="0.2">
      <c r="A702" s="7">
        <v>7184</v>
      </c>
      <c r="B702" s="7" t="s">
        <v>2350</v>
      </c>
      <c r="C702" s="7" t="s">
        <v>2351</v>
      </c>
      <c r="D702" s="7" t="s">
        <v>35</v>
      </c>
      <c r="F702" s="7" t="s">
        <v>289</v>
      </c>
      <c r="G702" s="7" t="s">
        <v>92</v>
      </c>
      <c r="H702" s="7" t="s">
        <v>2352</v>
      </c>
      <c r="I702" s="7" t="s">
        <v>13</v>
      </c>
      <c r="J702" s="7" t="s">
        <v>2353</v>
      </c>
      <c r="K702" s="7" t="s">
        <v>2354</v>
      </c>
      <c r="L702" s="11" t="s">
        <v>5044</v>
      </c>
      <c r="M702" s="7">
        <v>0</v>
      </c>
      <c r="N702" s="9" t="s">
        <v>5044</v>
      </c>
      <c r="O702" s="9" t="s">
        <v>5044</v>
      </c>
      <c r="P702" s="7">
        <v>0</v>
      </c>
      <c r="Q702" s="7">
        <v>0</v>
      </c>
      <c r="R702" s="7">
        <v>0</v>
      </c>
      <c r="S702" s="7" t="s">
        <v>5728</v>
      </c>
      <c r="T702" s="7">
        <v>1</v>
      </c>
      <c r="U702" s="7">
        <v>107</v>
      </c>
      <c r="V702" s="7">
        <v>0</v>
      </c>
      <c r="W702" s="7">
        <v>1</v>
      </c>
      <c r="X702" s="7">
        <v>0</v>
      </c>
      <c r="Y702" s="7">
        <v>0</v>
      </c>
      <c r="Z702" s="7">
        <v>0</v>
      </c>
      <c r="AA702" s="7">
        <v>0</v>
      </c>
      <c r="AB702" s="7">
        <v>1</v>
      </c>
      <c r="AC702" s="7">
        <v>1</v>
      </c>
      <c r="AD702" s="7" t="s">
        <v>5044</v>
      </c>
      <c r="AE702" s="7" t="s">
        <v>5044</v>
      </c>
      <c r="AF702" s="7" t="s">
        <v>5044</v>
      </c>
      <c r="AG702" s="7">
        <v>1</v>
      </c>
      <c r="AH702" s="7">
        <v>0</v>
      </c>
      <c r="AI702" s="7">
        <v>0</v>
      </c>
      <c r="AJ702" s="7" t="s">
        <v>5044</v>
      </c>
      <c r="AL702" s="7" t="s">
        <v>5044</v>
      </c>
      <c r="AM702" s="7">
        <v>0</v>
      </c>
      <c r="AN702" s="7" t="s">
        <v>5105</v>
      </c>
    </row>
    <row r="703" spans="1:40" ht="63" customHeight="1" x14ac:dyDescent="0.2">
      <c r="A703" s="7">
        <v>7186</v>
      </c>
      <c r="B703" s="7" t="s">
        <v>2355</v>
      </c>
      <c r="C703" s="7" t="s">
        <v>2356</v>
      </c>
      <c r="D703" s="7" t="s">
        <v>95</v>
      </c>
      <c r="F703" s="7" t="s">
        <v>175</v>
      </c>
      <c r="G703" s="7" t="s">
        <v>92</v>
      </c>
      <c r="H703" s="7" t="s">
        <v>19</v>
      </c>
      <c r="I703" s="7" t="s">
        <v>13</v>
      </c>
      <c r="J703" s="7" t="s">
        <v>2357</v>
      </c>
      <c r="K703" s="7" t="s">
        <v>2358</v>
      </c>
      <c r="L703" s="6" t="s">
        <v>6112</v>
      </c>
      <c r="M703" s="7">
        <v>1</v>
      </c>
      <c r="N703" s="7">
        <v>0</v>
      </c>
      <c r="O703" s="9" t="s">
        <v>5044</v>
      </c>
      <c r="P703" s="7">
        <v>0</v>
      </c>
      <c r="Q703" s="7">
        <v>0</v>
      </c>
      <c r="R703" s="7">
        <v>0</v>
      </c>
      <c r="S703" s="7" t="s">
        <v>5921</v>
      </c>
      <c r="T703" s="7">
        <v>1</v>
      </c>
      <c r="U703" s="7">
        <v>334</v>
      </c>
      <c r="V703" s="7">
        <v>1</v>
      </c>
      <c r="W703" s="7">
        <v>0</v>
      </c>
      <c r="X703" s="7">
        <v>0</v>
      </c>
      <c r="Y703" s="7">
        <v>0</v>
      </c>
      <c r="Z703" s="7">
        <v>0</v>
      </c>
      <c r="AA703" s="7">
        <v>0</v>
      </c>
      <c r="AB703" s="7">
        <v>1</v>
      </c>
      <c r="AC703" s="7" t="s">
        <v>5044</v>
      </c>
      <c r="AD703" s="7" t="s">
        <v>5044</v>
      </c>
      <c r="AE703" s="7" t="s">
        <v>5044</v>
      </c>
      <c r="AF703" s="7" t="s">
        <v>5044</v>
      </c>
      <c r="AG703" s="7" t="s">
        <v>5044</v>
      </c>
      <c r="AH703" s="7" t="s">
        <v>5044</v>
      </c>
      <c r="AI703" s="7" t="s">
        <v>5044</v>
      </c>
      <c r="AJ703" s="7" t="s">
        <v>5044</v>
      </c>
      <c r="AL703" s="7" t="s">
        <v>5044</v>
      </c>
      <c r="AM703" s="7">
        <v>0</v>
      </c>
    </row>
    <row r="704" spans="1:40" ht="63" customHeight="1" x14ac:dyDescent="0.2">
      <c r="A704" s="7">
        <v>7191</v>
      </c>
      <c r="B704" s="7" t="s">
        <v>2359</v>
      </c>
      <c r="C704" s="7" t="s">
        <v>2360</v>
      </c>
      <c r="D704" s="7" t="s">
        <v>101</v>
      </c>
      <c r="F704" s="7" t="s">
        <v>107</v>
      </c>
      <c r="G704" s="7" t="s">
        <v>92</v>
      </c>
      <c r="H704" s="7" t="s">
        <v>1975</v>
      </c>
      <c r="I704" s="7" t="s">
        <v>13</v>
      </c>
      <c r="J704" s="7" t="s">
        <v>2361</v>
      </c>
      <c r="K704" s="7" t="s">
        <v>2362</v>
      </c>
      <c r="L704" s="11" t="s">
        <v>5044</v>
      </c>
      <c r="M704" s="7">
        <v>0</v>
      </c>
      <c r="N704" s="9" t="s">
        <v>5044</v>
      </c>
      <c r="O704" s="9" t="s">
        <v>5044</v>
      </c>
      <c r="P704" s="7">
        <v>0</v>
      </c>
      <c r="Q704" s="7">
        <v>0</v>
      </c>
      <c r="R704" s="7">
        <v>0</v>
      </c>
      <c r="S704" s="7">
        <v>9</v>
      </c>
      <c r="T704" s="7">
        <v>1</v>
      </c>
      <c r="U704" s="7">
        <v>281</v>
      </c>
      <c r="V704" s="7">
        <v>0</v>
      </c>
      <c r="W704" s="7">
        <v>1</v>
      </c>
      <c r="X704" s="7">
        <v>0</v>
      </c>
      <c r="Y704" s="7">
        <v>0</v>
      </c>
      <c r="Z704" s="7">
        <v>0</v>
      </c>
      <c r="AA704" s="7">
        <v>0</v>
      </c>
      <c r="AB704" s="7">
        <v>1</v>
      </c>
      <c r="AC704" s="7">
        <v>1</v>
      </c>
      <c r="AD704" s="7" t="s">
        <v>5044</v>
      </c>
      <c r="AE704" s="7" t="s">
        <v>5044</v>
      </c>
      <c r="AF704" s="7" t="s">
        <v>5044</v>
      </c>
      <c r="AG704" s="7">
        <v>2</v>
      </c>
      <c r="AH704" s="7">
        <v>2</v>
      </c>
      <c r="AI704" s="7">
        <v>2</v>
      </c>
      <c r="AJ704" s="7" t="s">
        <v>5044</v>
      </c>
      <c r="AL704" s="7">
        <v>1</v>
      </c>
      <c r="AM704" s="7">
        <v>0</v>
      </c>
    </row>
    <row r="705" spans="1:40" ht="63" customHeight="1" x14ac:dyDescent="0.2">
      <c r="A705" s="7">
        <v>7194</v>
      </c>
      <c r="B705" s="7" t="s">
        <v>2363</v>
      </c>
      <c r="C705" s="7" t="s">
        <v>2364</v>
      </c>
      <c r="D705" s="7" t="s">
        <v>101</v>
      </c>
      <c r="F705" s="7" t="s">
        <v>293</v>
      </c>
      <c r="G705" s="7" t="s">
        <v>144</v>
      </c>
      <c r="H705" s="7" t="s">
        <v>319</v>
      </c>
      <c r="I705" s="7" t="s">
        <v>13</v>
      </c>
      <c r="J705" s="7" t="s">
        <v>2365</v>
      </c>
      <c r="K705" s="7" t="s">
        <v>2366</v>
      </c>
      <c r="L705" s="15" t="s">
        <v>6113</v>
      </c>
      <c r="M705" s="7">
        <v>0</v>
      </c>
      <c r="N705" s="9" t="s">
        <v>5044</v>
      </c>
      <c r="O705" s="9" t="s">
        <v>5044</v>
      </c>
      <c r="P705" s="7">
        <v>0</v>
      </c>
      <c r="Q705" s="7">
        <v>0</v>
      </c>
      <c r="R705" s="7">
        <v>0</v>
      </c>
      <c r="S705" s="7">
        <v>1</v>
      </c>
      <c r="T705" s="7">
        <v>1</v>
      </c>
      <c r="U705" s="7">
        <v>71</v>
      </c>
      <c r="V705" s="7">
        <v>0</v>
      </c>
      <c r="W705" s="7">
        <v>0</v>
      </c>
      <c r="X705" s="7">
        <v>1</v>
      </c>
      <c r="Y705" s="7">
        <v>0</v>
      </c>
      <c r="Z705" s="7">
        <v>0</v>
      </c>
      <c r="AA705" s="7">
        <v>1</v>
      </c>
      <c r="AB705" s="7">
        <v>1</v>
      </c>
      <c r="AC705" s="7">
        <v>1</v>
      </c>
      <c r="AD705" s="7" t="s">
        <v>5044</v>
      </c>
      <c r="AE705" s="7" t="s">
        <v>5044</v>
      </c>
      <c r="AF705" s="7" t="s">
        <v>5044</v>
      </c>
      <c r="AG705" s="7">
        <v>2</v>
      </c>
      <c r="AH705" s="7">
        <v>1</v>
      </c>
      <c r="AI705" s="7">
        <v>2</v>
      </c>
      <c r="AJ705" s="7">
        <v>0</v>
      </c>
      <c r="AL705" s="7" t="s">
        <v>5044</v>
      </c>
      <c r="AM705" s="7">
        <v>0</v>
      </c>
    </row>
    <row r="706" spans="1:40" ht="63" customHeight="1" x14ac:dyDescent="0.2">
      <c r="A706" s="7">
        <v>7195</v>
      </c>
      <c r="B706" s="7" t="s">
        <v>2367</v>
      </c>
      <c r="C706" s="7" t="s">
        <v>2368</v>
      </c>
      <c r="D706" s="7" t="s">
        <v>56</v>
      </c>
      <c r="F706" s="7" t="s">
        <v>136</v>
      </c>
      <c r="G706" s="7" t="s">
        <v>52</v>
      </c>
      <c r="H706" s="7" t="s">
        <v>53</v>
      </c>
      <c r="I706" s="7" t="s">
        <v>13</v>
      </c>
      <c r="K706" s="7" t="s">
        <v>2369</v>
      </c>
      <c r="L706" s="8" t="s">
        <v>6114</v>
      </c>
      <c r="M706" s="7">
        <v>1</v>
      </c>
      <c r="N706" s="7">
        <v>0</v>
      </c>
      <c r="O706" s="9" t="s">
        <v>5044</v>
      </c>
      <c r="P706" s="7">
        <v>0</v>
      </c>
      <c r="Q706" s="7">
        <v>0</v>
      </c>
      <c r="R706" s="7">
        <v>0</v>
      </c>
      <c r="S706" s="7">
        <v>1</v>
      </c>
      <c r="T706" s="7">
        <v>1</v>
      </c>
      <c r="U706" s="7">
        <v>370</v>
      </c>
      <c r="V706" s="7">
        <v>1</v>
      </c>
      <c r="W706" s="7">
        <v>0</v>
      </c>
      <c r="X706" s="7">
        <v>0</v>
      </c>
      <c r="Y706" s="7">
        <v>0</v>
      </c>
      <c r="Z706" s="7">
        <v>0</v>
      </c>
      <c r="AA706" s="7">
        <v>0</v>
      </c>
      <c r="AB706" s="7">
        <v>1</v>
      </c>
      <c r="AC706" s="7" t="s">
        <v>5044</v>
      </c>
      <c r="AD706" s="7" t="s">
        <v>5044</v>
      </c>
      <c r="AE706" s="7" t="s">
        <v>5044</v>
      </c>
      <c r="AF706" s="7" t="s">
        <v>5044</v>
      </c>
      <c r="AG706" s="7" t="s">
        <v>5044</v>
      </c>
      <c r="AH706" s="7" t="s">
        <v>5044</v>
      </c>
      <c r="AI706" s="7" t="s">
        <v>5044</v>
      </c>
      <c r="AJ706" s="7" t="s">
        <v>5044</v>
      </c>
      <c r="AL706" s="7" t="s">
        <v>5044</v>
      </c>
      <c r="AM706" s="7">
        <v>0</v>
      </c>
    </row>
    <row r="707" spans="1:40" ht="63" customHeight="1" x14ac:dyDescent="0.2">
      <c r="A707" s="7">
        <v>7197</v>
      </c>
      <c r="B707" s="7" t="s">
        <v>2370</v>
      </c>
      <c r="C707" s="7" t="s">
        <v>2371</v>
      </c>
      <c r="D707" s="7" t="s">
        <v>41</v>
      </c>
      <c r="F707" s="7" t="s">
        <v>65</v>
      </c>
      <c r="G707" s="7" t="s">
        <v>52</v>
      </c>
      <c r="H707" s="7" t="s">
        <v>53</v>
      </c>
      <c r="I707" s="7" t="s">
        <v>13</v>
      </c>
      <c r="J707" s="7" t="s">
        <v>2372</v>
      </c>
      <c r="K707" s="7" t="s">
        <v>2373</v>
      </c>
      <c r="L707" s="15" t="s">
        <v>6115</v>
      </c>
      <c r="M707" s="7">
        <v>1</v>
      </c>
      <c r="N707" s="7">
        <v>0</v>
      </c>
      <c r="O707" s="9" t="s">
        <v>5044</v>
      </c>
      <c r="P707" s="7">
        <v>0</v>
      </c>
      <c r="Q707" s="7">
        <v>0</v>
      </c>
      <c r="R707" s="7">
        <v>0</v>
      </c>
      <c r="S707" s="7">
        <v>1</v>
      </c>
      <c r="T707" s="7">
        <v>1</v>
      </c>
      <c r="U707" s="7">
        <v>80</v>
      </c>
      <c r="V707" s="7">
        <v>1</v>
      </c>
      <c r="W707" s="7">
        <v>0</v>
      </c>
      <c r="X707" s="7">
        <v>0</v>
      </c>
      <c r="Y707" s="7">
        <v>1</v>
      </c>
      <c r="Z707" s="7">
        <v>0</v>
      </c>
      <c r="AA707" s="7">
        <v>0</v>
      </c>
      <c r="AB707" s="7">
        <v>1</v>
      </c>
      <c r="AC707" s="7" t="s">
        <v>5044</v>
      </c>
      <c r="AD707" s="7" t="s">
        <v>5044</v>
      </c>
      <c r="AE707" s="7" t="s">
        <v>5044</v>
      </c>
      <c r="AF707" s="7" t="s">
        <v>5044</v>
      </c>
      <c r="AG707" s="7" t="s">
        <v>5044</v>
      </c>
      <c r="AH707" s="7" t="s">
        <v>5044</v>
      </c>
      <c r="AI707" s="7" t="s">
        <v>5044</v>
      </c>
      <c r="AJ707" s="7" t="s">
        <v>5044</v>
      </c>
      <c r="AL707" s="7" t="s">
        <v>5044</v>
      </c>
      <c r="AM707" s="7">
        <v>0</v>
      </c>
    </row>
    <row r="708" spans="1:40" ht="63" customHeight="1" x14ac:dyDescent="0.2">
      <c r="A708" s="7">
        <v>7198</v>
      </c>
      <c r="B708" s="7" t="s">
        <v>2374</v>
      </c>
      <c r="C708" s="7" t="s">
        <v>2375</v>
      </c>
      <c r="D708" s="7" t="s">
        <v>74</v>
      </c>
      <c r="F708" s="7" t="s">
        <v>254</v>
      </c>
      <c r="G708" s="7" t="s">
        <v>52</v>
      </c>
      <c r="H708" s="7" t="s">
        <v>53</v>
      </c>
      <c r="I708" s="7" t="s">
        <v>13</v>
      </c>
      <c r="J708" s="7" t="s">
        <v>2376</v>
      </c>
      <c r="K708" s="7" t="s">
        <v>2377</v>
      </c>
      <c r="L708" s="8" t="s">
        <v>6116</v>
      </c>
      <c r="M708" s="7">
        <v>1</v>
      </c>
      <c r="N708" s="7">
        <v>0</v>
      </c>
      <c r="O708" s="9" t="s">
        <v>5044</v>
      </c>
      <c r="P708" s="7">
        <v>0</v>
      </c>
      <c r="Q708" s="7">
        <v>0</v>
      </c>
      <c r="R708" s="7">
        <v>0</v>
      </c>
      <c r="S708" s="7">
        <v>1</v>
      </c>
      <c r="T708" s="7">
        <v>1</v>
      </c>
      <c r="U708" s="7">
        <v>152</v>
      </c>
      <c r="V708" s="7">
        <v>1</v>
      </c>
      <c r="W708" s="7">
        <v>0</v>
      </c>
      <c r="X708" s="7">
        <v>0</v>
      </c>
      <c r="Y708" s="7">
        <v>1</v>
      </c>
      <c r="Z708" s="7">
        <v>0</v>
      </c>
      <c r="AA708" s="7">
        <v>0</v>
      </c>
      <c r="AB708" s="7">
        <v>1</v>
      </c>
      <c r="AC708" s="7" t="s">
        <v>5044</v>
      </c>
      <c r="AD708" s="7" t="s">
        <v>5044</v>
      </c>
      <c r="AE708" s="7" t="s">
        <v>5044</v>
      </c>
      <c r="AF708" s="7" t="s">
        <v>5044</v>
      </c>
      <c r="AG708" s="7" t="s">
        <v>5044</v>
      </c>
      <c r="AH708" s="7" t="s">
        <v>5044</v>
      </c>
      <c r="AI708" s="7" t="s">
        <v>5044</v>
      </c>
      <c r="AJ708" s="7" t="s">
        <v>5044</v>
      </c>
      <c r="AL708" s="7" t="s">
        <v>5044</v>
      </c>
      <c r="AM708" s="7">
        <v>0</v>
      </c>
    </row>
    <row r="709" spans="1:40" ht="63" customHeight="1" x14ac:dyDescent="0.2">
      <c r="A709" s="7">
        <v>7207</v>
      </c>
      <c r="B709" s="7" t="s">
        <v>2378</v>
      </c>
      <c r="C709" s="7" t="s">
        <v>2379</v>
      </c>
      <c r="D709" s="7" t="s">
        <v>149</v>
      </c>
      <c r="F709" s="7" t="s">
        <v>194</v>
      </c>
      <c r="G709" s="7" t="s">
        <v>175</v>
      </c>
      <c r="H709" s="7" t="s">
        <v>1321</v>
      </c>
      <c r="I709" s="7" t="s">
        <v>13</v>
      </c>
      <c r="J709" s="7" t="s">
        <v>2380</v>
      </c>
      <c r="K709" s="7" t="s">
        <v>2381</v>
      </c>
      <c r="L709" s="6" t="s">
        <v>6117</v>
      </c>
      <c r="M709" s="7">
        <v>0</v>
      </c>
      <c r="N709" s="9" t="s">
        <v>5044</v>
      </c>
      <c r="O709" s="9" t="s">
        <v>5044</v>
      </c>
      <c r="P709" s="7">
        <v>0</v>
      </c>
      <c r="Q709" s="7">
        <v>0</v>
      </c>
      <c r="R709" s="7">
        <v>0</v>
      </c>
      <c r="S709" s="7">
        <v>1</v>
      </c>
      <c r="T709" s="7">
        <v>1</v>
      </c>
      <c r="U709" s="7">
        <v>181</v>
      </c>
      <c r="V709" s="7">
        <v>0</v>
      </c>
      <c r="W709" s="7">
        <v>1</v>
      </c>
      <c r="X709" s="7">
        <v>0</v>
      </c>
      <c r="Y709" s="7">
        <v>0</v>
      </c>
      <c r="Z709" s="7">
        <v>1</v>
      </c>
      <c r="AA709" s="7">
        <v>0</v>
      </c>
      <c r="AB709" s="7">
        <v>1</v>
      </c>
      <c r="AC709" s="7">
        <v>1</v>
      </c>
      <c r="AD709" s="7" t="s">
        <v>5044</v>
      </c>
      <c r="AE709" s="7" t="s">
        <v>5044</v>
      </c>
      <c r="AF709" s="7" t="s">
        <v>5044</v>
      </c>
      <c r="AG709" s="7">
        <v>1</v>
      </c>
      <c r="AH709" s="7">
        <v>0</v>
      </c>
      <c r="AI709" s="7">
        <v>0</v>
      </c>
      <c r="AJ709" s="7">
        <v>0</v>
      </c>
      <c r="AL709" s="7" t="s">
        <v>5044</v>
      </c>
      <c r="AM709" s="7">
        <v>0</v>
      </c>
      <c r="AN709" s="7" t="s">
        <v>6118</v>
      </c>
    </row>
    <row r="710" spans="1:40" ht="63" customHeight="1" x14ac:dyDescent="0.2">
      <c r="A710" s="7">
        <v>7210</v>
      </c>
      <c r="B710" s="7" t="s">
        <v>2382</v>
      </c>
      <c r="C710" s="7" t="s">
        <v>2383</v>
      </c>
      <c r="D710" s="7" t="s">
        <v>22</v>
      </c>
      <c r="F710" s="7" t="s">
        <v>129</v>
      </c>
      <c r="G710" s="7" t="s">
        <v>18</v>
      </c>
      <c r="H710" s="7" t="s">
        <v>692</v>
      </c>
      <c r="I710" s="7" t="s">
        <v>13</v>
      </c>
      <c r="J710" s="7" t="s">
        <v>2384</v>
      </c>
      <c r="K710" s="7" t="s">
        <v>2385</v>
      </c>
      <c r="L710" s="8" t="s">
        <v>6119</v>
      </c>
      <c r="M710" s="7">
        <v>1</v>
      </c>
      <c r="N710" s="7">
        <v>0</v>
      </c>
      <c r="O710" s="9" t="s">
        <v>5044</v>
      </c>
      <c r="P710" s="7">
        <v>0</v>
      </c>
      <c r="Q710" s="7">
        <v>0</v>
      </c>
      <c r="R710" s="7">
        <v>0</v>
      </c>
      <c r="S710" s="7">
        <v>1</v>
      </c>
      <c r="T710" s="7">
        <v>1</v>
      </c>
      <c r="U710" s="7">
        <v>46</v>
      </c>
      <c r="V710" s="7">
        <v>1</v>
      </c>
      <c r="W710" s="7">
        <v>0</v>
      </c>
      <c r="X710" s="7">
        <v>0</v>
      </c>
      <c r="Y710" s="7">
        <v>0</v>
      </c>
      <c r="Z710" s="7">
        <v>0</v>
      </c>
      <c r="AA710" s="7">
        <v>0</v>
      </c>
      <c r="AB710" s="7">
        <v>1</v>
      </c>
      <c r="AC710" s="7" t="s">
        <v>5044</v>
      </c>
      <c r="AD710" s="7" t="s">
        <v>5044</v>
      </c>
      <c r="AE710" s="7" t="s">
        <v>5044</v>
      </c>
      <c r="AF710" s="7" t="s">
        <v>5044</v>
      </c>
      <c r="AG710" s="7" t="s">
        <v>5044</v>
      </c>
      <c r="AH710" s="7" t="s">
        <v>5044</v>
      </c>
      <c r="AI710" s="7" t="s">
        <v>5044</v>
      </c>
      <c r="AJ710" s="7" t="s">
        <v>5044</v>
      </c>
      <c r="AL710" s="7" t="s">
        <v>5044</v>
      </c>
      <c r="AM710" s="7">
        <v>0</v>
      </c>
    </row>
    <row r="711" spans="1:40" ht="63" customHeight="1" x14ac:dyDescent="0.2">
      <c r="A711" s="7">
        <v>7211</v>
      </c>
      <c r="B711" s="7" t="s">
        <v>2386</v>
      </c>
      <c r="C711" s="7" t="s">
        <v>2387</v>
      </c>
      <c r="D711" s="7" t="s">
        <v>16</v>
      </c>
      <c r="F711" s="7" t="s">
        <v>675</v>
      </c>
      <c r="H711" s="7" t="s">
        <v>1940</v>
      </c>
      <c r="I711" s="7" t="s">
        <v>13</v>
      </c>
      <c r="J711" s="7" t="s">
        <v>2388</v>
      </c>
      <c r="K711" s="7" t="s">
        <v>2389</v>
      </c>
      <c r="L711" s="8" t="s">
        <v>6120</v>
      </c>
      <c r="M711" s="7">
        <v>0</v>
      </c>
      <c r="N711" s="9" t="s">
        <v>5044</v>
      </c>
      <c r="O711" s="9" t="s">
        <v>5044</v>
      </c>
      <c r="P711" s="7">
        <v>0</v>
      </c>
      <c r="Q711" s="7">
        <v>0</v>
      </c>
      <c r="R711" s="7">
        <v>0</v>
      </c>
      <c r="S711" s="7">
        <v>1</v>
      </c>
      <c r="T711" s="7">
        <v>1</v>
      </c>
      <c r="U711" s="7">
        <v>299</v>
      </c>
      <c r="V711" s="7">
        <v>1</v>
      </c>
      <c r="W711" s="7">
        <v>0</v>
      </c>
      <c r="X711" s="7">
        <v>0</v>
      </c>
      <c r="Y711" s="7">
        <v>0</v>
      </c>
      <c r="Z711" s="7">
        <v>0</v>
      </c>
      <c r="AA711" s="7">
        <v>0</v>
      </c>
      <c r="AB711" s="7">
        <v>1</v>
      </c>
      <c r="AC711" s="7">
        <v>1</v>
      </c>
      <c r="AD711" s="7">
        <v>2</v>
      </c>
      <c r="AE711" s="7">
        <v>3</v>
      </c>
      <c r="AF711" s="7">
        <v>0</v>
      </c>
      <c r="AG711" s="7" t="s">
        <v>5044</v>
      </c>
      <c r="AH711" s="7" t="s">
        <v>5044</v>
      </c>
      <c r="AI711" s="7" t="s">
        <v>5044</v>
      </c>
      <c r="AJ711" s="7" t="s">
        <v>5044</v>
      </c>
      <c r="AK711" s="7">
        <v>1</v>
      </c>
      <c r="AL711" s="7">
        <v>0</v>
      </c>
      <c r="AM711" s="7">
        <v>0</v>
      </c>
    </row>
    <row r="712" spans="1:40" ht="63" customHeight="1" x14ac:dyDescent="0.2">
      <c r="A712" s="7">
        <v>7220</v>
      </c>
      <c r="B712" s="7" t="s">
        <v>2390</v>
      </c>
      <c r="C712" s="7" t="s">
        <v>2391</v>
      </c>
      <c r="D712" s="7" t="s">
        <v>101</v>
      </c>
      <c r="F712" s="7" t="s">
        <v>1031</v>
      </c>
      <c r="G712" s="7" t="s">
        <v>11</v>
      </c>
      <c r="H712" s="7" t="s">
        <v>596</v>
      </c>
      <c r="I712" s="7" t="s">
        <v>13</v>
      </c>
      <c r="J712" s="7" t="s">
        <v>2392</v>
      </c>
      <c r="K712" s="7" t="s">
        <v>2393</v>
      </c>
      <c r="L712" s="8" t="s">
        <v>6121</v>
      </c>
      <c r="M712" s="7">
        <v>0</v>
      </c>
      <c r="N712" s="9" t="s">
        <v>5044</v>
      </c>
      <c r="O712" s="9" t="s">
        <v>5044</v>
      </c>
      <c r="P712" s="7">
        <v>0</v>
      </c>
      <c r="Q712" s="7">
        <v>0</v>
      </c>
      <c r="R712" s="7">
        <v>0</v>
      </c>
      <c r="S712" s="7">
        <v>1</v>
      </c>
      <c r="T712" s="7">
        <v>1</v>
      </c>
      <c r="U712" s="7">
        <v>193</v>
      </c>
      <c r="V712" s="7">
        <v>0</v>
      </c>
      <c r="W712" s="7">
        <v>1</v>
      </c>
      <c r="X712" s="7">
        <v>0</v>
      </c>
      <c r="Y712" s="7">
        <v>0</v>
      </c>
      <c r="Z712" s="7">
        <v>0</v>
      </c>
      <c r="AA712" s="7">
        <v>0</v>
      </c>
      <c r="AB712" s="7">
        <v>1</v>
      </c>
      <c r="AC712" s="7">
        <v>1</v>
      </c>
      <c r="AD712" s="7" t="s">
        <v>5044</v>
      </c>
      <c r="AE712" s="7" t="s">
        <v>5044</v>
      </c>
      <c r="AF712" s="7" t="s">
        <v>5044</v>
      </c>
      <c r="AG712" s="7">
        <v>2</v>
      </c>
      <c r="AH712" s="7">
        <v>3</v>
      </c>
      <c r="AI712" s="7">
        <v>0</v>
      </c>
      <c r="AJ712" s="7" t="s">
        <v>5044</v>
      </c>
      <c r="AK712" s="7">
        <v>1</v>
      </c>
      <c r="AL712" s="7">
        <v>1</v>
      </c>
      <c r="AM712" s="7">
        <v>0</v>
      </c>
    </row>
    <row r="713" spans="1:40" ht="63" customHeight="1" x14ac:dyDescent="0.2">
      <c r="A713" s="7">
        <v>7222</v>
      </c>
      <c r="B713" s="7" t="s">
        <v>2394</v>
      </c>
      <c r="C713" s="7" t="s">
        <v>2395</v>
      </c>
      <c r="D713" s="7" t="s">
        <v>95</v>
      </c>
      <c r="F713" s="7" t="s">
        <v>260</v>
      </c>
      <c r="G713" s="7" t="s">
        <v>18</v>
      </c>
      <c r="H713" s="7" t="s">
        <v>38</v>
      </c>
      <c r="I713" s="7" t="s">
        <v>13</v>
      </c>
      <c r="J713" s="7" t="s">
        <v>2396</v>
      </c>
      <c r="K713" s="7" t="s">
        <v>2397</v>
      </c>
      <c r="L713" s="6" t="s">
        <v>6122</v>
      </c>
      <c r="M713" s="7">
        <v>0</v>
      </c>
      <c r="N713" s="9" t="s">
        <v>5044</v>
      </c>
      <c r="O713" s="9" t="s">
        <v>5044</v>
      </c>
      <c r="P713" s="7">
        <v>0</v>
      </c>
      <c r="Q713" s="7">
        <v>0</v>
      </c>
      <c r="R713" s="7">
        <v>0</v>
      </c>
      <c r="S713" s="7">
        <v>1</v>
      </c>
      <c r="T713" s="7">
        <v>1</v>
      </c>
      <c r="U713" s="7">
        <v>120</v>
      </c>
      <c r="V713" s="7">
        <v>0</v>
      </c>
      <c r="W713" s="7">
        <v>1</v>
      </c>
      <c r="X713" s="7">
        <v>0</v>
      </c>
      <c r="Y713" s="7">
        <v>0</v>
      </c>
      <c r="Z713" s="7">
        <v>0</v>
      </c>
      <c r="AA713" s="7">
        <v>0</v>
      </c>
      <c r="AB713" s="7">
        <v>1</v>
      </c>
      <c r="AC713" s="7">
        <v>1</v>
      </c>
      <c r="AD713" s="7" t="s">
        <v>5044</v>
      </c>
      <c r="AE713" s="7" t="s">
        <v>5044</v>
      </c>
      <c r="AF713" s="7" t="s">
        <v>5044</v>
      </c>
      <c r="AG713" s="7">
        <v>2</v>
      </c>
      <c r="AH713" s="7">
        <v>3</v>
      </c>
      <c r="AI713" s="7">
        <v>0</v>
      </c>
      <c r="AJ713" s="7" t="s">
        <v>5044</v>
      </c>
      <c r="AK713" s="7">
        <v>1</v>
      </c>
      <c r="AL713" s="7">
        <v>0</v>
      </c>
      <c r="AM713" s="7">
        <v>0</v>
      </c>
    </row>
    <row r="714" spans="1:40" ht="63" customHeight="1" x14ac:dyDescent="0.2">
      <c r="A714" s="7">
        <v>7223</v>
      </c>
      <c r="B714" s="7" t="s">
        <v>2398</v>
      </c>
      <c r="C714" s="7" t="s">
        <v>2399</v>
      </c>
      <c r="D714" s="7" t="s">
        <v>22</v>
      </c>
      <c r="F714" s="7" t="s">
        <v>1015</v>
      </c>
      <c r="G714" s="7" t="s">
        <v>11</v>
      </c>
      <c r="H714" s="7" t="s">
        <v>202</v>
      </c>
      <c r="I714" s="7" t="s">
        <v>13</v>
      </c>
      <c r="J714" s="7" t="s">
        <v>2400</v>
      </c>
      <c r="K714" s="7" t="s">
        <v>2401</v>
      </c>
      <c r="L714" s="6" t="s">
        <v>6123</v>
      </c>
      <c r="M714" s="7">
        <v>0</v>
      </c>
      <c r="N714" s="9" t="s">
        <v>5044</v>
      </c>
      <c r="O714" s="9" t="s">
        <v>5044</v>
      </c>
      <c r="P714" s="7">
        <v>0</v>
      </c>
      <c r="Q714" s="7">
        <v>0</v>
      </c>
      <c r="R714" s="7">
        <v>0</v>
      </c>
      <c r="S714" s="7">
        <v>1</v>
      </c>
      <c r="T714" s="7">
        <v>1</v>
      </c>
      <c r="U714" s="7">
        <v>78</v>
      </c>
      <c r="V714" s="7">
        <v>0</v>
      </c>
      <c r="W714" s="7">
        <v>1</v>
      </c>
      <c r="X714" s="7">
        <v>0</v>
      </c>
      <c r="Y714" s="7">
        <v>0</v>
      </c>
      <c r="Z714" s="7">
        <v>0</v>
      </c>
      <c r="AA714" s="7">
        <v>0</v>
      </c>
      <c r="AB714" s="7">
        <v>1</v>
      </c>
      <c r="AC714" s="7">
        <v>1</v>
      </c>
      <c r="AD714" s="7" t="s">
        <v>5044</v>
      </c>
      <c r="AE714" s="7" t="s">
        <v>5044</v>
      </c>
      <c r="AF714" s="7" t="s">
        <v>5044</v>
      </c>
      <c r="AG714" s="7">
        <v>2</v>
      </c>
      <c r="AH714" s="7">
        <v>3</v>
      </c>
      <c r="AI714" s="7">
        <v>0</v>
      </c>
      <c r="AJ714" s="7" t="s">
        <v>5044</v>
      </c>
      <c r="AK714" s="7">
        <v>1</v>
      </c>
      <c r="AL714" s="7">
        <v>0</v>
      </c>
      <c r="AM714" s="7">
        <v>0</v>
      </c>
    </row>
    <row r="715" spans="1:40" ht="63" customHeight="1" x14ac:dyDescent="0.2">
      <c r="A715" s="7">
        <v>7232</v>
      </c>
      <c r="B715" s="7" t="s">
        <v>2402</v>
      </c>
      <c r="C715" s="7" t="s">
        <v>2403</v>
      </c>
      <c r="D715" s="7" t="s">
        <v>30</v>
      </c>
      <c r="F715" s="7" t="s">
        <v>31</v>
      </c>
      <c r="G715" s="7" t="s">
        <v>48</v>
      </c>
      <c r="H715" s="7" t="s">
        <v>290</v>
      </c>
      <c r="I715" s="7" t="s">
        <v>13</v>
      </c>
      <c r="J715" s="7" t="s">
        <v>2404</v>
      </c>
      <c r="K715" s="7" t="s">
        <v>2405</v>
      </c>
      <c r="L715" s="6" t="s">
        <v>6124</v>
      </c>
      <c r="M715" s="7">
        <v>0</v>
      </c>
      <c r="N715" s="9" t="s">
        <v>5044</v>
      </c>
      <c r="O715" s="9" t="s">
        <v>5044</v>
      </c>
      <c r="P715" s="7">
        <v>0</v>
      </c>
      <c r="Q715" s="7">
        <v>0</v>
      </c>
      <c r="R715" s="7">
        <v>0</v>
      </c>
      <c r="S715" s="7">
        <v>1</v>
      </c>
      <c r="T715" s="7">
        <v>3</v>
      </c>
      <c r="U715" s="7">
        <v>336</v>
      </c>
      <c r="V715" s="7">
        <v>1</v>
      </c>
      <c r="W715" s="7">
        <v>0</v>
      </c>
      <c r="X715" s="7">
        <v>0</v>
      </c>
      <c r="Y715" s="7">
        <v>0</v>
      </c>
      <c r="Z715" s="7">
        <v>0</v>
      </c>
      <c r="AA715" s="7">
        <v>0</v>
      </c>
      <c r="AB715" s="7">
        <v>1</v>
      </c>
      <c r="AC715" s="7">
        <v>1</v>
      </c>
      <c r="AD715" s="7">
        <v>1</v>
      </c>
      <c r="AE715" s="7">
        <v>0</v>
      </c>
      <c r="AF715" s="7">
        <v>0</v>
      </c>
      <c r="AG715" s="7" t="s">
        <v>5044</v>
      </c>
      <c r="AH715" s="7" t="s">
        <v>5044</v>
      </c>
      <c r="AI715" s="7" t="s">
        <v>5044</v>
      </c>
      <c r="AJ715" s="7" t="s">
        <v>5044</v>
      </c>
      <c r="AL715" s="7">
        <v>0</v>
      </c>
      <c r="AM715" s="7">
        <v>0</v>
      </c>
    </row>
    <row r="716" spans="1:40" ht="63" customHeight="1" x14ac:dyDescent="0.2">
      <c r="A716" s="7">
        <v>7233</v>
      </c>
      <c r="B716" s="7" t="s">
        <v>2406</v>
      </c>
      <c r="C716" s="7" t="s">
        <v>2407</v>
      </c>
      <c r="D716" s="7" t="s">
        <v>22</v>
      </c>
      <c r="F716" s="7" t="s">
        <v>220</v>
      </c>
      <c r="G716" s="7" t="s">
        <v>52</v>
      </c>
      <c r="H716" s="7" t="s">
        <v>53</v>
      </c>
      <c r="I716" s="7" t="s">
        <v>13</v>
      </c>
      <c r="J716" s="7" t="s">
        <v>2408</v>
      </c>
      <c r="K716" s="7" t="s">
        <v>2409</v>
      </c>
      <c r="L716" s="8" t="s">
        <v>6011</v>
      </c>
      <c r="M716" s="7">
        <v>0</v>
      </c>
      <c r="N716" s="9" t="s">
        <v>5044</v>
      </c>
      <c r="O716" s="9" t="s">
        <v>5044</v>
      </c>
      <c r="P716" s="7">
        <v>0</v>
      </c>
      <c r="Q716" s="7">
        <v>0</v>
      </c>
      <c r="R716" s="7">
        <v>0</v>
      </c>
      <c r="S716" s="7">
        <v>1</v>
      </c>
      <c r="T716" s="7">
        <v>1</v>
      </c>
      <c r="U716" s="7">
        <v>248</v>
      </c>
      <c r="V716" s="7">
        <v>0</v>
      </c>
      <c r="W716" s="7">
        <v>1</v>
      </c>
      <c r="X716" s="7">
        <v>0</v>
      </c>
      <c r="Y716" s="7">
        <v>0</v>
      </c>
      <c r="Z716" s="7">
        <v>0</v>
      </c>
      <c r="AA716" s="7">
        <v>0</v>
      </c>
      <c r="AB716" s="7">
        <v>1</v>
      </c>
      <c r="AC716" s="7">
        <v>1</v>
      </c>
      <c r="AD716" s="7" t="s">
        <v>5044</v>
      </c>
      <c r="AE716" s="7" t="s">
        <v>5044</v>
      </c>
      <c r="AF716" s="7" t="s">
        <v>5044</v>
      </c>
      <c r="AG716" s="7">
        <v>2</v>
      </c>
      <c r="AH716" s="7">
        <v>1</v>
      </c>
      <c r="AI716" s="7">
        <v>4</v>
      </c>
      <c r="AJ716" s="7" t="s">
        <v>5044</v>
      </c>
      <c r="AL716" s="7">
        <v>0</v>
      </c>
      <c r="AM716" s="7">
        <v>0</v>
      </c>
    </row>
    <row r="717" spans="1:40" ht="63" customHeight="1" x14ac:dyDescent="0.2">
      <c r="A717" s="7">
        <v>7234</v>
      </c>
      <c r="B717" s="7" t="s">
        <v>2410</v>
      </c>
      <c r="C717" s="7" t="s">
        <v>2411</v>
      </c>
      <c r="D717" s="7" t="s">
        <v>46</v>
      </c>
      <c r="F717" s="7" t="s">
        <v>47</v>
      </c>
      <c r="G717" s="7" t="s">
        <v>144</v>
      </c>
      <c r="H717" s="7" t="s">
        <v>19</v>
      </c>
      <c r="I717" s="7" t="s">
        <v>13</v>
      </c>
      <c r="J717" s="7" t="s">
        <v>2412</v>
      </c>
      <c r="K717" s="7" t="s">
        <v>2413</v>
      </c>
      <c r="L717" s="6" t="s">
        <v>6125</v>
      </c>
      <c r="M717" s="7">
        <v>0</v>
      </c>
      <c r="N717" s="9" t="s">
        <v>5044</v>
      </c>
      <c r="O717" s="9" t="s">
        <v>5044</v>
      </c>
      <c r="P717" s="7">
        <v>0</v>
      </c>
      <c r="Q717" s="7">
        <v>0</v>
      </c>
      <c r="R717" s="7">
        <v>0</v>
      </c>
      <c r="S717" s="7">
        <v>9</v>
      </c>
      <c r="T717" s="7">
        <v>1</v>
      </c>
      <c r="U717" s="7">
        <v>80</v>
      </c>
      <c r="V717" s="7">
        <v>0</v>
      </c>
      <c r="W717" s="7">
        <v>1</v>
      </c>
      <c r="X717" s="7">
        <v>0</v>
      </c>
      <c r="Y717" s="7">
        <v>0</v>
      </c>
      <c r="Z717" s="7">
        <v>0</v>
      </c>
      <c r="AA717" s="7">
        <v>0</v>
      </c>
      <c r="AB717" s="7">
        <v>1</v>
      </c>
      <c r="AC717" s="7">
        <v>1</v>
      </c>
      <c r="AD717" s="7" t="s">
        <v>5044</v>
      </c>
      <c r="AE717" s="7" t="s">
        <v>5044</v>
      </c>
      <c r="AF717" s="7" t="s">
        <v>5044</v>
      </c>
      <c r="AG717" s="7">
        <v>2</v>
      </c>
      <c r="AH717" s="7">
        <v>3</v>
      </c>
      <c r="AI717" s="7">
        <v>0</v>
      </c>
      <c r="AJ717" s="7" t="s">
        <v>5044</v>
      </c>
      <c r="AK717" s="7">
        <v>1</v>
      </c>
      <c r="AL717" s="7">
        <v>1</v>
      </c>
      <c r="AM717" s="7">
        <v>0</v>
      </c>
    </row>
    <row r="718" spans="1:40" ht="63" customHeight="1" x14ac:dyDescent="0.2">
      <c r="A718" s="7">
        <v>7253</v>
      </c>
      <c r="B718" s="7" t="s">
        <v>2414</v>
      </c>
      <c r="C718" s="7" t="s">
        <v>2415</v>
      </c>
      <c r="D718" s="7" t="s">
        <v>41</v>
      </c>
      <c r="F718" s="7" t="s">
        <v>587</v>
      </c>
      <c r="G718" s="7" t="s">
        <v>37</v>
      </c>
      <c r="H718" s="7" t="s">
        <v>115</v>
      </c>
      <c r="I718" s="7" t="s">
        <v>13</v>
      </c>
      <c r="J718" s="7" t="s">
        <v>2416</v>
      </c>
      <c r="K718" s="7" t="s">
        <v>2417</v>
      </c>
      <c r="L718" s="8" t="s">
        <v>6126</v>
      </c>
      <c r="M718" s="7">
        <v>0</v>
      </c>
      <c r="N718" s="9" t="s">
        <v>5044</v>
      </c>
      <c r="O718" s="9" t="s">
        <v>5044</v>
      </c>
      <c r="P718" s="7">
        <v>0</v>
      </c>
      <c r="Q718" s="7">
        <v>0</v>
      </c>
      <c r="R718" s="7">
        <v>0</v>
      </c>
      <c r="S718" s="7">
        <v>1</v>
      </c>
      <c r="T718" s="7">
        <v>4</v>
      </c>
      <c r="U718" s="7">
        <v>87</v>
      </c>
      <c r="V718" s="7">
        <v>0</v>
      </c>
      <c r="W718" s="7">
        <v>1</v>
      </c>
      <c r="X718" s="7">
        <v>0</v>
      </c>
      <c r="Y718" s="7">
        <v>0</v>
      </c>
      <c r="Z718" s="7">
        <v>0</v>
      </c>
      <c r="AA718" s="7">
        <v>0</v>
      </c>
      <c r="AB718" s="7">
        <v>1</v>
      </c>
      <c r="AC718" s="7">
        <v>0</v>
      </c>
      <c r="AD718" s="7" t="s">
        <v>5044</v>
      </c>
      <c r="AE718" s="7" t="s">
        <v>5044</v>
      </c>
      <c r="AF718" s="7" t="s">
        <v>5044</v>
      </c>
      <c r="AG718" s="7">
        <v>0</v>
      </c>
      <c r="AH718" s="7" t="s">
        <v>5044</v>
      </c>
      <c r="AI718" s="7" t="s">
        <v>5044</v>
      </c>
      <c r="AJ718" s="7" t="s">
        <v>5044</v>
      </c>
      <c r="AL718" s="7" t="s">
        <v>5044</v>
      </c>
      <c r="AM718" s="7">
        <v>0</v>
      </c>
      <c r="AN718" s="7" t="s">
        <v>5105</v>
      </c>
    </row>
    <row r="719" spans="1:40" ht="63" customHeight="1" x14ac:dyDescent="0.2">
      <c r="A719" s="7">
        <v>7264</v>
      </c>
      <c r="B719" s="23" t="s">
        <v>2418</v>
      </c>
      <c r="C719" s="7" t="s">
        <v>2419</v>
      </c>
      <c r="D719" s="7" t="s">
        <v>74</v>
      </c>
      <c r="E719" s="7" t="s">
        <v>305</v>
      </c>
      <c r="F719" s="7" t="s">
        <v>147</v>
      </c>
      <c r="G719" s="7" t="s">
        <v>52</v>
      </c>
      <c r="H719" s="7" t="s">
        <v>300</v>
      </c>
      <c r="I719" s="7" t="s">
        <v>13</v>
      </c>
      <c r="J719" s="7" t="s">
        <v>2420</v>
      </c>
      <c r="K719" s="7" t="s">
        <v>2421</v>
      </c>
      <c r="L719" s="8" t="s">
        <v>6127</v>
      </c>
      <c r="M719" s="7">
        <v>1</v>
      </c>
      <c r="N719" s="9" t="s">
        <v>5044</v>
      </c>
      <c r="O719" s="9" t="s">
        <v>5044</v>
      </c>
      <c r="P719" s="7">
        <v>0</v>
      </c>
      <c r="Q719" s="7">
        <v>0</v>
      </c>
      <c r="R719" s="7">
        <v>0</v>
      </c>
      <c r="S719" s="7">
        <v>1</v>
      </c>
      <c r="T719" s="7">
        <v>4</v>
      </c>
      <c r="U719" s="7">
        <v>550</v>
      </c>
      <c r="V719" s="7">
        <v>0</v>
      </c>
      <c r="W719" s="7">
        <v>1</v>
      </c>
      <c r="X719" s="7">
        <v>0</v>
      </c>
      <c r="Y719" s="7">
        <v>0</v>
      </c>
      <c r="Z719" s="7">
        <v>0</v>
      </c>
      <c r="AA719" s="7">
        <v>0</v>
      </c>
      <c r="AB719" s="7">
        <v>1</v>
      </c>
      <c r="AC719" s="7" t="s">
        <v>5044</v>
      </c>
      <c r="AD719" s="7" t="s">
        <v>5044</v>
      </c>
      <c r="AE719" s="7" t="s">
        <v>5044</v>
      </c>
      <c r="AF719" s="7" t="s">
        <v>5044</v>
      </c>
      <c r="AG719" s="7" t="s">
        <v>5044</v>
      </c>
      <c r="AH719" s="7" t="s">
        <v>5044</v>
      </c>
      <c r="AI719" s="7" t="s">
        <v>5044</v>
      </c>
      <c r="AJ719" s="7" t="s">
        <v>5044</v>
      </c>
      <c r="AL719" s="7" t="s">
        <v>5044</v>
      </c>
      <c r="AM719" s="7">
        <v>0</v>
      </c>
    </row>
    <row r="720" spans="1:40" ht="63" customHeight="1" x14ac:dyDescent="0.2">
      <c r="A720" s="7">
        <v>7266</v>
      </c>
      <c r="B720" s="7" t="s">
        <v>2422</v>
      </c>
      <c r="C720" s="7" t="s">
        <v>2423</v>
      </c>
      <c r="D720" s="7" t="s">
        <v>74</v>
      </c>
      <c r="F720" s="7" t="s">
        <v>47</v>
      </c>
      <c r="G720" s="7" t="s">
        <v>52</v>
      </c>
      <c r="H720" s="7" t="s">
        <v>273</v>
      </c>
      <c r="I720" s="7" t="s">
        <v>13</v>
      </c>
      <c r="J720" s="7" t="s">
        <v>2424</v>
      </c>
      <c r="K720" s="7" t="s">
        <v>2425</v>
      </c>
      <c r="L720" s="6" t="s">
        <v>6128</v>
      </c>
      <c r="M720" s="7">
        <v>1</v>
      </c>
      <c r="N720" s="7">
        <v>0</v>
      </c>
      <c r="O720" s="9" t="s">
        <v>5044</v>
      </c>
      <c r="P720" s="7">
        <v>0</v>
      </c>
      <c r="Q720" s="7">
        <v>0</v>
      </c>
      <c r="R720" s="7">
        <v>0</v>
      </c>
      <c r="S720" s="7">
        <v>1</v>
      </c>
      <c r="T720" s="7">
        <v>1</v>
      </c>
      <c r="U720" s="7">
        <v>150</v>
      </c>
      <c r="V720" s="7">
        <v>0</v>
      </c>
      <c r="W720" s="7">
        <v>1</v>
      </c>
      <c r="X720" s="7">
        <v>0</v>
      </c>
      <c r="Y720" s="7">
        <v>0</v>
      </c>
      <c r="Z720" s="7">
        <v>0</v>
      </c>
      <c r="AA720" s="7">
        <v>0</v>
      </c>
      <c r="AB720" s="7">
        <v>1</v>
      </c>
      <c r="AC720" s="7" t="s">
        <v>5044</v>
      </c>
      <c r="AD720" s="7" t="s">
        <v>5044</v>
      </c>
      <c r="AE720" s="7" t="s">
        <v>5044</v>
      </c>
      <c r="AF720" s="7" t="s">
        <v>5044</v>
      </c>
      <c r="AG720" s="7" t="s">
        <v>5044</v>
      </c>
      <c r="AH720" s="7" t="s">
        <v>5044</v>
      </c>
      <c r="AI720" s="7" t="s">
        <v>5044</v>
      </c>
      <c r="AJ720" s="7" t="s">
        <v>5044</v>
      </c>
      <c r="AL720" s="7" t="s">
        <v>5044</v>
      </c>
      <c r="AM720" s="7">
        <v>0</v>
      </c>
    </row>
    <row r="721" spans="1:40" ht="63" customHeight="1" x14ac:dyDescent="0.2">
      <c r="A721" s="7">
        <v>7272</v>
      </c>
      <c r="B721" s="7" t="s">
        <v>2426</v>
      </c>
      <c r="C721" s="7" t="s">
        <v>2427</v>
      </c>
      <c r="D721" s="7" t="s">
        <v>30</v>
      </c>
      <c r="F721" s="7" t="s">
        <v>2428</v>
      </c>
      <c r="G721" s="7" t="s">
        <v>144</v>
      </c>
      <c r="H721" s="7" t="s">
        <v>490</v>
      </c>
      <c r="I721" s="7" t="s">
        <v>13</v>
      </c>
      <c r="J721" s="7" t="s">
        <v>2429</v>
      </c>
      <c r="K721" s="7" t="s">
        <v>2430</v>
      </c>
      <c r="L721" s="11" t="s">
        <v>5044</v>
      </c>
      <c r="M721" s="7">
        <v>0</v>
      </c>
      <c r="N721" s="9" t="s">
        <v>5044</v>
      </c>
      <c r="O721" s="9" t="s">
        <v>5044</v>
      </c>
      <c r="P721" s="7">
        <v>0</v>
      </c>
      <c r="Q721" s="7">
        <v>0</v>
      </c>
      <c r="R721" s="7">
        <v>0</v>
      </c>
      <c r="S721" s="7">
        <v>3</v>
      </c>
      <c r="T721" s="7">
        <v>1</v>
      </c>
      <c r="U721" s="7">
        <v>121</v>
      </c>
      <c r="V721" s="7">
        <v>0</v>
      </c>
      <c r="W721" s="7">
        <v>1</v>
      </c>
      <c r="X721" s="7">
        <v>0</v>
      </c>
      <c r="Y721" s="7">
        <v>0</v>
      </c>
      <c r="Z721" s="7">
        <v>0</v>
      </c>
      <c r="AA721" s="7">
        <v>0</v>
      </c>
      <c r="AB721" s="7">
        <v>1</v>
      </c>
      <c r="AC721" s="7">
        <v>1</v>
      </c>
      <c r="AD721" s="7" t="s">
        <v>5044</v>
      </c>
      <c r="AE721" s="7" t="s">
        <v>5044</v>
      </c>
      <c r="AF721" s="7" t="s">
        <v>5044</v>
      </c>
      <c r="AG721" s="7">
        <v>2</v>
      </c>
      <c r="AH721" s="7">
        <v>3</v>
      </c>
      <c r="AI721" s="7">
        <v>0</v>
      </c>
      <c r="AJ721" s="7" t="s">
        <v>5044</v>
      </c>
      <c r="AK721" s="7">
        <v>1</v>
      </c>
      <c r="AL721" s="7">
        <v>1</v>
      </c>
      <c r="AM721" s="7">
        <v>0</v>
      </c>
    </row>
    <row r="722" spans="1:40" ht="63" customHeight="1" x14ac:dyDescent="0.2">
      <c r="A722" s="7">
        <v>7281</v>
      </c>
      <c r="B722" s="7" t="s">
        <v>2431</v>
      </c>
      <c r="C722" s="7" t="s">
        <v>2432</v>
      </c>
      <c r="D722" s="7" t="s">
        <v>46</v>
      </c>
      <c r="F722" s="7" t="s">
        <v>65</v>
      </c>
      <c r="G722" s="7" t="s">
        <v>32</v>
      </c>
      <c r="H722" s="7" t="s">
        <v>442</v>
      </c>
      <c r="I722" s="7" t="s">
        <v>13</v>
      </c>
      <c r="J722" s="7" t="s">
        <v>2433</v>
      </c>
      <c r="K722" s="7" t="s">
        <v>2434</v>
      </c>
      <c r="L722" s="8">
        <v>22710</v>
      </c>
      <c r="M722" s="7">
        <v>0</v>
      </c>
      <c r="N722" s="9" t="s">
        <v>5044</v>
      </c>
      <c r="O722" s="9" t="s">
        <v>5044</v>
      </c>
      <c r="P722" s="7">
        <v>0</v>
      </c>
      <c r="Q722" s="7">
        <v>0</v>
      </c>
      <c r="R722" s="7">
        <v>0</v>
      </c>
      <c r="S722" s="7">
        <v>1</v>
      </c>
      <c r="T722" s="7">
        <v>4</v>
      </c>
      <c r="U722" s="7">
        <v>120</v>
      </c>
      <c r="V722" s="7">
        <v>0</v>
      </c>
      <c r="W722" s="7">
        <v>1</v>
      </c>
      <c r="X722" s="7">
        <v>0</v>
      </c>
      <c r="Y722" s="7">
        <v>0</v>
      </c>
      <c r="Z722" s="7">
        <v>0</v>
      </c>
      <c r="AA722" s="7">
        <v>0</v>
      </c>
      <c r="AB722" s="7">
        <v>1</v>
      </c>
      <c r="AC722" s="7">
        <v>1</v>
      </c>
      <c r="AD722" s="7" t="s">
        <v>5044</v>
      </c>
      <c r="AE722" s="7" t="s">
        <v>5044</v>
      </c>
      <c r="AF722" s="7" t="s">
        <v>5044</v>
      </c>
      <c r="AG722" s="7">
        <v>2</v>
      </c>
      <c r="AH722" s="7">
        <v>1</v>
      </c>
      <c r="AI722" s="7">
        <v>1</v>
      </c>
      <c r="AJ722" s="7" t="s">
        <v>5044</v>
      </c>
      <c r="AL722" s="7">
        <v>1</v>
      </c>
      <c r="AM722" s="7">
        <v>0</v>
      </c>
    </row>
    <row r="723" spans="1:40" ht="63" customHeight="1" x14ac:dyDescent="0.2">
      <c r="A723" s="7">
        <v>7298</v>
      </c>
      <c r="B723" s="7" t="s">
        <v>2435</v>
      </c>
      <c r="C723" s="7" t="s">
        <v>2436</v>
      </c>
      <c r="D723" s="7" t="s">
        <v>30</v>
      </c>
      <c r="F723" s="7" t="s">
        <v>58</v>
      </c>
      <c r="G723" s="7" t="s">
        <v>92</v>
      </c>
      <c r="H723" s="7" t="s">
        <v>160</v>
      </c>
      <c r="I723" s="7" t="s">
        <v>13</v>
      </c>
      <c r="J723" s="7" t="s">
        <v>2437</v>
      </c>
      <c r="K723" s="7" t="s">
        <v>2438</v>
      </c>
      <c r="L723" s="8" t="s">
        <v>6129</v>
      </c>
      <c r="M723" s="7">
        <v>0</v>
      </c>
      <c r="N723" s="9" t="s">
        <v>5044</v>
      </c>
      <c r="O723" s="9" t="s">
        <v>5044</v>
      </c>
      <c r="P723" s="7">
        <v>0</v>
      </c>
      <c r="Q723" s="7">
        <v>0</v>
      </c>
      <c r="R723" s="7">
        <v>0</v>
      </c>
      <c r="S723" s="7">
        <v>1</v>
      </c>
      <c r="T723" s="7">
        <v>4</v>
      </c>
      <c r="U723" s="7">
        <v>164</v>
      </c>
      <c r="V723" s="7">
        <v>0</v>
      </c>
      <c r="W723" s="7">
        <v>1</v>
      </c>
      <c r="X723" s="7">
        <v>0</v>
      </c>
      <c r="Y723" s="7">
        <v>0</v>
      </c>
      <c r="Z723" s="7">
        <v>0</v>
      </c>
      <c r="AA723" s="7">
        <v>0</v>
      </c>
      <c r="AB723" s="7">
        <v>1</v>
      </c>
      <c r="AC723" s="7">
        <v>1</v>
      </c>
      <c r="AD723" s="7" t="s">
        <v>5044</v>
      </c>
      <c r="AE723" s="7" t="s">
        <v>5044</v>
      </c>
      <c r="AF723" s="7" t="s">
        <v>5044</v>
      </c>
      <c r="AG723" s="7">
        <v>1</v>
      </c>
      <c r="AH723" s="7">
        <v>0</v>
      </c>
      <c r="AI723" s="7">
        <v>0</v>
      </c>
      <c r="AJ723" s="7" t="s">
        <v>5044</v>
      </c>
      <c r="AL723" s="7">
        <v>0</v>
      </c>
      <c r="AM723" s="7">
        <v>0</v>
      </c>
    </row>
    <row r="724" spans="1:40" ht="63" customHeight="1" x14ac:dyDescent="0.2">
      <c r="A724" s="7">
        <v>7304</v>
      </c>
      <c r="B724" s="7" t="s">
        <v>2439</v>
      </c>
      <c r="C724" s="7" t="s">
        <v>2440</v>
      </c>
      <c r="D724" s="7" t="s">
        <v>46</v>
      </c>
      <c r="F724" s="7" t="s">
        <v>47</v>
      </c>
      <c r="H724" s="7" t="s">
        <v>130</v>
      </c>
      <c r="I724" s="7" t="s">
        <v>13</v>
      </c>
      <c r="J724" s="7" t="s">
        <v>2441</v>
      </c>
      <c r="K724" s="7" t="s">
        <v>2442</v>
      </c>
      <c r="L724" s="11" t="s">
        <v>5044</v>
      </c>
      <c r="M724" s="7">
        <v>0</v>
      </c>
      <c r="N724" s="9" t="s">
        <v>5044</v>
      </c>
      <c r="O724" s="9" t="s">
        <v>5044</v>
      </c>
      <c r="P724" s="7">
        <v>0</v>
      </c>
      <c r="Q724" s="7">
        <v>0</v>
      </c>
      <c r="R724" s="7">
        <v>0</v>
      </c>
      <c r="S724" s="7">
        <v>1</v>
      </c>
      <c r="T724" s="7">
        <v>4</v>
      </c>
      <c r="U724" s="7">
        <v>97</v>
      </c>
      <c r="V724" s="7">
        <v>0</v>
      </c>
      <c r="W724" s="7">
        <v>1</v>
      </c>
      <c r="X724" s="7">
        <v>0</v>
      </c>
      <c r="Y724" s="7">
        <v>0</v>
      </c>
      <c r="Z724" s="7">
        <v>0</v>
      </c>
      <c r="AA724" s="7">
        <v>0</v>
      </c>
      <c r="AB724" s="7">
        <v>1</v>
      </c>
      <c r="AC724" s="7">
        <v>1</v>
      </c>
      <c r="AD724" s="7" t="s">
        <v>5044</v>
      </c>
      <c r="AE724" s="7" t="s">
        <v>5044</v>
      </c>
      <c r="AF724" s="7" t="s">
        <v>5044</v>
      </c>
      <c r="AG724" s="7">
        <v>1</v>
      </c>
      <c r="AH724" s="7">
        <v>0</v>
      </c>
      <c r="AI724" s="7">
        <v>0</v>
      </c>
      <c r="AJ724" s="7" t="s">
        <v>5044</v>
      </c>
      <c r="AL724" s="7">
        <v>0</v>
      </c>
      <c r="AM724" s="7">
        <v>0</v>
      </c>
    </row>
    <row r="725" spans="1:40" ht="63" customHeight="1" x14ac:dyDescent="0.2">
      <c r="A725" s="7">
        <v>7324</v>
      </c>
      <c r="B725" s="7" t="s">
        <v>2443</v>
      </c>
      <c r="C725" s="7" t="s">
        <v>2444</v>
      </c>
      <c r="D725" s="7" t="s">
        <v>22</v>
      </c>
      <c r="F725" s="7" t="s">
        <v>626</v>
      </c>
      <c r="G725" s="7" t="s">
        <v>32</v>
      </c>
      <c r="H725" s="7" t="s">
        <v>43</v>
      </c>
      <c r="I725" s="7" t="s">
        <v>437</v>
      </c>
      <c r="J725" s="7" t="s">
        <v>2445</v>
      </c>
      <c r="K725" s="7" t="s">
        <v>2446</v>
      </c>
      <c r="L725" s="8" t="s">
        <v>6130</v>
      </c>
      <c r="M725" s="7">
        <v>0</v>
      </c>
      <c r="N725" s="9" t="s">
        <v>5044</v>
      </c>
      <c r="O725" s="9" t="s">
        <v>5044</v>
      </c>
      <c r="P725" s="7">
        <v>0</v>
      </c>
      <c r="Q725" s="7">
        <v>0</v>
      </c>
      <c r="R725" s="7">
        <v>0</v>
      </c>
      <c r="S725" s="7">
        <v>1</v>
      </c>
      <c r="T725" s="7">
        <v>4</v>
      </c>
      <c r="U725" s="7">
        <v>163</v>
      </c>
      <c r="V725" s="7">
        <v>0</v>
      </c>
      <c r="W725" s="7">
        <v>1</v>
      </c>
      <c r="X725" s="7">
        <v>0</v>
      </c>
      <c r="Y725" s="7">
        <v>0</v>
      </c>
      <c r="Z725" s="7">
        <v>0</v>
      </c>
      <c r="AA725" s="7">
        <v>0</v>
      </c>
      <c r="AB725" s="7">
        <v>1</v>
      </c>
      <c r="AC725" s="7">
        <v>1</v>
      </c>
      <c r="AD725" s="7" t="s">
        <v>5044</v>
      </c>
      <c r="AE725" s="7" t="s">
        <v>5044</v>
      </c>
      <c r="AF725" s="7" t="s">
        <v>5044</v>
      </c>
      <c r="AG725" s="7">
        <v>1</v>
      </c>
      <c r="AH725" s="7">
        <v>0</v>
      </c>
      <c r="AI725" s="7">
        <v>0</v>
      </c>
      <c r="AJ725" s="7" t="s">
        <v>5044</v>
      </c>
      <c r="AL725" s="7">
        <v>0</v>
      </c>
      <c r="AM725" s="7">
        <v>0</v>
      </c>
    </row>
    <row r="726" spans="1:40" ht="63" customHeight="1" x14ac:dyDescent="0.2">
      <c r="A726" s="7">
        <v>7338</v>
      </c>
      <c r="B726" s="7" t="s">
        <v>2447</v>
      </c>
      <c r="C726" s="7" t="s">
        <v>2448</v>
      </c>
      <c r="D726" s="7" t="s">
        <v>16</v>
      </c>
      <c r="F726" s="7" t="s">
        <v>27</v>
      </c>
      <c r="G726" s="7" t="s">
        <v>32</v>
      </c>
      <c r="H726" s="7" t="s">
        <v>708</v>
      </c>
      <c r="I726" s="7" t="s">
        <v>13</v>
      </c>
      <c r="J726" s="7" t="s">
        <v>2449</v>
      </c>
      <c r="K726" s="7" t="s">
        <v>2450</v>
      </c>
      <c r="L726" s="8" t="s">
        <v>6131</v>
      </c>
      <c r="M726" s="7">
        <v>0</v>
      </c>
      <c r="N726" s="9" t="s">
        <v>5044</v>
      </c>
      <c r="O726" s="9" t="s">
        <v>5044</v>
      </c>
      <c r="P726" s="7">
        <v>0</v>
      </c>
      <c r="Q726" s="7">
        <v>0</v>
      </c>
      <c r="R726" s="7">
        <v>0</v>
      </c>
      <c r="S726" s="7">
        <v>3</v>
      </c>
      <c r="T726" s="7">
        <v>4</v>
      </c>
      <c r="U726" s="7">
        <v>100</v>
      </c>
      <c r="V726" s="7">
        <v>0</v>
      </c>
      <c r="W726" s="7">
        <v>1</v>
      </c>
      <c r="X726" s="7">
        <v>0</v>
      </c>
      <c r="Y726" s="7">
        <v>0</v>
      </c>
      <c r="Z726" s="7">
        <v>0</v>
      </c>
      <c r="AA726" s="7">
        <v>0</v>
      </c>
      <c r="AB726" s="7">
        <v>1</v>
      </c>
      <c r="AC726" s="7">
        <v>1</v>
      </c>
      <c r="AD726" s="7" t="s">
        <v>5044</v>
      </c>
      <c r="AE726" s="7" t="s">
        <v>5044</v>
      </c>
      <c r="AF726" s="7" t="s">
        <v>5044</v>
      </c>
      <c r="AG726" s="7">
        <v>1</v>
      </c>
      <c r="AH726" s="7">
        <v>0</v>
      </c>
      <c r="AI726" s="7">
        <v>0</v>
      </c>
      <c r="AJ726" s="7" t="s">
        <v>5044</v>
      </c>
      <c r="AL726" s="7">
        <v>1</v>
      </c>
      <c r="AM726" s="7">
        <v>0</v>
      </c>
    </row>
    <row r="727" spans="1:40" ht="63" customHeight="1" x14ac:dyDescent="0.2">
      <c r="A727" s="7">
        <v>7348</v>
      </c>
      <c r="B727" s="7" t="s">
        <v>2451</v>
      </c>
      <c r="C727" s="7" t="s">
        <v>2452</v>
      </c>
      <c r="D727" s="7" t="s">
        <v>46</v>
      </c>
      <c r="F727" s="7" t="s">
        <v>399</v>
      </c>
      <c r="G727" s="7" t="s">
        <v>18</v>
      </c>
      <c r="H727" s="7" t="s">
        <v>2453</v>
      </c>
      <c r="I727" s="7" t="s">
        <v>13</v>
      </c>
      <c r="J727" s="7" t="s">
        <v>2454</v>
      </c>
      <c r="K727" s="7" t="s">
        <v>2455</v>
      </c>
      <c r="L727" s="8" t="s">
        <v>6132</v>
      </c>
      <c r="M727" s="7">
        <v>0</v>
      </c>
      <c r="N727" s="9" t="s">
        <v>5044</v>
      </c>
      <c r="O727" s="9" t="s">
        <v>5044</v>
      </c>
      <c r="P727" s="7">
        <v>0</v>
      </c>
      <c r="Q727" s="7">
        <v>0</v>
      </c>
      <c r="R727" s="7">
        <v>0</v>
      </c>
      <c r="S727" s="7">
        <v>9</v>
      </c>
      <c r="T727" s="7">
        <v>4</v>
      </c>
      <c r="U727" s="7">
        <v>143</v>
      </c>
      <c r="V727" s="7">
        <v>0</v>
      </c>
      <c r="W727" s="7">
        <v>1</v>
      </c>
      <c r="X727" s="7">
        <v>0</v>
      </c>
      <c r="Y727" s="7">
        <v>0</v>
      </c>
      <c r="Z727" s="7">
        <v>0</v>
      </c>
      <c r="AA727" s="7">
        <v>0</v>
      </c>
      <c r="AB727" s="7">
        <v>1</v>
      </c>
      <c r="AC727" s="7">
        <v>0</v>
      </c>
      <c r="AD727" s="7" t="s">
        <v>5044</v>
      </c>
      <c r="AE727" s="7" t="s">
        <v>5044</v>
      </c>
      <c r="AF727" s="7" t="s">
        <v>5044</v>
      </c>
      <c r="AG727" s="7">
        <v>0</v>
      </c>
      <c r="AH727" s="7" t="s">
        <v>5044</v>
      </c>
      <c r="AI727" s="7" t="s">
        <v>5044</v>
      </c>
      <c r="AJ727" s="7" t="s">
        <v>5044</v>
      </c>
      <c r="AL727" s="7">
        <v>0</v>
      </c>
      <c r="AM727" s="7">
        <v>0</v>
      </c>
    </row>
    <row r="728" spans="1:40" ht="63" customHeight="1" x14ac:dyDescent="0.2">
      <c r="A728" s="7">
        <v>7367</v>
      </c>
      <c r="B728" s="7" t="s">
        <v>2456</v>
      </c>
      <c r="C728" s="7" t="s">
        <v>2457</v>
      </c>
      <c r="D728" s="7" t="s">
        <v>46</v>
      </c>
      <c r="F728" s="7" t="s">
        <v>168</v>
      </c>
      <c r="G728" s="7" t="s">
        <v>175</v>
      </c>
      <c r="H728" s="7" t="s">
        <v>160</v>
      </c>
      <c r="I728" s="7" t="s">
        <v>13</v>
      </c>
      <c r="J728" s="7" t="s">
        <v>2458</v>
      </c>
      <c r="K728" s="7" t="s">
        <v>2459</v>
      </c>
      <c r="L728" s="8" t="s">
        <v>6133</v>
      </c>
      <c r="M728" s="7">
        <v>0</v>
      </c>
      <c r="N728" s="9" t="s">
        <v>5044</v>
      </c>
      <c r="O728" s="9" t="s">
        <v>5044</v>
      </c>
      <c r="P728" s="7">
        <v>0</v>
      </c>
      <c r="Q728" s="7">
        <v>0</v>
      </c>
      <c r="R728" s="7">
        <v>0</v>
      </c>
      <c r="S728" s="7">
        <v>5</v>
      </c>
      <c r="T728" s="7">
        <v>4</v>
      </c>
      <c r="U728" s="7">
        <v>62</v>
      </c>
      <c r="V728" s="7">
        <v>0</v>
      </c>
      <c r="W728" s="7">
        <v>1</v>
      </c>
      <c r="X728" s="7">
        <v>0</v>
      </c>
      <c r="Y728" s="7">
        <v>0</v>
      </c>
      <c r="Z728" s="7">
        <v>0</v>
      </c>
      <c r="AA728" s="7">
        <v>0</v>
      </c>
      <c r="AB728" s="7">
        <v>1</v>
      </c>
      <c r="AC728" s="7">
        <v>1</v>
      </c>
      <c r="AD728" s="7" t="s">
        <v>5044</v>
      </c>
      <c r="AE728" s="7" t="s">
        <v>5044</v>
      </c>
      <c r="AF728" s="7" t="s">
        <v>5044</v>
      </c>
      <c r="AG728" s="7">
        <v>1</v>
      </c>
      <c r="AH728" s="7">
        <v>0</v>
      </c>
      <c r="AI728" s="7">
        <v>0</v>
      </c>
      <c r="AJ728" s="7" t="s">
        <v>5044</v>
      </c>
      <c r="AL728" s="7">
        <v>1</v>
      </c>
      <c r="AM728" s="7">
        <v>0</v>
      </c>
    </row>
    <row r="729" spans="1:40" ht="63" customHeight="1" x14ac:dyDescent="0.2">
      <c r="A729" s="7">
        <v>7396</v>
      </c>
      <c r="B729" s="7" t="s">
        <v>2460</v>
      </c>
      <c r="C729" s="7" t="s">
        <v>2461</v>
      </c>
      <c r="D729" s="7" t="s">
        <v>22</v>
      </c>
      <c r="E729" s="7" t="s">
        <v>305</v>
      </c>
      <c r="F729" s="7" t="s">
        <v>147</v>
      </c>
      <c r="G729" s="7" t="s">
        <v>52</v>
      </c>
      <c r="H729" s="7" t="s">
        <v>119</v>
      </c>
      <c r="I729" s="7" t="s">
        <v>13</v>
      </c>
      <c r="J729" s="7" t="s">
        <v>2462</v>
      </c>
      <c r="K729" s="7" t="s">
        <v>2463</v>
      </c>
      <c r="L729" s="6" t="s">
        <v>6134</v>
      </c>
      <c r="M729" s="7">
        <v>1</v>
      </c>
      <c r="N729" s="7">
        <v>0</v>
      </c>
      <c r="O729" s="9" t="s">
        <v>5044</v>
      </c>
      <c r="P729" s="7">
        <v>0</v>
      </c>
      <c r="Q729" s="7">
        <v>0</v>
      </c>
      <c r="R729" s="7">
        <v>0</v>
      </c>
      <c r="S729" s="7">
        <v>1</v>
      </c>
      <c r="T729" s="7">
        <v>4</v>
      </c>
      <c r="U729" s="7">
        <v>358</v>
      </c>
      <c r="V729" s="7">
        <v>0</v>
      </c>
      <c r="W729" s="7">
        <v>1</v>
      </c>
      <c r="X729" s="7">
        <v>0</v>
      </c>
      <c r="Y729" s="7">
        <v>0</v>
      </c>
      <c r="Z729" s="7">
        <v>0</v>
      </c>
      <c r="AA729" s="7">
        <v>0</v>
      </c>
      <c r="AB729" s="7">
        <v>1</v>
      </c>
      <c r="AC729" s="7" t="s">
        <v>5044</v>
      </c>
      <c r="AD729" s="7" t="s">
        <v>5044</v>
      </c>
      <c r="AE729" s="7" t="s">
        <v>5044</v>
      </c>
      <c r="AF729" s="7" t="s">
        <v>5044</v>
      </c>
      <c r="AG729" s="7" t="s">
        <v>5044</v>
      </c>
      <c r="AH729" s="7" t="s">
        <v>5044</v>
      </c>
      <c r="AI729" s="7" t="s">
        <v>5044</v>
      </c>
      <c r="AJ729" s="7" t="s">
        <v>5044</v>
      </c>
      <c r="AL729" s="7" t="s">
        <v>5044</v>
      </c>
      <c r="AM729" s="7">
        <v>0</v>
      </c>
    </row>
    <row r="730" spans="1:40" ht="63" customHeight="1" x14ac:dyDescent="0.2">
      <c r="A730" s="7">
        <v>7404</v>
      </c>
      <c r="B730" s="7" t="s">
        <v>2464</v>
      </c>
      <c r="C730" s="7" t="s">
        <v>2465</v>
      </c>
      <c r="D730" s="7" t="s">
        <v>16</v>
      </c>
      <c r="F730" s="7" t="s">
        <v>194</v>
      </c>
      <c r="G730" s="7" t="s">
        <v>52</v>
      </c>
      <c r="H730" s="7" t="s">
        <v>1502</v>
      </c>
      <c r="I730" s="7" t="s">
        <v>13</v>
      </c>
      <c r="J730" s="7" t="s">
        <v>2466</v>
      </c>
      <c r="K730" s="7" t="s">
        <v>2467</v>
      </c>
      <c r="L730" s="11" t="s">
        <v>5044</v>
      </c>
      <c r="M730" s="7">
        <v>0</v>
      </c>
      <c r="N730" s="9" t="s">
        <v>5044</v>
      </c>
      <c r="O730" s="9" t="s">
        <v>5044</v>
      </c>
      <c r="P730" s="7">
        <v>0</v>
      </c>
      <c r="Q730" s="7">
        <v>0</v>
      </c>
      <c r="R730" s="7">
        <v>0</v>
      </c>
      <c r="S730" s="7">
        <v>3</v>
      </c>
      <c r="T730" s="7">
        <v>1</v>
      </c>
      <c r="U730" s="7">
        <v>120</v>
      </c>
      <c r="V730" s="7">
        <v>0</v>
      </c>
      <c r="W730" s="7">
        <v>1</v>
      </c>
      <c r="X730" s="7">
        <v>0</v>
      </c>
      <c r="Y730" s="7">
        <v>0</v>
      </c>
      <c r="Z730" s="7">
        <v>0</v>
      </c>
      <c r="AA730" s="7">
        <v>0</v>
      </c>
      <c r="AB730" s="7">
        <v>1</v>
      </c>
      <c r="AC730" s="7">
        <v>1</v>
      </c>
      <c r="AD730" s="7" t="s">
        <v>5044</v>
      </c>
      <c r="AE730" s="7" t="s">
        <v>5044</v>
      </c>
      <c r="AF730" s="7" t="s">
        <v>5044</v>
      </c>
      <c r="AG730" s="7">
        <v>1</v>
      </c>
      <c r="AH730" s="7">
        <v>0</v>
      </c>
      <c r="AI730" s="7">
        <v>0</v>
      </c>
      <c r="AJ730" s="7" t="s">
        <v>5044</v>
      </c>
      <c r="AL730" s="7">
        <v>0</v>
      </c>
      <c r="AM730" s="7">
        <v>0</v>
      </c>
    </row>
    <row r="731" spans="1:40" ht="63" customHeight="1" x14ac:dyDescent="0.2">
      <c r="A731" s="7">
        <v>7408</v>
      </c>
      <c r="B731" s="7" t="s">
        <v>2468</v>
      </c>
      <c r="C731" s="7" t="s">
        <v>2469</v>
      </c>
      <c r="D731" s="7" t="s">
        <v>56</v>
      </c>
      <c r="F731" s="7" t="s">
        <v>118</v>
      </c>
      <c r="G731" s="7" t="s">
        <v>92</v>
      </c>
      <c r="H731" s="7" t="s">
        <v>157</v>
      </c>
      <c r="I731" s="7" t="s">
        <v>13</v>
      </c>
      <c r="J731" s="7" t="s">
        <v>2470</v>
      </c>
      <c r="K731" s="7" t="s">
        <v>2471</v>
      </c>
      <c r="L731" s="8">
        <v>4244</v>
      </c>
      <c r="M731" s="7">
        <v>0</v>
      </c>
      <c r="N731" s="9" t="s">
        <v>5044</v>
      </c>
      <c r="O731" s="9" t="s">
        <v>5044</v>
      </c>
      <c r="P731" s="7">
        <v>0</v>
      </c>
      <c r="Q731" s="7">
        <v>0</v>
      </c>
      <c r="R731" s="7">
        <v>0</v>
      </c>
      <c r="S731" s="7">
        <v>1</v>
      </c>
      <c r="T731" s="7">
        <v>4</v>
      </c>
      <c r="U731" s="7">
        <v>77</v>
      </c>
      <c r="V731" s="7">
        <v>0</v>
      </c>
      <c r="W731" s="7">
        <v>1</v>
      </c>
      <c r="X731" s="7">
        <v>0</v>
      </c>
      <c r="Y731" s="7">
        <v>0</v>
      </c>
      <c r="Z731" s="7">
        <v>0</v>
      </c>
      <c r="AA731" s="7">
        <v>0</v>
      </c>
      <c r="AB731" s="7">
        <v>1</v>
      </c>
      <c r="AC731" s="7">
        <v>1</v>
      </c>
      <c r="AD731" s="7" t="s">
        <v>5044</v>
      </c>
      <c r="AE731" s="7" t="s">
        <v>5044</v>
      </c>
      <c r="AF731" s="7" t="s">
        <v>5044</v>
      </c>
      <c r="AG731" s="7">
        <v>1</v>
      </c>
      <c r="AH731" s="7">
        <v>0</v>
      </c>
      <c r="AI731" s="7">
        <v>0</v>
      </c>
      <c r="AJ731" s="7" t="s">
        <v>5044</v>
      </c>
      <c r="AL731" s="7">
        <v>0</v>
      </c>
      <c r="AM731" s="7">
        <v>0</v>
      </c>
    </row>
    <row r="732" spans="1:40" ht="63" customHeight="1" x14ac:dyDescent="0.2">
      <c r="A732" s="7">
        <v>7410</v>
      </c>
      <c r="B732" s="7" t="s">
        <v>2472</v>
      </c>
      <c r="C732" s="7" t="s">
        <v>2473</v>
      </c>
      <c r="D732" s="7" t="s">
        <v>22</v>
      </c>
      <c r="E732" s="7" t="s">
        <v>305</v>
      </c>
      <c r="F732" s="7" t="s">
        <v>1967</v>
      </c>
      <c r="G732" s="7" t="s">
        <v>52</v>
      </c>
      <c r="H732" s="7" t="s">
        <v>2474</v>
      </c>
      <c r="I732" s="7" t="s">
        <v>13</v>
      </c>
      <c r="J732" s="7" t="s">
        <v>2475</v>
      </c>
      <c r="L732" s="11" t="s">
        <v>5044</v>
      </c>
      <c r="M732" s="7">
        <v>1</v>
      </c>
      <c r="N732" s="7">
        <v>0</v>
      </c>
      <c r="O732" s="9" t="s">
        <v>5044</v>
      </c>
      <c r="P732" s="7">
        <v>0</v>
      </c>
      <c r="Q732" s="7">
        <v>0</v>
      </c>
      <c r="R732" s="7">
        <v>0</v>
      </c>
      <c r="S732" s="7">
        <v>1</v>
      </c>
      <c r="T732" s="7">
        <v>4</v>
      </c>
      <c r="U732" s="7">
        <v>132</v>
      </c>
      <c r="V732" s="7">
        <v>0</v>
      </c>
      <c r="W732" s="7">
        <v>1</v>
      </c>
      <c r="X732" s="7">
        <v>0</v>
      </c>
      <c r="Y732" s="7">
        <v>0</v>
      </c>
      <c r="Z732" s="7">
        <v>0</v>
      </c>
      <c r="AA732" s="7">
        <v>0</v>
      </c>
      <c r="AB732" s="7">
        <v>1</v>
      </c>
      <c r="AC732" s="7" t="s">
        <v>5044</v>
      </c>
      <c r="AD732" s="7" t="s">
        <v>5044</v>
      </c>
      <c r="AE732" s="7" t="s">
        <v>5044</v>
      </c>
      <c r="AF732" s="7" t="s">
        <v>5044</v>
      </c>
      <c r="AG732" s="7" t="s">
        <v>5044</v>
      </c>
      <c r="AH732" s="7" t="s">
        <v>5044</v>
      </c>
      <c r="AI732" s="7" t="s">
        <v>5044</v>
      </c>
      <c r="AJ732" s="7" t="s">
        <v>5044</v>
      </c>
      <c r="AL732" s="7" t="s">
        <v>5044</v>
      </c>
      <c r="AM732" s="7">
        <v>0</v>
      </c>
    </row>
    <row r="733" spans="1:40" ht="63" customHeight="1" x14ac:dyDescent="0.2">
      <c r="A733" s="7">
        <v>7423</v>
      </c>
      <c r="B733" s="23" t="s">
        <v>2476</v>
      </c>
      <c r="C733" s="7" t="s">
        <v>2477</v>
      </c>
      <c r="D733" s="7" t="s">
        <v>22</v>
      </c>
      <c r="F733" s="7" t="s">
        <v>17</v>
      </c>
      <c r="G733" s="7" t="s">
        <v>52</v>
      </c>
      <c r="H733" s="7" t="s">
        <v>2478</v>
      </c>
      <c r="I733" s="7" t="s">
        <v>13</v>
      </c>
      <c r="J733" s="7" t="s">
        <v>2479</v>
      </c>
      <c r="K733" s="7" t="s">
        <v>2480</v>
      </c>
      <c r="L733" s="11" t="s">
        <v>5044</v>
      </c>
      <c r="M733" s="7">
        <v>0</v>
      </c>
      <c r="N733" s="9" t="s">
        <v>5044</v>
      </c>
      <c r="O733" s="9" t="s">
        <v>5044</v>
      </c>
      <c r="P733" s="7">
        <v>0</v>
      </c>
      <c r="Q733" s="7">
        <v>0</v>
      </c>
      <c r="R733" s="7">
        <v>0</v>
      </c>
      <c r="S733" s="7">
        <v>3</v>
      </c>
      <c r="T733" s="7">
        <v>1</v>
      </c>
      <c r="U733" s="7">
        <v>80</v>
      </c>
      <c r="V733" s="7">
        <v>0</v>
      </c>
      <c r="W733" s="7">
        <v>1</v>
      </c>
      <c r="X733" s="7">
        <v>0</v>
      </c>
      <c r="Y733" s="7">
        <v>0</v>
      </c>
      <c r="Z733" s="7">
        <v>0</v>
      </c>
      <c r="AA733" s="7">
        <v>0</v>
      </c>
      <c r="AB733" s="7">
        <v>1</v>
      </c>
      <c r="AC733" s="7">
        <v>0</v>
      </c>
      <c r="AD733" s="7" t="s">
        <v>5044</v>
      </c>
      <c r="AE733" s="7" t="s">
        <v>5044</v>
      </c>
      <c r="AF733" s="7" t="s">
        <v>5044</v>
      </c>
      <c r="AG733" s="7">
        <v>0</v>
      </c>
      <c r="AH733" s="7" t="s">
        <v>5044</v>
      </c>
      <c r="AI733" s="7" t="s">
        <v>5044</v>
      </c>
      <c r="AJ733" s="7" t="s">
        <v>5044</v>
      </c>
      <c r="AL733" s="7" t="s">
        <v>5044</v>
      </c>
      <c r="AM733" s="7">
        <v>0</v>
      </c>
      <c r="AN733" s="7" t="s">
        <v>5105</v>
      </c>
    </row>
    <row r="734" spans="1:40" ht="63" customHeight="1" x14ac:dyDescent="0.2">
      <c r="A734" s="7">
        <v>7446</v>
      </c>
      <c r="B734" s="7" t="s">
        <v>2481</v>
      </c>
      <c r="C734" s="7" t="s">
        <v>2482</v>
      </c>
      <c r="D734" s="7" t="s">
        <v>56</v>
      </c>
      <c r="F734" s="7" t="s">
        <v>556</v>
      </c>
      <c r="G734" s="7" t="s">
        <v>18</v>
      </c>
      <c r="H734" s="7" t="s">
        <v>12</v>
      </c>
      <c r="I734" s="7" t="s">
        <v>13</v>
      </c>
      <c r="J734" s="7" t="s">
        <v>2483</v>
      </c>
      <c r="K734" s="7" t="s">
        <v>2484</v>
      </c>
      <c r="L734" s="8" t="s">
        <v>6135</v>
      </c>
      <c r="M734" s="7">
        <v>0</v>
      </c>
      <c r="N734" s="9" t="s">
        <v>5044</v>
      </c>
      <c r="O734" s="9" t="s">
        <v>5044</v>
      </c>
      <c r="P734" s="7">
        <v>0</v>
      </c>
      <c r="Q734" s="7">
        <v>0</v>
      </c>
      <c r="R734" s="7">
        <v>0</v>
      </c>
      <c r="S734" s="7">
        <v>3</v>
      </c>
      <c r="T734" s="7">
        <v>1</v>
      </c>
      <c r="U734" s="7">
        <v>60</v>
      </c>
      <c r="V734" s="7">
        <v>1</v>
      </c>
      <c r="W734" s="7">
        <v>0</v>
      </c>
      <c r="X734" s="7">
        <v>0</v>
      </c>
      <c r="Y734" s="7">
        <v>0</v>
      </c>
      <c r="Z734" s="7">
        <v>0</v>
      </c>
      <c r="AA734" s="7">
        <v>0</v>
      </c>
      <c r="AB734" s="7">
        <v>1</v>
      </c>
      <c r="AC734" s="7">
        <v>1</v>
      </c>
      <c r="AD734" s="7">
        <v>2</v>
      </c>
      <c r="AE734" s="7">
        <v>3</v>
      </c>
      <c r="AF734" s="7">
        <v>0</v>
      </c>
      <c r="AG734" s="7" t="s">
        <v>5044</v>
      </c>
      <c r="AH734" s="7" t="s">
        <v>5044</v>
      </c>
      <c r="AI734" s="7" t="s">
        <v>5044</v>
      </c>
      <c r="AJ734" s="7" t="s">
        <v>5044</v>
      </c>
      <c r="AK734" s="7">
        <v>1</v>
      </c>
      <c r="AL734" s="7">
        <v>1</v>
      </c>
      <c r="AM734" s="7">
        <v>0</v>
      </c>
    </row>
    <row r="735" spans="1:40" ht="63" customHeight="1" x14ac:dyDescent="0.2">
      <c r="A735" s="7">
        <v>7458</v>
      </c>
      <c r="B735" s="7" t="s">
        <v>2485</v>
      </c>
      <c r="C735" s="7" t="s">
        <v>2486</v>
      </c>
      <c r="D735" s="7" t="s">
        <v>16</v>
      </c>
      <c r="F735" s="7" t="s">
        <v>2487</v>
      </c>
      <c r="H735" s="7" t="s">
        <v>1449</v>
      </c>
      <c r="I735" s="7" t="s">
        <v>13</v>
      </c>
      <c r="K735" s="7" t="s">
        <v>2488</v>
      </c>
      <c r="L735" s="11" t="s">
        <v>5044</v>
      </c>
      <c r="M735" s="7">
        <v>0</v>
      </c>
      <c r="N735" s="9" t="s">
        <v>5044</v>
      </c>
      <c r="O735" s="9" t="s">
        <v>5044</v>
      </c>
      <c r="P735" s="7">
        <v>0</v>
      </c>
      <c r="Q735" s="7">
        <v>0</v>
      </c>
      <c r="R735" s="7">
        <v>0</v>
      </c>
      <c r="S735" s="7">
        <v>1</v>
      </c>
      <c r="T735" s="7">
        <v>1</v>
      </c>
      <c r="U735" s="7">
        <v>208</v>
      </c>
      <c r="V735" s="7">
        <v>1</v>
      </c>
      <c r="W735" s="7">
        <v>0</v>
      </c>
      <c r="X735" s="7">
        <v>0</v>
      </c>
      <c r="Y735" s="7">
        <v>0</v>
      </c>
      <c r="Z735" s="7">
        <v>0</v>
      </c>
      <c r="AA735" s="7">
        <v>0</v>
      </c>
      <c r="AB735" s="7">
        <v>1</v>
      </c>
      <c r="AC735" s="7">
        <v>0</v>
      </c>
      <c r="AD735" s="7">
        <v>0</v>
      </c>
      <c r="AE735" s="7" t="s">
        <v>5044</v>
      </c>
      <c r="AF735" s="7" t="s">
        <v>5044</v>
      </c>
      <c r="AG735" s="7" t="s">
        <v>5044</v>
      </c>
      <c r="AH735" s="7" t="s">
        <v>5044</v>
      </c>
      <c r="AI735" s="7" t="s">
        <v>5044</v>
      </c>
      <c r="AJ735" s="7" t="s">
        <v>5044</v>
      </c>
      <c r="AL735" s="7">
        <v>0</v>
      </c>
      <c r="AM735" s="7">
        <v>0</v>
      </c>
    </row>
    <row r="736" spans="1:40" ht="63" customHeight="1" x14ac:dyDescent="0.2">
      <c r="A736" s="7">
        <v>7472</v>
      </c>
      <c r="B736" s="7" t="s">
        <v>2489</v>
      </c>
      <c r="C736" s="7" t="s">
        <v>2490</v>
      </c>
      <c r="D736" s="7" t="s">
        <v>25</v>
      </c>
      <c r="F736" s="7" t="s">
        <v>83</v>
      </c>
      <c r="G736" s="7" t="s">
        <v>136</v>
      </c>
      <c r="H736" s="7" t="s">
        <v>329</v>
      </c>
      <c r="I736" s="7" t="s">
        <v>13</v>
      </c>
      <c r="J736" s="7" t="s">
        <v>2491</v>
      </c>
      <c r="K736" s="7" t="s">
        <v>2492</v>
      </c>
      <c r="L736" s="11" t="s">
        <v>5044</v>
      </c>
      <c r="M736" s="7">
        <v>0</v>
      </c>
      <c r="N736" s="9" t="s">
        <v>5044</v>
      </c>
      <c r="O736" s="9" t="s">
        <v>5044</v>
      </c>
      <c r="P736" s="7">
        <v>0</v>
      </c>
      <c r="Q736" s="7">
        <v>0</v>
      </c>
      <c r="R736" s="7">
        <v>0</v>
      </c>
      <c r="S736" s="7" t="s">
        <v>5708</v>
      </c>
      <c r="T736" s="7">
        <v>1</v>
      </c>
      <c r="U736" s="7">
        <v>204</v>
      </c>
      <c r="V736" s="7">
        <v>0</v>
      </c>
      <c r="W736" s="7">
        <v>1</v>
      </c>
      <c r="X736" s="7">
        <v>0</v>
      </c>
      <c r="Y736" s="7">
        <v>0</v>
      </c>
      <c r="Z736" s="7">
        <v>0</v>
      </c>
      <c r="AA736" s="7">
        <v>0</v>
      </c>
      <c r="AB736" s="7">
        <v>1</v>
      </c>
      <c r="AC736" s="7">
        <v>1</v>
      </c>
      <c r="AD736" s="7" t="s">
        <v>5044</v>
      </c>
      <c r="AE736" s="7" t="s">
        <v>5044</v>
      </c>
      <c r="AF736" s="7" t="s">
        <v>5044</v>
      </c>
      <c r="AG736" s="7">
        <v>2</v>
      </c>
      <c r="AH736" s="7">
        <v>2</v>
      </c>
      <c r="AI736" s="7">
        <v>2</v>
      </c>
      <c r="AJ736" s="7" t="s">
        <v>5044</v>
      </c>
      <c r="AL736" s="7">
        <v>0</v>
      </c>
      <c r="AM736" s="7">
        <v>0</v>
      </c>
    </row>
    <row r="737" spans="1:40" ht="63" customHeight="1" x14ac:dyDescent="0.2">
      <c r="A737" s="7">
        <v>7489</v>
      </c>
      <c r="B737" s="7" t="s">
        <v>2493</v>
      </c>
      <c r="C737" s="7" t="s">
        <v>2494</v>
      </c>
      <c r="D737" s="7" t="s">
        <v>16</v>
      </c>
      <c r="F737" s="7" t="s">
        <v>118</v>
      </c>
      <c r="G737" s="7" t="s">
        <v>52</v>
      </c>
      <c r="H737" s="7" t="s">
        <v>53</v>
      </c>
      <c r="I737" s="7" t="s">
        <v>13</v>
      </c>
      <c r="J737" s="7" t="s">
        <v>2495</v>
      </c>
      <c r="K737" s="7" t="s">
        <v>2496</v>
      </c>
      <c r="L737" s="6" t="s">
        <v>6136</v>
      </c>
      <c r="M737" s="7">
        <v>1</v>
      </c>
      <c r="N737" s="7">
        <v>0</v>
      </c>
      <c r="O737" s="9" t="s">
        <v>5044</v>
      </c>
      <c r="P737" s="7">
        <v>0</v>
      </c>
      <c r="Q737" s="7">
        <v>0</v>
      </c>
      <c r="R737" s="7">
        <v>0</v>
      </c>
      <c r="S737" s="7">
        <v>1</v>
      </c>
      <c r="T737" s="7">
        <v>1</v>
      </c>
      <c r="U737" s="7">
        <v>400</v>
      </c>
      <c r="V737" s="7">
        <v>0</v>
      </c>
      <c r="W737" s="7">
        <v>1</v>
      </c>
      <c r="X737" s="7">
        <v>0</v>
      </c>
      <c r="Y737" s="7">
        <v>0</v>
      </c>
      <c r="Z737" s="7">
        <v>0</v>
      </c>
      <c r="AA737" s="7">
        <v>0</v>
      </c>
      <c r="AB737" s="7">
        <v>1</v>
      </c>
      <c r="AC737" s="7" t="s">
        <v>5044</v>
      </c>
      <c r="AD737" s="7" t="s">
        <v>5044</v>
      </c>
      <c r="AE737" s="7" t="s">
        <v>5044</v>
      </c>
      <c r="AF737" s="7" t="s">
        <v>5044</v>
      </c>
      <c r="AG737" s="7" t="s">
        <v>5044</v>
      </c>
      <c r="AH737" s="7" t="s">
        <v>5044</v>
      </c>
      <c r="AI737" s="7" t="s">
        <v>5044</v>
      </c>
      <c r="AJ737" s="7" t="s">
        <v>5044</v>
      </c>
      <c r="AL737" s="7" t="s">
        <v>5044</v>
      </c>
      <c r="AM737" s="7">
        <v>0</v>
      </c>
    </row>
    <row r="738" spans="1:40" ht="63" customHeight="1" x14ac:dyDescent="0.2">
      <c r="A738" s="7">
        <v>7495</v>
      </c>
      <c r="B738" s="7" t="s">
        <v>2497</v>
      </c>
      <c r="C738" s="7" t="s">
        <v>2498</v>
      </c>
      <c r="D738" s="7" t="s">
        <v>95</v>
      </c>
      <c r="F738" s="7" t="s">
        <v>260</v>
      </c>
      <c r="G738" s="7" t="s">
        <v>144</v>
      </c>
      <c r="H738" s="7" t="s">
        <v>38</v>
      </c>
      <c r="I738" s="7" t="s">
        <v>13</v>
      </c>
      <c r="J738" s="7" t="s">
        <v>2499</v>
      </c>
      <c r="K738" s="7" t="s">
        <v>2500</v>
      </c>
      <c r="L738" s="8" t="s">
        <v>6137</v>
      </c>
      <c r="M738" s="7">
        <v>0</v>
      </c>
      <c r="N738" s="9" t="s">
        <v>5044</v>
      </c>
      <c r="O738" s="9" t="s">
        <v>5044</v>
      </c>
      <c r="P738" s="7">
        <v>0</v>
      </c>
      <c r="Q738" s="7">
        <v>0</v>
      </c>
      <c r="R738" s="7">
        <v>0</v>
      </c>
      <c r="S738" s="7">
        <v>1</v>
      </c>
      <c r="T738" s="7">
        <v>1</v>
      </c>
      <c r="U738" s="7">
        <v>116</v>
      </c>
      <c r="V738" s="7">
        <v>0</v>
      </c>
      <c r="W738" s="7">
        <v>1</v>
      </c>
      <c r="X738" s="7">
        <v>0</v>
      </c>
      <c r="Y738" s="7">
        <v>0</v>
      </c>
      <c r="Z738" s="7">
        <v>0</v>
      </c>
      <c r="AA738" s="7">
        <v>0</v>
      </c>
      <c r="AB738" s="7">
        <v>1</v>
      </c>
      <c r="AC738" s="7">
        <v>0</v>
      </c>
      <c r="AD738" s="7" t="s">
        <v>5044</v>
      </c>
      <c r="AE738" s="7" t="s">
        <v>5044</v>
      </c>
      <c r="AF738" s="7" t="s">
        <v>5044</v>
      </c>
      <c r="AG738" s="7">
        <v>0</v>
      </c>
      <c r="AH738" s="7" t="s">
        <v>5044</v>
      </c>
      <c r="AI738" s="7" t="s">
        <v>5044</v>
      </c>
      <c r="AJ738" s="7" t="s">
        <v>5044</v>
      </c>
      <c r="AL738" s="7">
        <v>0</v>
      </c>
      <c r="AM738" s="7">
        <v>0</v>
      </c>
    </row>
    <row r="739" spans="1:40" ht="63" customHeight="1" x14ac:dyDescent="0.2">
      <c r="A739" s="7">
        <v>7511</v>
      </c>
      <c r="B739" s="7" t="s">
        <v>2501</v>
      </c>
      <c r="C739" s="7" t="s">
        <v>2502</v>
      </c>
      <c r="D739" s="7" t="s">
        <v>74</v>
      </c>
      <c r="F739" s="7" t="s">
        <v>829</v>
      </c>
      <c r="G739" s="7" t="s">
        <v>11</v>
      </c>
      <c r="H739" s="7" t="s">
        <v>251</v>
      </c>
      <c r="I739" s="7" t="s">
        <v>13</v>
      </c>
      <c r="J739" s="7" t="s">
        <v>2503</v>
      </c>
      <c r="K739" s="7" t="s">
        <v>2504</v>
      </c>
      <c r="L739" s="8" t="s">
        <v>6138</v>
      </c>
      <c r="M739" s="7">
        <v>0</v>
      </c>
      <c r="N739" s="9" t="s">
        <v>5044</v>
      </c>
      <c r="O739" s="9" t="s">
        <v>5044</v>
      </c>
      <c r="P739" s="7">
        <v>0</v>
      </c>
      <c r="Q739" s="7">
        <v>0</v>
      </c>
      <c r="R739" s="7">
        <v>0</v>
      </c>
      <c r="S739" s="7">
        <v>4</v>
      </c>
      <c r="T739" s="7">
        <v>2</v>
      </c>
      <c r="U739" s="7">
        <v>85</v>
      </c>
      <c r="V739" s="7">
        <v>0</v>
      </c>
      <c r="W739" s="7">
        <v>1</v>
      </c>
      <c r="X739" s="7">
        <v>0</v>
      </c>
      <c r="Y739" s="7">
        <v>0</v>
      </c>
      <c r="Z739" s="7">
        <v>0</v>
      </c>
      <c r="AA739" s="7">
        <v>0</v>
      </c>
      <c r="AB739" s="7">
        <v>1</v>
      </c>
      <c r="AC739" s="7">
        <v>1</v>
      </c>
      <c r="AD739" s="7" t="s">
        <v>5044</v>
      </c>
      <c r="AE739" s="7" t="s">
        <v>5044</v>
      </c>
      <c r="AF739" s="7" t="s">
        <v>5044</v>
      </c>
      <c r="AG739" s="7">
        <v>2</v>
      </c>
      <c r="AH739" s="7">
        <v>3</v>
      </c>
      <c r="AI739" s="7">
        <v>0</v>
      </c>
      <c r="AJ739" s="7" t="s">
        <v>5044</v>
      </c>
      <c r="AK739" s="7">
        <v>1</v>
      </c>
      <c r="AL739" s="7" t="s">
        <v>5044</v>
      </c>
      <c r="AM739" s="7">
        <v>0</v>
      </c>
      <c r="AN739" s="7" t="s">
        <v>5105</v>
      </c>
    </row>
    <row r="740" spans="1:40" ht="63" customHeight="1" x14ac:dyDescent="0.2">
      <c r="A740" s="7">
        <v>7538</v>
      </c>
      <c r="B740" s="7" t="s">
        <v>2505</v>
      </c>
      <c r="C740" s="7" t="s">
        <v>2506</v>
      </c>
      <c r="D740" s="7" t="s">
        <v>56</v>
      </c>
      <c r="F740" s="7" t="s">
        <v>929</v>
      </c>
      <c r="G740" s="7" t="s">
        <v>52</v>
      </c>
      <c r="H740" s="7" t="s">
        <v>43</v>
      </c>
      <c r="I740" s="7" t="s">
        <v>13</v>
      </c>
      <c r="J740" s="7" t="s">
        <v>2507</v>
      </c>
      <c r="K740" s="7" t="s">
        <v>2508</v>
      </c>
      <c r="L740" s="6" t="s">
        <v>6139</v>
      </c>
      <c r="M740" s="7">
        <v>0</v>
      </c>
      <c r="N740" s="9" t="s">
        <v>5044</v>
      </c>
      <c r="O740" s="9" t="s">
        <v>5044</v>
      </c>
      <c r="P740" s="7">
        <v>0</v>
      </c>
      <c r="Q740" s="7">
        <v>0</v>
      </c>
      <c r="R740" s="7">
        <v>0</v>
      </c>
      <c r="S740" s="7">
        <v>1</v>
      </c>
      <c r="T740" s="7">
        <v>4</v>
      </c>
      <c r="U740" s="7">
        <v>136</v>
      </c>
      <c r="V740" s="7">
        <v>0</v>
      </c>
      <c r="W740" s="7">
        <v>1</v>
      </c>
      <c r="X740" s="7">
        <v>0</v>
      </c>
      <c r="Y740" s="7">
        <v>0</v>
      </c>
      <c r="Z740" s="7">
        <v>0</v>
      </c>
      <c r="AA740" s="7">
        <v>0</v>
      </c>
      <c r="AB740" s="7">
        <v>1</v>
      </c>
      <c r="AC740" s="7">
        <v>1</v>
      </c>
      <c r="AD740" s="7" t="s">
        <v>5044</v>
      </c>
      <c r="AE740" s="7" t="s">
        <v>5044</v>
      </c>
      <c r="AF740" s="7" t="s">
        <v>5044</v>
      </c>
      <c r="AG740" s="7">
        <v>1</v>
      </c>
      <c r="AH740" s="7">
        <v>0</v>
      </c>
      <c r="AI740" s="7">
        <v>0</v>
      </c>
      <c r="AJ740" s="7" t="s">
        <v>5044</v>
      </c>
      <c r="AL740" s="7">
        <v>0</v>
      </c>
      <c r="AM740" s="7">
        <v>0</v>
      </c>
    </row>
    <row r="741" spans="1:40" ht="63" customHeight="1" x14ac:dyDescent="0.2">
      <c r="A741" s="7">
        <v>7546</v>
      </c>
      <c r="B741" s="7" t="s">
        <v>2509</v>
      </c>
      <c r="C741" s="7" t="s">
        <v>2510</v>
      </c>
      <c r="D741" s="7" t="s">
        <v>149</v>
      </c>
      <c r="F741" s="7" t="s">
        <v>110</v>
      </c>
      <c r="G741" s="7" t="s">
        <v>92</v>
      </c>
      <c r="H741" s="7" t="s">
        <v>871</v>
      </c>
      <c r="I741" s="7" t="s">
        <v>13</v>
      </c>
      <c r="J741" s="7" t="s">
        <v>2511</v>
      </c>
      <c r="K741" s="7" t="s">
        <v>2512</v>
      </c>
      <c r="L741" s="8">
        <v>8628</v>
      </c>
      <c r="M741" s="7">
        <v>0</v>
      </c>
      <c r="N741" s="9" t="s">
        <v>5044</v>
      </c>
      <c r="O741" s="9" t="s">
        <v>5044</v>
      </c>
      <c r="P741" s="7">
        <v>0</v>
      </c>
      <c r="Q741" s="7">
        <v>0</v>
      </c>
      <c r="R741" s="7">
        <v>0</v>
      </c>
      <c r="S741" s="7">
        <v>1</v>
      </c>
      <c r="T741" s="7">
        <v>4</v>
      </c>
      <c r="U741" s="7">
        <v>63</v>
      </c>
      <c r="V741" s="7">
        <v>0</v>
      </c>
      <c r="W741" s="7">
        <v>1</v>
      </c>
      <c r="X741" s="7">
        <v>0</v>
      </c>
      <c r="Y741" s="7">
        <v>0</v>
      </c>
      <c r="Z741" s="7">
        <v>0</v>
      </c>
      <c r="AA741" s="7">
        <v>0</v>
      </c>
      <c r="AB741" s="7">
        <v>1</v>
      </c>
      <c r="AC741" s="7">
        <v>1</v>
      </c>
      <c r="AD741" s="7" t="s">
        <v>5044</v>
      </c>
      <c r="AE741" s="7" t="s">
        <v>5044</v>
      </c>
      <c r="AF741" s="7" t="s">
        <v>5044</v>
      </c>
      <c r="AG741" s="7">
        <v>1</v>
      </c>
      <c r="AH741" s="7">
        <v>0</v>
      </c>
      <c r="AI741" s="7">
        <v>0</v>
      </c>
      <c r="AJ741" s="7" t="s">
        <v>5044</v>
      </c>
      <c r="AL741" s="7">
        <v>0</v>
      </c>
      <c r="AM741" s="7">
        <v>0</v>
      </c>
    </row>
    <row r="742" spans="1:40" ht="63" customHeight="1" x14ac:dyDescent="0.2">
      <c r="A742" s="7">
        <v>7572</v>
      </c>
      <c r="B742" s="7" t="s">
        <v>2513</v>
      </c>
      <c r="C742" s="7" t="s">
        <v>2514</v>
      </c>
      <c r="D742" s="7" t="s">
        <v>41</v>
      </c>
      <c r="F742" s="7" t="s">
        <v>325</v>
      </c>
      <c r="G742" s="7" t="s">
        <v>37</v>
      </c>
      <c r="H742" s="7" t="s">
        <v>2515</v>
      </c>
      <c r="I742" s="7" t="s">
        <v>13</v>
      </c>
      <c r="J742" s="7" t="s">
        <v>2516</v>
      </c>
      <c r="K742" s="7" t="s">
        <v>2517</v>
      </c>
      <c r="L742" s="6" t="s">
        <v>6140</v>
      </c>
      <c r="M742" s="7">
        <v>0</v>
      </c>
      <c r="N742" s="9" t="s">
        <v>5044</v>
      </c>
      <c r="O742" s="9" t="s">
        <v>5044</v>
      </c>
      <c r="P742" s="7">
        <v>0</v>
      </c>
      <c r="Q742" s="7">
        <v>0</v>
      </c>
      <c r="R742" s="7">
        <v>0</v>
      </c>
      <c r="S742" s="7">
        <v>5</v>
      </c>
      <c r="T742" s="7">
        <v>1</v>
      </c>
      <c r="U742" s="7">
        <v>525</v>
      </c>
      <c r="V742" s="7">
        <v>0</v>
      </c>
      <c r="W742" s="7">
        <v>1</v>
      </c>
      <c r="X742" s="7">
        <v>0</v>
      </c>
      <c r="Y742" s="7">
        <v>0</v>
      </c>
      <c r="Z742" s="7">
        <v>0</v>
      </c>
      <c r="AA742" s="7">
        <v>0</v>
      </c>
      <c r="AB742" s="7">
        <v>1</v>
      </c>
      <c r="AC742" s="7">
        <v>1</v>
      </c>
      <c r="AD742" s="7" t="s">
        <v>5044</v>
      </c>
      <c r="AE742" s="7" t="s">
        <v>5044</v>
      </c>
      <c r="AF742" s="7" t="s">
        <v>5044</v>
      </c>
      <c r="AG742" s="7">
        <v>2</v>
      </c>
      <c r="AH742" s="7">
        <v>3</v>
      </c>
      <c r="AI742" s="7">
        <v>0</v>
      </c>
      <c r="AJ742" s="7" t="s">
        <v>5044</v>
      </c>
      <c r="AK742" s="7">
        <v>1</v>
      </c>
      <c r="AL742" s="7">
        <v>1</v>
      </c>
      <c r="AM742" s="7">
        <v>0</v>
      </c>
    </row>
    <row r="743" spans="1:40" ht="63" customHeight="1" x14ac:dyDescent="0.2">
      <c r="A743" s="7">
        <v>7574</v>
      </c>
      <c r="B743" s="7" t="s">
        <v>2518</v>
      </c>
      <c r="C743" s="7" t="s">
        <v>2519</v>
      </c>
      <c r="D743" s="7" t="s">
        <v>35</v>
      </c>
      <c r="F743" s="7" t="s">
        <v>2063</v>
      </c>
      <c r="G743" s="7" t="s">
        <v>144</v>
      </c>
      <c r="H743" s="7" t="s">
        <v>307</v>
      </c>
      <c r="I743" s="7" t="s">
        <v>13</v>
      </c>
      <c r="J743" s="7" t="s">
        <v>2520</v>
      </c>
      <c r="K743" s="7" t="s">
        <v>2521</v>
      </c>
      <c r="L743" s="11" t="s">
        <v>5044</v>
      </c>
      <c r="M743" s="7">
        <v>0</v>
      </c>
      <c r="N743" s="9" t="s">
        <v>5044</v>
      </c>
      <c r="O743" s="9" t="s">
        <v>5044</v>
      </c>
      <c r="P743" s="7">
        <v>0</v>
      </c>
      <c r="Q743" s="7">
        <v>0</v>
      </c>
      <c r="R743" s="7">
        <v>0</v>
      </c>
      <c r="S743" s="7">
        <v>3</v>
      </c>
      <c r="T743" s="7">
        <v>6</v>
      </c>
      <c r="U743" s="7">
        <v>80</v>
      </c>
      <c r="V743" s="7">
        <v>0</v>
      </c>
      <c r="W743" s="7">
        <v>1</v>
      </c>
      <c r="X743" s="7">
        <v>0</v>
      </c>
      <c r="Y743" s="7">
        <v>0</v>
      </c>
      <c r="Z743" s="7">
        <v>0</v>
      </c>
      <c r="AA743" s="7">
        <v>0</v>
      </c>
      <c r="AB743" s="7">
        <v>1</v>
      </c>
      <c r="AC743" s="7">
        <v>1</v>
      </c>
      <c r="AD743" s="7" t="s">
        <v>5044</v>
      </c>
      <c r="AE743" s="7" t="s">
        <v>5044</v>
      </c>
      <c r="AF743" s="7" t="s">
        <v>5044</v>
      </c>
      <c r="AG743" s="7">
        <v>2</v>
      </c>
      <c r="AH743" s="7">
        <v>3</v>
      </c>
      <c r="AI743" s="7">
        <v>0</v>
      </c>
      <c r="AJ743" s="7" t="s">
        <v>5044</v>
      </c>
      <c r="AL743" s="7" t="s">
        <v>5044</v>
      </c>
      <c r="AM743" s="7">
        <v>0</v>
      </c>
      <c r="AN743" s="7" t="s">
        <v>5105</v>
      </c>
    </row>
    <row r="744" spans="1:40" ht="63" customHeight="1" x14ac:dyDescent="0.2">
      <c r="A744" s="7">
        <v>7577</v>
      </c>
      <c r="B744" s="7" t="s">
        <v>2522</v>
      </c>
      <c r="C744" s="7" t="s">
        <v>2523</v>
      </c>
      <c r="D744" s="7" t="s">
        <v>22</v>
      </c>
      <c r="F744" s="7" t="s">
        <v>163</v>
      </c>
      <c r="G744" s="7" t="s">
        <v>144</v>
      </c>
      <c r="H744" s="7" t="s">
        <v>2524</v>
      </c>
      <c r="I744" s="7" t="s">
        <v>13</v>
      </c>
      <c r="J744" s="7" t="s">
        <v>2525</v>
      </c>
      <c r="L744" s="11" t="s">
        <v>5044</v>
      </c>
      <c r="M744" s="7">
        <v>0</v>
      </c>
      <c r="N744" s="9" t="s">
        <v>5044</v>
      </c>
      <c r="O744" s="9" t="s">
        <v>5044</v>
      </c>
      <c r="P744" s="7">
        <v>0</v>
      </c>
      <c r="Q744" s="7">
        <v>0</v>
      </c>
      <c r="R744" s="7">
        <v>0</v>
      </c>
      <c r="S744" s="7">
        <v>1</v>
      </c>
      <c r="T744" s="7">
        <v>1</v>
      </c>
      <c r="U744" s="7">
        <v>93</v>
      </c>
      <c r="V744" s="7">
        <v>0</v>
      </c>
      <c r="W744" s="7">
        <v>1</v>
      </c>
      <c r="X744" s="7">
        <v>0</v>
      </c>
      <c r="Y744" s="7">
        <v>0</v>
      </c>
      <c r="Z744" s="7">
        <v>0</v>
      </c>
      <c r="AA744" s="7">
        <v>0</v>
      </c>
      <c r="AB744" s="7">
        <v>1</v>
      </c>
      <c r="AC744" s="7">
        <v>1</v>
      </c>
      <c r="AD744" s="7" t="s">
        <v>5044</v>
      </c>
      <c r="AE744" s="7" t="s">
        <v>5044</v>
      </c>
      <c r="AF744" s="7" t="s">
        <v>5044</v>
      </c>
      <c r="AG744" s="7">
        <v>2</v>
      </c>
      <c r="AH744" s="7">
        <v>2</v>
      </c>
      <c r="AI744" s="7">
        <v>1</v>
      </c>
      <c r="AJ744" s="7" t="s">
        <v>5044</v>
      </c>
      <c r="AL744" s="7">
        <v>0</v>
      </c>
      <c r="AM744" s="7">
        <v>0</v>
      </c>
    </row>
    <row r="745" spans="1:40" ht="63" customHeight="1" x14ac:dyDescent="0.2">
      <c r="A745" s="7">
        <v>7590</v>
      </c>
      <c r="B745" s="7" t="s">
        <v>2526</v>
      </c>
      <c r="C745" s="7" t="s">
        <v>2527</v>
      </c>
      <c r="D745" s="7" t="s">
        <v>101</v>
      </c>
      <c r="F745" s="7" t="s">
        <v>2528</v>
      </c>
      <c r="G745" s="7" t="s">
        <v>18</v>
      </c>
      <c r="H745" s="7" t="s">
        <v>43</v>
      </c>
      <c r="I745" s="7" t="s">
        <v>13</v>
      </c>
      <c r="J745" s="7" t="s">
        <v>2529</v>
      </c>
      <c r="K745" s="7" t="s">
        <v>2530</v>
      </c>
      <c r="L745" s="6" t="s">
        <v>6158</v>
      </c>
      <c r="M745" s="7">
        <v>0</v>
      </c>
      <c r="N745" s="9" t="s">
        <v>5044</v>
      </c>
      <c r="O745" s="9" t="s">
        <v>5044</v>
      </c>
      <c r="P745" s="7">
        <v>0</v>
      </c>
      <c r="Q745" s="7">
        <v>0</v>
      </c>
      <c r="R745" s="7">
        <v>0</v>
      </c>
      <c r="S745" s="7" t="s">
        <v>5708</v>
      </c>
      <c r="T745" s="7">
        <v>1</v>
      </c>
      <c r="U745" s="7">
        <v>120</v>
      </c>
      <c r="V745" s="7">
        <v>0</v>
      </c>
      <c r="W745" s="7">
        <v>1</v>
      </c>
      <c r="X745" s="7">
        <v>0</v>
      </c>
      <c r="Y745" s="7">
        <v>0</v>
      </c>
      <c r="Z745" s="7">
        <v>0</v>
      </c>
      <c r="AA745" s="7">
        <v>0</v>
      </c>
      <c r="AB745" s="7">
        <v>1</v>
      </c>
      <c r="AC745" s="7">
        <v>1</v>
      </c>
      <c r="AD745" s="7" t="s">
        <v>5044</v>
      </c>
      <c r="AE745" s="7" t="s">
        <v>5044</v>
      </c>
      <c r="AF745" s="7" t="s">
        <v>5044</v>
      </c>
      <c r="AG745" s="7">
        <v>2</v>
      </c>
      <c r="AH745" s="7">
        <v>2</v>
      </c>
      <c r="AI745" s="7">
        <v>2</v>
      </c>
      <c r="AJ745" s="7" t="s">
        <v>5044</v>
      </c>
      <c r="AL745" s="7">
        <v>1</v>
      </c>
      <c r="AM745" s="7">
        <v>0</v>
      </c>
    </row>
    <row r="746" spans="1:40" ht="63" customHeight="1" x14ac:dyDescent="0.2">
      <c r="A746" s="7">
        <v>7591</v>
      </c>
      <c r="B746" s="7" t="s">
        <v>2531</v>
      </c>
      <c r="C746" s="7" t="s">
        <v>2532</v>
      </c>
      <c r="D746" s="7" t="s">
        <v>149</v>
      </c>
      <c r="E746" s="7" t="s">
        <v>305</v>
      </c>
      <c r="F746" s="7" t="s">
        <v>293</v>
      </c>
      <c r="G746" s="7" t="s">
        <v>52</v>
      </c>
      <c r="H746" s="7" t="s">
        <v>119</v>
      </c>
      <c r="I746" s="7" t="s">
        <v>13</v>
      </c>
      <c r="J746" s="7" t="s">
        <v>2533</v>
      </c>
      <c r="K746" s="7" t="s">
        <v>2534</v>
      </c>
      <c r="L746" s="6" t="s">
        <v>6159</v>
      </c>
      <c r="M746" s="7">
        <v>1</v>
      </c>
      <c r="N746" s="7">
        <v>0</v>
      </c>
      <c r="O746" s="9" t="s">
        <v>5044</v>
      </c>
      <c r="P746" s="7">
        <v>0</v>
      </c>
      <c r="Q746" s="7">
        <v>0</v>
      </c>
      <c r="R746" s="7">
        <v>0</v>
      </c>
      <c r="S746" s="7" t="s">
        <v>5708</v>
      </c>
      <c r="T746" s="7">
        <v>1</v>
      </c>
      <c r="U746" s="7">
        <v>165</v>
      </c>
      <c r="V746" s="7">
        <v>0</v>
      </c>
      <c r="W746" s="7">
        <v>1</v>
      </c>
      <c r="X746" s="7">
        <v>0</v>
      </c>
      <c r="Y746" s="7">
        <v>0</v>
      </c>
      <c r="Z746" s="7">
        <v>0</v>
      </c>
      <c r="AA746" s="7">
        <v>0</v>
      </c>
      <c r="AB746" s="7">
        <v>1</v>
      </c>
      <c r="AC746" s="7" t="s">
        <v>5044</v>
      </c>
      <c r="AD746" s="7" t="s">
        <v>5044</v>
      </c>
      <c r="AE746" s="7" t="s">
        <v>5044</v>
      </c>
      <c r="AF746" s="7" t="s">
        <v>5044</v>
      </c>
      <c r="AG746" s="7" t="s">
        <v>5044</v>
      </c>
      <c r="AH746" s="7" t="s">
        <v>5044</v>
      </c>
      <c r="AI746" s="7" t="s">
        <v>5044</v>
      </c>
      <c r="AJ746" s="7" t="s">
        <v>5044</v>
      </c>
      <c r="AL746" s="7" t="s">
        <v>5044</v>
      </c>
      <c r="AM746" s="7">
        <v>0</v>
      </c>
    </row>
    <row r="747" spans="1:40" ht="63" customHeight="1" x14ac:dyDescent="0.2">
      <c r="A747" s="7">
        <v>7593</v>
      </c>
      <c r="B747" s="23" t="s">
        <v>2535</v>
      </c>
      <c r="C747" s="7" t="s">
        <v>2536</v>
      </c>
      <c r="D747" s="7" t="s">
        <v>46</v>
      </c>
      <c r="E747" s="7" t="s">
        <v>2539</v>
      </c>
      <c r="F747" s="7" t="s">
        <v>299</v>
      </c>
      <c r="G747" s="7" t="s">
        <v>175</v>
      </c>
      <c r="H747" s="7" t="s">
        <v>319</v>
      </c>
      <c r="I747" s="7" t="s">
        <v>13</v>
      </c>
      <c r="J747" s="7" t="s">
        <v>2537</v>
      </c>
      <c r="K747" s="7" t="s">
        <v>2538</v>
      </c>
      <c r="L747" s="8" t="s">
        <v>6160</v>
      </c>
      <c r="M747" s="7">
        <v>0</v>
      </c>
      <c r="N747" s="9" t="s">
        <v>5044</v>
      </c>
      <c r="O747" s="9" t="s">
        <v>5044</v>
      </c>
      <c r="P747" s="7">
        <v>0</v>
      </c>
      <c r="Q747" s="7">
        <v>0</v>
      </c>
      <c r="R747" s="7">
        <v>0</v>
      </c>
      <c r="S747" s="7" t="s">
        <v>7669</v>
      </c>
      <c r="T747" s="7">
        <v>1</v>
      </c>
      <c r="U747" s="7">
        <v>23</v>
      </c>
      <c r="V747" s="7">
        <v>0</v>
      </c>
      <c r="W747" s="7">
        <v>1</v>
      </c>
      <c r="X747" s="7">
        <v>0</v>
      </c>
      <c r="Y747" s="7">
        <v>0</v>
      </c>
      <c r="Z747" s="7">
        <v>0</v>
      </c>
      <c r="AA747" s="7">
        <v>0</v>
      </c>
      <c r="AB747" s="7">
        <v>1</v>
      </c>
      <c r="AC747" s="7">
        <v>1</v>
      </c>
      <c r="AD747" s="7" t="s">
        <v>5044</v>
      </c>
      <c r="AE747" s="7" t="s">
        <v>5044</v>
      </c>
      <c r="AF747" s="7" t="s">
        <v>5044</v>
      </c>
      <c r="AG747" s="7">
        <v>2</v>
      </c>
      <c r="AH747" s="7">
        <v>3</v>
      </c>
      <c r="AI747" s="7">
        <v>0</v>
      </c>
      <c r="AJ747" s="7" t="s">
        <v>5044</v>
      </c>
      <c r="AK747" s="7">
        <v>1</v>
      </c>
      <c r="AL747" s="7">
        <v>0</v>
      </c>
      <c r="AM747" s="7">
        <v>0</v>
      </c>
    </row>
    <row r="748" spans="1:40" ht="63" customHeight="1" x14ac:dyDescent="0.2">
      <c r="A748" s="7">
        <v>7596</v>
      </c>
      <c r="B748" s="7" t="s">
        <v>2540</v>
      </c>
      <c r="C748" s="7" t="s">
        <v>2541</v>
      </c>
      <c r="D748" s="7" t="s">
        <v>101</v>
      </c>
      <c r="F748" s="7" t="s">
        <v>2528</v>
      </c>
      <c r="G748" s="7" t="s">
        <v>11</v>
      </c>
      <c r="H748" s="7" t="s">
        <v>43</v>
      </c>
      <c r="I748" s="7" t="s">
        <v>13</v>
      </c>
      <c r="J748" s="7" t="s">
        <v>2542</v>
      </c>
      <c r="K748" s="7" t="s">
        <v>2543</v>
      </c>
      <c r="L748" s="8" t="s">
        <v>6161</v>
      </c>
      <c r="M748" s="7">
        <v>0</v>
      </c>
      <c r="N748" s="9" t="s">
        <v>5044</v>
      </c>
      <c r="O748" s="9" t="s">
        <v>5044</v>
      </c>
      <c r="P748" s="7">
        <v>0</v>
      </c>
      <c r="Q748" s="7">
        <v>0</v>
      </c>
      <c r="R748" s="7">
        <v>0</v>
      </c>
      <c r="S748" s="7">
        <v>1</v>
      </c>
      <c r="T748" s="7">
        <v>2</v>
      </c>
      <c r="U748" s="7">
        <v>30</v>
      </c>
      <c r="V748" s="7">
        <v>0</v>
      </c>
      <c r="W748" s="7">
        <v>1</v>
      </c>
      <c r="X748" s="7">
        <v>0</v>
      </c>
      <c r="Y748" s="7">
        <v>0</v>
      </c>
      <c r="Z748" s="7">
        <v>0</v>
      </c>
      <c r="AA748" s="7">
        <v>0</v>
      </c>
      <c r="AB748" s="7">
        <v>1</v>
      </c>
      <c r="AC748" s="7">
        <v>1</v>
      </c>
      <c r="AD748" s="7" t="s">
        <v>5044</v>
      </c>
      <c r="AE748" s="7" t="s">
        <v>5044</v>
      </c>
      <c r="AF748" s="7" t="s">
        <v>5044</v>
      </c>
      <c r="AG748" s="7">
        <v>2</v>
      </c>
      <c r="AH748" s="7">
        <v>2</v>
      </c>
      <c r="AI748" s="7">
        <v>2</v>
      </c>
      <c r="AJ748" s="7" t="s">
        <v>5044</v>
      </c>
      <c r="AL748" s="7">
        <v>0</v>
      </c>
      <c r="AM748" s="7">
        <v>0</v>
      </c>
    </row>
    <row r="749" spans="1:40" ht="63" customHeight="1" x14ac:dyDescent="0.2">
      <c r="A749" s="7">
        <v>7601</v>
      </c>
      <c r="B749" s="7" t="s">
        <v>2544</v>
      </c>
      <c r="C749" s="7" t="s">
        <v>2545</v>
      </c>
      <c r="D749" s="7" t="s">
        <v>16</v>
      </c>
      <c r="F749" s="7" t="s">
        <v>17</v>
      </c>
      <c r="G749" s="7" t="s">
        <v>32</v>
      </c>
      <c r="H749" s="7" t="s">
        <v>19</v>
      </c>
      <c r="I749" s="7" t="s">
        <v>13</v>
      </c>
      <c r="J749" s="7" t="s">
        <v>2546</v>
      </c>
      <c r="K749" s="7" t="s">
        <v>2547</v>
      </c>
      <c r="L749" s="6" t="s">
        <v>6162</v>
      </c>
      <c r="M749" s="7">
        <v>1</v>
      </c>
      <c r="N749" s="7">
        <v>0</v>
      </c>
      <c r="O749" s="9" t="s">
        <v>5044</v>
      </c>
      <c r="P749" s="7">
        <v>0</v>
      </c>
      <c r="Q749" s="7">
        <v>0</v>
      </c>
      <c r="R749" s="7">
        <v>0</v>
      </c>
      <c r="S749" s="7">
        <v>1</v>
      </c>
      <c r="T749" s="7">
        <v>2</v>
      </c>
      <c r="U749" s="7">
        <v>1230</v>
      </c>
      <c r="V749" s="7">
        <v>0</v>
      </c>
      <c r="W749" s="7">
        <v>1</v>
      </c>
      <c r="X749" s="7">
        <v>0</v>
      </c>
      <c r="Y749" s="7">
        <v>0</v>
      </c>
      <c r="Z749" s="7">
        <v>0</v>
      </c>
      <c r="AA749" s="7">
        <v>0</v>
      </c>
      <c r="AB749" s="7">
        <v>1</v>
      </c>
      <c r="AC749" s="7" t="s">
        <v>5044</v>
      </c>
      <c r="AD749" s="7" t="s">
        <v>5044</v>
      </c>
      <c r="AE749" s="7" t="s">
        <v>5044</v>
      </c>
      <c r="AF749" s="7" t="s">
        <v>5044</v>
      </c>
      <c r="AG749" s="7" t="s">
        <v>5044</v>
      </c>
      <c r="AH749" s="7" t="s">
        <v>5044</v>
      </c>
      <c r="AI749" s="7" t="s">
        <v>5044</v>
      </c>
      <c r="AJ749" s="7" t="s">
        <v>5044</v>
      </c>
      <c r="AL749" s="7" t="s">
        <v>5044</v>
      </c>
      <c r="AM749" s="7">
        <v>0</v>
      </c>
    </row>
    <row r="750" spans="1:40" ht="63" customHeight="1" x14ac:dyDescent="0.2">
      <c r="A750" s="7">
        <v>7602</v>
      </c>
      <c r="B750" s="7" t="s">
        <v>2548</v>
      </c>
      <c r="C750" s="7" t="s">
        <v>2549</v>
      </c>
      <c r="D750" s="7" t="s">
        <v>22</v>
      </c>
      <c r="F750" s="7" t="s">
        <v>1048</v>
      </c>
      <c r="G750" s="7" t="s">
        <v>32</v>
      </c>
      <c r="H750" s="7" t="s">
        <v>43</v>
      </c>
      <c r="I750" s="7" t="s">
        <v>13</v>
      </c>
      <c r="J750" s="7" t="s">
        <v>2550</v>
      </c>
      <c r="K750" s="7" t="s">
        <v>2551</v>
      </c>
      <c r="L750" s="6" t="s">
        <v>6163</v>
      </c>
      <c r="M750" s="7">
        <v>0</v>
      </c>
      <c r="N750" s="9" t="s">
        <v>5044</v>
      </c>
      <c r="O750" s="9" t="s">
        <v>5044</v>
      </c>
      <c r="P750" s="7">
        <v>0</v>
      </c>
      <c r="Q750" s="7">
        <v>0</v>
      </c>
      <c r="R750" s="7">
        <v>0</v>
      </c>
      <c r="S750" s="7">
        <v>9</v>
      </c>
      <c r="T750" s="7">
        <v>2</v>
      </c>
      <c r="U750" s="7">
        <v>146</v>
      </c>
      <c r="V750" s="7">
        <v>0</v>
      </c>
      <c r="W750" s="7">
        <v>1</v>
      </c>
      <c r="X750" s="7">
        <v>0</v>
      </c>
      <c r="Y750" s="7">
        <v>0</v>
      </c>
      <c r="Z750" s="7">
        <v>0</v>
      </c>
      <c r="AA750" s="7">
        <v>0</v>
      </c>
      <c r="AB750" s="7">
        <v>1</v>
      </c>
      <c r="AC750" s="7">
        <v>1</v>
      </c>
      <c r="AD750" s="7" t="s">
        <v>5044</v>
      </c>
      <c r="AE750" s="7" t="s">
        <v>5044</v>
      </c>
      <c r="AF750" s="7" t="s">
        <v>5044</v>
      </c>
      <c r="AG750" s="7">
        <v>2</v>
      </c>
      <c r="AH750" s="7">
        <v>2</v>
      </c>
      <c r="AI750" s="7">
        <v>2</v>
      </c>
      <c r="AJ750" s="7" t="s">
        <v>5044</v>
      </c>
      <c r="AL750" s="7">
        <v>1</v>
      </c>
      <c r="AM750" s="7">
        <v>0</v>
      </c>
    </row>
    <row r="751" spans="1:40" ht="63" customHeight="1" x14ac:dyDescent="0.2">
      <c r="A751" s="7">
        <v>7614</v>
      </c>
      <c r="B751" s="7" t="s">
        <v>2552</v>
      </c>
      <c r="C751" s="7" t="s">
        <v>2553</v>
      </c>
      <c r="D751" s="7" t="s">
        <v>149</v>
      </c>
      <c r="F751" s="7" t="s">
        <v>788</v>
      </c>
      <c r="G751" s="7" t="s">
        <v>144</v>
      </c>
      <c r="H751" s="7" t="s">
        <v>1043</v>
      </c>
      <c r="I751" s="7" t="s">
        <v>13</v>
      </c>
      <c r="J751" s="7" t="s">
        <v>2554</v>
      </c>
      <c r="K751" s="7" t="s">
        <v>2555</v>
      </c>
      <c r="L751" s="11" t="s">
        <v>5044</v>
      </c>
      <c r="M751" s="7">
        <v>0</v>
      </c>
      <c r="N751" s="9" t="s">
        <v>5044</v>
      </c>
      <c r="O751" s="9" t="s">
        <v>5044</v>
      </c>
      <c r="P751" s="7">
        <v>0</v>
      </c>
      <c r="Q751" s="7">
        <v>0</v>
      </c>
      <c r="R751" s="7">
        <v>0</v>
      </c>
      <c r="S751" s="7">
        <v>3</v>
      </c>
      <c r="T751" s="7">
        <v>1</v>
      </c>
      <c r="U751" s="7">
        <v>60</v>
      </c>
      <c r="V751" s="7">
        <v>0</v>
      </c>
      <c r="W751" s="7">
        <v>1</v>
      </c>
      <c r="X751" s="7">
        <v>0</v>
      </c>
      <c r="Y751" s="7">
        <v>0</v>
      </c>
      <c r="Z751" s="7">
        <v>0</v>
      </c>
      <c r="AA751" s="7">
        <v>0</v>
      </c>
      <c r="AB751" s="7">
        <v>1</v>
      </c>
      <c r="AC751" s="7">
        <v>1</v>
      </c>
      <c r="AD751" s="7" t="s">
        <v>5044</v>
      </c>
      <c r="AE751" s="7" t="s">
        <v>5044</v>
      </c>
      <c r="AF751" s="7" t="s">
        <v>5044</v>
      </c>
      <c r="AG751" s="7">
        <v>1</v>
      </c>
      <c r="AH751" s="7">
        <v>0</v>
      </c>
      <c r="AI751" s="7">
        <v>0</v>
      </c>
      <c r="AJ751" s="7" t="s">
        <v>5044</v>
      </c>
      <c r="AL751" s="7" t="s">
        <v>5044</v>
      </c>
      <c r="AM751" s="7">
        <v>0</v>
      </c>
      <c r="AN751" s="7" t="s">
        <v>5105</v>
      </c>
    </row>
    <row r="752" spans="1:40" ht="63" customHeight="1" x14ac:dyDescent="0.2">
      <c r="A752" s="7">
        <v>7616</v>
      </c>
      <c r="B752" s="7" t="s">
        <v>2556</v>
      </c>
      <c r="C752" s="7" t="s">
        <v>2557</v>
      </c>
      <c r="D752" s="7" t="s">
        <v>41</v>
      </c>
      <c r="F752" s="7" t="s">
        <v>338</v>
      </c>
      <c r="G752" s="7" t="s">
        <v>27</v>
      </c>
      <c r="H752" s="7" t="s">
        <v>2558</v>
      </c>
      <c r="I752" s="7" t="s">
        <v>13</v>
      </c>
      <c r="J752" s="7" t="s">
        <v>2559</v>
      </c>
      <c r="K752" s="7" t="s">
        <v>2560</v>
      </c>
      <c r="L752" s="7" t="s">
        <v>6164</v>
      </c>
      <c r="M752" s="7">
        <v>0</v>
      </c>
      <c r="N752" s="9" t="s">
        <v>5044</v>
      </c>
      <c r="O752" s="9" t="s">
        <v>5044</v>
      </c>
      <c r="P752" s="7">
        <v>0</v>
      </c>
      <c r="Q752" s="7">
        <v>0</v>
      </c>
      <c r="R752" s="7">
        <v>0</v>
      </c>
      <c r="S752" s="7">
        <v>3</v>
      </c>
      <c r="T752" s="7">
        <v>1</v>
      </c>
      <c r="U752" s="7">
        <v>204</v>
      </c>
      <c r="V752" s="7">
        <v>0</v>
      </c>
      <c r="W752" s="7">
        <v>1</v>
      </c>
      <c r="X752" s="7">
        <v>0</v>
      </c>
      <c r="Y752" s="7">
        <v>0</v>
      </c>
      <c r="Z752" s="7">
        <v>0</v>
      </c>
      <c r="AA752" s="7">
        <v>0</v>
      </c>
      <c r="AB752" s="7">
        <v>1</v>
      </c>
      <c r="AC752" s="7">
        <v>1</v>
      </c>
      <c r="AD752" s="7" t="s">
        <v>5044</v>
      </c>
      <c r="AE752" s="7" t="s">
        <v>5044</v>
      </c>
      <c r="AF752" s="7" t="s">
        <v>5044</v>
      </c>
      <c r="AG752" s="7">
        <v>2</v>
      </c>
      <c r="AH752" s="7">
        <v>3</v>
      </c>
      <c r="AI752" s="7">
        <v>0</v>
      </c>
      <c r="AJ752" s="7" t="s">
        <v>5044</v>
      </c>
      <c r="AK752" s="7">
        <v>1</v>
      </c>
      <c r="AL752" s="7">
        <v>1</v>
      </c>
      <c r="AM752" s="7">
        <v>0</v>
      </c>
    </row>
    <row r="753" spans="1:40" ht="63" customHeight="1" x14ac:dyDescent="0.2">
      <c r="A753" s="7">
        <v>7620</v>
      </c>
      <c r="B753" s="7" t="s">
        <v>2561</v>
      </c>
      <c r="C753" s="7" t="s">
        <v>2562</v>
      </c>
      <c r="D753" s="7" t="s">
        <v>101</v>
      </c>
      <c r="F753" s="7" t="s">
        <v>932</v>
      </c>
      <c r="G753" s="7" t="s">
        <v>11</v>
      </c>
      <c r="H753" s="7" t="s">
        <v>38</v>
      </c>
      <c r="I753" s="7" t="s">
        <v>13</v>
      </c>
      <c r="J753" s="7" t="s">
        <v>2563</v>
      </c>
      <c r="K753" s="7" t="s">
        <v>2564</v>
      </c>
      <c r="L753" s="6" t="s">
        <v>6165</v>
      </c>
      <c r="M753" s="7">
        <v>0</v>
      </c>
      <c r="N753" s="9" t="s">
        <v>5044</v>
      </c>
      <c r="O753" s="9" t="s">
        <v>5044</v>
      </c>
      <c r="P753" s="7">
        <v>0</v>
      </c>
      <c r="Q753" s="7">
        <v>0</v>
      </c>
      <c r="R753" s="7">
        <v>0</v>
      </c>
      <c r="S753" s="7">
        <v>1</v>
      </c>
      <c r="T753" s="7">
        <v>4</v>
      </c>
      <c r="U753" s="7">
        <v>100</v>
      </c>
      <c r="V753" s="7">
        <v>0</v>
      </c>
      <c r="W753" s="7">
        <v>1</v>
      </c>
      <c r="X753" s="7">
        <v>0</v>
      </c>
      <c r="Y753" s="7">
        <v>0</v>
      </c>
      <c r="Z753" s="7">
        <v>0</v>
      </c>
      <c r="AA753" s="7">
        <v>0</v>
      </c>
      <c r="AB753" s="7">
        <v>1</v>
      </c>
      <c r="AC753" s="7">
        <v>1</v>
      </c>
      <c r="AD753" s="7" t="s">
        <v>5044</v>
      </c>
      <c r="AE753" s="7" t="s">
        <v>5044</v>
      </c>
      <c r="AF753" s="7" t="s">
        <v>5044</v>
      </c>
      <c r="AG753" s="7">
        <v>2</v>
      </c>
      <c r="AH753" s="7">
        <v>3</v>
      </c>
      <c r="AI753" s="7">
        <v>0</v>
      </c>
      <c r="AJ753" s="7" t="s">
        <v>5044</v>
      </c>
      <c r="AK753" s="7">
        <v>1</v>
      </c>
      <c r="AL753" s="7" t="s">
        <v>5044</v>
      </c>
      <c r="AM753" s="7">
        <v>0</v>
      </c>
      <c r="AN753" s="7" t="s">
        <v>6294</v>
      </c>
    </row>
    <row r="754" spans="1:40" ht="63" customHeight="1" x14ac:dyDescent="0.2">
      <c r="A754" s="7">
        <v>7624</v>
      </c>
      <c r="B754" s="7" t="s">
        <v>2565</v>
      </c>
      <c r="C754" s="7" t="s">
        <v>2566</v>
      </c>
      <c r="D754" s="7" t="s">
        <v>41</v>
      </c>
      <c r="E754" s="7" t="s">
        <v>305</v>
      </c>
      <c r="F754" s="7" t="s">
        <v>92</v>
      </c>
      <c r="G754" s="7" t="s">
        <v>47</v>
      </c>
      <c r="H754" s="7" t="s">
        <v>19</v>
      </c>
      <c r="I754" s="7" t="s">
        <v>13</v>
      </c>
      <c r="J754" s="7" t="s">
        <v>2567</v>
      </c>
      <c r="K754" s="7" t="s">
        <v>2568</v>
      </c>
      <c r="L754" s="6" t="s">
        <v>6166</v>
      </c>
      <c r="M754" s="7">
        <v>1</v>
      </c>
      <c r="N754" s="7">
        <v>0</v>
      </c>
      <c r="O754" s="9" t="s">
        <v>5044</v>
      </c>
      <c r="P754" s="7">
        <v>0</v>
      </c>
      <c r="Q754" s="7">
        <v>0</v>
      </c>
      <c r="R754" s="7">
        <v>0</v>
      </c>
      <c r="S754" s="7" t="s">
        <v>5170</v>
      </c>
      <c r="T754" s="7">
        <v>1</v>
      </c>
      <c r="U754" s="7">
        <v>372</v>
      </c>
      <c r="V754" s="7">
        <v>0</v>
      </c>
      <c r="W754" s="7">
        <v>1</v>
      </c>
      <c r="X754" s="7">
        <v>0</v>
      </c>
      <c r="Y754" s="7">
        <v>0</v>
      </c>
      <c r="Z754" s="7">
        <v>0</v>
      </c>
      <c r="AA754" s="7">
        <v>0</v>
      </c>
      <c r="AB754" s="7">
        <v>1</v>
      </c>
      <c r="AC754" s="7" t="s">
        <v>5044</v>
      </c>
      <c r="AD754" s="7" t="s">
        <v>5044</v>
      </c>
      <c r="AE754" s="7" t="s">
        <v>5044</v>
      </c>
      <c r="AF754" s="7" t="s">
        <v>5044</v>
      </c>
      <c r="AG754" s="7" t="s">
        <v>5044</v>
      </c>
      <c r="AH754" s="7" t="s">
        <v>5044</v>
      </c>
      <c r="AI754" s="7" t="s">
        <v>5044</v>
      </c>
      <c r="AJ754" s="7" t="s">
        <v>5044</v>
      </c>
      <c r="AL754" s="7" t="s">
        <v>5044</v>
      </c>
      <c r="AM754" s="7">
        <v>0</v>
      </c>
    </row>
    <row r="755" spans="1:40" ht="63" customHeight="1" x14ac:dyDescent="0.2">
      <c r="A755" s="7">
        <v>7625</v>
      </c>
      <c r="B755" s="7" t="s">
        <v>2569</v>
      </c>
      <c r="C755" s="7" t="s">
        <v>2570</v>
      </c>
      <c r="D755" s="7" t="s">
        <v>16</v>
      </c>
      <c r="F755" s="7" t="s">
        <v>118</v>
      </c>
      <c r="G755" s="7" t="s">
        <v>52</v>
      </c>
      <c r="H755" s="7" t="s">
        <v>837</v>
      </c>
      <c r="I755" s="7" t="s">
        <v>13</v>
      </c>
      <c r="J755" s="7" t="s">
        <v>2571</v>
      </c>
      <c r="K755" s="7" t="s">
        <v>2572</v>
      </c>
      <c r="L755" s="8" t="s">
        <v>6167</v>
      </c>
      <c r="M755" s="7">
        <v>1</v>
      </c>
      <c r="N755" s="7">
        <v>0</v>
      </c>
      <c r="O755" s="9" t="s">
        <v>5044</v>
      </c>
      <c r="P755" s="7">
        <v>0</v>
      </c>
      <c r="Q755" s="7">
        <v>0</v>
      </c>
      <c r="R755" s="7">
        <v>0</v>
      </c>
      <c r="S755" s="7">
        <v>4</v>
      </c>
      <c r="T755" s="7">
        <v>1</v>
      </c>
      <c r="U755" s="7">
        <v>310</v>
      </c>
      <c r="V755" s="7">
        <v>0</v>
      </c>
      <c r="W755" s="7">
        <v>1</v>
      </c>
      <c r="X755" s="7">
        <v>0</v>
      </c>
      <c r="Y755" s="7">
        <v>0</v>
      </c>
      <c r="Z755" s="7">
        <v>0</v>
      </c>
      <c r="AA755" s="7">
        <v>0</v>
      </c>
      <c r="AB755" s="7">
        <v>1</v>
      </c>
      <c r="AC755" s="7" t="s">
        <v>5044</v>
      </c>
      <c r="AD755" s="7" t="s">
        <v>5044</v>
      </c>
      <c r="AE755" s="7" t="s">
        <v>5044</v>
      </c>
      <c r="AF755" s="7" t="s">
        <v>5044</v>
      </c>
      <c r="AG755" s="7" t="s">
        <v>5044</v>
      </c>
      <c r="AH755" s="7" t="s">
        <v>5044</v>
      </c>
      <c r="AI755" s="7" t="s">
        <v>5044</v>
      </c>
      <c r="AJ755" s="7" t="s">
        <v>5044</v>
      </c>
      <c r="AL755" s="7" t="s">
        <v>5044</v>
      </c>
      <c r="AM755" s="7">
        <v>0</v>
      </c>
    </row>
    <row r="756" spans="1:40" ht="63" customHeight="1" x14ac:dyDescent="0.2">
      <c r="A756" s="7">
        <v>7626</v>
      </c>
      <c r="B756" s="7" t="s">
        <v>2573</v>
      </c>
      <c r="C756" s="7" t="s">
        <v>2574</v>
      </c>
      <c r="D756" s="7" t="s">
        <v>74</v>
      </c>
      <c r="F756" s="7" t="s">
        <v>74</v>
      </c>
      <c r="H756" s="7" t="s">
        <v>126</v>
      </c>
      <c r="I756" s="7" t="s">
        <v>13</v>
      </c>
      <c r="J756" s="7" t="s">
        <v>2575</v>
      </c>
      <c r="K756" s="7" t="s">
        <v>2576</v>
      </c>
      <c r="L756" s="11" t="s">
        <v>5044</v>
      </c>
      <c r="M756" s="7">
        <v>0</v>
      </c>
      <c r="N756" s="9" t="s">
        <v>5044</v>
      </c>
      <c r="O756" s="9" t="s">
        <v>5044</v>
      </c>
      <c r="P756" s="7">
        <v>0</v>
      </c>
      <c r="Q756" s="7">
        <v>0</v>
      </c>
      <c r="R756" s="7">
        <v>0</v>
      </c>
      <c r="S756" s="7">
        <v>2</v>
      </c>
      <c r="T756" s="7">
        <v>4</v>
      </c>
      <c r="U756" s="7">
        <v>60</v>
      </c>
      <c r="V756" s="7">
        <v>0</v>
      </c>
      <c r="W756" s="7">
        <v>1</v>
      </c>
      <c r="X756" s="7">
        <v>0</v>
      </c>
      <c r="Y756" s="7">
        <v>0</v>
      </c>
      <c r="Z756" s="7">
        <v>0</v>
      </c>
      <c r="AA756" s="7">
        <v>0</v>
      </c>
      <c r="AB756" s="7">
        <v>1</v>
      </c>
      <c r="AC756" s="7">
        <v>1</v>
      </c>
      <c r="AD756" s="7" t="s">
        <v>5044</v>
      </c>
      <c r="AE756" s="7" t="s">
        <v>5044</v>
      </c>
      <c r="AF756" s="7" t="s">
        <v>5044</v>
      </c>
      <c r="AG756" s="7">
        <v>1</v>
      </c>
      <c r="AH756" s="7">
        <v>0</v>
      </c>
      <c r="AI756" s="7">
        <v>0</v>
      </c>
      <c r="AJ756" s="7" t="s">
        <v>5044</v>
      </c>
      <c r="AL756" s="7">
        <v>0</v>
      </c>
      <c r="AM756" s="7">
        <v>0</v>
      </c>
    </row>
    <row r="757" spans="1:40" ht="63" customHeight="1" x14ac:dyDescent="0.2">
      <c r="A757" s="7">
        <v>7657</v>
      </c>
      <c r="B757" s="7" t="s">
        <v>2577</v>
      </c>
      <c r="C757" s="7" t="s">
        <v>2578</v>
      </c>
      <c r="D757" s="7" t="s">
        <v>22</v>
      </c>
      <c r="F757" s="7" t="s">
        <v>83</v>
      </c>
      <c r="G757" s="7" t="s">
        <v>144</v>
      </c>
      <c r="H757" s="7" t="s">
        <v>160</v>
      </c>
      <c r="I757" s="7" t="s">
        <v>13</v>
      </c>
      <c r="J757" s="7" t="s">
        <v>2579</v>
      </c>
      <c r="K757" s="7" t="s">
        <v>2580</v>
      </c>
      <c r="L757" s="6" t="s">
        <v>5878</v>
      </c>
      <c r="M757" s="7">
        <v>0</v>
      </c>
      <c r="N757" s="9" t="s">
        <v>5044</v>
      </c>
      <c r="O757" s="9" t="s">
        <v>5044</v>
      </c>
      <c r="P757" s="7">
        <v>0</v>
      </c>
      <c r="Q757" s="7">
        <v>0</v>
      </c>
      <c r="R757" s="7">
        <v>0</v>
      </c>
      <c r="S757" s="7">
        <v>1</v>
      </c>
      <c r="T757" s="7">
        <v>4</v>
      </c>
      <c r="U757" s="7">
        <v>194</v>
      </c>
      <c r="V757" s="7">
        <v>1</v>
      </c>
      <c r="W757" s="7">
        <v>0</v>
      </c>
      <c r="X757" s="7">
        <v>0</v>
      </c>
      <c r="Y757" s="7">
        <v>0</v>
      </c>
      <c r="Z757" s="7">
        <v>0</v>
      </c>
      <c r="AA757" s="7">
        <v>0</v>
      </c>
      <c r="AB757" s="7">
        <v>1</v>
      </c>
      <c r="AC757" s="7">
        <v>1</v>
      </c>
      <c r="AD757" s="7">
        <v>1</v>
      </c>
      <c r="AE757" s="7">
        <v>0</v>
      </c>
      <c r="AF757" s="7">
        <v>0</v>
      </c>
      <c r="AG757" s="7" t="s">
        <v>5044</v>
      </c>
      <c r="AH757" s="7" t="s">
        <v>5044</v>
      </c>
      <c r="AI757" s="7" t="s">
        <v>5044</v>
      </c>
      <c r="AJ757" s="7" t="s">
        <v>5044</v>
      </c>
      <c r="AL757" s="7">
        <v>0</v>
      </c>
      <c r="AM757" s="7">
        <v>0</v>
      </c>
    </row>
    <row r="758" spans="1:40" ht="63" customHeight="1" x14ac:dyDescent="0.2">
      <c r="A758" s="7">
        <v>7659</v>
      </c>
      <c r="B758" s="7" t="s">
        <v>2581</v>
      </c>
      <c r="C758" s="7" t="s">
        <v>2582</v>
      </c>
      <c r="D758" s="7" t="s">
        <v>22</v>
      </c>
      <c r="F758" s="7" t="s">
        <v>83</v>
      </c>
      <c r="G758" s="7" t="s">
        <v>175</v>
      </c>
      <c r="H758" s="7" t="s">
        <v>160</v>
      </c>
      <c r="I758" s="7" t="s">
        <v>13</v>
      </c>
      <c r="J758" s="7" t="s">
        <v>2583</v>
      </c>
      <c r="K758" s="7" t="s">
        <v>2584</v>
      </c>
      <c r="L758" s="8" t="s">
        <v>6168</v>
      </c>
      <c r="M758" s="7">
        <v>0</v>
      </c>
      <c r="N758" s="9" t="s">
        <v>5044</v>
      </c>
      <c r="O758" s="9" t="s">
        <v>5044</v>
      </c>
      <c r="P758" s="7">
        <v>0</v>
      </c>
      <c r="Q758" s="7">
        <v>0</v>
      </c>
      <c r="R758" s="7">
        <v>0</v>
      </c>
      <c r="S758" s="7">
        <v>1</v>
      </c>
      <c r="T758" s="7">
        <v>4</v>
      </c>
      <c r="U758" s="7">
        <v>194</v>
      </c>
      <c r="V758" s="7">
        <v>1</v>
      </c>
      <c r="W758" s="7">
        <v>0</v>
      </c>
      <c r="X758" s="7">
        <v>0</v>
      </c>
      <c r="Y758" s="7">
        <v>0</v>
      </c>
      <c r="Z758" s="7">
        <v>0</v>
      </c>
      <c r="AA758" s="7">
        <v>0</v>
      </c>
      <c r="AB758" s="7">
        <v>1</v>
      </c>
      <c r="AC758" s="7">
        <v>1</v>
      </c>
      <c r="AD758" s="7">
        <v>1</v>
      </c>
      <c r="AE758" s="7">
        <v>0</v>
      </c>
      <c r="AF758" s="7">
        <v>0</v>
      </c>
      <c r="AG758" s="7" t="s">
        <v>5044</v>
      </c>
      <c r="AH758" s="7" t="s">
        <v>5044</v>
      </c>
      <c r="AI758" s="7" t="s">
        <v>5044</v>
      </c>
      <c r="AJ758" s="7" t="s">
        <v>5044</v>
      </c>
      <c r="AL758" s="7">
        <v>0</v>
      </c>
      <c r="AM758" s="7">
        <v>0</v>
      </c>
    </row>
    <row r="759" spans="1:40" ht="63" customHeight="1" x14ac:dyDescent="0.2">
      <c r="A759" s="7">
        <v>7664</v>
      </c>
      <c r="B759" s="7" t="s">
        <v>2585</v>
      </c>
      <c r="C759" s="7" t="s">
        <v>2586</v>
      </c>
      <c r="D759" s="7" t="s">
        <v>46</v>
      </c>
      <c r="F759" s="7" t="s">
        <v>867</v>
      </c>
      <c r="H759" s="7" t="s">
        <v>1940</v>
      </c>
      <c r="I759" s="7" t="s">
        <v>13</v>
      </c>
      <c r="J759" s="7" t="s">
        <v>2587</v>
      </c>
      <c r="K759" s="7" t="s">
        <v>2588</v>
      </c>
      <c r="L759" s="11" t="s">
        <v>5044</v>
      </c>
      <c r="M759" s="7">
        <v>0</v>
      </c>
      <c r="N759" s="9" t="s">
        <v>5044</v>
      </c>
      <c r="O759" s="9" t="s">
        <v>5044</v>
      </c>
      <c r="P759" s="7">
        <v>0</v>
      </c>
      <c r="Q759" s="7">
        <v>0</v>
      </c>
      <c r="R759" s="7">
        <v>0</v>
      </c>
      <c r="S759" s="7">
        <v>1</v>
      </c>
      <c r="T759" s="7">
        <v>4</v>
      </c>
      <c r="U759" s="7">
        <v>40</v>
      </c>
      <c r="V759" s="7">
        <v>0</v>
      </c>
      <c r="W759" s="7">
        <v>1</v>
      </c>
      <c r="X759" s="7">
        <v>0</v>
      </c>
      <c r="Y759" s="7">
        <v>0</v>
      </c>
      <c r="Z759" s="7">
        <v>0</v>
      </c>
      <c r="AA759" s="7">
        <v>0</v>
      </c>
      <c r="AB759" s="7">
        <v>1</v>
      </c>
      <c r="AC759" s="7">
        <v>0</v>
      </c>
      <c r="AD759" s="7" t="s">
        <v>5044</v>
      </c>
      <c r="AE759" s="7" t="s">
        <v>5044</v>
      </c>
      <c r="AF759" s="7" t="s">
        <v>5044</v>
      </c>
      <c r="AG759" s="7">
        <v>0</v>
      </c>
      <c r="AH759" s="7" t="s">
        <v>5044</v>
      </c>
      <c r="AI759" s="7" t="s">
        <v>5044</v>
      </c>
      <c r="AJ759" s="7" t="s">
        <v>5044</v>
      </c>
      <c r="AL759" s="7">
        <v>0</v>
      </c>
      <c r="AM759" s="7">
        <v>0</v>
      </c>
    </row>
    <row r="760" spans="1:40" ht="63" customHeight="1" x14ac:dyDescent="0.2">
      <c r="A760" s="7">
        <v>7677</v>
      </c>
      <c r="B760" s="7" t="s">
        <v>2589</v>
      </c>
      <c r="C760" s="7" t="s">
        <v>2590</v>
      </c>
      <c r="D760" s="7" t="s">
        <v>16</v>
      </c>
      <c r="F760" s="7" t="s">
        <v>1700</v>
      </c>
      <c r="G760" s="7" t="s">
        <v>52</v>
      </c>
      <c r="H760" s="7" t="s">
        <v>596</v>
      </c>
      <c r="I760" s="7" t="s">
        <v>13</v>
      </c>
      <c r="J760" s="7" t="s">
        <v>2591</v>
      </c>
      <c r="K760" s="7" t="s">
        <v>2592</v>
      </c>
      <c r="L760" s="8" t="s">
        <v>6169</v>
      </c>
      <c r="M760" s="7">
        <v>0</v>
      </c>
      <c r="N760" s="9" t="s">
        <v>5044</v>
      </c>
      <c r="O760" s="9" t="s">
        <v>5044</v>
      </c>
      <c r="P760" s="7">
        <v>0</v>
      </c>
      <c r="Q760" s="7">
        <v>0</v>
      </c>
      <c r="R760" s="7">
        <v>0</v>
      </c>
      <c r="S760" s="7">
        <v>1</v>
      </c>
      <c r="T760" s="7">
        <v>4</v>
      </c>
      <c r="U760" s="7">
        <v>50</v>
      </c>
      <c r="V760" s="7">
        <v>0</v>
      </c>
      <c r="W760" s="7">
        <v>1</v>
      </c>
      <c r="X760" s="7">
        <v>0</v>
      </c>
      <c r="Y760" s="7">
        <v>0</v>
      </c>
      <c r="Z760" s="7">
        <v>0</v>
      </c>
      <c r="AA760" s="7">
        <v>0</v>
      </c>
      <c r="AB760" s="7">
        <v>1</v>
      </c>
      <c r="AC760" s="7">
        <v>0</v>
      </c>
      <c r="AD760" s="7" t="s">
        <v>5044</v>
      </c>
      <c r="AE760" s="7" t="s">
        <v>5044</v>
      </c>
      <c r="AF760" s="7" t="s">
        <v>5044</v>
      </c>
      <c r="AG760" s="7">
        <v>0</v>
      </c>
      <c r="AH760" s="7" t="s">
        <v>5044</v>
      </c>
      <c r="AI760" s="7" t="s">
        <v>5044</v>
      </c>
      <c r="AJ760" s="7" t="s">
        <v>5044</v>
      </c>
      <c r="AL760" s="7">
        <v>0</v>
      </c>
      <c r="AM760" s="7">
        <v>0</v>
      </c>
    </row>
    <row r="761" spans="1:40" ht="63" customHeight="1" x14ac:dyDescent="0.2">
      <c r="A761" s="7">
        <v>7705</v>
      </c>
      <c r="B761" s="7" t="s">
        <v>2593</v>
      </c>
      <c r="C761" s="7" t="s">
        <v>2594</v>
      </c>
      <c r="D761" s="7" t="s">
        <v>95</v>
      </c>
      <c r="F761" s="7" t="s">
        <v>356</v>
      </c>
      <c r="H761" s="7" t="s">
        <v>238</v>
      </c>
      <c r="I761" s="7" t="s">
        <v>13</v>
      </c>
      <c r="J761" s="7" t="s">
        <v>2595</v>
      </c>
      <c r="K761" s="7" t="s">
        <v>2596</v>
      </c>
      <c r="L761" s="8" t="s">
        <v>6170</v>
      </c>
      <c r="M761" s="7">
        <v>0</v>
      </c>
      <c r="N761" s="9" t="s">
        <v>5044</v>
      </c>
      <c r="O761" s="9" t="s">
        <v>5044</v>
      </c>
      <c r="P761" s="7">
        <v>0</v>
      </c>
      <c r="Q761" s="7">
        <v>0</v>
      </c>
      <c r="R761" s="7">
        <v>0</v>
      </c>
      <c r="S761" s="7">
        <v>3</v>
      </c>
      <c r="T761" s="7">
        <v>1</v>
      </c>
      <c r="U761" s="7">
        <v>55</v>
      </c>
      <c r="V761" s="7">
        <v>0</v>
      </c>
      <c r="W761" s="7">
        <v>1</v>
      </c>
      <c r="X761" s="7">
        <v>0</v>
      </c>
      <c r="Y761" s="7">
        <v>0</v>
      </c>
      <c r="Z761" s="7">
        <v>0</v>
      </c>
      <c r="AA761" s="7">
        <v>0</v>
      </c>
      <c r="AB761" s="7">
        <v>1</v>
      </c>
      <c r="AC761" s="7">
        <v>1</v>
      </c>
      <c r="AD761" s="7" t="s">
        <v>5044</v>
      </c>
      <c r="AE761" s="7" t="s">
        <v>5044</v>
      </c>
      <c r="AF761" s="7" t="s">
        <v>5044</v>
      </c>
      <c r="AG761" s="7">
        <v>1</v>
      </c>
      <c r="AH761" s="7">
        <v>0</v>
      </c>
      <c r="AI761" s="7">
        <v>0</v>
      </c>
      <c r="AJ761" s="7" t="s">
        <v>5044</v>
      </c>
      <c r="AL761" s="7">
        <v>0</v>
      </c>
      <c r="AM761" s="7">
        <v>0</v>
      </c>
    </row>
    <row r="762" spans="1:40" ht="63" customHeight="1" x14ac:dyDescent="0.2">
      <c r="A762" s="7">
        <v>7710</v>
      </c>
      <c r="B762" s="7" t="s">
        <v>2597</v>
      </c>
      <c r="C762" s="7" t="s">
        <v>2598</v>
      </c>
      <c r="D762" s="7" t="s">
        <v>16</v>
      </c>
      <c r="F762" s="7" t="s">
        <v>65</v>
      </c>
      <c r="G762" s="7" t="s">
        <v>52</v>
      </c>
      <c r="H762" s="7" t="s">
        <v>2599</v>
      </c>
      <c r="I762" s="7" t="s">
        <v>13</v>
      </c>
      <c r="J762" s="7" t="s">
        <v>2600</v>
      </c>
      <c r="K762" s="7" t="s">
        <v>2601</v>
      </c>
      <c r="L762" s="6" t="s">
        <v>6171</v>
      </c>
      <c r="M762" s="7">
        <v>0</v>
      </c>
      <c r="N762" s="9" t="s">
        <v>5044</v>
      </c>
      <c r="O762" s="9" t="s">
        <v>5044</v>
      </c>
      <c r="P762" s="7">
        <v>0</v>
      </c>
      <c r="Q762" s="7">
        <v>0</v>
      </c>
      <c r="R762" s="7">
        <v>0</v>
      </c>
      <c r="S762" s="7">
        <v>5</v>
      </c>
      <c r="T762" s="7">
        <v>1</v>
      </c>
      <c r="U762" s="7">
        <v>160</v>
      </c>
      <c r="V762" s="7">
        <v>0</v>
      </c>
      <c r="W762" s="7">
        <v>1</v>
      </c>
      <c r="X762" s="7">
        <v>0</v>
      </c>
      <c r="Y762" s="7">
        <v>0</v>
      </c>
      <c r="Z762" s="7">
        <v>0</v>
      </c>
      <c r="AA762" s="7">
        <v>0</v>
      </c>
      <c r="AB762" s="7">
        <v>1</v>
      </c>
      <c r="AC762" s="7">
        <v>1</v>
      </c>
      <c r="AD762" s="7" t="s">
        <v>5044</v>
      </c>
      <c r="AE762" s="7" t="s">
        <v>5044</v>
      </c>
      <c r="AF762" s="7" t="s">
        <v>5044</v>
      </c>
      <c r="AG762" s="7">
        <v>1</v>
      </c>
      <c r="AH762" s="7">
        <v>0</v>
      </c>
      <c r="AI762" s="7">
        <v>0</v>
      </c>
      <c r="AJ762" s="7" t="s">
        <v>5044</v>
      </c>
      <c r="AL762" s="7" t="s">
        <v>5044</v>
      </c>
      <c r="AM762" s="7">
        <v>0</v>
      </c>
      <c r="AN762" s="7" t="s">
        <v>5105</v>
      </c>
    </row>
    <row r="763" spans="1:40" ht="63" customHeight="1" x14ac:dyDescent="0.2">
      <c r="A763" s="7">
        <v>7723</v>
      </c>
      <c r="B763" s="7" t="s">
        <v>2602</v>
      </c>
      <c r="C763" s="7" t="s">
        <v>2603</v>
      </c>
      <c r="D763" s="7" t="s">
        <v>46</v>
      </c>
      <c r="F763" s="7" t="s">
        <v>51</v>
      </c>
      <c r="G763" s="7" t="s">
        <v>52</v>
      </c>
      <c r="H763" s="7" t="s">
        <v>53</v>
      </c>
      <c r="I763" s="7" t="s">
        <v>13</v>
      </c>
      <c r="J763" s="7" t="s">
        <v>2604</v>
      </c>
      <c r="K763" s="7" t="s">
        <v>2605</v>
      </c>
      <c r="L763" s="8" t="s">
        <v>6172</v>
      </c>
      <c r="M763" s="7">
        <v>1</v>
      </c>
      <c r="N763" s="7">
        <v>0</v>
      </c>
      <c r="O763" s="9" t="s">
        <v>5044</v>
      </c>
      <c r="P763" s="7">
        <v>0</v>
      </c>
      <c r="Q763" s="7">
        <v>0</v>
      </c>
      <c r="R763" s="7">
        <v>0</v>
      </c>
      <c r="S763" s="7">
        <v>1</v>
      </c>
      <c r="T763" s="7">
        <v>1</v>
      </c>
      <c r="U763" s="7">
        <v>252</v>
      </c>
      <c r="V763" s="7">
        <v>1</v>
      </c>
      <c r="W763" s="7">
        <v>0</v>
      </c>
      <c r="X763" s="7">
        <v>0</v>
      </c>
      <c r="Y763" s="7">
        <v>1</v>
      </c>
      <c r="Z763" s="7">
        <v>0</v>
      </c>
      <c r="AA763" s="7">
        <v>0</v>
      </c>
      <c r="AB763" s="7">
        <v>1</v>
      </c>
      <c r="AC763" s="7" t="s">
        <v>5044</v>
      </c>
      <c r="AD763" s="7" t="s">
        <v>5044</v>
      </c>
      <c r="AE763" s="7" t="s">
        <v>5044</v>
      </c>
      <c r="AF763" s="7" t="s">
        <v>5044</v>
      </c>
      <c r="AG763" s="7" t="s">
        <v>5044</v>
      </c>
      <c r="AH763" s="7" t="s">
        <v>5044</v>
      </c>
      <c r="AI763" s="7" t="s">
        <v>5044</v>
      </c>
      <c r="AJ763" s="7" t="s">
        <v>5044</v>
      </c>
      <c r="AL763" s="7" t="s">
        <v>5044</v>
      </c>
      <c r="AM763" s="7">
        <v>0</v>
      </c>
    </row>
    <row r="764" spans="1:40" ht="63" customHeight="1" x14ac:dyDescent="0.2">
      <c r="A764" s="7">
        <v>7726</v>
      </c>
      <c r="B764" s="7" t="s">
        <v>2606</v>
      </c>
      <c r="C764" s="7" t="s">
        <v>2607</v>
      </c>
      <c r="D764" s="7" t="s">
        <v>95</v>
      </c>
      <c r="F764" s="7" t="s">
        <v>2608</v>
      </c>
      <c r="H764" s="7" t="s">
        <v>2609</v>
      </c>
      <c r="I764" s="7" t="s">
        <v>13</v>
      </c>
      <c r="J764" s="7" t="s">
        <v>2610</v>
      </c>
      <c r="K764" s="7" t="s">
        <v>2611</v>
      </c>
      <c r="L764" s="11" t="s">
        <v>5044</v>
      </c>
      <c r="M764" s="7">
        <v>0</v>
      </c>
      <c r="N764" s="9" t="s">
        <v>5044</v>
      </c>
      <c r="O764" s="9" t="s">
        <v>5044</v>
      </c>
      <c r="P764" s="7">
        <v>0</v>
      </c>
      <c r="Q764" s="7">
        <v>0</v>
      </c>
      <c r="R764" s="7">
        <v>0</v>
      </c>
      <c r="S764" s="7" t="s">
        <v>5772</v>
      </c>
      <c r="T764" s="7">
        <v>1</v>
      </c>
      <c r="U764" s="7">
        <v>110</v>
      </c>
      <c r="V764" s="7">
        <v>0</v>
      </c>
      <c r="W764" s="7">
        <v>1</v>
      </c>
      <c r="X764" s="7">
        <v>0</v>
      </c>
      <c r="Y764" s="7">
        <v>0</v>
      </c>
      <c r="Z764" s="7">
        <v>0</v>
      </c>
      <c r="AA764" s="7">
        <v>0</v>
      </c>
      <c r="AB764" s="7">
        <v>1</v>
      </c>
      <c r="AC764" s="7">
        <v>1</v>
      </c>
      <c r="AD764" s="7" t="s">
        <v>5044</v>
      </c>
      <c r="AE764" s="7" t="s">
        <v>5044</v>
      </c>
      <c r="AF764" s="7" t="s">
        <v>5044</v>
      </c>
      <c r="AG764" s="7">
        <v>2</v>
      </c>
      <c r="AH764" s="7">
        <v>2</v>
      </c>
      <c r="AI764" s="7">
        <v>3</v>
      </c>
      <c r="AJ764" s="7" t="s">
        <v>5044</v>
      </c>
      <c r="AL764" s="7">
        <v>0</v>
      </c>
      <c r="AM764" s="7">
        <v>0</v>
      </c>
    </row>
    <row r="765" spans="1:40" ht="63" customHeight="1" x14ac:dyDescent="0.2">
      <c r="A765" s="7">
        <v>7734</v>
      </c>
      <c r="B765" s="7" t="s">
        <v>2613</v>
      </c>
      <c r="C765" s="7" t="s">
        <v>2614</v>
      </c>
      <c r="D765" s="7" t="s">
        <v>30</v>
      </c>
      <c r="F765" s="7" t="s">
        <v>332</v>
      </c>
      <c r="G765" s="7" t="s">
        <v>11</v>
      </c>
      <c r="H765" s="7" t="s">
        <v>71</v>
      </c>
      <c r="I765" s="7" t="s">
        <v>13</v>
      </c>
      <c r="J765" s="7" t="s">
        <v>2615</v>
      </c>
      <c r="K765" s="7" t="s">
        <v>2616</v>
      </c>
      <c r="L765" s="11" t="s">
        <v>5044</v>
      </c>
      <c r="M765" s="7">
        <v>0</v>
      </c>
      <c r="N765" s="9" t="s">
        <v>5044</v>
      </c>
      <c r="O765" s="9" t="s">
        <v>5044</v>
      </c>
      <c r="P765" s="7">
        <v>0</v>
      </c>
      <c r="Q765" s="7">
        <v>0</v>
      </c>
      <c r="R765" s="7">
        <v>0</v>
      </c>
      <c r="S765" s="7">
        <v>1</v>
      </c>
      <c r="T765" s="7">
        <v>4</v>
      </c>
      <c r="U765" s="7">
        <v>110</v>
      </c>
      <c r="V765" s="7">
        <v>0</v>
      </c>
      <c r="W765" s="7">
        <v>1</v>
      </c>
      <c r="X765" s="7">
        <v>0</v>
      </c>
      <c r="Y765" s="7">
        <v>0</v>
      </c>
      <c r="Z765" s="7">
        <v>0</v>
      </c>
      <c r="AA765" s="7">
        <v>0</v>
      </c>
      <c r="AB765" s="7">
        <v>1</v>
      </c>
      <c r="AC765" s="7">
        <v>1</v>
      </c>
      <c r="AD765" s="7" t="s">
        <v>5044</v>
      </c>
      <c r="AE765" s="7" t="s">
        <v>5044</v>
      </c>
      <c r="AF765" s="7" t="s">
        <v>5044</v>
      </c>
      <c r="AG765" s="7">
        <v>1</v>
      </c>
      <c r="AH765" s="7">
        <v>0</v>
      </c>
      <c r="AI765" s="7">
        <v>0</v>
      </c>
      <c r="AJ765" s="7" t="s">
        <v>5044</v>
      </c>
      <c r="AL765" s="7">
        <v>1</v>
      </c>
      <c r="AM765" s="7">
        <v>0</v>
      </c>
    </row>
    <row r="766" spans="1:40" ht="63" customHeight="1" x14ac:dyDescent="0.2">
      <c r="A766" s="7">
        <v>7736</v>
      </c>
      <c r="B766" s="7" t="s">
        <v>2617</v>
      </c>
      <c r="C766" s="7" t="s">
        <v>2618</v>
      </c>
      <c r="D766" s="7" t="s">
        <v>41</v>
      </c>
      <c r="E766" s="7" t="s">
        <v>305</v>
      </c>
      <c r="F766" s="7" t="s">
        <v>65</v>
      </c>
      <c r="G766" s="7" t="s">
        <v>52</v>
      </c>
      <c r="H766" s="7" t="s">
        <v>53</v>
      </c>
      <c r="I766" s="7" t="s">
        <v>13</v>
      </c>
      <c r="J766" s="7" t="s">
        <v>2619</v>
      </c>
      <c r="K766" s="7" t="s">
        <v>2620</v>
      </c>
      <c r="L766" s="8" t="s">
        <v>6173</v>
      </c>
      <c r="M766" s="7">
        <v>1</v>
      </c>
      <c r="N766" s="7">
        <v>0</v>
      </c>
      <c r="O766" s="9" t="s">
        <v>5044</v>
      </c>
      <c r="P766" s="7">
        <v>0</v>
      </c>
      <c r="Q766" s="7">
        <v>0</v>
      </c>
      <c r="R766" s="7">
        <v>0</v>
      </c>
      <c r="S766" s="7">
        <v>1</v>
      </c>
      <c r="T766" s="7">
        <v>4</v>
      </c>
      <c r="U766" s="7">
        <v>68</v>
      </c>
      <c r="V766" s="7">
        <v>0</v>
      </c>
      <c r="W766" s="7">
        <v>1</v>
      </c>
      <c r="X766" s="7">
        <v>0</v>
      </c>
      <c r="Y766" s="7">
        <v>0</v>
      </c>
      <c r="Z766" s="7">
        <v>0</v>
      </c>
      <c r="AA766" s="7">
        <v>0</v>
      </c>
      <c r="AB766" s="7">
        <v>1</v>
      </c>
      <c r="AC766" s="7" t="s">
        <v>5044</v>
      </c>
      <c r="AD766" s="7" t="s">
        <v>5044</v>
      </c>
      <c r="AE766" s="7" t="s">
        <v>5044</v>
      </c>
      <c r="AF766" s="7" t="s">
        <v>5044</v>
      </c>
      <c r="AG766" s="7" t="s">
        <v>5044</v>
      </c>
      <c r="AH766" s="7" t="s">
        <v>5044</v>
      </c>
      <c r="AI766" s="7" t="s">
        <v>5044</v>
      </c>
      <c r="AJ766" s="7" t="s">
        <v>5044</v>
      </c>
      <c r="AL766" s="7" t="s">
        <v>5044</v>
      </c>
      <c r="AM766" s="7">
        <v>0</v>
      </c>
    </row>
    <row r="767" spans="1:40" ht="63" customHeight="1" x14ac:dyDescent="0.2">
      <c r="A767" s="7">
        <v>7740</v>
      </c>
      <c r="B767" s="7" t="s">
        <v>2621</v>
      </c>
      <c r="C767" s="7" t="s">
        <v>2622</v>
      </c>
      <c r="D767" s="7" t="s">
        <v>375</v>
      </c>
      <c r="F767" s="7" t="s">
        <v>2623</v>
      </c>
      <c r="G767" s="7" t="s">
        <v>52</v>
      </c>
      <c r="H767" s="7" t="s">
        <v>2624</v>
      </c>
      <c r="I767" s="7" t="s">
        <v>13</v>
      </c>
      <c r="J767" s="7" t="s">
        <v>2625</v>
      </c>
      <c r="K767" s="7" t="s">
        <v>2626</v>
      </c>
      <c r="L767" s="11" t="s">
        <v>5044</v>
      </c>
      <c r="M767" s="7">
        <v>0</v>
      </c>
      <c r="N767" s="9" t="s">
        <v>5044</v>
      </c>
      <c r="O767" s="9" t="s">
        <v>5044</v>
      </c>
      <c r="P767" s="7">
        <v>0</v>
      </c>
      <c r="Q767" s="7">
        <v>0</v>
      </c>
      <c r="R767" s="7">
        <v>0</v>
      </c>
      <c r="S767" s="7">
        <v>1</v>
      </c>
      <c r="T767" s="7">
        <v>4</v>
      </c>
      <c r="U767" s="7">
        <v>109</v>
      </c>
      <c r="V767" s="7">
        <v>0</v>
      </c>
      <c r="W767" s="7">
        <v>1</v>
      </c>
      <c r="X767" s="7">
        <v>0</v>
      </c>
      <c r="Y767" s="7">
        <v>0</v>
      </c>
      <c r="Z767" s="7">
        <v>0</v>
      </c>
      <c r="AA767" s="7">
        <v>0</v>
      </c>
      <c r="AB767" s="7">
        <v>1</v>
      </c>
      <c r="AC767" s="7">
        <v>1</v>
      </c>
      <c r="AD767" s="7" t="s">
        <v>5044</v>
      </c>
      <c r="AE767" s="7" t="s">
        <v>5044</v>
      </c>
      <c r="AF767" s="7" t="s">
        <v>5044</v>
      </c>
      <c r="AG767" s="7">
        <v>1</v>
      </c>
      <c r="AH767" s="7">
        <v>0</v>
      </c>
      <c r="AI767" s="7">
        <v>0</v>
      </c>
      <c r="AJ767" s="7" t="s">
        <v>5044</v>
      </c>
      <c r="AL767" s="7">
        <v>1</v>
      </c>
      <c r="AM767" s="7">
        <v>0</v>
      </c>
    </row>
    <row r="768" spans="1:40" ht="63" customHeight="1" x14ac:dyDescent="0.2">
      <c r="A768" s="7">
        <v>7744</v>
      </c>
      <c r="B768" s="7" t="s">
        <v>2627</v>
      </c>
      <c r="C768" s="7" t="s">
        <v>2628</v>
      </c>
      <c r="D768" s="7" t="s">
        <v>375</v>
      </c>
      <c r="F768" s="7" t="s">
        <v>2629</v>
      </c>
      <c r="G768" s="7" t="s">
        <v>52</v>
      </c>
      <c r="H768" s="7" t="s">
        <v>43</v>
      </c>
      <c r="I768" s="7" t="s">
        <v>13</v>
      </c>
      <c r="J768" s="7" t="s">
        <v>2630</v>
      </c>
      <c r="K768" s="7" t="s">
        <v>2631</v>
      </c>
      <c r="L768" s="6" t="s">
        <v>6174</v>
      </c>
      <c r="M768" s="7">
        <v>0</v>
      </c>
      <c r="N768" s="9" t="s">
        <v>5044</v>
      </c>
      <c r="O768" s="9" t="s">
        <v>5044</v>
      </c>
      <c r="P768" s="7">
        <v>0</v>
      </c>
      <c r="Q768" s="7">
        <v>0</v>
      </c>
      <c r="R768" s="7">
        <v>0</v>
      </c>
      <c r="S768" s="7">
        <v>1</v>
      </c>
      <c r="T768" s="7">
        <v>5</v>
      </c>
      <c r="U768" s="7">
        <v>62</v>
      </c>
      <c r="V768" s="7">
        <v>0</v>
      </c>
      <c r="W768" s="7">
        <v>1</v>
      </c>
      <c r="X768" s="7">
        <v>0</v>
      </c>
      <c r="Y768" s="7">
        <v>0</v>
      </c>
      <c r="Z768" s="7">
        <v>0</v>
      </c>
      <c r="AA768" s="7">
        <v>0</v>
      </c>
      <c r="AB768" s="7">
        <v>1</v>
      </c>
      <c r="AC768" s="7">
        <v>1</v>
      </c>
      <c r="AD768" s="7" t="s">
        <v>5044</v>
      </c>
      <c r="AE768" s="7" t="s">
        <v>5044</v>
      </c>
      <c r="AF768" s="7" t="s">
        <v>5044</v>
      </c>
      <c r="AG768" s="7">
        <v>2</v>
      </c>
      <c r="AH768" s="7">
        <v>3</v>
      </c>
      <c r="AI768" s="7">
        <v>0</v>
      </c>
      <c r="AJ768" s="7" t="s">
        <v>5044</v>
      </c>
      <c r="AK768" s="7">
        <v>1</v>
      </c>
      <c r="AL768" s="7">
        <v>1</v>
      </c>
      <c r="AM768" s="7">
        <v>0</v>
      </c>
    </row>
    <row r="769" spans="1:40" ht="63" customHeight="1" x14ac:dyDescent="0.2">
      <c r="A769" s="7">
        <v>7750</v>
      </c>
      <c r="B769" s="7" t="s">
        <v>2632</v>
      </c>
      <c r="C769" s="7" t="s">
        <v>2633</v>
      </c>
      <c r="D769" s="7" t="s">
        <v>101</v>
      </c>
      <c r="F769" s="7" t="s">
        <v>587</v>
      </c>
      <c r="G769" s="7" t="s">
        <v>47</v>
      </c>
      <c r="H769" s="7" t="s">
        <v>2634</v>
      </c>
      <c r="I769" s="7" t="s">
        <v>13</v>
      </c>
      <c r="J769" s="7" t="s">
        <v>2635</v>
      </c>
      <c r="K769" s="7" t="s">
        <v>2636</v>
      </c>
      <c r="L769" s="11" t="s">
        <v>5044</v>
      </c>
      <c r="M769" s="7">
        <v>0</v>
      </c>
      <c r="N769" s="9" t="s">
        <v>5044</v>
      </c>
      <c r="O769" s="9" t="s">
        <v>5044</v>
      </c>
      <c r="P769" s="7">
        <v>0</v>
      </c>
      <c r="Q769" s="7">
        <v>0</v>
      </c>
      <c r="R769" s="7">
        <v>0</v>
      </c>
      <c r="S769" s="7">
        <v>3</v>
      </c>
      <c r="T769" s="7">
        <v>4</v>
      </c>
      <c r="U769" s="7">
        <v>160</v>
      </c>
      <c r="V769" s="7">
        <v>0</v>
      </c>
      <c r="W769" s="7">
        <v>1</v>
      </c>
      <c r="X769" s="7">
        <v>0</v>
      </c>
      <c r="Y769" s="7">
        <v>0</v>
      </c>
      <c r="Z769" s="7">
        <v>0</v>
      </c>
      <c r="AA769" s="7">
        <v>0</v>
      </c>
      <c r="AB769" s="7">
        <v>0</v>
      </c>
      <c r="AC769" s="7">
        <v>1</v>
      </c>
      <c r="AD769" s="7" t="s">
        <v>5044</v>
      </c>
      <c r="AE769" s="7" t="s">
        <v>5044</v>
      </c>
      <c r="AF769" s="7" t="s">
        <v>5044</v>
      </c>
      <c r="AG769" s="7">
        <v>2</v>
      </c>
      <c r="AH769" s="7">
        <v>3</v>
      </c>
      <c r="AI769" s="7">
        <v>0</v>
      </c>
      <c r="AJ769" s="7" t="s">
        <v>5044</v>
      </c>
      <c r="AK769" s="7">
        <v>1</v>
      </c>
      <c r="AL769" s="7">
        <v>0</v>
      </c>
      <c r="AM769" s="7">
        <v>0</v>
      </c>
    </row>
    <row r="770" spans="1:40" ht="63" customHeight="1" x14ac:dyDescent="0.2">
      <c r="A770" s="7">
        <v>7771</v>
      </c>
      <c r="B770" s="7" t="s">
        <v>2637</v>
      </c>
      <c r="C770" s="7" t="s">
        <v>2638</v>
      </c>
      <c r="D770" s="7" t="s">
        <v>341</v>
      </c>
      <c r="F770" s="7" t="s">
        <v>299</v>
      </c>
      <c r="G770" s="7" t="s">
        <v>144</v>
      </c>
      <c r="H770" s="7" t="s">
        <v>1077</v>
      </c>
      <c r="I770" s="7" t="s">
        <v>13</v>
      </c>
      <c r="J770" s="7" t="s">
        <v>2639</v>
      </c>
      <c r="K770" s="7" t="s">
        <v>2640</v>
      </c>
      <c r="L770" s="11" t="s">
        <v>5044</v>
      </c>
      <c r="M770" s="7">
        <v>0</v>
      </c>
      <c r="N770" s="9" t="s">
        <v>5044</v>
      </c>
      <c r="O770" s="9" t="s">
        <v>5044</v>
      </c>
      <c r="P770" s="7">
        <v>0</v>
      </c>
      <c r="Q770" s="7">
        <v>0</v>
      </c>
      <c r="R770" s="7">
        <v>0</v>
      </c>
      <c r="S770" s="7">
        <v>1</v>
      </c>
      <c r="T770" s="7">
        <v>2</v>
      </c>
      <c r="U770" s="7">
        <v>146</v>
      </c>
      <c r="V770" s="7">
        <v>1</v>
      </c>
      <c r="W770" s="7">
        <v>0</v>
      </c>
      <c r="X770" s="7">
        <v>0</v>
      </c>
      <c r="Y770" s="7">
        <v>0</v>
      </c>
      <c r="Z770" s="7">
        <v>0</v>
      </c>
      <c r="AA770" s="7">
        <v>1</v>
      </c>
      <c r="AB770" s="7">
        <v>1</v>
      </c>
      <c r="AC770" s="7">
        <v>1</v>
      </c>
      <c r="AD770" s="7">
        <v>1</v>
      </c>
      <c r="AE770" s="7">
        <v>0</v>
      </c>
      <c r="AF770" s="7">
        <v>0</v>
      </c>
      <c r="AG770" s="7" t="s">
        <v>5044</v>
      </c>
      <c r="AH770" s="7" t="s">
        <v>5044</v>
      </c>
      <c r="AI770" s="7" t="s">
        <v>5044</v>
      </c>
      <c r="AJ770" s="7" t="s">
        <v>5044</v>
      </c>
      <c r="AL770" s="7">
        <v>1</v>
      </c>
      <c r="AM770" s="7">
        <v>0</v>
      </c>
    </row>
    <row r="771" spans="1:40" ht="63" customHeight="1" x14ac:dyDescent="0.2">
      <c r="A771" s="7">
        <v>7784</v>
      </c>
      <c r="B771" s="7" t="s">
        <v>2641</v>
      </c>
      <c r="C771" s="7" t="s">
        <v>2642</v>
      </c>
      <c r="D771" s="7" t="s">
        <v>101</v>
      </c>
      <c r="F771" s="7" t="s">
        <v>2528</v>
      </c>
      <c r="G771" s="7" t="s">
        <v>18</v>
      </c>
      <c r="H771" s="7" t="s">
        <v>43</v>
      </c>
      <c r="I771" s="7" t="s">
        <v>13</v>
      </c>
      <c r="J771" s="7" t="s">
        <v>2643</v>
      </c>
      <c r="K771" s="7" t="s">
        <v>2644</v>
      </c>
      <c r="L771" s="8" t="s">
        <v>6175</v>
      </c>
      <c r="M771" s="7">
        <v>0</v>
      </c>
      <c r="N771" s="9" t="s">
        <v>5044</v>
      </c>
      <c r="O771" s="9" t="s">
        <v>5044</v>
      </c>
      <c r="P771" s="7">
        <v>0</v>
      </c>
      <c r="Q771" s="7">
        <v>0</v>
      </c>
      <c r="R771" s="7">
        <v>0</v>
      </c>
      <c r="S771" s="7">
        <v>9</v>
      </c>
      <c r="T771" s="7">
        <v>4</v>
      </c>
      <c r="U771" s="7">
        <v>160</v>
      </c>
      <c r="V771" s="7">
        <v>0</v>
      </c>
      <c r="W771" s="7">
        <v>1</v>
      </c>
      <c r="X771" s="7">
        <v>0</v>
      </c>
      <c r="Y771" s="7">
        <v>0</v>
      </c>
      <c r="Z771" s="7">
        <v>0</v>
      </c>
      <c r="AA771" s="7">
        <v>0</v>
      </c>
      <c r="AB771" s="7">
        <v>1</v>
      </c>
      <c r="AC771" s="7">
        <v>1</v>
      </c>
      <c r="AD771" s="7" t="s">
        <v>5044</v>
      </c>
      <c r="AE771" s="7" t="s">
        <v>5044</v>
      </c>
      <c r="AF771" s="7" t="s">
        <v>5044</v>
      </c>
      <c r="AG771" s="7">
        <v>1</v>
      </c>
      <c r="AH771" s="7">
        <v>0</v>
      </c>
      <c r="AI771" s="7">
        <v>0</v>
      </c>
      <c r="AJ771" s="7" t="s">
        <v>5044</v>
      </c>
      <c r="AL771" s="7">
        <v>0</v>
      </c>
      <c r="AM771" s="7">
        <v>0</v>
      </c>
    </row>
    <row r="772" spans="1:40" ht="63" customHeight="1" x14ac:dyDescent="0.2">
      <c r="A772" s="7">
        <v>7809</v>
      </c>
      <c r="B772" s="7" t="s">
        <v>2645</v>
      </c>
      <c r="C772" s="7" t="s">
        <v>2646</v>
      </c>
      <c r="D772" s="7" t="s">
        <v>30</v>
      </c>
      <c r="F772" s="7" t="s">
        <v>1289</v>
      </c>
      <c r="G772" s="7" t="s">
        <v>144</v>
      </c>
      <c r="H772" s="7" t="s">
        <v>224</v>
      </c>
      <c r="I772" s="7" t="s">
        <v>13</v>
      </c>
      <c r="J772" s="7" t="s">
        <v>2647</v>
      </c>
      <c r="K772" s="7" t="s">
        <v>2648</v>
      </c>
      <c r="L772" s="6" t="s">
        <v>6176</v>
      </c>
      <c r="M772" s="7">
        <v>0</v>
      </c>
      <c r="N772" s="9" t="s">
        <v>5044</v>
      </c>
      <c r="O772" s="9" t="s">
        <v>5044</v>
      </c>
      <c r="P772" s="7">
        <v>0</v>
      </c>
      <c r="Q772" s="7">
        <v>0</v>
      </c>
      <c r="R772" s="7">
        <v>0</v>
      </c>
      <c r="S772" s="7">
        <v>9</v>
      </c>
      <c r="T772" s="7">
        <v>1</v>
      </c>
      <c r="U772" s="7">
        <v>54</v>
      </c>
      <c r="V772" s="7">
        <v>0</v>
      </c>
      <c r="W772" s="7">
        <v>1</v>
      </c>
      <c r="X772" s="7">
        <v>0</v>
      </c>
      <c r="Y772" s="7">
        <v>0</v>
      </c>
      <c r="Z772" s="7">
        <v>0</v>
      </c>
      <c r="AA772" s="7">
        <v>0</v>
      </c>
      <c r="AB772" s="7">
        <v>1</v>
      </c>
      <c r="AC772" s="7">
        <v>0</v>
      </c>
      <c r="AD772" s="7" t="s">
        <v>5044</v>
      </c>
      <c r="AE772" s="7" t="s">
        <v>5044</v>
      </c>
      <c r="AF772" s="7" t="s">
        <v>5044</v>
      </c>
      <c r="AG772" s="7">
        <v>0</v>
      </c>
      <c r="AH772" s="7" t="s">
        <v>5044</v>
      </c>
      <c r="AI772" s="7" t="s">
        <v>5044</v>
      </c>
      <c r="AJ772" s="7" t="s">
        <v>5044</v>
      </c>
      <c r="AL772" s="7">
        <v>1</v>
      </c>
      <c r="AM772" s="7">
        <v>0</v>
      </c>
    </row>
    <row r="773" spans="1:40" ht="63" customHeight="1" x14ac:dyDescent="0.2">
      <c r="A773" s="7">
        <v>7827</v>
      </c>
      <c r="B773" s="7" t="s">
        <v>2649</v>
      </c>
      <c r="C773" s="7" t="s">
        <v>2650</v>
      </c>
      <c r="D773" s="7" t="s">
        <v>41</v>
      </c>
      <c r="F773" s="7" t="s">
        <v>118</v>
      </c>
      <c r="G773" s="7" t="s">
        <v>48</v>
      </c>
      <c r="H773" s="7" t="s">
        <v>427</v>
      </c>
      <c r="I773" s="7" t="s">
        <v>13</v>
      </c>
      <c r="J773" s="7" t="s">
        <v>2651</v>
      </c>
      <c r="K773" s="7" t="s">
        <v>2652</v>
      </c>
      <c r="L773" s="8" t="s">
        <v>6177</v>
      </c>
      <c r="M773" s="7">
        <v>0</v>
      </c>
      <c r="N773" s="9" t="s">
        <v>5044</v>
      </c>
      <c r="O773" s="9" t="s">
        <v>5044</v>
      </c>
      <c r="P773" s="7">
        <v>0</v>
      </c>
      <c r="Q773" s="7">
        <v>0</v>
      </c>
      <c r="R773" s="7">
        <v>0</v>
      </c>
      <c r="S773" s="7">
        <v>9</v>
      </c>
      <c r="T773" s="7">
        <v>1</v>
      </c>
      <c r="U773" s="7">
        <v>52</v>
      </c>
      <c r="V773" s="7">
        <v>0</v>
      </c>
      <c r="W773" s="7">
        <v>1</v>
      </c>
      <c r="X773" s="7">
        <v>0</v>
      </c>
      <c r="Y773" s="7">
        <v>0</v>
      </c>
      <c r="Z773" s="7">
        <v>0</v>
      </c>
      <c r="AA773" s="7">
        <v>0</v>
      </c>
      <c r="AB773" s="7">
        <v>1</v>
      </c>
      <c r="AC773" s="7">
        <v>1</v>
      </c>
      <c r="AD773" s="7" t="s">
        <v>5044</v>
      </c>
      <c r="AE773" s="7" t="s">
        <v>5044</v>
      </c>
      <c r="AF773" s="7" t="s">
        <v>5044</v>
      </c>
      <c r="AG773" s="7">
        <v>2</v>
      </c>
      <c r="AH773" s="7">
        <v>1</v>
      </c>
      <c r="AI773" s="7">
        <v>2</v>
      </c>
      <c r="AJ773" s="7" t="s">
        <v>5044</v>
      </c>
      <c r="AL773" s="7">
        <v>0</v>
      </c>
      <c r="AM773" s="7">
        <v>0</v>
      </c>
    </row>
    <row r="774" spans="1:40" ht="63" customHeight="1" x14ac:dyDescent="0.2">
      <c r="A774" s="7">
        <v>7828</v>
      </c>
      <c r="B774" s="7" t="s">
        <v>2653</v>
      </c>
      <c r="C774" s="7" t="s">
        <v>2654</v>
      </c>
      <c r="D774" s="7" t="s">
        <v>101</v>
      </c>
      <c r="E774" s="7" t="s">
        <v>2539</v>
      </c>
      <c r="F774" s="7" t="s">
        <v>17</v>
      </c>
      <c r="G774" s="7" t="s">
        <v>129</v>
      </c>
      <c r="H774" s="7" t="s">
        <v>2655</v>
      </c>
      <c r="I774" s="7" t="s">
        <v>13</v>
      </c>
      <c r="J774" s="7" t="s">
        <v>2656</v>
      </c>
      <c r="K774" s="7" t="s">
        <v>2657</v>
      </c>
      <c r="L774" s="8">
        <v>3663</v>
      </c>
      <c r="M774" s="7">
        <v>0</v>
      </c>
      <c r="N774" s="9" t="s">
        <v>5044</v>
      </c>
      <c r="O774" s="9" t="s">
        <v>5044</v>
      </c>
      <c r="P774" s="7">
        <v>1</v>
      </c>
      <c r="Q774" s="7">
        <v>0</v>
      </c>
      <c r="R774" s="7">
        <v>0</v>
      </c>
      <c r="S774" s="7">
        <v>1</v>
      </c>
      <c r="T774" s="7">
        <v>1</v>
      </c>
      <c r="U774" s="7">
        <v>35</v>
      </c>
      <c r="V774" s="7">
        <v>0</v>
      </c>
      <c r="W774" s="7">
        <v>1</v>
      </c>
      <c r="X774" s="7">
        <v>0</v>
      </c>
      <c r="Y774" s="7">
        <v>0</v>
      </c>
      <c r="Z774" s="7">
        <v>0</v>
      </c>
      <c r="AA774" s="7">
        <v>0</v>
      </c>
      <c r="AB774" s="7">
        <v>1</v>
      </c>
      <c r="AC774" s="7">
        <v>1</v>
      </c>
      <c r="AD774" s="7" t="s">
        <v>5044</v>
      </c>
      <c r="AE774" s="7" t="s">
        <v>5044</v>
      </c>
      <c r="AF774" s="7" t="s">
        <v>5044</v>
      </c>
      <c r="AG774" s="7">
        <v>2</v>
      </c>
      <c r="AH774" s="7">
        <v>3</v>
      </c>
      <c r="AI774" s="7">
        <v>0</v>
      </c>
      <c r="AJ774" s="7" t="s">
        <v>5044</v>
      </c>
      <c r="AK774" s="7" t="s">
        <v>6178</v>
      </c>
      <c r="AL774" s="7" t="s">
        <v>5044</v>
      </c>
      <c r="AM774" s="7">
        <v>0</v>
      </c>
    </row>
    <row r="775" spans="1:40" ht="63" customHeight="1" x14ac:dyDescent="0.2">
      <c r="A775" s="7">
        <v>7834</v>
      </c>
      <c r="B775" s="7" t="s">
        <v>2658</v>
      </c>
      <c r="C775" s="7" t="s">
        <v>2659</v>
      </c>
      <c r="D775" s="7" t="s">
        <v>30</v>
      </c>
      <c r="F775" s="7" t="s">
        <v>110</v>
      </c>
      <c r="G775" s="7" t="s">
        <v>27</v>
      </c>
      <c r="H775" s="7" t="s">
        <v>38</v>
      </c>
      <c r="I775" s="7" t="s">
        <v>13</v>
      </c>
      <c r="J775" s="7" t="s">
        <v>2660</v>
      </c>
      <c r="K775" s="7" t="s">
        <v>2661</v>
      </c>
      <c r="L775" s="8" t="s">
        <v>6179</v>
      </c>
      <c r="M775" s="7">
        <v>0</v>
      </c>
      <c r="N775" s="9" t="s">
        <v>5044</v>
      </c>
      <c r="O775" s="9" t="s">
        <v>5044</v>
      </c>
      <c r="P775" s="7">
        <v>0</v>
      </c>
      <c r="Q775" s="7">
        <v>0</v>
      </c>
      <c r="R775" s="7">
        <v>0</v>
      </c>
      <c r="S775" s="7">
        <v>9</v>
      </c>
      <c r="T775" s="7">
        <v>1</v>
      </c>
      <c r="U775" s="7">
        <v>104</v>
      </c>
      <c r="V775" s="7">
        <v>0</v>
      </c>
      <c r="W775" s="7">
        <v>1</v>
      </c>
      <c r="X775" s="7">
        <v>0</v>
      </c>
      <c r="Y775" s="7">
        <v>0</v>
      </c>
      <c r="Z775" s="7">
        <v>0</v>
      </c>
      <c r="AA775" s="7">
        <v>0</v>
      </c>
      <c r="AB775" s="7">
        <v>1</v>
      </c>
      <c r="AC775" s="7">
        <v>1</v>
      </c>
      <c r="AD775" s="7" t="s">
        <v>5044</v>
      </c>
      <c r="AE775" s="7" t="s">
        <v>5044</v>
      </c>
      <c r="AF775" s="7" t="s">
        <v>5044</v>
      </c>
      <c r="AG775" s="7">
        <v>1</v>
      </c>
      <c r="AH775" s="7">
        <v>0</v>
      </c>
      <c r="AI775" s="7">
        <v>0</v>
      </c>
      <c r="AJ775" s="7" t="s">
        <v>5044</v>
      </c>
      <c r="AL775" s="7">
        <v>1</v>
      </c>
      <c r="AM775" s="7">
        <v>0</v>
      </c>
    </row>
    <row r="776" spans="1:40" ht="63" customHeight="1" x14ac:dyDescent="0.2">
      <c r="A776" s="7">
        <v>7840</v>
      </c>
      <c r="B776" s="7" t="s">
        <v>2662</v>
      </c>
      <c r="C776" s="7" t="s">
        <v>2663</v>
      </c>
      <c r="D776" s="7" t="s">
        <v>16</v>
      </c>
      <c r="F776" s="7" t="s">
        <v>17</v>
      </c>
      <c r="H776" s="7" t="s">
        <v>130</v>
      </c>
      <c r="I776" s="7" t="s">
        <v>13</v>
      </c>
      <c r="J776" s="7" t="s">
        <v>2664</v>
      </c>
      <c r="K776" s="7" t="s">
        <v>2665</v>
      </c>
      <c r="L776" s="6" t="s">
        <v>6180</v>
      </c>
      <c r="M776" s="7">
        <v>1</v>
      </c>
      <c r="N776" s="7">
        <v>0</v>
      </c>
      <c r="O776" s="9" t="s">
        <v>5044</v>
      </c>
      <c r="P776" s="7">
        <v>0</v>
      </c>
      <c r="Q776" s="7">
        <v>0</v>
      </c>
      <c r="R776" s="7">
        <v>0</v>
      </c>
      <c r="S776" s="7">
        <v>1</v>
      </c>
      <c r="T776" s="7">
        <v>1</v>
      </c>
      <c r="U776" s="7">
        <v>128</v>
      </c>
      <c r="V776" s="7">
        <v>1</v>
      </c>
      <c r="W776" s="7">
        <v>0</v>
      </c>
      <c r="X776" s="7">
        <v>0</v>
      </c>
      <c r="Y776" s="7">
        <v>1</v>
      </c>
      <c r="Z776" s="7">
        <v>0</v>
      </c>
      <c r="AA776" s="7">
        <v>0</v>
      </c>
      <c r="AB776" s="7">
        <v>1</v>
      </c>
      <c r="AC776" s="7" t="s">
        <v>5044</v>
      </c>
      <c r="AD776" s="7" t="s">
        <v>5044</v>
      </c>
      <c r="AE776" s="7" t="s">
        <v>5044</v>
      </c>
      <c r="AF776" s="7" t="s">
        <v>5044</v>
      </c>
      <c r="AG776" s="7" t="s">
        <v>5044</v>
      </c>
      <c r="AH776" s="7" t="s">
        <v>5044</v>
      </c>
      <c r="AI776" s="7" t="s">
        <v>5044</v>
      </c>
      <c r="AJ776" s="7" t="s">
        <v>5044</v>
      </c>
      <c r="AL776" s="7" t="s">
        <v>5044</v>
      </c>
      <c r="AM776" s="7">
        <v>0</v>
      </c>
    </row>
    <row r="777" spans="1:40" ht="63" customHeight="1" x14ac:dyDescent="0.2">
      <c r="A777" s="7">
        <v>7856</v>
      </c>
      <c r="B777" s="7" t="s">
        <v>2666</v>
      </c>
      <c r="C777" s="7" t="s">
        <v>2667</v>
      </c>
      <c r="D777" s="7" t="s">
        <v>16</v>
      </c>
      <c r="F777" s="7" t="s">
        <v>186</v>
      </c>
      <c r="G777" s="7" t="s">
        <v>32</v>
      </c>
      <c r="H777" s="7" t="s">
        <v>43</v>
      </c>
      <c r="I777" s="7" t="s">
        <v>13</v>
      </c>
      <c r="J777" s="7" t="s">
        <v>2668</v>
      </c>
      <c r="K777" s="7" t="s">
        <v>2669</v>
      </c>
      <c r="L777" s="11" t="s">
        <v>5044</v>
      </c>
      <c r="M777" s="7">
        <v>0</v>
      </c>
      <c r="N777" s="9" t="s">
        <v>5044</v>
      </c>
      <c r="O777" s="9" t="s">
        <v>5044</v>
      </c>
      <c r="P777" s="7">
        <v>0</v>
      </c>
      <c r="Q777" s="7">
        <v>0</v>
      </c>
      <c r="R777" s="7">
        <v>0</v>
      </c>
      <c r="S777" s="7">
        <v>1</v>
      </c>
      <c r="T777" s="7">
        <v>5</v>
      </c>
      <c r="U777" s="7">
        <v>59</v>
      </c>
      <c r="V777" s="7">
        <v>1</v>
      </c>
      <c r="W777" s="7">
        <v>0</v>
      </c>
      <c r="X777" s="7">
        <v>0</v>
      </c>
      <c r="Y777" s="7">
        <v>0</v>
      </c>
      <c r="Z777" s="7">
        <v>0</v>
      </c>
      <c r="AA777" s="7">
        <v>0</v>
      </c>
      <c r="AB777" s="7">
        <v>1</v>
      </c>
      <c r="AC777" s="7">
        <v>1</v>
      </c>
      <c r="AD777" s="7">
        <v>1</v>
      </c>
      <c r="AE777" s="7">
        <v>0</v>
      </c>
      <c r="AF777" s="7">
        <v>0</v>
      </c>
      <c r="AG777" s="7" t="s">
        <v>5044</v>
      </c>
      <c r="AH777" s="7" t="s">
        <v>5044</v>
      </c>
      <c r="AI777" s="7" t="s">
        <v>5044</v>
      </c>
      <c r="AJ777" s="7" t="s">
        <v>5044</v>
      </c>
      <c r="AL777" s="7">
        <v>0</v>
      </c>
      <c r="AM777" s="7">
        <v>0</v>
      </c>
    </row>
    <row r="778" spans="1:40" ht="63" customHeight="1" x14ac:dyDescent="0.2">
      <c r="A778" s="7">
        <v>7864</v>
      </c>
      <c r="B778" s="7" t="s">
        <v>2670</v>
      </c>
      <c r="C778" s="7" t="s">
        <v>2671</v>
      </c>
      <c r="D778" s="7" t="s">
        <v>101</v>
      </c>
      <c r="F778" s="7" t="s">
        <v>2672</v>
      </c>
      <c r="G778" s="7" t="s">
        <v>2673</v>
      </c>
      <c r="H778" s="7" t="s">
        <v>180</v>
      </c>
      <c r="I778" s="7" t="s">
        <v>13</v>
      </c>
      <c r="J778" s="7" t="s">
        <v>2674</v>
      </c>
      <c r="K778" s="7" t="s">
        <v>2675</v>
      </c>
      <c r="L778" s="11" t="s">
        <v>5044</v>
      </c>
      <c r="M778" s="7">
        <v>0</v>
      </c>
      <c r="N778" s="9" t="s">
        <v>5044</v>
      </c>
      <c r="O778" s="9" t="s">
        <v>5044</v>
      </c>
      <c r="P778" s="7">
        <v>0</v>
      </c>
      <c r="Q778" s="7">
        <v>0</v>
      </c>
      <c r="R778" s="7">
        <v>0</v>
      </c>
      <c r="S778" s="7">
        <v>1</v>
      </c>
      <c r="T778" s="7">
        <v>1</v>
      </c>
      <c r="U778" s="7">
        <v>197</v>
      </c>
      <c r="V778" s="7">
        <v>0</v>
      </c>
      <c r="W778" s="7">
        <v>1</v>
      </c>
      <c r="X778" s="7">
        <v>0</v>
      </c>
      <c r="Y778" s="7">
        <v>0</v>
      </c>
      <c r="Z778" s="7">
        <v>0</v>
      </c>
      <c r="AA778" s="7">
        <v>0</v>
      </c>
      <c r="AB778" s="7">
        <v>1</v>
      </c>
      <c r="AC778" s="7">
        <v>1</v>
      </c>
      <c r="AD778" s="7" t="s">
        <v>5044</v>
      </c>
      <c r="AE778" s="7" t="s">
        <v>5044</v>
      </c>
      <c r="AF778" s="7" t="s">
        <v>5044</v>
      </c>
      <c r="AG778" s="7">
        <v>2</v>
      </c>
      <c r="AH778" s="7">
        <v>2</v>
      </c>
      <c r="AI778" s="7">
        <v>3</v>
      </c>
      <c r="AJ778" s="7" t="s">
        <v>5044</v>
      </c>
      <c r="AL778" s="7">
        <v>0</v>
      </c>
      <c r="AM778" s="7">
        <v>0</v>
      </c>
    </row>
    <row r="779" spans="1:40" ht="63" customHeight="1" x14ac:dyDescent="0.2">
      <c r="A779" s="7">
        <v>7874</v>
      </c>
      <c r="B779" s="7" t="s">
        <v>2676</v>
      </c>
      <c r="C779" s="7" t="s">
        <v>2677</v>
      </c>
      <c r="D779" s="7" t="s">
        <v>16</v>
      </c>
      <c r="F779" s="7" t="s">
        <v>186</v>
      </c>
      <c r="G779" s="7" t="s">
        <v>32</v>
      </c>
      <c r="H779" s="7" t="s">
        <v>43</v>
      </c>
      <c r="I779" s="7" t="s">
        <v>13</v>
      </c>
      <c r="J779" s="7" t="s">
        <v>2678</v>
      </c>
      <c r="K779" s="7" t="s">
        <v>2679</v>
      </c>
      <c r="L779" s="6" t="s">
        <v>6181</v>
      </c>
      <c r="M779" s="7">
        <v>0</v>
      </c>
      <c r="N779" s="9" t="s">
        <v>5044</v>
      </c>
      <c r="O779" s="9" t="s">
        <v>5044</v>
      </c>
      <c r="P779" s="7">
        <v>0</v>
      </c>
      <c r="Q779" s="7">
        <v>0</v>
      </c>
      <c r="R779" s="7">
        <v>0</v>
      </c>
      <c r="S779" s="7">
        <v>7</v>
      </c>
      <c r="T779" s="7">
        <v>4</v>
      </c>
      <c r="U779" s="7">
        <v>363</v>
      </c>
      <c r="V779" s="7">
        <v>0</v>
      </c>
      <c r="W779" s="7">
        <v>1</v>
      </c>
      <c r="X779" s="7">
        <v>0</v>
      </c>
      <c r="Y779" s="7">
        <v>0</v>
      </c>
      <c r="Z779" s="7">
        <v>0</v>
      </c>
      <c r="AA779" s="7">
        <v>0</v>
      </c>
      <c r="AB779" s="7">
        <v>1</v>
      </c>
      <c r="AC779" s="7">
        <v>1</v>
      </c>
      <c r="AD779" s="7" t="s">
        <v>5044</v>
      </c>
      <c r="AE779" s="7" t="s">
        <v>5044</v>
      </c>
      <c r="AF779" s="7" t="s">
        <v>5044</v>
      </c>
      <c r="AG779" s="7">
        <v>2</v>
      </c>
      <c r="AH779" s="7">
        <v>2</v>
      </c>
      <c r="AI779" s="7">
        <v>2</v>
      </c>
      <c r="AJ779" s="7" t="s">
        <v>5044</v>
      </c>
      <c r="AL779" s="7" t="s">
        <v>5044</v>
      </c>
      <c r="AM779" s="7">
        <v>0</v>
      </c>
      <c r="AN779" s="7" t="s">
        <v>6294</v>
      </c>
    </row>
    <row r="780" spans="1:40" ht="63" customHeight="1" x14ac:dyDescent="0.2">
      <c r="A780" s="7">
        <v>7877</v>
      </c>
      <c r="B780" s="7" t="s">
        <v>2680</v>
      </c>
      <c r="C780" s="7" t="s">
        <v>2681</v>
      </c>
      <c r="D780" s="7" t="s">
        <v>16</v>
      </c>
      <c r="F780" s="7" t="s">
        <v>587</v>
      </c>
      <c r="G780" s="7" t="s">
        <v>293</v>
      </c>
      <c r="H780" s="7" t="s">
        <v>329</v>
      </c>
      <c r="I780" s="7" t="s">
        <v>13</v>
      </c>
      <c r="J780" s="7" t="s">
        <v>2682</v>
      </c>
      <c r="K780" s="7" t="s">
        <v>2683</v>
      </c>
      <c r="L780" s="6" t="s">
        <v>6182</v>
      </c>
      <c r="M780" s="7">
        <v>0</v>
      </c>
      <c r="N780" s="9" t="s">
        <v>5044</v>
      </c>
      <c r="O780" s="9" t="s">
        <v>5044</v>
      </c>
      <c r="P780" s="7">
        <v>0</v>
      </c>
      <c r="Q780" s="7">
        <v>0</v>
      </c>
      <c r="R780" s="7">
        <v>0</v>
      </c>
      <c r="S780" s="7" t="s">
        <v>5708</v>
      </c>
      <c r="T780" s="7">
        <v>4</v>
      </c>
      <c r="U780" s="7">
        <v>599</v>
      </c>
      <c r="V780" s="7">
        <v>0</v>
      </c>
      <c r="W780" s="7">
        <v>1</v>
      </c>
      <c r="X780" s="7">
        <v>0</v>
      </c>
      <c r="Y780" s="7">
        <v>0</v>
      </c>
      <c r="Z780" s="7">
        <v>0</v>
      </c>
      <c r="AA780" s="7">
        <v>0</v>
      </c>
      <c r="AB780" s="7">
        <v>1</v>
      </c>
      <c r="AC780" s="7">
        <v>1</v>
      </c>
      <c r="AD780" s="7" t="s">
        <v>5044</v>
      </c>
      <c r="AE780" s="7" t="s">
        <v>5044</v>
      </c>
      <c r="AF780" s="7" t="s">
        <v>5044</v>
      </c>
      <c r="AG780" s="7">
        <v>2</v>
      </c>
      <c r="AH780" s="7">
        <v>1</v>
      </c>
      <c r="AI780" s="7">
        <v>2</v>
      </c>
      <c r="AJ780" s="7" t="s">
        <v>5044</v>
      </c>
      <c r="AL780" s="7">
        <v>1</v>
      </c>
      <c r="AM780" s="7">
        <v>0</v>
      </c>
    </row>
    <row r="781" spans="1:40" ht="63" customHeight="1" x14ac:dyDescent="0.2">
      <c r="A781" s="7">
        <v>7878</v>
      </c>
      <c r="B781" s="7" t="s">
        <v>2684</v>
      </c>
      <c r="C781" s="7" t="s">
        <v>2685</v>
      </c>
      <c r="D781" s="7" t="s">
        <v>41</v>
      </c>
      <c r="E781" s="7" t="s">
        <v>305</v>
      </c>
      <c r="F781" s="7" t="s">
        <v>65</v>
      </c>
      <c r="G781" s="7" t="s">
        <v>52</v>
      </c>
      <c r="H781" s="7" t="s">
        <v>53</v>
      </c>
      <c r="I781" s="7" t="s">
        <v>13</v>
      </c>
      <c r="J781" s="7" t="s">
        <v>2686</v>
      </c>
      <c r="K781" s="7" t="s">
        <v>2687</v>
      </c>
      <c r="L781" s="6" t="s">
        <v>6183</v>
      </c>
      <c r="M781" s="7">
        <v>1</v>
      </c>
      <c r="N781" s="7">
        <v>0</v>
      </c>
      <c r="O781" s="9" t="s">
        <v>5044</v>
      </c>
      <c r="P781" s="7">
        <v>0</v>
      </c>
      <c r="Q781" s="7">
        <v>0</v>
      </c>
      <c r="R781" s="7">
        <v>0</v>
      </c>
      <c r="S781" s="7">
        <v>1</v>
      </c>
      <c r="T781" s="7">
        <v>4</v>
      </c>
      <c r="U781" s="7">
        <v>244</v>
      </c>
      <c r="V781" s="7">
        <v>0</v>
      </c>
      <c r="W781" s="7">
        <v>1</v>
      </c>
      <c r="X781" s="7">
        <v>0</v>
      </c>
      <c r="Y781" s="7">
        <v>0</v>
      </c>
      <c r="Z781" s="7">
        <v>0</v>
      </c>
      <c r="AA781" s="7">
        <v>0</v>
      </c>
      <c r="AB781" s="7">
        <v>1</v>
      </c>
      <c r="AC781" s="7" t="s">
        <v>5044</v>
      </c>
      <c r="AD781" s="7" t="s">
        <v>5044</v>
      </c>
      <c r="AE781" s="7" t="s">
        <v>5044</v>
      </c>
      <c r="AF781" s="7" t="s">
        <v>5044</v>
      </c>
      <c r="AG781" s="7" t="s">
        <v>5044</v>
      </c>
      <c r="AH781" s="7" t="s">
        <v>5044</v>
      </c>
      <c r="AI781" s="7" t="s">
        <v>5044</v>
      </c>
      <c r="AJ781" s="7" t="s">
        <v>5044</v>
      </c>
      <c r="AL781" s="7" t="s">
        <v>5044</v>
      </c>
      <c r="AM781" s="7">
        <v>0</v>
      </c>
    </row>
    <row r="782" spans="1:40" ht="63" customHeight="1" x14ac:dyDescent="0.2">
      <c r="A782" s="7">
        <v>7881</v>
      </c>
      <c r="B782" s="7" t="s">
        <v>2688</v>
      </c>
      <c r="C782" s="7" t="s">
        <v>2689</v>
      </c>
      <c r="D782" s="7" t="s">
        <v>41</v>
      </c>
      <c r="F782" s="7" t="s">
        <v>65</v>
      </c>
      <c r="G782" s="7" t="s">
        <v>52</v>
      </c>
      <c r="H782" s="7" t="s">
        <v>53</v>
      </c>
      <c r="I782" s="7" t="s">
        <v>13</v>
      </c>
      <c r="J782" s="7" t="s">
        <v>2690</v>
      </c>
      <c r="K782" s="7" t="s">
        <v>2691</v>
      </c>
      <c r="L782" s="8" t="s">
        <v>6184</v>
      </c>
      <c r="M782" s="7">
        <v>1</v>
      </c>
      <c r="N782" s="7">
        <v>0</v>
      </c>
      <c r="O782" s="9" t="s">
        <v>5044</v>
      </c>
      <c r="P782" s="7">
        <v>0</v>
      </c>
      <c r="Q782" s="7">
        <v>0</v>
      </c>
      <c r="R782" s="7">
        <v>0</v>
      </c>
      <c r="S782" s="7">
        <v>9</v>
      </c>
      <c r="T782" s="7">
        <v>4</v>
      </c>
      <c r="U782" s="7">
        <v>140</v>
      </c>
      <c r="V782" s="7">
        <v>0</v>
      </c>
      <c r="W782" s="7">
        <v>1</v>
      </c>
      <c r="X782" s="7">
        <v>0</v>
      </c>
      <c r="Y782" s="7">
        <v>0</v>
      </c>
      <c r="Z782" s="7">
        <v>0</v>
      </c>
      <c r="AA782" s="7">
        <v>0</v>
      </c>
      <c r="AB782" s="7">
        <v>1</v>
      </c>
      <c r="AC782" s="7" t="s">
        <v>5044</v>
      </c>
      <c r="AD782" s="7" t="s">
        <v>5044</v>
      </c>
      <c r="AE782" s="7" t="s">
        <v>5044</v>
      </c>
      <c r="AF782" s="7" t="s">
        <v>5044</v>
      </c>
      <c r="AG782" s="7" t="s">
        <v>5044</v>
      </c>
      <c r="AH782" s="7" t="s">
        <v>5044</v>
      </c>
      <c r="AI782" s="7" t="s">
        <v>5044</v>
      </c>
      <c r="AJ782" s="7" t="s">
        <v>5044</v>
      </c>
      <c r="AL782" s="7" t="s">
        <v>5044</v>
      </c>
      <c r="AM782" s="7">
        <v>0</v>
      </c>
    </row>
    <row r="783" spans="1:40" ht="63" customHeight="1" x14ac:dyDescent="0.2">
      <c r="A783" s="7">
        <v>7895</v>
      </c>
      <c r="B783" s="7" t="s">
        <v>2692</v>
      </c>
      <c r="C783" s="7" t="s">
        <v>2693</v>
      </c>
      <c r="D783" s="7" t="s">
        <v>16</v>
      </c>
      <c r="F783" s="7" t="s">
        <v>27</v>
      </c>
      <c r="G783" s="7" t="s">
        <v>92</v>
      </c>
      <c r="H783" s="7" t="s">
        <v>241</v>
      </c>
      <c r="I783" s="7" t="s">
        <v>13</v>
      </c>
      <c r="J783" s="7" t="s">
        <v>2694</v>
      </c>
      <c r="K783" s="7" t="s">
        <v>2695</v>
      </c>
      <c r="L783" s="6" t="s">
        <v>6185</v>
      </c>
      <c r="M783" s="7">
        <v>0</v>
      </c>
      <c r="N783" s="9" t="s">
        <v>5044</v>
      </c>
      <c r="O783" s="9" t="s">
        <v>5044</v>
      </c>
      <c r="P783" s="7">
        <v>0</v>
      </c>
      <c r="Q783" s="7">
        <v>0</v>
      </c>
      <c r="R783" s="7">
        <v>0</v>
      </c>
      <c r="S783" s="7">
        <v>1</v>
      </c>
      <c r="T783" s="7">
        <v>4</v>
      </c>
      <c r="U783" s="7">
        <v>1070</v>
      </c>
      <c r="V783" s="7">
        <v>0</v>
      </c>
      <c r="W783" s="7">
        <v>1</v>
      </c>
      <c r="X783" s="7">
        <v>0</v>
      </c>
      <c r="Y783" s="7">
        <v>0</v>
      </c>
      <c r="Z783" s="7">
        <v>0</v>
      </c>
      <c r="AA783" s="7">
        <v>1</v>
      </c>
      <c r="AB783" s="7">
        <v>1</v>
      </c>
      <c r="AC783" s="7">
        <v>1</v>
      </c>
      <c r="AD783" s="7" t="s">
        <v>5044</v>
      </c>
      <c r="AE783" s="7" t="s">
        <v>5044</v>
      </c>
      <c r="AF783" s="7" t="s">
        <v>5044</v>
      </c>
      <c r="AG783" s="7">
        <v>2</v>
      </c>
      <c r="AH783" s="7">
        <v>2</v>
      </c>
      <c r="AI783" s="7">
        <v>2</v>
      </c>
      <c r="AJ783" s="7" t="s">
        <v>5044</v>
      </c>
      <c r="AL783" s="7" t="s">
        <v>5044</v>
      </c>
      <c r="AM783" s="7">
        <v>0</v>
      </c>
      <c r="AN783" s="7" t="s">
        <v>6294</v>
      </c>
    </row>
    <row r="784" spans="1:40" ht="63" customHeight="1" x14ac:dyDescent="0.2">
      <c r="A784" s="7">
        <v>7902</v>
      </c>
      <c r="B784" s="7" t="s">
        <v>2696</v>
      </c>
      <c r="C784" s="7" t="s">
        <v>2697</v>
      </c>
      <c r="D784" s="7" t="s">
        <v>56</v>
      </c>
      <c r="F784" s="7" t="s">
        <v>154</v>
      </c>
      <c r="G784" s="7" t="s">
        <v>18</v>
      </c>
      <c r="H784" s="7" t="s">
        <v>2698</v>
      </c>
      <c r="I784" s="7" t="s">
        <v>13</v>
      </c>
      <c r="J784" s="7" t="s">
        <v>2699</v>
      </c>
      <c r="K784" s="7" t="s">
        <v>2700</v>
      </c>
      <c r="L784" s="11" t="s">
        <v>5044</v>
      </c>
      <c r="M784" s="7">
        <v>0</v>
      </c>
      <c r="N784" s="9" t="s">
        <v>5044</v>
      </c>
      <c r="O784" s="9" t="s">
        <v>5044</v>
      </c>
      <c r="P784" s="7">
        <v>0</v>
      </c>
      <c r="Q784" s="7">
        <v>0</v>
      </c>
      <c r="R784" s="7">
        <v>0</v>
      </c>
      <c r="S784" s="7">
        <v>1</v>
      </c>
      <c r="T784" s="7">
        <v>4</v>
      </c>
      <c r="U784" s="7">
        <v>160</v>
      </c>
      <c r="V784" s="7">
        <v>0</v>
      </c>
      <c r="W784" s="7">
        <v>1</v>
      </c>
      <c r="X784" s="7">
        <v>0</v>
      </c>
      <c r="Y784" s="7">
        <v>0</v>
      </c>
      <c r="Z784" s="7">
        <v>0</v>
      </c>
      <c r="AA784" s="7">
        <v>0</v>
      </c>
      <c r="AB784" s="7">
        <v>1</v>
      </c>
      <c r="AC784" s="7">
        <v>1</v>
      </c>
      <c r="AD784" s="7" t="s">
        <v>5044</v>
      </c>
      <c r="AE784" s="7" t="s">
        <v>5044</v>
      </c>
      <c r="AF784" s="7" t="s">
        <v>5044</v>
      </c>
      <c r="AG784" s="7">
        <v>2</v>
      </c>
      <c r="AH784" s="7">
        <v>3</v>
      </c>
      <c r="AI784" s="7">
        <v>0</v>
      </c>
      <c r="AJ784" s="7" t="s">
        <v>5044</v>
      </c>
      <c r="AK784" s="7">
        <v>1</v>
      </c>
      <c r="AL784" s="7">
        <v>0</v>
      </c>
      <c r="AM784" s="7">
        <v>0</v>
      </c>
    </row>
    <row r="785" spans="1:40" ht="63" customHeight="1" x14ac:dyDescent="0.2">
      <c r="A785" s="7">
        <v>7909</v>
      </c>
      <c r="B785" s="7" t="s">
        <v>2701</v>
      </c>
      <c r="C785" s="7" t="s">
        <v>2702</v>
      </c>
      <c r="D785" s="7" t="s">
        <v>25</v>
      </c>
      <c r="F785" s="7" t="s">
        <v>2703</v>
      </c>
      <c r="G785" s="7" t="s">
        <v>52</v>
      </c>
      <c r="H785" s="7" t="s">
        <v>596</v>
      </c>
      <c r="I785" s="7" t="s">
        <v>13</v>
      </c>
      <c r="J785" s="7" t="s">
        <v>2704</v>
      </c>
      <c r="K785" s="7" t="s">
        <v>2705</v>
      </c>
      <c r="L785" s="11" t="s">
        <v>5044</v>
      </c>
      <c r="M785" s="7">
        <v>0</v>
      </c>
      <c r="N785" s="9" t="s">
        <v>5044</v>
      </c>
      <c r="O785" s="9" t="s">
        <v>5044</v>
      </c>
      <c r="P785" s="7">
        <v>0</v>
      </c>
      <c r="Q785" s="7">
        <v>0</v>
      </c>
      <c r="R785" s="7">
        <v>0</v>
      </c>
      <c r="S785" s="7" t="s">
        <v>5708</v>
      </c>
      <c r="T785" s="7">
        <v>4</v>
      </c>
      <c r="U785" s="7">
        <v>240</v>
      </c>
      <c r="V785" s="7">
        <v>0</v>
      </c>
      <c r="W785" s="7">
        <v>1</v>
      </c>
      <c r="X785" s="7">
        <v>0</v>
      </c>
      <c r="Y785" s="7">
        <v>0</v>
      </c>
      <c r="Z785" s="7">
        <v>0</v>
      </c>
      <c r="AA785" s="7">
        <v>0</v>
      </c>
      <c r="AB785" s="7">
        <v>1</v>
      </c>
      <c r="AC785" s="7">
        <v>0</v>
      </c>
      <c r="AD785" s="7" t="s">
        <v>5044</v>
      </c>
      <c r="AE785" s="7" t="s">
        <v>5044</v>
      </c>
      <c r="AF785" s="7" t="s">
        <v>5044</v>
      </c>
      <c r="AG785" s="7">
        <v>0</v>
      </c>
      <c r="AH785" s="7" t="s">
        <v>5044</v>
      </c>
      <c r="AI785" s="7" t="s">
        <v>5044</v>
      </c>
      <c r="AJ785" s="7" t="s">
        <v>5044</v>
      </c>
      <c r="AL785" s="7" t="s">
        <v>5044</v>
      </c>
      <c r="AM785" s="7">
        <v>0</v>
      </c>
      <c r="AN785" s="7" t="s">
        <v>5105</v>
      </c>
    </row>
    <row r="786" spans="1:40" ht="63" customHeight="1" x14ac:dyDescent="0.2">
      <c r="A786" s="7">
        <v>7944</v>
      </c>
      <c r="B786" s="7" t="s">
        <v>2706</v>
      </c>
      <c r="C786" s="7" t="s">
        <v>2707</v>
      </c>
      <c r="D786" s="7" t="s">
        <v>16</v>
      </c>
      <c r="F786" s="7" t="s">
        <v>2428</v>
      </c>
      <c r="G786" s="7" t="s">
        <v>18</v>
      </c>
      <c r="H786" s="7" t="s">
        <v>12</v>
      </c>
      <c r="I786" s="7" t="s">
        <v>13</v>
      </c>
      <c r="J786" s="7" t="s">
        <v>2708</v>
      </c>
      <c r="K786" s="7" t="s">
        <v>2709</v>
      </c>
      <c r="L786" s="11" t="s">
        <v>5044</v>
      </c>
      <c r="M786" s="7">
        <v>0</v>
      </c>
      <c r="N786" s="9" t="s">
        <v>5044</v>
      </c>
      <c r="O786" s="9" t="s">
        <v>5044</v>
      </c>
      <c r="P786" s="7">
        <v>0</v>
      </c>
      <c r="Q786" s="7">
        <v>0</v>
      </c>
      <c r="R786" s="7">
        <v>0</v>
      </c>
      <c r="S786" s="7">
        <v>3</v>
      </c>
      <c r="T786" s="7">
        <v>1</v>
      </c>
      <c r="U786" s="7">
        <v>100</v>
      </c>
      <c r="V786" s="7">
        <v>0</v>
      </c>
      <c r="W786" s="7">
        <v>1</v>
      </c>
      <c r="X786" s="7">
        <v>0</v>
      </c>
      <c r="Y786" s="7">
        <v>0</v>
      </c>
      <c r="Z786" s="7">
        <v>0</v>
      </c>
      <c r="AA786" s="7">
        <v>0</v>
      </c>
      <c r="AB786" s="7">
        <v>1</v>
      </c>
      <c r="AC786" s="7">
        <v>1</v>
      </c>
      <c r="AD786" s="7" t="s">
        <v>5044</v>
      </c>
      <c r="AE786" s="7" t="s">
        <v>5044</v>
      </c>
      <c r="AF786" s="7" t="s">
        <v>5044</v>
      </c>
      <c r="AG786" s="7">
        <v>1</v>
      </c>
      <c r="AH786" s="7">
        <v>0</v>
      </c>
      <c r="AI786" s="7">
        <v>0</v>
      </c>
      <c r="AJ786" s="7" t="s">
        <v>5044</v>
      </c>
      <c r="AL786" s="7">
        <v>1</v>
      </c>
      <c r="AM786" s="7">
        <v>0</v>
      </c>
    </row>
    <row r="787" spans="1:40" ht="63" customHeight="1" x14ac:dyDescent="0.2">
      <c r="A787" s="7">
        <v>7945</v>
      </c>
      <c r="B787" s="7" t="s">
        <v>2710</v>
      </c>
      <c r="C787" s="7" t="s">
        <v>2711</v>
      </c>
      <c r="D787" s="7" t="s">
        <v>149</v>
      </c>
      <c r="F787" s="7" t="s">
        <v>191</v>
      </c>
      <c r="G787" s="7" t="s">
        <v>32</v>
      </c>
      <c r="H787" s="7" t="s">
        <v>540</v>
      </c>
      <c r="I787" s="7" t="s">
        <v>13</v>
      </c>
      <c r="J787" s="7" t="s">
        <v>2712</v>
      </c>
      <c r="K787" s="7" t="s">
        <v>2713</v>
      </c>
      <c r="L787" s="7" t="s">
        <v>6186</v>
      </c>
      <c r="M787" s="7">
        <v>0</v>
      </c>
      <c r="N787" s="7" t="s">
        <v>5044</v>
      </c>
      <c r="O787" s="7" t="s">
        <v>5044</v>
      </c>
      <c r="P787" s="7">
        <v>0</v>
      </c>
      <c r="Q787" s="7">
        <v>0</v>
      </c>
      <c r="R787" s="7">
        <v>0</v>
      </c>
      <c r="S787" s="7">
        <v>3</v>
      </c>
      <c r="T787" s="7">
        <v>1</v>
      </c>
      <c r="U787" s="7">
        <v>129</v>
      </c>
      <c r="V787" s="7">
        <v>0</v>
      </c>
      <c r="W787" s="7">
        <v>1</v>
      </c>
      <c r="X787" s="7">
        <v>0</v>
      </c>
      <c r="Y787" s="7">
        <v>0</v>
      </c>
      <c r="Z787" s="7">
        <v>0</v>
      </c>
      <c r="AA787" s="7">
        <v>0</v>
      </c>
      <c r="AB787" s="7">
        <v>1</v>
      </c>
      <c r="AC787" s="7">
        <v>1</v>
      </c>
      <c r="AD787" s="7" t="s">
        <v>5044</v>
      </c>
      <c r="AE787" s="7" t="s">
        <v>5044</v>
      </c>
      <c r="AF787" s="7" t="s">
        <v>5044</v>
      </c>
      <c r="AG787" s="7">
        <v>2</v>
      </c>
      <c r="AH787" s="7">
        <v>3</v>
      </c>
      <c r="AI787" s="7">
        <v>0</v>
      </c>
      <c r="AJ787" s="7" t="s">
        <v>5044</v>
      </c>
      <c r="AK787" s="7">
        <v>1</v>
      </c>
      <c r="AL787" s="7">
        <v>0</v>
      </c>
      <c r="AM787" s="7">
        <v>0</v>
      </c>
      <c r="AN787" s="7" t="s">
        <v>5318</v>
      </c>
    </row>
    <row r="788" spans="1:40" ht="63" customHeight="1" x14ac:dyDescent="0.2">
      <c r="A788" s="7">
        <v>7949</v>
      </c>
      <c r="B788" s="7" t="s">
        <v>2714</v>
      </c>
      <c r="C788" s="7" t="s">
        <v>2715</v>
      </c>
      <c r="D788" s="7" t="s">
        <v>16</v>
      </c>
      <c r="F788" s="7" t="s">
        <v>237</v>
      </c>
      <c r="G788" s="7" t="s">
        <v>144</v>
      </c>
      <c r="H788" s="7" t="s">
        <v>497</v>
      </c>
      <c r="I788" s="7" t="s">
        <v>13</v>
      </c>
      <c r="J788" s="7" t="s">
        <v>2716</v>
      </c>
      <c r="K788" s="7" t="s">
        <v>2717</v>
      </c>
      <c r="L788" s="7" t="s">
        <v>6187</v>
      </c>
      <c r="M788" s="7">
        <v>0</v>
      </c>
      <c r="N788" s="7" t="s">
        <v>5044</v>
      </c>
      <c r="O788" s="7" t="s">
        <v>5044</v>
      </c>
      <c r="P788" s="7">
        <v>0</v>
      </c>
      <c r="Q788" s="7">
        <v>0</v>
      </c>
      <c r="R788" s="7">
        <v>0</v>
      </c>
      <c r="S788" s="7">
        <v>5</v>
      </c>
      <c r="T788" s="7">
        <v>2</v>
      </c>
      <c r="U788" s="7">
        <v>38</v>
      </c>
      <c r="V788" s="7">
        <v>0</v>
      </c>
      <c r="W788" s="7">
        <v>1</v>
      </c>
      <c r="X788" s="7">
        <v>0</v>
      </c>
      <c r="Y788" s="7">
        <v>0</v>
      </c>
      <c r="Z788" s="7">
        <v>0</v>
      </c>
      <c r="AA788" s="7">
        <v>0</v>
      </c>
      <c r="AB788" s="7">
        <v>1</v>
      </c>
      <c r="AC788" s="7">
        <v>1</v>
      </c>
      <c r="AD788" s="7" t="s">
        <v>5044</v>
      </c>
      <c r="AE788" s="7" t="s">
        <v>5044</v>
      </c>
      <c r="AF788" s="7" t="s">
        <v>5044</v>
      </c>
      <c r="AG788" s="7">
        <v>2</v>
      </c>
      <c r="AH788" s="7">
        <v>3</v>
      </c>
      <c r="AI788" s="7">
        <v>0</v>
      </c>
      <c r="AJ788" s="7" t="s">
        <v>5044</v>
      </c>
      <c r="AK788" s="7" t="s">
        <v>6295</v>
      </c>
      <c r="AL788" s="7">
        <v>1</v>
      </c>
      <c r="AM788" s="7">
        <v>0</v>
      </c>
    </row>
    <row r="789" spans="1:40" ht="63" customHeight="1" x14ac:dyDescent="0.2">
      <c r="A789" s="7">
        <v>7966</v>
      </c>
      <c r="B789" s="7" t="s">
        <v>2732</v>
      </c>
      <c r="C789" s="7" t="s">
        <v>2733</v>
      </c>
      <c r="D789" s="7" t="s">
        <v>101</v>
      </c>
      <c r="F789" s="7" t="s">
        <v>48</v>
      </c>
      <c r="G789" s="7" t="s">
        <v>37</v>
      </c>
      <c r="H789" s="7" t="s">
        <v>19</v>
      </c>
      <c r="I789" s="7" t="s">
        <v>13</v>
      </c>
      <c r="J789" s="7" t="s">
        <v>2734</v>
      </c>
      <c r="K789" s="7" t="s">
        <v>2735</v>
      </c>
      <c r="L789" s="7" t="s">
        <v>6189</v>
      </c>
      <c r="M789" s="7">
        <v>1</v>
      </c>
      <c r="N789" s="7">
        <v>0</v>
      </c>
      <c r="O789" s="7" t="s">
        <v>5044</v>
      </c>
      <c r="P789" s="7">
        <v>0</v>
      </c>
      <c r="Q789" s="7">
        <v>0</v>
      </c>
      <c r="R789" s="7">
        <v>0</v>
      </c>
      <c r="S789" s="7">
        <v>1</v>
      </c>
      <c r="T789" s="7">
        <v>2</v>
      </c>
      <c r="U789" s="7">
        <v>150</v>
      </c>
      <c r="V789" s="7">
        <v>0</v>
      </c>
      <c r="W789" s="7">
        <v>1</v>
      </c>
      <c r="X789" s="7">
        <v>0</v>
      </c>
      <c r="Y789" s="7">
        <v>0</v>
      </c>
      <c r="Z789" s="7">
        <v>0</v>
      </c>
      <c r="AA789" s="7">
        <v>0</v>
      </c>
      <c r="AB789" s="7">
        <v>1</v>
      </c>
      <c r="AC789" s="7" t="s">
        <v>5044</v>
      </c>
      <c r="AD789" s="7" t="s">
        <v>5044</v>
      </c>
      <c r="AE789" s="7" t="s">
        <v>5044</v>
      </c>
      <c r="AF789" s="7" t="s">
        <v>5044</v>
      </c>
      <c r="AG789" s="7" t="s">
        <v>5044</v>
      </c>
      <c r="AH789" s="7" t="s">
        <v>5044</v>
      </c>
      <c r="AI789" s="7" t="s">
        <v>5044</v>
      </c>
      <c r="AJ789" s="7" t="s">
        <v>5044</v>
      </c>
      <c r="AK789" s="7" t="s">
        <v>5318</v>
      </c>
      <c r="AL789" s="7" t="s">
        <v>5044</v>
      </c>
      <c r="AM789" s="7">
        <v>0</v>
      </c>
      <c r="AN789" s="7" t="s">
        <v>5318</v>
      </c>
    </row>
    <row r="790" spans="1:40" ht="63" customHeight="1" x14ac:dyDescent="0.2">
      <c r="A790" s="7">
        <v>7970</v>
      </c>
      <c r="B790" s="7" t="s">
        <v>2736</v>
      </c>
      <c r="C790" s="7" t="s">
        <v>2737</v>
      </c>
      <c r="D790" s="7" t="s">
        <v>41</v>
      </c>
      <c r="F790" s="7" t="s">
        <v>107</v>
      </c>
      <c r="G790" s="7" t="s">
        <v>52</v>
      </c>
      <c r="H790" s="7" t="s">
        <v>119</v>
      </c>
      <c r="I790" s="7" t="s">
        <v>13</v>
      </c>
      <c r="J790" s="7" t="s">
        <v>2738</v>
      </c>
      <c r="K790" s="7" t="s">
        <v>2739</v>
      </c>
      <c r="L790" s="7" t="s">
        <v>6190</v>
      </c>
      <c r="M790" s="7">
        <v>1</v>
      </c>
      <c r="N790" s="7">
        <v>0</v>
      </c>
      <c r="O790" s="7" t="s">
        <v>5044</v>
      </c>
      <c r="P790" s="7">
        <v>0</v>
      </c>
      <c r="Q790" s="7">
        <v>0</v>
      </c>
      <c r="R790" s="7">
        <v>0</v>
      </c>
      <c r="S790" s="7">
        <v>1</v>
      </c>
      <c r="T790" s="7">
        <v>1</v>
      </c>
      <c r="U790" s="7">
        <v>368</v>
      </c>
      <c r="V790" s="7">
        <v>0</v>
      </c>
      <c r="W790" s="7">
        <v>1</v>
      </c>
      <c r="X790" s="7">
        <v>0</v>
      </c>
      <c r="Y790" s="7">
        <v>0</v>
      </c>
      <c r="Z790" s="7">
        <v>0</v>
      </c>
      <c r="AA790" s="7">
        <v>0</v>
      </c>
      <c r="AB790" s="7">
        <v>1</v>
      </c>
      <c r="AC790" s="7" t="s">
        <v>5044</v>
      </c>
      <c r="AD790" s="7" t="s">
        <v>5044</v>
      </c>
      <c r="AE790" s="7" t="s">
        <v>5044</v>
      </c>
      <c r="AF790" s="7" t="s">
        <v>5044</v>
      </c>
      <c r="AG790" s="7" t="s">
        <v>5044</v>
      </c>
      <c r="AH790" s="7" t="s">
        <v>5044</v>
      </c>
      <c r="AI790" s="7" t="s">
        <v>5044</v>
      </c>
      <c r="AJ790" s="7" t="s">
        <v>5044</v>
      </c>
      <c r="AK790" s="7" t="s">
        <v>5318</v>
      </c>
      <c r="AL790" s="7" t="s">
        <v>5044</v>
      </c>
      <c r="AM790" s="7">
        <v>0</v>
      </c>
      <c r="AN790" s="7" t="s">
        <v>5318</v>
      </c>
    </row>
    <row r="791" spans="1:40" ht="63" customHeight="1" x14ac:dyDescent="0.2">
      <c r="A791" s="7">
        <v>7984</v>
      </c>
      <c r="B791" s="7" t="s">
        <v>2740</v>
      </c>
      <c r="C791" s="7" t="s">
        <v>2741</v>
      </c>
      <c r="D791" s="7" t="s">
        <v>56</v>
      </c>
      <c r="F791" s="7" t="s">
        <v>521</v>
      </c>
      <c r="G791" s="7" t="s">
        <v>37</v>
      </c>
      <c r="H791" s="7" t="s">
        <v>38</v>
      </c>
      <c r="I791" s="7" t="s">
        <v>13</v>
      </c>
      <c r="J791" s="7" t="s">
        <v>2742</v>
      </c>
      <c r="K791" s="7" t="s">
        <v>2743</v>
      </c>
      <c r="L791" s="7" t="s">
        <v>6191</v>
      </c>
      <c r="M791" s="7">
        <v>0</v>
      </c>
      <c r="N791" s="7" t="s">
        <v>5044</v>
      </c>
      <c r="O791" s="7" t="s">
        <v>5044</v>
      </c>
      <c r="P791" s="7">
        <v>0</v>
      </c>
      <c r="Q791" s="7">
        <v>0</v>
      </c>
      <c r="R791" s="7">
        <v>0</v>
      </c>
      <c r="S791" s="7">
        <v>1</v>
      </c>
      <c r="T791" s="7">
        <v>4</v>
      </c>
      <c r="U791" s="7">
        <v>328</v>
      </c>
      <c r="V791" s="7">
        <v>1</v>
      </c>
      <c r="W791" s="7">
        <v>0</v>
      </c>
      <c r="X791" s="7">
        <v>0</v>
      </c>
      <c r="Y791" s="7">
        <v>0</v>
      </c>
      <c r="Z791" s="7">
        <v>0</v>
      </c>
      <c r="AA791" s="7">
        <v>0</v>
      </c>
      <c r="AB791" s="7">
        <v>1</v>
      </c>
      <c r="AC791" s="7">
        <v>1</v>
      </c>
      <c r="AD791" s="7">
        <v>2</v>
      </c>
      <c r="AE791" s="7">
        <v>2</v>
      </c>
      <c r="AF791" s="7">
        <v>3</v>
      </c>
      <c r="AG791" s="7" t="s">
        <v>5044</v>
      </c>
      <c r="AH791" s="7" t="s">
        <v>5044</v>
      </c>
      <c r="AI791" s="7" t="s">
        <v>5044</v>
      </c>
      <c r="AJ791" s="7" t="s">
        <v>5044</v>
      </c>
      <c r="AK791" s="7" t="s">
        <v>6192</v>
      </c>
      <c r="AL791" s="7">
        <v>0</v>
      </c>
      <c r="AM791" s="7">
        <v>0</v>
      </c>
    </row>
    <row r="792" spans="1:40" ht="63" customHeight="1" x14ac:dyDescent="0.2">
      <c r="A792" s="7">
        <v>7995</v>
      </c>
      <c r="B792" s="7" t="s">
        <v>2744</v>
      </c>
      <c r="C792" s="7" t="s">
        <v>2745</v>
      </c>
      <c r="D792" s="7" t="s">
        <v>41</v>
      </c>
      <c r="F792" s="7" t="s">
        <v>11</v>
      </c>
      <c r="G792" s="7" t="s">
        <v>11</v>
      </c>
      <c r="H792" s="7" t="s">
        <v>396</v>
      </c>
      <c r="I792" s="7" t="s">
        <v>13</v>
      </c>
      <c r="J792" s="7" t="s">
        <v>2746</v>
      </c>
      <c r="K792" s="7" t="s">
        <v>2747</v>
      </c>
      <c r="L792" s="7" t="s">
        <v>6193</v>
      </c>
      <c r="M792" s="7">
        <v>1</v>
      </c>
      <c r="N792" s="7">
        <v>0</v>
      </c>
      <c r="O792" s="7" t="s">
        <v>5044</v>
      </c>
      <c r="P792" s="7">
        <v>0</v>
      </c>
      <c r="Q792" s="7">
        <v>0</v>
      </c>
      <c r="R792" s="7">
        <v>0</v>
      </c>
      <c r="S792" s="7">
        <v>1</v>
      </c>
      <c r="T792" s="7">
        <v>1</v>
      </c>
      <c r="U792" s="7">
        <v>1800</v>
      </c>
      <c r="V792" s="7">
        <v>0</v>
      </c>
      <c r="W792" s="7">
        <v>1</v>
      </c>
      <c r="X792" s="7">
        <v>0</v>
      </c>
      <c r="Y792" s="7">
        <v>0</v>
      </c>
      <c r="Z792" s="7">
        <v>0</v>
      </c>
      <c r="AA792" s="7">
        <v>0</v>
      </c>
      <c r="AB792" s="7">
        <v>1</v>
      </c>
      <c r="AC792" s="7" t="s">
        <v>5044</v>
      </c>
      <c r="AD792" s="7" t="s">
        <v>5044</v>
      </c>
      <c r="AE792" s="7" t="s">
        <v>5044</v>
      </c>
      <c r="AF792" s="7" t="s">
        <v>5044</v>
      </c>
      <c r="AG792" s="7" t="s">
        <v>5044</v>
      </c>
      <c r="AH792" s="7" t="s">
        <v>5044</v>
      </c>
      <c r="AI792" s="7" t="s">
        <v>5044</v>
      </c>
      <c r="AJ792" s="7" t="s">
        <v>5044</v>
      </c>
      <c r="AK792" s="7" t="s">
        <v>5318</v>
      </c>
      <c r="AL792" s="7" t="s">
        <v>5044</v>
      </c>
      <c r="AM792" s="7">
        <v>0</v>
      </c>
      <c r="AN792" s="7" t="s">
        <v>5318</v>
      </c>
    </row>
    <row r="793" spans="1:40" ht="63" customHeight="1" x14ac:dyDescent="0.2">
      <c r="A793" s="7">
        <v>8053</v>
      </c>
      <c r="B793" s="7" t="s">
        <v>2748</v>
      </c>
      <c r="C793" s="7" t="s">
        <v>2749</v>
      </c>
      <c r="D793" s="7" t="s">
        <v>101</v>
      </c>
      <c r="F793" s="7" t="s">
        <v>2750</v>
      </c>
      <c r="G793" s="7" t="s">
        <v>32</v>
      </c>
      <c r="H793" s="7" t="s">
        <v>730</v>
      </c>
      <c r="I793" s="7" t="s">
        <v>13</v>
      </c>
      <c r="J793" s="7" t="s">
        <v>2751</v>
      </c>
      <c r="K793" s="7" t="s">
        <v>2752</v>
      </c>
      <c r="L793" s="7" t="s">
        <v>6194</v>
      </c>
      <c r="M793" s="7">
        <v>0</v>
      </c>
      <c r="N793" s="7" t="s">
        <v>5044</v>
      </c>
      <c r="O793" s="7" t="s">
        <v>5044</v>
      </c>
      <c r="P793" s="7">
        <v>0</v>
      </c>
      <c r="Q793" s="7">
        <v>0</v>
      </c>
      <c r="R793" s="7">
        <v>0</v>
      </c>
      <c r="S793" s="7">
        <v>5</v>
      </c>
      <c r="T793" s="7">
        <v>1</v>
      </c>
      <c r="U793" s="7">
        <v>224</v>
      </c>
      <c r="V793" s="7">
        <v>0</v>
      </c>
      <c r="W793" s="7">
        <v>1</v>
      </c>
      <c r="X793" s="7">
        <v>0</v>
      </c>
      <c r="Y793" s="7">
        <v>0</v>
      </c>
      <c r="Z793" s="7">
        <v>0</v>
      </c>
      <c r="AA793" s="7">
        <v>0</v>
      </c>
      <c r="AB793" s="7">
        <v>1</v>
      </c>
      <c r="AC793" s="7">
        <v>1</v>
      </c>
      <c r="AD793" s="7" t="s">
        <v>5044</v>
      </c>
      <c r="AE793" s="7" t="s">
        <v>5044</v>
      </c>
      <c r="AF793" s="7" t="s">
        <v>5044</v>
      </c>
      <c r="AG793" s="7">
        <v>2</v>
      </c>
      <c r="AH793" s="7">
        <v>3</v>
      </c>
      <c r="AI793" s="7">
        <v>0</v>
      </c>
      <c r="AJ793" s="7" t="s">
        <v>5044</v>
      </c>
      <c r="AK793" s="7">
        <v>1</v>
      </c>
      <c r="AL793" s="7">
        <v>0</v>
      </c>
      <c r="AM793" s="7">
        <v>0</v>
      </c>
    </row>
    <row r="794" spans="1:40" ht="63" customHeight="1" x14ac:dyDescent="0.2">
      <c r="A794" s="7">
        <v>8055</v>
      </c>
      <c r="B794" s="7" t="s">
        <v>2753</v>
      </c>
      <c r="C794" s="7" t="s">
        <v>2754</v>
      </c>
      <c r="D794" s="7" t="s">
        <v>341</v>
      </c>
      <c r="F794" s="7" t="s">
        <v>2755</v>
      </c>
      <c r="G794" s="7" t="s">
        <v>18</v>
      </c>
      <c r="H794" s="7" t="s">
        <v>2756</v>
      </c>
      <c r="I794" s="7" t="s">
        <v>13</v>
      </c>
      <c r="J794" s="7" t="s">
        <v>2757</v>
      </c>
      <c r="K794" s="7" t="s">
        <v>2758</v>
      </c>
      <c r="L794" s="7" t="s">
        <v>6195</v>
      </c>
      <c r="M794" s="7">
        <v>0</v>
      </c>
      <c r="N794" s="7" t="s">
        <v>5044</v>
      </c>
      <c r="O794" s="7" t="s">
        <v>5044</v>
      </c>
      <c r="P794" s="7">
        <v>0</v>
      </c>
      <c r="Q794" s="7">
        <v>0</v>
      </c>
      <c r="R794" s="7">
        <v>0</v>
      </c>
      <c r="S794" s="7">
        <v>1</v>
      </c>
      <c r="T794" s="7">
        <v>2</v>
      </c>
      <c r="U794" s="7">
        <v>162</v>
      </c>
      <c r="V794" s="7">
        <v>1</v>
      </c>
      <c r="W794" s="7">
        <v>0</v>
      </c>
      <c r="X794" s="7">
        <v>0</v>
      </c>
      <c r="Y794" s="7">
        <v>0</v>
      </c>
      <c r="Z794" s="7">
        <v>0</v>
      </c>
      <c r="AA794" s="7">
        <v>0</v>
      </c>
      <c r="AB794" s="7">
        <v>1</v>
      </c>
      <c r="AC794" s="7">
        <v>1</v>
      </c>
      <c r="AD794" s="7">
        <v>2</v>
      </c>
      <c r="AE794" s="7">
        <v>2</v>
      </c>
      <c r="AF794" s="27" t="s">
        <v>5044</v>
      </c>
      <c r="AG794" s="7" t="s">
        <v>5044</v>
      </c>
      <c r="AH794" s="7" t="s">
        <v>5044</v>
      </c>
      <c r="AI794" s="7" t="s">
        <v>5044</v>
      </c>
      <c r="AJ794" s="7" t="s">
        <v>5044</v>
      </c>
      <c r="AK794" s="7" t="s">
        <v>6196</v>
      </c>
      <c r="AL794" s="7">
        <v>1</v>
      </c>
      <c r="AM794" s="7">
        <v>0</v>
      </c>
      <c r="AN794" s="7" t="s">
        <v>5318</v>
      </c>
    </row>
    <row r="795" spans="1:40" ht="63" customHeight="1" x14ac:dyDescent="0.2">
      <c r="A795" s="7">
        <v>8059</v>
      </c>
      <c r="B795" s="7" t="s">
        <v>2759</v>
      </c>
      <c r="C795" s="7" t="s">
        <v>2760</v>
      </c>
      <c r="D795" s="7" t="s">
        <v>101</v>
      </c>
      <c r="F795" s="7" t="s">
        <v>27</v>
      </c>
      <c r="H795" s="7" t="s">
        <v>1195</v>
      </c>
      <c r="I795" s="7" t="s">
        <v>13</v>
      </c>
      <c r="J795" s="7" t="s">
        <v>2761</v>
      </c>
      <c r="K795" s="7" t="s">
        <v>2762</v>
      </c>
      <c r="L795" s="11" t="s">
        <v>5044</v>
      </c>
      <c r="M795" s="7">
        <v>0</v>
      </c>
      <c r="N795" s="7" t="s">
        <v>5044</v>
      </c>
      <c r="O795" s="7" t="s">
        <v>5044</v>
      </c>
      <c r="P795" s="7">
        <v>0</v>
      </c>
      <c r="Q795" s="7">
        <v>0</v>
      </c>
      <c r="R795" s="7">
        <v>0</v>
      </c>
      <c r="S795" s="7" t="s">
        <v>5921</v>
      </c>
      <c r="T795" s="7">
        <v>6</v>
      </c>
      <c r="U795" s="7">
        <v>60</v>
      </c>
      <c r="V795" s="7">
        <v>0</v>
      </c>
      <c r="W795" s="7">
        <v>1</v>
      </c>
      <c r="X795" s="7">
        <v>0</v>
      </c>
      <c r="Y795" s="7">
        <v>0</v>
      </c>
      <c r="Z795" s="7">
        <v>0</v>
      </c>
      <c r="AA795" s="7">
        <v>0</v>
      </c>
      <c r="AB795" s="7">
        <v>0</v>
      </c>
      <c r="AC795" s="7">
        <v>1</v>
      </c>
      <c r="AD795" s="7" t="s">
        <v>5044</v>
      </c>
      <c r="AE795" s="7" t="s">
        <v>5044</v>
      </c>
      <c r="AF795" s="7" t="s">
        <v>5044</v>
      </c>
      <c r="AG795" s="7">
        <v>2</v>
      </c>
      <c r="AH795" s="7">
        <v>3</v>
      </c>
      <c r="AI795" s="7">
        <v>0</v>
      </c>
      <c r="AJ795" s="7" t="s">
        <v>5044</v>
      </c>
      <c r="AK795" s="7">
        <v>1</v>
      </c>
      <c r="AL795" s="7" t="s">
        <v>5044</v>
      </c>
      <c r="AM795" s="7">
        <v>0</v>
      </c>
      <c r="AN795" s="7" t="s">
        <v>5105</v>
      </c>
    </row>
    <row r="796" spans="1:40" ht="63" customHeight="1" x14ac:dyDescent="0.2">
      <c r="A796" s="7">
        <v>8071</v>
      </c>
      <c r="B796" s="7" t="s">
        <v>2763</v>
      </c>
      <c r="C796" s="7" t="s">
        <v>2764</v>
      </c>
      <c r="D796" s="7" t="s">
        <v>74</v>
      </c>
      <c r="F796" s="7" t="s">
        <v>791</v>
      </c>
      <c r="G796" s="7" t="s">
        <v>32</v>
      </c>
      <c r="H796" s="7" t="s">
        <v>38</v>
      </c>
      <c r="I796" s="7" t="s">
        <v>13</v>
      </c>
      <c r="J796" s="7" t="s">
        <v>2765</v>
      </c>
      <c r="K796" s="7" t="s">
        <v>2766</v>
      </c>
      <c r="L796" s="7" t="s">
        <v>6197</v>
      </c>
      <c r="M796" s="7">
        <v>0</v>
      </c>
      <c r="N796" s="7" t="s">
        <v>5044</v>
      </c>
      <c r="O796" s="7" t="s">
        <v>5044</v>
      </c>
      <c r="P796" s="7">
        <v>0</v>
      </c>
      <c r="Q796" s="7">
        <v>0</v>
      </c>
      <c r="R796" s="7">
        <v>0</v>
      </c>
      <c r="S796" s="7">
        <v>1</v>
      </c>
      <c r="T796" s="7">
        <v>4</v>
      </c>
      <c r="U796" s="7">
        <v>220</v>
      </c>
      <c r="V796" s="7">
        <v>0</v>
      </c>
      <c r="W796" s="7">
        <v>1</v>
      </c>
      <c r="X796" s="7">
        <v>0</v>
      </c>
      <c r="Y796" s="7">
        <v>0</v>
      </c>
      <c r="Z796" s="7">
        <v>0</v>
      </c>
      <c r="AA796" s="7">
        <v>0</v>
      </c>
      <c r="AB796" s="7">
        <v>1</v>
      </c>
      <c r="AC796" s="7">
        <v>1</v>
      </c>
      <c r="AD796" s="7" t="s">
        <v>5044</v>
      </c>
      <c r="AE796" s="7" t="s">
        <v>5044</v>
      </c>
      <c r="AF796" s="7" t="s">
        <v>5044</v>
      </c>
      <c r="AG796" s="7">
        <v>2</v>
      </c>
      <c r="AH796" s="7">
        <v>1</v>
      </c>
      <c r="AI796" s="7">
        <v>2</v>
      </c>
      <c r="AJ796" s="7" t="s">
        <v>5044</v>
      </c>
      <c r="AK796" s="7" t="s">
        <v>6198</v>
      </c>
      <c r="AL796" s="7">
        <v>0</v>
      </c>
      <c r="AM796" s="7">
        <v>0</v>
      </c>
      <c r="AN796" s="7" t="s">
        <v>5318</v>
      </c>
    </row>
    <row r="797" spans="1:40" ht="63" customHeight="1" x14ac:dyDescent="0.2">
      <c r="A797" s="7">
        <v>8084</v>
      </c>
      <c r="B797" s="7" t="s">
        <v>2767</v>
      </c>
      <c r="C797" s="7" t="s">
        <v>2768</v>
      </c>
      <c r="D797" s="7" t="s">
        <v>74</v>
      </c>
      <c r="F797" s="7" t="s">
        <v>197</v>
      </c>
      <c r="G797" s="7" t="s">
        <v>52</v>
      </c>
      <c r="H797" s="7" t="s">
        <v>86</v>
      </c>
      <c r="I797" s="7" t="s">
        <v>13</v>
      </c>
      <c r="J797" s="7" t="s">
        <v>2769</v>
      </c>
      <c r="K797" s="7" t="s">
        <v>2770</v>
      </c>
      <c r="L797" s="7" t="s">
        <v>6199</v>
      </c>
      <c r="M797" s="7">
        <v>0</v>
      </c>
      <c r="N797" s="7" t="s">
        <v>5044</v>
      </c>
      <c r="O797" s="7" t="s">
        <v>5044</v>
      </c>
      <c r="P797" s="7">
        <v>0</v>
      </c>
      <c r="Q797" s="7">
        <v>0</v>
      </c>
      <c r="R797" s="7">
        <v>0</v>
      </c>
      <c r="S797" s="7">
        <v>5</v>
      </c>
      <c r="T797" s="7">
        <v>4</v>
      </c>
      <c r="U797" s="7">
        <v>80</v>
      </c>
      <c r="V797" s="7">
        <v>0</v>
      </c>
      <c r="W797" s="7">
        <v>1</v>
      </c>
      <c r="X797" s="7">
        <v>0</v>
      </c>
      <c r="Y797" s="7">
        <v>0</v>
      </c>
      <c r="Z797" s="7">
        <v>0</v>
      </c>
      <c r="AA797" s="7">
        <v>0</v>
      </c>
      <c r="AB797" s="7">
        <v>1</v>
      </c>
      <c r="AC797" s="7">
        <v>0</v>
      </c>
      <c r="AD797" s="7" t="s">
        <v>5044</v>
      </c>
      <c r="AE797" s="7" t="s">
        <v>5044</v>
      </c>
      <c r="AF797" s="7" t="s">
        <v>5044</v>
      </c>
      <c r="AG797" s="7">
        <v>0</v>
      </c>
      <c r="AH797" s="7" t="s">
        <v>5044</v>
      </c>
      <c r="AI797" s="7" t="s">
        <v>5044</v>
      </c>
      <c r="AJ797" s="7" t="s">
        <v>5044</v>
      </c>
      <c r="AL797" s="7">
        <v>0</v>
      </c>
      <c r="AM797" s="7">
        <v>0</v>
      </c>
      <c r="AN797" s="7" t="s">
        <v>5318</v>
      </c>
    </row>
    <row r="798" spans="1:40" ht="63" customHeight="1" x14ac:dyDescent="0.2">
      <c r="A798" s="7">
        <v>8094</v>
      </c>
      <c r="B798" s="7" t="s">
        <v>2776</v>
      </c>
      <c r="C798" s="7" t="s">
        <v>2777</v>
      </c>
      <c r="D798" s="7" t="s">
        <v>25</v>
      </c>
      <c r="F798" s="7" t="s">
        <v>992</v>
      </c>
      <c r="G798" s="7" t="s">
        <v>32</v>
      </c>
      <c r="H798" s="7" t="s">
        <v>993</v>
      </c>
      <c r="I798" s="7" t="s">
        <v>13</v>
      </c>
      <c r="J798" s="7" t="s">
        <v>2778</v>
      </c>
      <c r="K798" s="7" t="s">
        <v>2779</v>
      </c>
      <c r="L798" s="7" t="s">
        <v>6200</v>
      </c>
      <c r="M798" s="7">
        <v>0</v>
      </c>
      <c r="N798" s="7" t="s">
        <v>5044</v>
      </c>
      <c r="O798" s="7" t="s">
        <v>5044</v>
      </c>
      <c r="P798" s="7">
        <v>0</v>
      </c>
      <c r="Q798" s="7">
        <v>0</v>
      </c>
      <c r="R798" s="7">
        <v>0</v>
      </c>
      <c r="S798" s="7">
        <v>1</v>
      </c>
      <c r="T798" s="7">
        <v>1</v>
      </c>
      <c r="U798" s="7">
        <v>100</v>
      </c>
      <c r="V798" s="7">
        <v>0</v>
      </c>
      <c r="W798" s="7">
        <v>1</v>
      </c>
      <c r="X798" s="7">
        <v>0</v>
      </c>
      <c r="Y798" s="7">
        <v>0</v>
      </c>
      <c r="Z798" s="7">
        <v>0</v>
      </c>
      <c r="AA798" s="7">
        <v>0</v>
      </c>
      <c r="AB798" s="7">
        <v>1</v>
      </c>
      <c r="AC798" s="7">
        <v>1</v>
      </c>
      <c r="AD798" s="7" t="s">
        <v>5044</v>
      </c>
      <c r="AE798" s="7" t="s">
        <v>5044</v>
      </c>
      <c r="AF798" s="7" t="s">
        <v>5044</v>
      </c>
      <c r="AG798" s="7">
        <v>2</v>
      </c>
      <c r="AH798" s="7">
        <v>3</v>
      </c>
      <c r="AI798" s="7">
        <v>0</v>
      </c>
      <c r="AJ798" s="7" t="s">
        <v>5044</v>
      </c>
      <c r="AK798" s="7">
        <v>1</v>
      </c>
      <c r="AL798" s="7">
        <v>1</v>
      </c>
      <c r="AM798" s="7">
        <v>0</v>
      </c>
      <c r="AN798" s="7" t="s">
        <v>5318</v>
      </c>
    </row>
    <row r="799" spans="1:40" ht="63" customHeight="1" x14ac:dyDescent="0.2">
      <c r="A799" s="7">
        <v>8097</v>
      </c>
      <c r="B799" s="7" t="s">
        <v>2780</v>
      </c>
      <c r="C799" s="7" t="s">
        <v>2781</v>
      </c>
      <c r="D799" s="7" t="s">
        <v>101</v>
      </c>
      <c r="F799" s="7" t="s">
        <v>356</v>
      </c>
      <c r="G799" s="7" t="s">
        <v>37</v>
      </c>
      <c r="H799" s="7" t="s">
        <v>2782</v>
      </c>
      <c r="I799" s="7" t="s">
        <v>13</v>
      </c>
      <c r="J799" s="7" t="s">
        <v>2783</v>
      </c>
      <c r="K799" s="7" t="s">
        <v>2784</v>
      </c>
      <c r="L799" s="7" t="s">
        <v>6201</v>
      </c>
      <c r="M799" s="7">
        <v>0</v>
      </c>
      <c r="N799" s="7" t="s">
        <v>5044</v>
      </c>
      <c r="O799" s="7" t="s">
        <v>5044</v>
      </c>
      <c r="P799" s="7">
        <v>0</v>
      </c>
      <c r="Q799" s="7">
        <v>0</v>
      </c>
      <c r="R799" s="7">
        <v>0</v>
      </c>
      <c r="S799" s="7">
        <v>3</v>
      </c>
      <c r="T799" s="7">
        <v>1</v>
      </c>
      <c r="U799" s="7">
        <v>61</v>
      </c>
      <c r="V799" s="7">
        <v>0</v>
      </c>
      <c r="W799" s="7">
        <v>1</v>
      </c>
      <c r="X799" s="7">
        <v>0</v>
      </c>
      <c r="Y799" s="7">
        <v>0</v>
      </c>
      <c r="Z799" s="7">
        <v>0</v>
      </c>
      <c r="AA799" s="7">
        <v>0</v>
      </c>
      <c r="AB799" s="7">
        <v>1</v>
      </c>
      <c r="AC799" s="7">
        <v>1</v>
      </c>
      <c r="AD799" s="7" t="s">
        <v>5044</v>
      </c>
      <c r="AE799" s="7" t="s">
        <v>5044</v>
      </c>
      <c r="AF799" s="7" t="s">
        <v>5044</v>
      </c>
      <c r="AG799" s="7">
        <v>2</v>
      </c>
      <c r="AH799" s="7">
        <v>3</v>
      </c>
      <c r="AI799" s="7">
        <v>0</v>
      </c>
      <c r="AJ799" s="7" t="s">
        <v>5044</v>
      </c>
      <c r="AK799" s="7" t="s">
        <v>6202</v>
      </c>
      <c r="AL799" s="7" t="s">
        <v>5044</v>
      </c>
      <c r="AM799" s="7">
        <v>0</v>
      </c>
    </row>
    <row r="800" spans="1:40" ht="63" customHeight="1" x14ac:dyDescent="0.2">
      <c r="A800" s="7">
        <v>8121</v>
      </c>
      <c r="B800" s="7" t="s">
        <v>2785</v>
      </c>
      <c r="C800" s="7" t="s">
        <v>2786</v>
      </c>
      <c r="D800" s="7" t="s">
        <v>35</v>
      </c>
      <c r="F800" s="7" t="s">
        <v>746</v>
      </c>
      <c r="G800" s="7" t="s">
        <v>48</v>
      </c>
      <c r="H800" s="7" t="s">
        <v>270</v>
      </c>
      <c r="I800" s="7" t="s">
        <v>13</v>
      </c>
      <c r="J800" s="7" t="s">
        <v>2787</v>
      </c>
      <c r="K800" s="7" t="s">
        <v>2788</v>
      </c>
      <c r="L800" s="7" t="s">
        <v>6203</v>
      </c>
      <c r="M800" s="7">
        <v>0</v>
      </c>
      <c r="N800" s="7" t="s">
        <v>5044</v>
      </c>
      <c r="O800" s="7" t="s">
        <v>5044</v>
      </c>
      <c r="P800" s="7">
        <v>0</v>
      </c>
      <c r="Q800" s="7">
        <v>0</v>
      </c>
      <c r="R800" s="7">
        <v>0</v>
      </c>
      <c r="S800" s="7">
        <v>1</v>
      </c>
      <c r="T800" s="7">
        <v>4</v>
      </c>
      <c r="U800" s="7">
        <v>60</v>
      </c>
      <c r="V800" s="7">
        <v>0</v>
      </c>
      <c r="W800" s="7">
        <v>1</v>
      </c>
      <c r="X800" s="7">
        <v>0</v>
      </c>
      <c r="Y800" s="7">
        <v>0</v>
      </c>
      <c r="Z800" s="7">
        <v>0</v>
      </c>
      <c r="AA800" s="7">
        <v>0</v>
      </c>
      <c r="AB800" s="7">
        <v>1</v>
      </c>
      <c r="AC800" s="7">
        <v>1</v>
      </c>
      <c r="AD800" s="7" t="s">
        <v>5044</v>
      </c>
      <c r="AE800" s="7" t="s">
        <v>5044</v>
      </c>
      <c r="AF800" s="7" t="s">
        <v>5044</v>
      </c>
      <c r="AG800" s="7">
        <v>2</v>
      </c>
      <c r="AH800" s="7">
        <v>3</v>
      </c>
      <c r="AI800" s="7">
        <v>0</v>
      </c>
      <c r="AJ800" s="7" t="s">
        <v>5044</v>
      </c>
      <c r="AK800" s="7">
        <v>1</v>
      </c>
      <c r="AL800" s="7" t="s">
        <v>5044</v>
      </c>
      <c r="AM800" s="7">
        <v>0</v>
      </c>
      <c r="AN800" s="7" t="s">
        <v>5105</v>
      </c>
    </row>
    <row r="801" spans="1:40" ht="63" customHeight="1" x14ac:dyDescent="0.2">
      <c r="A801" s="7">
        <v>8158</v>
      </c>
      <c r="B801" s="7" t="s">
        <v>2789</v>
      </c>
      <c r="C801" s="7" t="s">
        <v>2790</v>
      </c>
      <c r="D801" s="7" t="s">
        <v>46</v>
      </c>
      <c r="F801" s="7" t="s">
        <v>1346</v>
      </c>
      <c r="H801" s="7" t="s">
        <v>490</v>
      </c>
      <c r="I801" s="7" t="s">
        <v>13</v>
      </c>
      <c r="J801" s="7" t="s">
        <v>2791</v>
      </c>
      <c r="K801" s="7" t="s">
        <v>2792</v>
      </c>
      <c r="L801" s="7" t="s">
        <v>6204</v>
      </c>
      <c r="M801" s="7">
        <v>0</v>
      </c>
      <c r="N801" s="7" t="s">
        <v>5044</v>
      </c>
      <c r="O801" s="7" t="s">
        <v>5044</v>
      </c>
      <c r="P801" s="7">
        <v>0</v>
      </c>
      <c r="Q801" s="7">
        <v>0</v>
      </c>
      <c r="R801" s="7">
        <v>0</v>
      </c>
      <c r="S801" s="7">
        <v>3</v>
      </c>
      <c r="T801" s="7">
        <v>1</v>
      </c>
      <c r="U801" s="7">
        <v>100</v>
      </c>
      <c r="V801" s="7">
        <v>0</v>
      </c>
      <c r="W801" s="7">
        <v>1</v>
      </c>
      <c r="X801" s="7">
        <v>0</v>
      </c>
      <c r="Y801" s="7">
        <v>0</v>
      </c>
      <c r="Z801" s="7">
        <v>0</v>
      </c>
      <c r="AA801" s="7">
        <v>0</v>
      </c>
      <c r="AB801" s="7">
        <v>1</v>
      </c>
      <c r="AC801" s="7">
        <v>1</v>
      </c>
      <c r="AD801" s="7" t="s">
        <v>5044</v>
      </c>
      <c r="AE801" s="7" t="s">
        <v>5044</v>
      </c>
      <c r="AF801" s="7" t="s">
        <v>5044</v>
      </c>
      <c r="AG801" s="7">
        <v>2</v>
      </c>
      <c r="AH801" s="7">
        <v>3</v>
      </c>
      <c r="AI801" s="7">
        <v>0</v>
      </c>
      <c r="AJ801" s="7" t="s">
        <v>5044</v>
      </c>
      <c r="AK801" s="7">
        <v>1</v>
      </c>
      <c r="AL801" s="7">
        <v>1</v>
      </c>
      <c r="AM801" s="7">
        <v>0</v>
      </c>
      <c r="AN801" s="7" t="s">
        <v>5217</v>
      </c>
    </row>
    <row r="802" spans="1:40" ht="63" customHeight="1" x14ac:dyDescent="0.2">
      <c r="A802" s="7">
        <v>8160</v>
      </c>
      <c r="B802" s="7" t="s">
        <v>2793</v>
      </c>
      <c r="C802" s="7" t="s">
        <v>2794</v>
      </c>
      <c r="D802" s="7" t="s">
        <v>74</v>
      </c>
      <c r="F802" s="7" t="s">
        <v>107</v>
      </c>
      <c r="G802" s="7" t="s">
        <v>52</v>
      </c>
      <c r="H802" s="7" t="s">
        <v>2795</v>
      </c>
      <c r="I802" s="7" t="s">
        <v>13</v>
      </c>
      <c r="K802" s="7" t="s">
        <v>2796</v>
      </c>
      <c r="L802" s="7" t="s">
        <v>6205</v>
      </c>
      <c r="M802" s="7">
        <v>0</v>
      </c>
      <c r="N802" s="7" t="s">
        <v>5044</v>
      </c>
      <c r="O802" s="7" t="s">
        <v>5044</v>
      </c>
      <c r="P802" s="7">
        <v>0</v>
      </c>
      <c r="Q802" s="7">
        <v>0</v>
      </c>
      <c r="R802" s="7">
        <v>0</v>
      </c>
      <c r="S802" s="7">
        <v>3</v>
      </c>
      <c r="T802" s="7">
        <v>5</v>
      </c>
      <c r="U802" s="7">
        <v>64</v>
      </c>
      <c r="V802" s="7">
        <v>0</v>
      </c>
      <c r="W802" s="7">
        <v>1</v>
      </c>
      <c r="X802" s="7">
        <v>0</v>
      </c>
      <c r="Y802" s="7">
        <v>0</v>
      </c>
      <c r="Z802" s="7">
        <v>0</v>
      </c>
      <c r="AA802" s="7">
        <v>0</v>
      </c>
      <c r="AB802" s="7">
        <v>1</v>
      </c>
      <c r="AC802" s="7">
        <v>1</v>
      </c>
      <c r="AD802" s="7" t="s">
        <v>5044</v>
      </c>
      <c r="AE802" s="7" t="s">
        <v>5044</v>
      </c>
      <c r="AF802" s="7" t="s">
        <v>5044</v>
      </c>
      <c r="AG802" s="7">
        <v>1</v>
      </c>
      <c r="AH802" s="7">
        <v>0</v>
      </c>
      <c r="AI802" s="7">
        <v>0</v>
      </c>
      <c r="AJ802" s="7" t="s">
        <v>5044</v>
      </c>
      <c r="AK802" s="7" t="s">
        <v>5318</v>
      </c>
      <c r="AL802" s="7" t="s">
        <v>5044</v>
      </c>
      <c r="AM802" s="7">
        <v>0</v>
      </c>
      <c r="AN802" s="7" t="s">
        <v>6294</v>
      </c>
    </row>
    <row r="803" spans="1:40" ht="63" customHeight="1" x14ac:dyDescent="0.2">
      <c r="A803" s="7">
        <v>8172</v>
      </c>
      <c r="B803" s="7" t="s">
        <v>2797</v>
      </c>
      <c r="C803" s="7" t="s">
        <v>2798</v>
      </c>
      <c r="D803" s="7" t="s">
        <v>41</v>
      </c>
      <c r="F803" s="7" t="s">
        <v>107</v>
      </c>
      <c r="G803" s="7" t="s">
        <v>52</v>
      </c>
      <c r="H803" s="7" t="s">
        <v>656</v>
      </c>
      <c r="I803" s="7" t="s">
        <v>13</v>
      </c>
      <c r="J803" s="7" t="s">
        <v>2799</v>
      </c>
      <c r="K803" s="7" t="s">
        <v>2800</v>
      </c>
      <c r="L803" s="7" t="s">
        <v>6206</v>
      </c>
      <c r="M803" s="7">
        <v>0</v>
      </c>
      <c r="N803" s="7" t="s">
        <v>5044</v>
      </c>
      <c r="O803" s="7" t="s">
        <v>5044</v>
      </c>
      <c r="P803" s="7">
        <v>0</v>
      </c>
      <c r="Q803" s="7">
        <v>0</v>
      </c>
      <c r="R803" s="7">
        <v>0</v>
      </c>
      <c r="S803" s="7">
        <v>1</v>
      </c>
      <c r="T803" s="7">
        <v>1</v>
      </c>
      <c r="U803" s="7">
        <v>180</v>
      </c>
      <c r="V803" s="7">
        <v>0</v>
      </c>
      <c r="W803" s="7">
        <v>1</v>
      </c>
      <c r="X803" s="7">
        <v>0</v>
      </c>
      <c r="Y803" s="7">
        <v>0</v>
      </c>
      <c r="Z803" s="7">
        <v>0</v>
      </c>
      <c r="AA803" s="7">
        <v>0</v>
      </c>
      <c r="AB803" s="7">
        <v>1</v>
      </c>
      <c r="AC803" s="7">
        <v>1</v>
      </c>
      <c r="AD803" s="7" t="s">
        <v>5044</v>
      </c>
      <c r="AE803" s="7" t="s">
        <v>5044</v>
      </c>
      <c r="AF803" s="7" t="s">
        <v>5044</v>
      </c>
      <c r="AG803" s="7">
        <v>2</v>
      </c>
      <c r="AH803" s="7">
        <v>3</v>
      </c>
      <c r="AI803" s="7">
        <v>0</v>
      </c>
      <c r="AJ803" s="7" t="s">
        <v>5044</v>
      </c>
      <c r="AK803" s="7" t="s">
        <v>6207</v>
      </c>
      <c r="AL803" s="7" t="s">
        <v>5044</v>
      </c>
      <c r="AM803" s="7">
        <v>0</v>
      </c>
      <c r="AN803" s="7" t="s">
        <v>5105</v>
      </c>
    </row>
    <row r="804" spans="1:40" ht="63" customHeight="1" x14ac:dyDescent="0.2">
      <c r="A804" s="7">
        <v>8181</v>
      </c>
      <c r="B804" s="7" t="s">
        <v>2801</v>
      </c>
      <c r="C804" s="7" t="s">
        <v>2802</v>
      </c>
      <c r="D804" s="7" t="s">
        <v>341</v>
      </c>
      <c r="F804" s="7" t="s">
        <v>2803</v>
      </c>
      <c r="G804" s="7" t="s">
        <v>32</v>
      </c>
      <c r="H804" s="7" t="s">
        <v>390</v>
      </c>
      <c r="I804" s="7" t="s">
        <v>13</v>
      </c>
      <c r="K804" s="7" t="s">
        <v>2804</v>
      </c>
      <c r="L804" s="7" t="s">
        <v>5918</v>
      </c>
      <c r="M804" s="7">
        <v>0</v>
      </c>
      <c r="N804" s="7" t="s">
        <v>5044</v>
      </c>
      <c r="O804" s="7" t="s">
        <v>5044</v>
      </c>
      <c r="P804" s="7">
        <v>0</v>
      </c>
      <c r="Q804" s="7">
        <v>0</v>
      </c>
      <c r="R804" s="7">
        <v>0</v>
      </c>
      <c r="S804" s="7">
        <v>1</v>
      </c>
      <c r="T804" s="7">
        <v>2</v>
      </c>
      <c r="U804" s="7">
        <v>65</v>
      </c>
      <c r="V804" s="7">
        <v>0</v>
      </c>
      <c r="W804" s="7">
        <v>1</v>
      </c>
      <c r="X804" s="7">
        <v>0</v>
      </c>
      <c r="Y804" s="7">
        <v>0</v>
      </c>
      <c r="Z804" s="7">
        <v>0</v>
      </c>
      <c r="AA804" s="7">
        <v>0</v>
      </c>
      <c r="AB804" s="7">
        <v>1</v>
      </c>
      <c r="AC804" s="7">
        <v>0</v>
      </c>
      <c r="AD804" s="7" t="s">
        <v>5044</v>
      </c>
      <c r="AE804" s="7" t="s">
        <v>5044</v>
      </c>
      <c r="AF804" s="7" t="s">
        <v>5044</v>
      </c>
      <c r="AG804" s="7">
        <v>0</v>
      </c>
      <c r="AH804" s="7" t="s">
        <v>5044</v>
      </c>
      <c r="AI804" s="7" t="s">
        <v>5044</v>
      </c>
      <c r="AJ804" s="7" t="s">
        <v>5044</v>
      </c>
      <c r="AK804" s="7" t="s">
        <v>5318</v>
      </c>
      <c r="AL804" s="7">
        <v>0</v>
      </c>
      <c r="AM804" s="7">
        <v>0</v>
      </c>
      <c r="AN804" s="7" t="s">
        <v>5318</v>
      </c>
    </row>
    <row r="805" spans="1:40" ht="63" customHeight="1" x14ac:dyDescent="0.2">
      <c r="A805" s="7">
        <v>8186</v>
      </c>
      <c r="B805" s="7" t="s">
        <v>2805</v>
      </c>
      <c r="C805" s="7" t="s">
        <v>2806</v>
      </c>
      <c r="D805" s="7" t="s">
        <v>74</v>
      </c>
      <c r="F805" s="7" t="s">
        <v>254</v>
      </c>
      <c r="G805" s="7" t="s">
        <v>52</v>
      </c>
      <c r="H805" s="7" t="s">
        <v>53</v>
      </c>
      <c r="I805" s="7" t="s">
        <v>13</v>
      </c>
      <c r="J805" s="7" t="s">
        <v>2807</v>
      </c>
      <c r="K805" s="7" t="s">
        <v>2808</v>
      </c>
      <c r="L805" s="7" t="s">
        <v>6208</v>
      </c>
      <c r="M805" s="7">
        <v>1</v>
      </c>
      <c r="N805" s="7">
        <v>0</v>
      </c>
      <c r="O805" s="7" t="s">
        <v>5044</v>
      </c>
      <c r="P805" s="7">
        <v>0</v>
      </c>
      <c r="Q805" s="7">
        <v>0</v>
      </c>
      <c r="R805" s="7">
        <v>0</v>
      </c>
      <c r="S805" s="7">
        <v>5</v>
      </c>
      <c r="T805" s="7">
        <v>1</v>
      </c>
      <c r="U805" s="7">
        <v>2800</v>
      </c>
      <c r="V805" s="7">
        <v>0</v>
      </c>
      <c r="W805" s="7">
        <v>1</v>
      </c>
      <c r="X805" s="7">
        <v>0</v>
      </c>
      <c r="Y805" s="7">
        <v>0</v>
      </c>
      <c r="Z805" s="7">
        <v>0</v>
      </c>
      <c r="AA805" s="7">
        <v>0</v>
      </c>
      <c r="AB805" s="7">
        <v>1</v>
      </c>
      <c r="AC805" s="7" t="s">
        <v>5044</v>
      </c>
      <c r="AD805" s="7" t="s">
        <v>5044</v>
      </c>
      <c r="AE805" s="7" t="s">
        <v>5044</v>
      </c>
      <c r="AF805" s="7" t="s">
        <v>5044</v>
      </c>
      <c r="AG805" s="7" t="s">
        <v>5044</v>
      </c>
      <c r="AH805" s="7" t="s">
        <v>5044</v>
      </c>
      <c r="AI805" s="7" t="s">
        <v>5044</v>
      </c>
      <c r="AJ805" s="7" t="s">
        <v>5044</v>
      </c>
      <c r="AK805" s="7" t="s">
        <v>5318</v>
      </c>
      <c r="AL805" s="7" t="s">
        <v>5044</v>
      </c>
      <c r="AM805" s="7">
        <v>0</v>
      </c>
      <c r="AN805" s="7" t="s">
        <v>5318</v>
      </c>
    </row>
    <row r="806" spans="1:40" ht="63" customHeight="1" x14ac:dyDescent="0.2">
      <c r="A806" s="7">
        <v>8190</v>
      </c>
      <c r="B806" s="7" t="s">
        <v>2809</v>
      </c>
      <c r="C806" s="7" t="s">
        <v>2810</v>
      </c>
      <c r="D806" s="7" t="s">
        <v>95</v>
      </c>
      <c r="F806" s="7" t="s">
        <v>260</v>
      </c>
      <c r="G806" s="7" t="s">
        <v>18</v>
      </c>
      <c r="H806" s="7" t="s">
        <v>38</v>
      </c>
      <c r="I806" s="7" t="s">
        <v>13</v>
      </c>
      <c r="J806" s="7" t="s">
        <v>2811</v>
      </c>
      <c r="K806" s="7" t="s">
        <v>2812</v>
      </c>
      <c r="L806" s="7" t="s">
        <v>6209</v>
      </c>
      <c r="M806" s="7">
        <v>0</v>
      </c>
      <c r="N806" s="7" t="s">
        <v>5044</v>
      </c>
      <c r="O806" s="7" t="s">
        <v>5044</v>
      </c>
      <c r="P806" s="7">
        <v>0</v>
      </c>
      <c r="Q806" s="7">
        <v>0</v>
      </c>
      <c r="R806" s="7">
        <v>0</v>
      </c>
      <c r="S806" s="7">
        <v>1</v>
      </c>
      <c r="T806" s="7">
        <v>4</v>
      </c>
      <c r="U806" s="7">
        <v>126</v>
      </c>
      <c r="V806" s="7">
        <v>0</v>
      </c>
      <c r="W806" s="7">
        <v>1</v>
      </c>
      <c r="X806" s="7">
        <v>0</v>
      </c>
      <c r="Y806" s="7">
        <v>0</v>
      </c>
      <c r="Z806" s="7">
        <v>0</v>
      </c>
      <c r="AA806" s="7">
        <v>0</v>
      </c>
      <c r="AB806" s="7">
        <v>1</v>
      </c>
      <c r="AC806" s="7">
        <v>1</v>
      </c>
      <c r="AD806" s="7" t="s">
        <v>5044</v>
      </c>
      <c r="AE806" s="7" t="s">
        <v>5044</v>
      </c>
      <c r="AF806" s="7" t="s">
        <v>5044</v>
      </c>
      <c r="AG806" s="7">
        <v>2</v>
      </c>
      <c r="AH806" s="7">
        <v>1</v>
      </c>
      <c r="AI806" s="7">
        <v>2</v>
      </c>
      <c r="AJ806" s="7" t="s">
        <v>5044</v>
      </c>
      <c r="AK806" s="7" t="s">
        <v>6210</v>
      </c>
      <c r="AL806" s="7">
        <v>0</v>
      </c>
      <c r="AM806" s="7">
        <v>0</v>
      </c>
    </row>
    <row r="807" spans="1:40" ht="63" customHeight="1" x14ac:dyDescent="0.2">
      <c r="A807" s="7">
        <v>8199</v>
      </c>
      <c r="B807" s="7" t="s">
        <v>2813</v>
      </c>
      <c r="C807" s="7" t="s">
        <v>2814</v>
      </c>
      <c r="D807" s="7" t="s">
        <v>56</v>
      </c>
      <c r="F807" s="7" t="s">
        <v>521</v>
      </c>
      <c r="G807" s="7" t="s">
        <v>129</v>
      </c>
      <c r="H807" s="7" t="s">
        <v>38</v>
      </c>
      <c r="I807" s="7" t="s">
        <v>13</v>
      </c>
      <c r="J807" s="7" t="s">
        <v>2815</v>
      </c>
      <c r="K807" s="7" t="s">
        <v>2816</v>
      </c>
      <c r="L807" s="7" t="s">
        <v>6211</v>
      </c>
      <c r="M807" s="7">
        <v>0</v>
      </c>
      <c r="N807" s="7" t="s">
        <v>5044</v>
      </c>
      <c r="O807" s="7" t="s">
        <v>5044</v>
      </c>
      <c r="P807" s="7">
        <v>0</v>
      </c>
      <c r="Q807" s="7">
        <v>0</v>
      </c>
      <c r="R807" s="7">
        <v>0</v>
      </c>
      <c r="S807" s="7">
        <v>1</v>
      </c>
      <c r="T807" s="7">
        <v>4</v>
      </c>
      <c r="U807" s="7">
        <v>377</v>
      </c>
      <c r="V807" s="7">
        <v>0</v>
      </c>
      <c r="W807" s="7">
        <v>1</v>
      </c>
      <c r="X807" s="7">
        <v>0</v>
      </c>
      <c r="Y807" s="7">
        <v>0</v>
      </c>
      <c r="Z807" s="7">
        <v>0</v>
      </c>
      <c r="AA807" s="7">
        <v>0</v>
      </c>
      <c r="AB807" s="7">
        <v>1</v>
      </c>
      <c r="AC807" s="7">
        <v>1</v>
      </c>
      <c r="AD807" s="7" t="s">
        <v>5044</v>
      </c>
      <c r="AE807" s="7" t="s">
        <v>5044</v>
      </c>
      <c r="AF807" s="7" t="s">
        <v>5044</v>
      </c>
      <c r="AG807" s="7">
        <v>2</v>
      </c>
      <c r="AH807" s="7">
        <v>1</v>
      </c>
      <c r="AI807" s="7">
        <v>2</v>
      </c>
      <c r="AJ807" s="7" t="s">
        <v>5044</v>
      </c>
      <c r="AK807" s="7" t="s">
        <v>6212</v>
      </c>
      <c r="AL807" s="7">
        <v>1</v>
      </c>
      <c r="AM807" s="7">
        <v>0</v>
      </c>
      <c r="AN807" s="7" t="s">
        <v>5318</v>
      </c>
    </row>
    <row r="808" spans="1:40" ht="63" customHeight="1" x14ac:dyDescent="0.2">
      <c r="A808" s="7">
        <v>8203</v>
      </c>
      <c r="B808" s="7" t="s">
        <v>2817</v>
      </c>
      <c r="C808" s="7" t="s">
        <v>2818</v>
      </c>
      <c r="D808" s="7" t="s">
        <v>101</v>
      </c>
      <c r="F808" s="7" t="s">
        <v>143</v>
      </c>
      <c r="G808" s="7" t="s">
        <v>52</v>
      </c>
      <c r="H808" s="7" t="s">
        <v>2819</v>
      </c>
      <c r="I808" s="7" t="s">
        <v>13</v>
      </c>
      <c r="J808" s="7" t="s">
        <v>2820</v>
      </c>
      <c r="K808" s="7" t="s">
        <v>2821</v>
      </c>
      <c r="L808" s="11" t="s">
        <v>5044</v>
      </c>
      <c r="M808" s="7">
        <v>0</v>
      </c>
      <c r="N808" s="7" t="s">
        <v>5044</v>
      </c>
      <c r="O808" s="7" t="s">
        <v>5044</v>
      </c>
      <c r="P808" s="7">
        <v>0</v>
      </c>
      <c r="Q808" s="7">
        <v>0</v>
      </c>
      <c r="R808" s="7">
        <v>0</v>
      </c>
      <c r="S808" s="7">
        <v>3</v>
      </c>
      <c r="T808" s="7">
        <v>6</v>
      </c>
      <c r="U808" s="7">
        <v>75</v>
      </c>
      <c r="V808" s="7">
        <v>0</v>
      </c>
      <c r="W808" s="7">
        <v>1</v>
      </c>
      <c r="X808" s="7">
        <v>0</v>
      </c>
      <c r="Y808" s="7">
        <v>0</v>
      </c>
      <c r="Z808" s="7">
        <v>0</v>
      </c>
      <c r="AA808" s="7">
        <v>0</v>
      </c>
      <c r="AB808" s="7">
        <v>1</v>
      </c>
      <c r="AC808" s="7">
        <v>1</v>
      </c>
      <c r="AD808" s="7" t="s">
        <v>5044</v>
      </c>
      <c r="AE808" s="7" t="s">
        <v>5044</v>
      </c>
      <c r="AF808" s="7" t="s">
        <v>5044</v>
      </c>
      <c r="AG808" s="7">
        <v>1</v>
      </c>
      <c r="AH808" s="7">
        <v>0</v>
      </c>
      <c r="AI808" s="7">
        <v>0</v>
      </c>
      <c r="AJ808" s="7" t="s">
        <v>5044</v>
      </c>
      <c r="AK808" s="7" t="s">
        <v>5318</v>
      </c>
      <c r="AL808" s="7" t="s">
        <v>5044</v>
      </c>
      <c r="AM808" s="7">
        <v>0</v>
      </c>
      <c r="AN808" s="7" t="s">
        <v>5105</v>
      </c>
    </row>
    <row r="809" spans="1:40" ht="63" customHeight="1" x14ac:dyDescent="0.2">
      <c r="A809" s="7">
        <v>8205</v>
      </c>
      <c r="B809" s="7" t="s">
        <v>2822</v>
      </c>
      <c r="C809" s="7" t="s">
        <v>2823</v>
      </c>
      <c r="D809" s="7" t="s">
        <v>46</v>
      </c>
      <c r="F809" s="7" t="s">
        <v>168</v>
      </c>
      <c r="G809" s="7" t="s">
        <v>47</v>
      </c>
      <c r="H809" s="7" t="s">
        <v>160</v>
      </c>
      <c r="I809" s="7" t="s">
        <v>13</v>
      </c>
      <c r="J809" s="7" t="s">
        <v>2824</v>
      </c>
      <c r="K809" s="7" t="s">
        <v>2825</v>
      </c>
      <c r="L809" s="7" t="s">
        <v>6213</v>
      </c>
      <c r="M809" s="7">
        <v>0</v>
      </c>
      <c r="N809" s="7" t="s">
        <v>5044</v>
      </c>
      <c r="O809" s="7" t="s">
        <v>5044</v>
      </c>
      <c r="P809" s="7">
        <v>0</v>
      </c>
      <c r="Q809" s="7">
        <v>0</v>
      </c>
      <c r="R809" s="7">
        <v>0</v>
      </c>
      <c r="S809" s="7">
        <v>1</v>
      </c>
      <c r="T809" s="7">
        <v>4</v>
      </c>
      <c r="U809" s="7">
        <v>108</v>
      </c>
      <c r="V809" s="7">
        <v>1</v>
      </c>
      <c r="W809" s="7">
        <v>0</v>
      </c>
      <c r="X809" s="7">
        <v>0</v>
      </c>
      <c r="Y809" s="7">
        <v>0</v>
      </c>
      <c r="Z809" s="7">
        <v>0</v>
      </c>
      <c r="AA809" s="7">
        <v>0</v>
      </c>
      <c r="AB809" s="7">
        <v>1</v>
      </c>
      <c r="AC809" s="7">
        <v>1</v>
      </c>
      <c r="AD809" s="7">
        <v>2</v>
      </c>
      <c r="AE809" s="7">
        <v>3</v>
      </c>
      <c r="AF809" s="7">
        <v>0</v>
      </c>
      <c r="AG809" s="7" t="s">
        <v>5044</v>
      </c>
      <c r="AH809" s="7" t="s">
        <v>5044</v>
      </c>
      <c r="AI809" s="7" t="s">
        <v>5044</v>
      </c>
      <c r="AJ809" s="7" t="s">
        <v>5044</v>
      </c>
      <c r="AK809" s="7">
        <v>2</v>
      </c>
      <c r="AL809" s="7">
        <v>0</v>
      </c>
      <c r="AM809" s="7">
        <v>0</v>
      </c>
      <c r="AN809" s="7" t="s">
        <v>5318</v>
      </c>
    </row>
    <row r="810" spans="1:40" ht="63" customHeight="1" x14ac:dyDescent="0.2">
      <c r="A810" s="7">
        <v>8212</v>
      </c>
      <c r="B810" s="7" t="s">
        <v>2826</v>
      </c>
      <c r="C810" s="7" t="s">
        <v>2827</v>
      </c>
      <c r="D810" s="7" t="s">
        <v>16</v>
      </c>
      <c r="F810" s="7" t="s">
        <v>65</v>
      </c>
      <c r="G810" s="7" t="s">
        <v>32</v>
      </c>
      <c r="H810" s="7" t="s">
        <v>2828</v>
      </c>
      <c r="I810" s="7" t="s">
        <v>13</v>
      </c>
      <c r="J810" s="7" t="s">
        <v>2829</v>
      </c>
      <c r="K810" s="7" t="s">
        <v>2830</v>
      </c>
      <c r="L810" s="7" t="s">
        <v>6214</v>
      </c>
      <c r="M810" s="7">
        <v>0</v>
      </c>
      <c r="N810" s="7" t="s">
        <v>5044</v>
      </c>
      <c r="O810" s="7" t="s">
        <v>5044</v>
      </c>
      <c r="P810" s="7">
        <v>0</v>
      </c>
      <c r="Q810" s="7">
        <v>0</v>
      </c>
      <c r="R810" s="7">
        <v>0</v>
      </c>
      <c r="S810" s="7">
        <v>1</v>
      </c>
      <c r="T810" s="7">
        <v>4</v>
      </c>
      <c r="U810" s="7">
        <v>138</v>
      </c>
      <c r="V810" s="7">
        <v>0</v>
      </c>
      <c r="W810" s="7">
        <v>1</v>
      </c>
      <c r="X810" s="7">
        <v>0</v>
      </c>
      <c r="Y810" s="7">
        <v>0</v>
      </c>
      <c r="Z810" s="7">
        <v>0</v>
      </c>
      <c r="AA810" s="7">
        <v>0</v>
      </c>
      <c r="AB810" s="7">
        <v>1</v>
      </c>
      <c r="AC810" s="7">
        <v>1</v>
      </c>
      <c r="AD810" s="7" t="s">
        <v>5044</v>
      </c>
      <c r="AE810" s="7" t="s">
        <v>5044</v>
      </c>
      <c r="AF810" s="7" t="s">
        <v>5044</v>
      </c>
      <c r="AG810" s="7">
        <v>2</v>
      </c>
      <c r="AH810" s="7">
        <v>3</v>
      </c>
      <c r="AI810" s="7">
        <v>0</v>
      </c>
      <c r="AJ810" s="7" t="s">
        <v>5044</v>
      </c>
      <c r="AK810" s="7" t="s">
        <v>5318</v>
      </c>
      <c r="AL810" s="7" t="s">
        <v>5044</v>
      </c>
      <c r="AM810" s="7">
        <v>0</v>
      </c>
      <c r="AN810" s="7" t="s">
        <v>6293</v>
      </c>
    </row>
    <row r="811" spans="1:40" ht="63" customHeight="1" x14ac:dyDescent="0.2">
      <c r="A811" s="7">
        <v>8215</v>
      </c>
      <c r="B811" s="7" t="s">
        <v>2831</v>
      </c>
      <c r="C811" s="7" t="s">
        <v>2832</v>
      </c>
      <c r="D811" s="7" t="s">
        <v>56</v>
      </c>
      <c r="F811" s="7" t="s">
        <v>118</v>
      </c>
      <c r="G811" s="7" t="s">
        <v>37</v>
      </c>
      <c r="H811" s="7" t="s">
        <v>286</v>
      </c>
      <c r="I811" s="7" t="s">
        <v>13</v>
      </c>
      <c r="J811" s="7" t="s">
        <v>2833</v>
      </c>
      <c r="K811" s="7" t="s">
        <v>2834</v>
      </c>
      <c r="L811" s="7" t="s">
        <v>6215</v>
      </c>
      <c r="M811" s="7">
        <v>0</v>
      </c>
      <c r="N811" s="7" t="s">
        <v>5044</v>
      </c>
      <c r="O811" s="7" t="s">
        <v>5044</v>
      </c>
      <c r="P811" s="7">
        <v>0</v>
      </c>
      <c r="Q811" s="7">
        <v>0</v>
      </c>
      <c r="R811" s="7">
        <v>0</v>
      </c>
      <c r="S811" s="7">
        <v>1</v>
      </c>
      <c r="T811" s="7">
        <v>4</v>
      </c>
      <c r="U811" s="7">
        <v>60</v>
      </c>
      <c r="V811" s="7">
        <v>0</v>
      </c>
      <c r="W811" s="7">
        <v>1</v>
      </c>
      <c r="X811" s="7">
        <v>0</v>
      </c>
      <c r="Y811" s="7">
        <v>0</v>
      </c>
      <c r="Z811" s="7">
        <v>0</v>
      </c>
      <c r="AA811" s="7">
        <v>0</v>
      </c>
      <c r="AB811" s="7">
        <v>1</v>
      </c>
      <c r="AC811" s="7">
        <v>1</v>
      </c>
      <c r="AD811" s="7" t="s">
        <v>5044</v>
      </c>
      <c r="AE811" s="7" t="s">
        <v>5044</v>
      </c>
      <c r="AF811" s="7" t="s">
        <v>5044</v>
      </c>
      <c r="AG811" s="7">
        <v>2</v>
      </c>
      <c r="AH811" s="7">
        <v>2</v>
      </c>
      <c r="AI811" s="7">
        <v>2</v>
      </c>
      <c r="AJ811" s="7" t="s">
        <v>5044</v>
      </c>
      <c r="AK811" s="7" t="s">
        <v>6216</v>
      </c>
      <c r="AL811" s="7">
        <v>0</v>
      </c>
      <c r="AM811" s="7">
        <v>0</v>
      </c>
      <c r="AN811" s="7" t="s">
        <v>5318</v>
      </c>
    </row>
    <row r="812" spans="1:40" ht="63" customHeight="1" x14ac:dyDescent="0.2">
      <c r="A812" s="7">
        <v>8218</v>
      </c>
      <c r="B812" s="7" t="s">
        <v>2835</v>
      </c>
      <c r="C812" s="7" t="s">
        <v>2836</v>
      </c>
      <c r="D812" s="7" t="s">
        <v>46</v>
      </c>
      <c r="F812" s="7" t="s">
        <v>143</v>
      </c>
      <c r="G812" s="7" t="s">
        <v>27</v>
      </c>
      <c r="H812" s="7" t="s">
        <v>286</v>
      </c>
      <c r="I812" s="7" t="s">
        <v>13</v>
      </c>
      <c r="J812" s="7" t="s">
        <v>2837</v>
      </c>
      <c r="K812" s="7" t="s">
        <v>2838</v>
      </c>
      <c r="L812" s="7" t="s">
        <v>6217</v>
      </c>
      <c r="M812" s="7">
        <v>0</v>
      </c>
      <c r="N812" s="7" t="s">
        <v>5044</v>
      </c>
      <c r="O812" s="7" t="s">
        <v>5044</v>
      </c>
      <c r="P812" s="7">
        <v>0</v>
      </c>
      <c r="Q812" s="7">
        <v>0</v>
      </c>
      <c r="R812" s="7">
        <v>0</v>
      </c>
      <c r="S812" s="7">
        <v>1</v>
      </c>
      <c r="T812" s="7">
        <v>4</v>
      </c>
      <c r="U812" s="7">
        <v>276</v>
      </c>
      <c r="V812" s="7">
        <v>1</v>
      </c>
      <c r="W812" s="7">
        <v>0</v>
      </c>
      <c r="X812" s="7">
        <v>0</v>
      </c>
      <c r="Y812" s="7">
        <v>0</v>
      </c>
      <c r="Z812" s="7">
        <v>0</v>
      </c>
      <c r="AA812" s="7">
        <v>0</v>
      </c>
      <c r="AB812" s="7">
        <v>1</v>
      </c>
      <c r="AC812" s="7">
        <v>1</v>
      </c>
      <c r="AD812" s="7">
        <v>1</v>
      </c>
      <c r="AE812" s="7">
        <v>0</v>
      </c>
      <c r="AF812" s="7">
        <v>0</v>
      </c>
      <c r="AG812" s="7" t="s">
        <v>5044</v>
      </c>
      <c r="AH812" s="7" t="s">
        <v>5044</v>
      </c>
      <c r="AI812" s="7" t="s">
        <v>5044</v>
      </c>
      <c r="AJ812" s="7" t="s">
        <v>5044</v>
      </c>
      <c r="AL812" s="7">
        <v>1</v>
      </c>
      <c r="AM812" s="7">
        <v>0</v>
      </c>
      <c r="AN812" s="7" t="s">
        <v>5073</v>
      </c>
    </row>
    <row r="813" spans="1:40" ht="63" customHeight="1" x14ac:dyDescent="0.2">
      <c r="A813" s="7">
        <v>8220</v>
      </c>
      <c r="B813" s="7" t="s">
        <v>2839</v>
      </c>
      <c r="C813" s="7" t="s">
        <v>2840</v>
      </c>
      <c r="D813" s="7" t="s">
        <v>101</v>
      </c>
      <c r="F813" s="7" t="s">
        <v>48</v>
      </c>
      <c r="G813" s="7" t="s">
        <v>48</v>
      </c>
      <c r="H813" s="7" t="s">
        <v>19</v>
      </c>
      <c r="I813" s="7" t="s">
        <v>13</v>
      </c>
      <c r="J813" s="7" t="s">
        <v>2841</v>
      </c>
      <c r="K813" s="7" t="s">
        <v>2842</v>
      </c>
      <c r="L813" s="7" t="s">
        <v>6218</v>
      </c>
      <c r="M813" s="7">
        <v>1</v>
      </c>
      <c r="N813" s="7">
        <v>0</v>
      </c>
      <c r="O813" s="7" t="s">
        <v>5044</v>
      </c>
      <c r="P813" s="7">
        <v>0</v>
      </c>
      <c r="Q813" s="7">
        <v>0</v>
      </c>
      <c r="R813" s="7">
        <v>0</v>
      </c>
      <c r="S813" s="7">
        <v>1</v>
      </c>
      <c r="T813" s="7">
        <v>1</v>
      </c>
      <c r="U813" s="7">
        <v>60</v>
      </c>
      <c r="V813" s="7">
        <v>1</v>
      </c>
      <c r="W813" s="7">
        <v>0</v>
      </c>
      <c r="X813" s="7">
        <v>0</v>
      </c>
      <c r="Y813" s="7">
        <v>1</v>
      </c>
      <c r="Z813" s="7">
        <v>0</v>
      </c>
      <c r="AA813" s="7">
        <v>0</v>
      </c>
      <c r="AB813" s="7">
        <v>1</v>
      </c>
      <c r="AC813" s="7" t="s">
        <v>5044</v>
      </c>
      <c r="AD813" s="7" t="s">
        <v>5044</v>
      </c>
      <c r="AE813" s="7" t="s">
        <v>5044</v>
      </c>
      <c r="AF813" s="7" t="s">
        <v>5044</v>
      </c>
      <c r="AG813" s="7" t="s">
        <v>5044</v>
      </c>
      <c r="AH813" s="7" t="s">
        <v>5044</v>
      </c>
      <c r="AI813" s="7" t="s">
        <v>5044</v>
      </c>
      <c r="AJ813" s="7" t="s">
        <v>5044</v>
      </c>
      <c r="AK813" s="7" t="s">
        <v>5318</v>
      </c>
      <c r="AL813" s="7" t="s">
        <v>5044</v>
      </c>
      <c r="AM813" s="7">
        <v>0</v>
      </c>
      <c r="AN813" s="7" t="s">
        <v>5318</v>
      </c>
    </row>
    <row r="814" spans="1:40" ht="63" customHeight="1" x14ac:dyDescent="0.2">
      <c r="A814" s="7">
        <v>8222</v>
      </c>
      <c r="B814" s="7" t="s">
        <v>2843</v>
      </c>
      <c r="C814" s="7" t="s">
        <v>2844</v>
      </c>
      <c r="D814" s="7" t="s">
        <v>101</v>
      </c>
      <c r="F814" s="7" t="s">
        <v>645</v>
      </c>
      <c r="G814" s="7" t="s">
        <v>37</v>
      </c>
      <c r="H814" s="7" t="s">
        <v>43</v>
      </c>
      <c r="I814" s="7" t="s">
        <v>13</v>
      </c>
      <c r="J814" s="7" t="s">
        <v>2845</v>
      </c>
      <c r="K814" s="7" t="s">
        <v>2846</v>
      </c>
      <c r="L814" s="7" t="s">
        <v>6219</v>
      </c>
      <c r="M814" s="7">
        <v>0</v>
      </c>
      <c r="N814" s="7" t="s">
        <v>5044</v>
      </c>
      <c r="O814" s="7" t="s">
        <v>5044</v>
      </c>
      <c r="P814" s="7">
        <v>0</v>
      </c>
      <c r="Q814" s="7">
        <v>0</v>
      </c>
      <c r="R814" s="7">
        <v>0</v>
      </c>
      <c r="S814" s="7">
        <v>1</v>
      </c>
      <c r="T814" s="7">
        <v>1</v>
      </c>
      <c r="U814" s="7">
        <v>1205</v>
      </c>
      <c r="V814" s="7">
        <v>0</v>
      </c>
      <c r="W814" s="7">
        <v>1</v>
      </c>
      <c r="X814" s="7">
        <v>0</v>
      </c>
      <c r="Y814" s="7">
        <v>0</v>
      </c>
      <c r="Z814" s="7">
        <v>0</v>
      </c>
      <c r="AA814" s="7">
        <v>0</v>
      </c>
      <c r="AB814" s="7">
        <v>1</v>
      </c>
      <c r="AC814" s="7">
        <v>0</v>
      </c>
      <c r="AD814" s="7" t="s">
        <v>5044</v>
      </c>
      <c r="AE814" s="7" t="s">
        <v>5044</v>
      </c>
      <c r="AF814" s="7" t="s">
        <v>5044</v>
      </c>
      <c r="AG814" s="7">
        <v>0</v>
      </c>
      <c r="AH814" s="7" t="s">
        <v>5044</v>
      </c>
      <c r="AI814" s="7" t="s">
        <v>5044</v>
      </c>
      <c r="AJ814" s="7" t="s">
        <v>5044</v>
      </c>
      <c r="AK814" s="7" t="s">
        <v>6220</v>
      </c>
      <c r="AL814" s="7">
        <v>1</v>
      </c>
      <c r="AM814" s="7">
        <v>0</v>
      </c>
      <c r="AN814" s="7" t="s">
        <v>5318</v>
      </c>
    </row>
    <row r="815" spans="1:40" ht="63" customHeight="1" x14ac:dyDescent="0.2">
      <c r="A815" s="7">
        <v>8226</v>
      </c>
      <c r="B815" s="7" t="s">
        <v>2851</v>
      </c>
      <c r="C815" s="7" t="s">
        <v>2852</v>
      </c>
      <c r="D815" s="7" t="s">
        <v>35</v>
      </c>
      <c r="F815" s="7" t="s">
        <v>791</v>
      </c>
      <c r="G815" s="7" t="s">
        <v>37</v>
      </c>
      <c r="H815" s="7" t="s">
        <v>679</v>
      </c>
      <c r="I815" s="7" t="s">
        <v>13</v>
      </c>
      <c r="J815" s="7" t="s">
        <v>2853</v>
      </c>
      <c r="K815" s="7" t="s">
        <v>2854</v>
      </c>
      <c r="L815" s="11" t="s">
        <v>5044</v>
      </c>
      <c r="M815" s="7">
        <v>0</v>
      </c>
      <c r="N815" s="7" t="s">
        <v>5044</v>
      </c>
      <c r="O815" s="7" t="s">
        <v>5044</v>
      </c>
      <c r="P815" s="7">
        <v>0</v>
      </c>
      <c r="Q815" s="7">
        <v>0</v>
      </c>
      <c r="R815" s="7">
        <v>0</v>
      </c>
      <c r="S815" s="7">
        <v>3</v>
      </c>
      <c r="T815" s="7">
        <v>1</v>
      </c>
      <c r="U815" s="7">
        <v>72</v>
      </c>
      <c r="V815" s="7">
        <v>0</v>
      </c>
      <c r="W815" s="7">
        <v>1</v>
      </c>
      <c r="X815" s="7">
        <v>0</v>
      </c>
      <c r="Y815" s="7">
        <v>0</v>
      </c>
      <c r="Z815" s="7">
        <v>0</v>
      </c>
      <c r="AA815" s="7">
        <v>0</v>
      </c>
      <c r="AB815" s="7">
        <v>1</v>
      </c>
      <c r="AC815" s="7">
        <v>1</v>
      </c>
      <c r="AD815" s="7" t="s">
        <v>5044</v>
      </c>
      <c r="AE815" s="7" t="s">
        <v>5044</v>
      </c>
      <c r="AF815" s="7" t="s">
        <v>5044</v>
      </c>
      <c r="AG815" s="7">
        <v>2</v>
      </c>
      <c r="AH815" s="7">
        <v>2</v>
      </c>
      <c r="AI815" s="7">
        <v>1</v>
      </c>
      <c r="AJ815" s="7" t="s">
        <v>5044</v>
      </c>
      <c r="AK815" s="7" t="s">
        <v>5318</v>
      </c>
      <c r="AL815" s="7" t="s">
        <v>5044</v>
      </c>
      <c r="AM815" s="7">
        <v>0</v>
      </c>
      <c r="AN815" s="7" t="s">
        <v>5105</v>
      </c>
    </row>
    <row r="816" spans="1:40" ht="63" customHeight="1" x14ac:dyDescent="0.2">
      <c r="A816" s="7">
        <v>8249</v>
      </c>
      <c r="B816" s="7" t="s">
        <v>2863</v>
      </c>
      <c r="C816" s="7" t="s">
        <v>2864</v>
      </c>
      <c r="D816" s="7" t="s">
        <v>74</v>
      </c>
      <c r="F816" s="7" t="s">
        <v>2865</v>
      </c>
      <c r="G816" s="7" t="s">
        <v>299</v>
      </c>
      <c r="H816" s="7" t="s">
        <v>993</v>
      </c>
      <c r="I816" s="7" t="s">
        <v>13</v>
      </c>
      <c r="J816" s="7" t="s">
        <v>2866</v>
      </c>
      <c r="K816" s="7" t="s">
        <v>2867</v>
      </c>
      <c r="L816" s="7" t="s">
        <v>6222</v>
      </c>
      <c r="M816" s="7">
        <v>0</v>
      </c>
      <c r="N816" s="7" t="s">
        <v>5044</v>
      </c>
      <c r="O816" s="7" t="s">
        <v>5044</v>
      </c>
      <c r="P816" s="7">
        <v>0</v>
      </c>
      <c r="Q816" s="7">
        <v>0</v>
      </c>
      <c r="R816" s="7">
        <v>0</v>
      </c>
      <c r="S816" s="7">
        <v>5</v>
      </c>
      <c r="T816" s="7">
        <v>1</v>
      </c>
      <c r="U816" s="7">
        <v>574</v>
      </c>
      <c r="V816" s="7">
        <v>0</v>
      </c>
      <c r="W816" s="7">
        <v>1</v>
      </c>
      <c r="X816" s="7">
        <v>0</v>
      </c>
      <c r="Y816" s="7">
        <v>0</v>
      </c>
      <c r="Z816" s="7">
        <v>0</v>
      </c>
      <c r="AA816" s="7">
        <v>0</v>
      </c>
      <c r="AB816" s="7">
        <v>1</v>
      </c>
      <c r="AC816" s="7">
        <v>1</v>
      </c>
      <c r="AD816" s="7" t="s">
        <v>5044</v>
      </c>
      <c r="AE816" s="7" t="s">
        <v>5044</v>
      </c>
      <c r="AF816" s="7" t="s">
        <v>5044</v>
      </c>
      <c r="AG816" s="7">
        <v>2</v>
      </c>
      <c r="AH816" s="7">
        <v>1</v>
      </c>
      <c r="AI816" s="7">
        <v>2</v>
      </c>
      <c r="AJ816" s="7" t="s">
        <v>5044</v>
      </c>
      <c r="AK816" s="7" t="s">
        <v>5318</v>
      </c>
      <c r="AL816" s="7">
        <v>0</v>
      </c>
      <c r="AM816" s="7">
        <v>0</v>
      </c>
      <c r="AN816" s="7" t="s">
        <v>5318</v>
      </c>
    </row>
    <row r="817" spans="1:40" ht="63" customHeight="1" x14ac:dyDescent="0.2">
      <c r="A817" s="7">
        <v>8254</v>
      </c>
      <c r="B817" s="7" t="s">
        <v>2868</v>
      </c>
      <c r="C817" s="7" t="s">
        <v>2869</v>
      </c>
      <c r="D817" s="7" t="s">
        <v>9</v>
      </c>
      <c r="F817" s="7" t="s">
        <v>107</v>
      </c>
      <c r="G817" s="7" t="s">
        <v>18</v>
      </c>
      <c r="H817" s="7" t="s">
        <v>2870</v>
      </c>
      <c r="I817" s="7" t="s">
        <v>13</v>
      </c>
      <c r="J817" s="7" t="s">
        <v>2871</v>
      </c>
      <c r="K817" s="7" t="s">
        <v>2872</v>
      </c>
      <c r="L817" s="11" t="s">
        <v>5044</v>
      </c>
      <c r="M817" s="7">
        <v>0</v>
      </c>
      <c r="N817" s="7" t="s">
        <v>5044</v>
      </c>
      <c r="O817" s="7" t="s">
        <v>5044</v>
      </c>
      <c r="P817" s="7">
        <v>0</v>
      </c>
      <c r="Q817" s="7">
        <v>0</v>
      </c>
      <c r="R817" s="7">
        <v>0</v>
      </c>
      <c r="S817" s="7">
        <v>1</v>
      </c>
      <c r="T817" s="7">
        <v>1</v>
      </c>
      <c r="U817" s="7">
        <v>30</v>
      </c>
      <c r="V817" s="7">
        <v>0</v>
      </c>
      <c r="W817" s="7">
        <v>1</v>
      </c>
      <c r="X817" s="7">
        <v>0</v>
      </c>
      <c r="Y817" s="7">
        <v>0</v>
      </c>
      <c r="Z817" s="7">
        <v>0</v>
      </c>
      <c r="AA817" s="7">
        <v>0</v>
      </c>
      <c r="AB817" s="7">
        <v>1</v>
      </c>
      <c r="AC817" s="7">
        <v>1</v>
      </c>
      <c r="AD817" s="7" t="s">
        <v>5044</v>
      </c>
      <c r="AE817" s="7" t="s">
        <v>5044</v>
      </c>
      <c r="AF817" s="7" t="s">
        <v>5044</v>
      </c>
      <c r="AG817" s="7">
        <v>2</v>
      </c>
      <c r="AH817" s="7">
        <v>3</v>
      </c>
      <c r="AI817" s="7">
        <v>0</v>
      </c>
      <c r="AJ817" s="7" t="s">
        <v>5044</v>
      </c>
      <c r="AK817" s="7" t="s">
        <v>6223</v>
      </c>
      <c r="AL817" s="7" t="s">
        <v>5044</v>
      </c>
      <c r="AM817" s="7">
        <v>0</v>
      </c>
      <c r="AN817" s="7" t="s">
        <v>5105</v>
      </c>
    </row>
    <row r="818" spans="1:40" ht="63" customHeight="1" x14ac:dyDescent="0.2">
      <c r="A818" s="7">
        <v>8255</v>
      </c>
      <c r="B818" s="7" t="s">
        <v>2873</v>
      </c>
      <c r="C818" s="7" t="s">
        <v>2874</v>
      </c>
      <c r="D818" s="7" t="s">
        <v>1828</v>
      </c>
      <c r="F818" s="7" t="s">
        <v>57</v>
      </c>
      <c r="G818" s="7" t="s">
        <v>47</v>
      </c>
      <c r="H818" s="7" t="s">
        <v>38</v>
      </c>
      <c r="I818" s="7" t="s">
        <v>437</v>
      </c>
      <c r="J818" s="7" t="s">
        <v>2875</v>
      </c>
      <c r="K818" s="7" t="s">
        <v>2876</v>
      </c>
      <c r="L818" s="7" t="s">
        <v>6224</v>
      </c>
      <c r="M818" s="7">
        <v>0</v>
      </c>
      <c r="N818" s="7" t="s">
        <v>5044</v>
      </c>
      <c r="O818" s="7" t="s">
        <v>5044</v>
      </c>
      <c r="P818" s="7">
        <v>0</v>
      </c>
      <c r="Q818" s="7">
        <v>0</v>
      </c>
      <c r="R818" s="7">
        <v>0</v>
      </c>
      <c r="S818" s="7">
        <v>1</v>
      </c>
      <c r="T818" s="7">
        <v>1</v>
      </c>
      <c r="U818" s="7">
        <v>61</v>
      </c>
      <c r="V818" s="7">
        <v>0</v>
      </c>
      <c r="W818" s="7">
        <v>1</v>
      </c>
      <c r="X818" s="7">
        <v>0</v>
      </c>
      <c r="Y818" s="7">
        <v>0</v>
      </c>
      <c r="Z818" s="7">
        <v>0</v>
      </c>
      <c r="AA818" s="7">
        <v>0</v>
      </c>
      <c r="AB818" s="7">
        <v>1</v>
      </c>
      <c r="AC818" s="7">
        <v>1</v>
      </c>
      <c r="AD818" s="7" t="s">
        <v>5044</v>
      </c>
      <c r="AE818" s="7" t="s">
        <v>5044</v>
      </c>
      <c r="AF818" s="7" t="s">
        <v>5044</v>
      </c>
      <c r="AG818" s="7">
        <v>2</v>
      </c>
      <c r="AH818" s="7">
        <v>3</v>
      </c>
      <c r="AI818" s="7">
        <v>0</v>
      </c>
      <c r="AJ818" s="7" t="s">
        <v>5044</v>
      </c>
      <c r="AK818" s="7">
        <v>1</v>
      </c>
      <c r="AL818" s="7">
        <v>1</v>
      </c>
      <c r="AM818" s="7">
        <v>0</v>
      </c>
      <c r="AN818" s="7" t="s">
        <v>5318</v>
      </c>
    </row>
    <row r="819" spans="1:40" ht="63" customHeight="1" x14ac:dyDescent="0.2">
      <c r="A819" s="7">
        <v>8256</v>
      </c>
      <c r="B819" s="7" t="s">
        <v>2877</v>
      </c>
      <c r="C819" s="7" t="s">
        <v>2878</v>
      </c>
      <c r="D819" s="7" t="s">
        <v>35</v>
      </c>
      <c r="F819" s="7" t="s">
        <v>399</v>
      </c>
      <c r="G819" s="7" t="s">
        <v>175</v>
      </c>
      <c r="H819" s="7" t="s">
        <v>1949</v>
      </c>
      <c r="I819" s="7" t="s">
        <v>13</v>
      </c>
      <c r="J819" s="7" t="s">
        <v>2879</v>
      </c>
      <c r="K819" s="7" t="s">
        <v>2880</v>
      </c>
      <c r="L819" s="7" t="s">
        <v>5950</v>
      </c>
      <c r="M819" s="7">
        <v>0</v>
      </c>
      <c r="N819" s="7" t="s">
        <v>5044</v>
      </c>
      <c r="O819" s="7" t="s">
        <v>5044</v>
      </c>
      <c r="P819" s="7">
        <v>0</v>
      </c>
      <c r="Q819" s="7">
        <v>0</v>
      </c>
      <c r="R819" s="7">
        <v>0</v>
      </c>
      <c r="S819" s="7">
        <v>1</v>
      </c>
      <c r="T819" s="7">
        <v>1</v>
      </c>
      <c r="U819" s="7">
        <v>152</v>
      </c>
      <c r="V819" s="7">
        <v>1</v>
      </c>
      <c r="W819" s="7">
        <v>0</v>
      </c>
      <c r="X819" s="7">
        <v>0</v>
      </c>
      <c r="Y819" s="7">
        <v>0</v>
      </c>
      <c r="Z819" s="7">
        <v>0</v>
      </c>
      <c r="AA819" s="7">
        <v>0</v>
      </c>
      <c r="AB819" s="7">
        <v>1</v>
      </c>
      <c r="AC819" s="7">
        <v>1</v>
      </c>
      <c r="AD819" s="7">
        <v>1</v>
      </c>
      <c r="AE819" s="7">
        <v>0</v>
      </c>
      <c r="AF819" s="7">
        <v>0</v>
      </c>
      <c r="AG819" s="7" t="s">
        <v>5044</v>
      </c>
      <c r="AH819" s="7" t="s">
        <v>5044</v>
      </c>
      <c r="AI819" s="7" t="s">
        <v>5044</v>
      </c>
      <c r="AJ819" s="7" t="s">
        <v>5044</v>
      </c>
      <c r="AK819" s="7" t="s">
        <v>5318</v>
      </c>
      <c r="AL819" s="7">
        <v>0</v>
      </c>
      <c r="AM819" s="7">
        <v>0</v>
      </c>
      <c r="AN819" s="7" t="s">
        <v>5318</v>
      </c>
    </row>
    <row r="820" spans="1:40" ht="63" customHeight="1" x14ac:dyDescent="0.2">
      <c r="A820" s="7">
        <v>8257</v>
      </c>
      <c r="B820" s="7" t="s">
        <v>2881</v>
      </c>
      <c r="C820" s="7" t="s">
        <v>2882</v>
      </c>
      <c r="D820" s="7" t="s">
        <v>149</v>
      </c>
      <c r="F820" s="7" t="s">
        <v>2883</v>
      </c>
      <c r="G820" s="7" t="s">
        <v>18</v>
      </c>
      <c r="H820" s="7" t="s">
        <v>43</v>
      </c>
      <c r="I820" s="7" t="s">
        <v>13</v>
      </c>
      <c r="J820" s="7" t="s">
        <v>2884</v>
      </c>
      <c r="K820" s="7" t="s">
        <v>2885</v>
      </c>
      <c r="L820" s="7" t="s">
        <v>6225</v>
      </c>
      <c r="M820" s="7">
        <v>0</v>
      </c>
      <c r="N820" s="7" t="s">
        <v>5044</v>
      </c>
      <c r="O820" s="7" t="s">
        <v>5044</v>
      </c>
      <c r="P820" s="7">
        <v>0</v>
      </c>
      <c r="Q820" s="7">
        <v>0</v>
      </c>
      <c r="R820" s="7">
        <v>0</v>
      </c>
      <c r="S820" s="7">
        <v>1</v>
      </c>
      <c r="T820" s="7">
        <v>1</v>
      </c>
      <c r="U820" s="7">
        <v>128</v>
      </c>
      <c r="V820" s="7">
        <v>0</v>
      </c>
      <c r="W820" s="7">
        <v>1</v>
      </c>
      <c r="X820" s="7">
        <v>0</v>
      </c>
      <c r="Y820" s="7">
        <v>0</v>
      </c>
      <c r="Z820" s="7">
        <v>0</v>
      </c>
      <c r="AA820" s="7">
        <v>0</v>
      </c>
      <c r="AB820" s="7">
        <v>1</v>
      </c>
      <c r="AC820" s="7">
        <v>1</v>
      </c>
      <c r="AD820" s="7" t="s">
        <v>5044</v>
      </c>
      <c r="AE820" s="7" t="s">
        <v>5044</v>
      </c>
      <c r="AF820" s="7" t="s">
        <v>5044</v>
      </c>
      <c r="AG820" s="7">
        <v>1</v>
      </c>
      <c r="AH820" s="7">
        <v>0</v>
      </c>
      <c r="AI820" s="7">
        <v>0</v>
      </c>
      <c r="AJ820" s="7" t="s">
        <v>5044</v>
      </c>
      <c r="AK820" s="7" t="s">
        <v>5318</v>
      </c>
      <c r="AL820" s="7">
        <v>0</v>
      </c>
      <c r="AM820" s="7">
        <v>0</v>
      </c>
      <c r="AN820" s="7" t="s">
        <v>5318</v>
      </c>
    </row>
    <row r="821" spans="1:40" ht="63" customHeight="1" x14ac:dyDescent="0.2">
      <c r="A821" s="7">
        <v>8261</v>
      </c>
      <c r="B821" s="7" t="s">
        <v>2886</v>
      </c>
      <c r="C821" s="7" t="s">
        <v>2887</v>
      </c>
      <c r="D821" s="7" t="s">
        <v>16</v>
      </c>
      <c r="F821" s="7" t="s">
        <v>118</v>
      </c>
      <c r="G821" s="7" t="s">
        <v>52</v>
      </c>
      <c r="H821" s="7" t="s">
        <v>53</v>
      </c>
      <c r="I821" s="7" t="s">
        <v>13</v>
      </c>
      <c r="J821" s="7" t="s">
        <v>2888</v>
      </c>
      <c r="K821" s="7" t="s">
        <v>2889</v>
      </c>
      <c r="L821" s="7" t="s">
        <v>6226</v>
      </c>
      <c r="M821" s="7">
        <v>1</v>
      </c>
      <c r="N821" s="7">
        <v>0</v>
      </c>
      <c r="O821" s="7" t="s">
        <v>5044</v>
      </c>
      <c r="P821" s="7">
        <v>0</v>
      </c>
      <c r="Q821" s="7">
        <v>0</v>
      </c>
      <c r="R821" s="7">
        <v>0</v>
      </c>
      <c r="S821" s="7">
        <v>1</v>
      </c>
      <c r="T821" s="7">
        <v>1</v>
      </c>
      <c r="U821" s="7">
        <v>100</v>
      </c>
      <c r="V821" s="7">
        <v>0</v>
      </c>
      <c r="W821" s="7">
        <v>1</v>
      </c>
      <c r="X821" s="7">
        <v>0</v>
      </c>
      <c r="Y821" s="7">
        <v>0</v>
      </c>
      <c r="Z821" s="7">
        <v>0</v>
      </c>
      <c r="AA821" s="7">
        <v>0</v>
      </c>
      <c r="AB821" s="7">
        <v>1</v>
      </c>
      <c r="AC821" s="7" t="s">
        <v>5044</v>
      </c>
      <c r="AD821" s="7" t="s">
        <v>5044</v>
      </c>
      <c r="AE821" s="7" t="s">
        <v>5044</v>
      </c>
      <c r="AF821" s="7" t="s">
        <v>5044</v>
      </c>
      <c r="AG821" s="7" t="s">
        <v>5044</v>
      </c>
      <c r="AH821" s="7" t="s">
        <v>5044</v>
      </c>
      <c r="AI821" s="7" t="s">
        <v>5044</v>
      </c>
      <c r="AJ821" s="7" t="s">
        <v>5044</v>
      </c>
      <c r="AK821" s="7" t="s">
        <v>5318</v>
      </c>
      <c r="AL821" s="7" t="s">
        <v>5044</v>
      </c>
      <c r="AM821" s="7">
        <v>0</v>
      </c>
      <c r="AN821" s="7" t="s">
        <v>5318</v>
      </c>
    </row>
    <row r="822" spans="1:40" ht="63" customHeight="1" x14ac:dyDescent="0.2">
      <c r="A822" s="7">
        <v>8270</v>
      </c>
      <c r="B822" s="7" t="s">
        <v>2890</v>
      </c>
      <c r="C822" s="7" t="s">
        <v>2891</v>
      </c>
      <c r="D822" s="7" t="s">
        <v>16</v>
      </c>
      <c r="F822" s="7" t="s">
        <v>449</v>
      </c>
      <c r="G822" s="7" t="s">
        <v>37</v>
      </c>
      <c r="H822" s="7" t="s">
        <v>71</v>
      </c>
      <c r="I822" s="7" t="s">
        <v>13</v>
      </c>
      <c r="J822" s="7" t="s">
        <v>2892</v>
      </c>
      <c r="K822" s="7" t="s">
        <v>2893</v>
      </c>
      <c r="L822" s="7" t="s">
        <v>6227</v>
      </c>
      <c r="M822" s="7">
        <v>0</v>
      </c>
      <c r="N822" s="7" t="s">
        <v>5044</v>
      </c>
      <c r="O822" s="7" t="s">
        <v>5044</v>
      </c>
      <c r="P822" s="7">
        <v>0</v>
      </c>
      <c r="Q822" s="7">
        <v>0</v>
      </c>
      <c r="R822" s="7">
        <v>0</v>
      </c>
      <c r="S822" s="7">
        <v>1</v>
      </c>
      <c r="T822" s="7">
        <v>4</v>
      </c>
      <c r="U822" s="7">
        <v>344</v>
      </c>
      <c r="V822" s="7">
        <v>0</v>
      </c>
      <c r="W822" s="7">
        <v>1</v>
      </c>
      <c r="X822" s="7">
        <v>0</v>
      </c>
      <c r="Y822" s="7">
        <v>0</v>
      </c>
      <c r="Z822" s="7">
        <v>0</v>
      </c>
      <c r="AA822" s="7">
        <v>0</v>
      </c>
      <c r="AB822" s="7">
        <v>1</v>
      </c>
      <c r="AC822" s="7">
        <v>1</v>
      </c>
      <c r="AD822" s="7" t="s">
        <v>5044</v>
      </c>
      <c r="AE822" s="7" t="s">
        <v>5044</v>
      </c>
      <c r="AF822" s="7" t="s">
        <v>5044</v>
      </c>
      <c r="AG822" s="7">
        <v>2</v>
      </c>
      <c r="AH822" s="7">
        <v>2</v>
      </c>
      <c r="AI822" s="7">
        <v>2</v>
      </c>
      <c r="AJ822" s="7" t="s">
        <v>5044</v>
      </c>
      <c r="AK822" s="7" t="s">
        <v>6228</v>
      </c>
      <c r="AL822" s="7">
        <v>0</v>
      </c>
      <c r="AM822" s="7">
        <v>0</v>
      </c>
      <c r="AN822" s="7" t="s">
        <v>5318</v>
      </c>
    </row>
    <row r="823" spans="1:40" ht="63" customHeight="1" x14ac:dyDescent="0.2">
      <c r="A823" s="7">
        <v>8301</v>
      </c>
      <c r="B823" s="23" t="s">
        <v>2894</v>
      </c>
      <c r="C823" s="7" t="s">
        <v>2895</v>
      </c>
      <c r="D823" s="7" t="s">
        <v>95</v>
      </c>
      <c r="F823" s="7" t="s">
        <v>47</v>
      </c>
      <c r="G823" s="7" t="s">
        <v>175</v>
      </c>
      <c r="H823" s="7" t="s">
        <v>2896</v>
      </c>
      <c r="I823" s="7" t="s">
        <v>13</v>
      </c>
      <c r="J823" s="7" t="s">
        <v>2897</v>
      </c>
      <c r="K823" s="7" t="s">
        <v>2898</v>
      </c>
      <c r="L823" s="7" t="s">
        <v>6229</v>
      </c>
      <c r="M823" s="7">
        <v>0</v>
      </c>
      <c r="N823" s="7" t="s">
        <v>5044</v>
      </c>
      <c r="O823" s="7" t="s">
        <v>5044</v>
      </c>
      <c r="P823" s="7">
        <v>0</v>
      </c>
      <c r="Q823" s="7">
        <v>0</v>
      </c>
      <c r="R823" s="7">
        <v>0</v>
      </c>
      <c r="S823" s="7">
        <v>7</v>
      </c>
      <c r="T823" s="7">
        <v>4</v>
      </c>
      <c r="U823" s="7">
        <v>90</v>
      </c>
      <c r="V823" s="7">
        <v>1</v>
      </c>
      <c r="W823" s="7">
        <v>0</v>
      </c>
      <c r="X823" s="7">
        <v>0</v>
      </c>
      <c r="Y823" s="7">
        <v>0</v>
      </c>
      <c r="Z823" s="7">
        <v>0</v>
      </c>
      <c r="AA823" s="7">
        <v>0</v>
      </c>
      <c r="AB823" s="7">
        <v>1</v>
      </c>
      <c r="AC823" s="7">
        <v>1</v>
      </c>
      <c r="AD823" s="7">
        <v>2</v>
      </c>
      <c r="AE823" s="7">
        <v>3</v>
      </c>
      <c r="AF823" s="7">
        <v>0</v>
      </c>
      <c r="AG823" s="23" t="s">
        <v>5044</v>
      </c>
      <c r="AH823" s="23" t="s">
        <v>5044</v>
      </c>
      <c r="AI823" s="23" t="s">
        <v>5044</v>
      </c>
      <c r="AJ823" s="7" t="s">
        <v>5044</v>
      </c>
      <c r="AL823" s="7">
        <v>0</v>
      </c>
      <c r="AM823" s="7">
        <v>0</v>
      </c>
      <c r="AN823" s="7" t="s">
        <v>5318</v>
      </c>
    </row>
    <row r="824" spans="1:40" ht="63" customHeight="1" x14ac:dyDescent="0.2">
      <c r="A824" s="7">
        <v>8320</v>
      </c>
      <c r="B824" s="7" t="s">
        <v>2899</v>
      </c>
      <c r="C824" s="7" t="s">
        <v>2900</v>
      </c>
      <c r="D824" s="7" t="s">
        <v>56</v>
      </c>
      <c r="F824" s="7" t="s">
        <v>197</v>
      </c>
      <c r="G824" s="7" t="s">
        <v>17</v>
      </c>
      <c r="H824" s="7" t="s">
        <v>329</v>
      </c>
      <c r="I824" s="7" t="s">
        <v>13</v>
      </c>
      <c r="J824" s="7" t="s">
        <v>2901</v>
      </c>
      <c r="K824" s="7" t="s">
        <v>2902</v>
      </c>
      <c r="L824" s="7" t="s">
        <v>5232</v>
      </c>
      <c r="M824" s="7">
        <v>0</v>
      </c>
      <c r="N824" s="7" t="s">
        <v>5044</v>
      </c>
      <c r="O824" s="7" t="s">
        <v>5044</v>
      </c>
      <c r="P824" s="7">
        <v>0</v>
      </c>
      <c r="Q824" s="7">
        <v>0</v>
      </c>
      <c r="R824" s="7">
        <v>0</v>
      </c>
      <c r="S824" s="7">
        <v>1</v>
      </c>
      <c r="T824" s="7">
        <v>4</v>
      </c>
      <c r="U824" s="7">
        <v>1056</v>
      </c>
      <c r="V824" s="7">
        <v>0</v>
      </c>
      <c r="W824" s="7">
        <v>1</v>
      </c>
      <c r="X824" s="7">
        <v>0</v>
      </c>
      <c r="Y824" s="7">
        <v>0</v>
      </c>
      <c r="Z824" s="7">
        <v>0</v>
      </c>
      <c r="AA824" s="7">
        <v>0</v>
      </c>
      <c r="AB824" s="7">
        <v>1</v>
      </c>
      <c r="AC824" s="7">
        <v>1</v>
      </c>
      <c r="AD824" s="7" t="s">
        <v>5044</v>
      </c>
      <c r="AE824" s="7" t="s">
        <v>5044</v>
      </c>
      <c r="AF824" s="7" t="s">
        <v>5044</v>
      </c>
      <c r="AG824" s="7">
        <v>1</v>
      </c>
      <c r="AH824" s="7">
        <v>0</v>
      </c>
      <c r="AI824" s="7">
        <v>0</v>
      </c>
      <c r="AJ824" s="7" t="s">
        <v>5044</v>
      </c>
      <c r="AK824" s="7" t="s">
        <v>5318</v>
      </c>
      <c r="AL824" s="7" t="s">
        <v>5044</v>
      </c>
      <c r="AM824" s="7">
        <v>0</v>
      </c>
      <c r="AN824" s="7" t="s">
        <v>6230</v>
      </c>
    </row>
    <row r="825" spans="1:40" ht="63" customHeight="1" x14ac:dyDescent="0.2">
      <c r="A825" s="7">
        <v>8329</v>
      </c>
      <c r="B825" s="7" t="s">
        <v>2903</v>
      </c>
      <c r="C825" s="7" t="s">
        <v>2904</v>
      </c>
      <c r="D825" s="7" t="s">
        <v>74</v>
      </c>
      <c r="F825" s="7" t="s">
        <v>129</v>
      </c>
      <c r="H825" s="7" t="s">
        <v>130</v>
      </c>
      <c r="I825" s="7" t="s">
        <v>13</v>
      </c>
      <c r="J825" s="7" t="s">
        <v>2905</v>
      </c>
      <c r="K825" s="7" t="s">
        <v>2906</v>
      </c>
      <c r="L825" s="7" t="s">
        <v>6231</v>
      </c>
      <c r="M825" s="7">
        <v>0</v>
      </c>
      <c r="N825" s="7" t="s">
        <v>5044</v>
      </c>
      <c r="O825" s="7" t="s">
        <v>5044</v>
      </c>
      <c r="P825" s="7">
        <v>0</v>
      </c>
      <c r="Q825" s="7">
        <v>0</v>
      </c>
      <c r="R825" s="7">
        <v>1</v>
      </c>
      <c r="S825" s="7">
        <v>9</v>
      </c>
      <c r="T825" s="7">
        <v>4</v>
      </c>
      <c r="U825" s="7">
        <v>60</v>
      </c>
      <c r="V825" s="7">
        <v>0</v>
      </c>
      <c r="W825" s="7">
        <v>1</v>
      </c>
      <c r="X825" s="7">
        <v>0</v>
      </c>
      <c r="Y825" s="7">
        <v>0</v>
      </c>
      <c r="Z825" s="7">
        <v>0</v>
      </c>
      <c r="AA825" s="7">
        <v>0</v>
      </c>
      <c r="AB825" s="7">
        <v>1</v>
      </c>
      <c r="AC825" s="7">
        <v>1</v>
      </c>
      <c r="AD825" s="7" t="s">
        <v>5044</v>
      </c>
      <c r="AE825" s="7" t="s">
        <v>5044</v>
      </c>
      <c r="AF825" s="7" t="s">
        <v>5044</v>
      </c>
      <c r="AG825" s="7">
        <v>2</v>
      </c>
      <c r="AH825" s="7">
        <v>3</v>
      </c>
      <c r="AI825" s="7">
        <v>0</v>
      </c>
      <c r="AJ825" s="7" t="s">
        <v>5044</v>
      </c>
      <c r="AK825" s="7">
        <v>1</v>
      </c>
      <c r="AL825" s="7">
        <v>0</v>
      </c>
      <c r="AM825" s="7">
        <v>0</v>
      </c>
    </row>
    <row r="826" spans="1:40" ht="63" customHeight="1" x14ac:dyDescent="0.2">
      <c r="A826" s="7">
        <v>8343</v>
      </c>
      <c r="B826" s="7" t="s">
        <v>2907</v>
      </c>
      <c r="C826" s="7" t="s">
        <v>2908</v>
      </c>
      <c r="D826" s="7" t="s">
        <v>95</v>
      </c>
      <c r="F826" s="7" t="s">
        <v>260</v>
      </c>
      <c r="G826" s="7" t="s">
        <v>37</v>
      </c>
      <c r="H826" s="7" t="s">
        <v>38</v>
      </c>
      <c r="I826" s="7" t="s">
        <v>13</v>
      </c>
      <c r="J826" s="7" t="s">
        <v>2909</v>
      </c>
      <c r="K826" s="7" t="s">
        <v>2910</v>
      </c>
      <c r="L826" s="7" t="s">
        <v>6232</v>
      </c>
      <c r="M826" s="7">
        <v>0</v>
      </c>
      <c r="N826" s="7" t="s">
        <v>5044</v>
      </c>
      <c r="O826" s="7" t="s">
        <v>5044</v>
      </c>
      <c r="P826" s="7">
        <v>0</v>
      </c>
      <c r="Q826" s="7">
        <v>0</v>
      </c>
      <c r="R826" s="7">
        <v>0</v>
      </c>
      <c r="S826" s="7">
        <v>1</v>
      </c>
      <c r="T826" s="7">
        <v>1</v>
      </c>
      <c r="U826" s="7">
        <v>370</v>
      </c>
      <c r="V826" s="7">
        <v>0</v>
      </c>
      <c r="W826" s="7">
        <v>1</v>
      </c>
      <c r="X826" s="7">
        <v>0</v>
      </c>
      <c r="Y826" s="7">
        <v>0</v>
      </c>
      <c r="Z826" s="7">
        <v>0</v>
      </c>
      <c r="AA826" s="7">
        <v>0</v>
      </c>
      <c r="AB826" s="7">
        <v>1</v>
      </c>
      <c r="AC826" s="7">
        <v>1</v>
      </c>
      <c r="AD826" s="7" t="s">
        <v>5044</v>
      </c>
      <c r="AE826" s="7" t="s">
        <v>5044</v>
      </c>
      <c r="AF826" s="7" t="s">
        <v>5044</v>
      </c>
      <c r="AG826" s="7">
        <v>2</v>
      </c>
      <c r="AH826" s="7">
        <v>3</v>
      </c>
      <c r="AI826" s="7">
        <v>0</v>
      </c>
      <c r="AJ826" s="7" t="s">
        <v>5044</v>
      </c>
      <c r="AK826" s="7" t="s">
        <v>6233</v>
      </c>
      <c r="AL826" s="7">
        <v>1</v>
      </c>
      <c r="AM826" s="7">
        <v>0</v>
      </c>
      <c r="AN826" s="7" t="s">
        <v>5318</v>
      </c>
    </row>
    <row r="827" spans="1:40" ht="63" customHeight="1" x14ac:dyDescent="0.2">
      <c r="A827" s="7">
        <v>8345</v>
      </c>
      <c r="B827" s="7" t="s">
        <v>2911</v>
      </c>
      <c r="C827" s="7" t="s">
        <v>2912</v>
      </c>
      <c r="D827" s="7" t="s">
        <v>16</v>
      </c>
      <c r="F827" s="7" t="s">
        <v>114</v>
      </c>
      <c r="G827" s="7" t="s">
        <v>144</v>
      </c>
      <c r="H827" s="7" t="s">
        <v>326</v>
      </c>
      <c r="I827" s="7" t="s">
        <v>13</v>
      </c>
      <c r="J827" s="7" t="s">
        <v>2913</v>
      </c>
      <c r="K827" s="7" t="s">
        <v>2914</v>
      </c>
      <c r="L827" s="11" t="s">
        <v>5044</v>
      </c>
      <c r="M827" s="7">
        <v>0</v>
      </c>
      <c r="N827" s="7" t="s">
        <v>5044</v>
      </c>
      <c r="O827" s="7" t="s">
        <v>5044</v>
      </c>
      <c r="P827" s="7">
        <v>0</v>
      </c>
      <c r="Q827" s="7">
        <v>0</v>
      </c>
      <c r="R827" s="7">
        <v>0</v>
      </c>
      <c r="S827" s="7">
        <v>1</v>
      </c>
      <c r="T827" s="7">
        <v>1</v>
      </c>
      <c r="U827" s="7">
        <v>42</v>
      </c>
      <c r="V827" s="7">
        <v>0</v>
      </c>
      <c r="W827" s="7">
        <v>1</v>
      </c>
      <c r="X827" s="7">
        <v>0</v>
      </c>
      <c r="Y827" s="7">
        <v>0</v>
      </c>
      <c r="Z827" s="7">
        <v>0</v>
      </c>
      <c r="AA827" s="7">
        <v>0</v>
      </c>
      <c r="AB827" s="7">
        <v>1</v>
      </c>
      <c r="AC827" s="7">
        <v>1</v>
      </c>
      <c r="AD827" s="7" t="s">
        <v>5044</v>
      </c>
      <c r="AE827" s="7" t="s">
        <v>5044</v>
      </c>
      <c r="AF827" s="7" t="s">
        <v>5044</v>
      </c>
      <c r="AG827" s="7">
        <v>2</v>
      </c>
      <c r="AH827" s="7">
        <v>1</v>
      </c>
      <c r="AI827" s="7">
        <v>3</v>
      </c>
      <c r="AJ827" s="7" t="s">
        <v>5044</v>
      </c>
      <c r="AK827" s="7" t="s">
        <v>6234</v>
      </c>
      <c r="AL827" s="7">
        <v>1</v>
      </c>
      <c r="AM827" s="7">
        <v>0</v>
      </c>
      <c r="AN827" s="7" t="s">
        <v>5073</v>
      </c>
    </row>
    <row r="828" spans="1:40" ht="63" customHeight="1" x14ac:dyDescent="0.2">
      <c r="A828" s="7">
        <v>8349</v>
      </c>
      <c r="B828" s="7" t="s">
        <v>2915</v>
      </c>
      <c r="C828" s="7" t="s">
        <v>2916</v>
      </c>
      <c r="D828" s="7" t="s">
        <v>74</v>
      </c>
      <c r="F828" s="7" t="s">
        <v>723</v>
      </c>
      <c r="G828" s="7" t="s">
        <v>11</v>
      </c>
      <c r="H828" s="7" t="s">
        <v>873</v>
      </c>
      <c r="I828" s="7" t="s">
        <v>13</v>
      </c>
      <c r="J828" s="7" t="s">
        <v>2917</v>
      </c>
      <c r="L828" s="7" t="s">
        <v>6235</v>
      </c>
      <c r="M828" s="7">
        <v>1</v>
      </c>
      <c r="N828" s="7">
        <v>0</v>
      </c>
      <c r="O828" s="7" t="s">
        <v>5044</v>
      </c>
      <c r="P828" s="7">
        <v>0</v>
      </c>
      <c r="Q828" s="7">
        <v>0</v>
      </c>
      <c r="R828" s="7">
        <v>0</v>
      </c>
      <c r="S828" s="7">
        <v>9</v>
      </c>
      <c r="T828" s="7">
        <v>1</v>
      </c>
      <c r="U828" s="7">
        <v>100</v>
      </c>
      <c r="V828" s="7">
        <v>1</v>
      </c>
      <c r="W828" s="7">
        <v>0</v>
      </c>
      <c r="X828" s="7">
        <v>0</v>
      </c>
      <c r="Y828" s="7">
        <v>1</v>
      </c>
      <c r="Z828" s="7">
        <v>0</v>
      </c>
      <c r="AA828" s="7">
        <v>0</v>
      </c>
      <c r="AB828" s="7">
        <v>1</v>
      </c>
      <c r="AC828" s="7" t="s">
        <v>5044</v>
      </c>
      <c r="AD828" s="7" t="s">
        <v>5044</v>
      </c>
      <c r="AE828" s="7" t="s">
        <v>5044</v>
      </c>
      <c r="AF828" s="7" t="s">
        <v>5044</v>
      </c>
      <c r="AG828" s="7" t="s">
        <v>5044</v>
      </c>
      <c r="AH828" s="7" t="s">
        <v>5044</v>
      </c>
      <c r="AI828" s="7" t="s">
        <v>5044</v>
      </c>
      <c r="AJ828" s="7" t="s">
        <v>5044</v>
      </c>
      <c r="AK828" s="7" t="s">
        <v>5318</v>
      </c>
      <c r="AL828" s="7" t="s">
        <v>5044</v>
      </c>
      <c r="AM828" s="7">
        <v>0</v>
      </c>
      <c r="AN828" s="7" t="s">
        <v>5318</v>
      </c>
    </row>
    <row r="829" spans="1:40" ht="63" customHeight="1" x14ac:dyDescent="0.2">
      <c r="A829" s="7">
        <v>8357</v>
      </c>
      <c r="B829" s="7" t="s">
        <v>2918</v>
      </c>
      <c r="C829" s="7" t="s">
        <v>2919</v>
      </c>
      <c r="D829" s="7" t="s">
        <v>22</v>
      </c>
      <c r="F829" s="7" t="s">
        <v>220</v>
      </c>
      <c r="G829" s="7" t="s">
        <v>52</v>
      </c>
      <c r="H829" s="7" t="s">
        <v>53</v>
      </c>
      <c r="I829" s="7" t="s">
        <v>13</v>
      </c>
      <c r="J829" s="7" t="s">
        <v>2920</v>
      </c>
      <c r="K829" s="7" t="s">
        <v>2921</v>
      </c>
      <c r="L829" s="7" t="s">
        <v>6236</v>
      </c>
      <c r="M829" s="7">
        <v>1</v>
      </c>
      <c r="N829" s="7">
        <v>0</v>
      </c>
      <c r="O829" s="7" t="s">
        <v>5044</v>
      </c>
      <c r="P829" s="7">
        <v>0</v>
      </c>
      <c r="Q829" s="7">
        <v>0</v>
      </c>
      <c r="R829" s="7">
        <v>0</v>
      </c>
      <c r="S829" s="7">
        <v>1</v>
      </c>
      <c r="T829" s="7">
        <v>1</v>
      </c>
      <c r="U829" s="7">
        <v>69</v>
      </c>
      <c r="V829" s="7">
        <v>0</v>
      </c>
      <c r="W829" s="7">
        <v>1</v>
      </c>
      <c r="X829" s="7">
        <v>0</v>
      </c>
      <c r="Y829" s="7">
        <v>0</v>
      </c>
      <c r="Z829" s="7">
        <v>0</v>
      </c>
      <c r="AA829" s="7">
        <v>0</v>
      </c>
      <c r="AB829" s="7">
        <v>1</v>
      </c>
      <c r="AC829" s="7" t="s">
        <v>5044</v>
      </c>
      <c r="AD829" s="7" t="s">
        <v>5044</v>
      </c>
      <c r="AE829" s="7" t="s">
        <v>5044</v>
      </c>
      <c r="AF829" s="7" t="s">
        <v>5044</v>
      </c>
      <c r="AG829" s="7" t="s">
        <v>5044</v>
      </c>
      <c r="AH829" s="7" t="s">
        <v>5044</v>
      </c>
      <c r="AI829" s="7" t="s">
        <v>5044</v>
      </c>
      <c r="AJ829" s="7" t="s">
        <v>5044</v>
      </c>
      <c r="AK829" s="7" t="s">
        <v>5318</v>
      </c>
      <c r="AL829" s="7" t="s">
        <v>5044</v>
      </c>
      <c r="AM829" s="7">
        <v>0</v>
      </c>
      <c r="AN829" s="7" t="s">
        <v>5318</v>
      </c>
    </row>
    <row r="830" spans="1:40" ht="63" customHeight="1" x14ac:dyDescent="0.2">
      <c r="A830" s="7">
        <v>8358</v>
      </c>
      <c r="B830" s="7" t="s">
        <v>2922</v>
      </c>
      <c r="C830" s="7" t="s">
        <v>2923</v>
      </c>
      <c r="D830" s="7" t="s">
        <v>46</v>
      </c>
      <c r="F830" s="7" t="s">
        <v>220</v>
      </c>
      <c r="G830" s="7" t="s">
        <v>52</v>
      </c>
      <c r="H830" s="7" t="s">
        <v>656</v>
      </c>
      <c r="I830" s="7" t="s">
        <v>13</v>
      </c>
      <c r="J830" s="7" t="s">
        <v>2924</v>
      </c>
      <c r="K830" s="7" t="s">
        <v>2925</v>
      </c>
      <c r="L830" s="7" t="s">
        <v>6237</v>
      </c>
      <c r="M830" s="7">
        <v>1</v>
      </c>
      <c r="N830" s="7">
        <v>0</v>
      </c>
      <c r="O830" s="7" t="s">
        <v>5044</v>
      </c>
      <c r="P830" s="7">
        <v>0</v>
      </c>
      <c r="Q830" s="7">
        <v>0</v>
      </c>
      <c r="R830" s="7">
        <v>0</v>
      </c>
      <c r="S830" s="7">
        <v>1</v>
      </c>
      <c r="T830" s="7">
        <v>1</v>
      </c>
      <c r="U830" s="7">
        <v>155</v>
      </c>
      <c r="V830" s="7">
        <v>0</v>
      </c>
      <c r="W830" s="7">
        <v>1</v>
      </c>
      <c r="X830" s="7">
        <v>0</v>
      </c>
      <c r="Y830" s="7">
        <v>0</v>
      </c>
      <c r="Z830" s="7">
        <v>0</v>
      </c>
      <c r="AA830" s="7">
        <v>0</v>
      </c>
      <c r="AB830" s="7">
        <v>1</v>
      </c>
      <c r="AC830" s="7" t="s">
        <v>5044</v>
      </c>
      <c r="AD830" s="7" t="s">
        <v>5044</v>
      </c>
      <c r="AE830" s="7" t="s">
        <v>5044</v>
      </c>
      <c r="AF830" s="7" t="s">
        <v>5044</v>
      </c>
      <c r="AG830" s="7" t="s">
        <v>5044</v>
      </c>
      <c r="AH830" s="7" t="s">
        <v>5044</v>
      </c>
      <c r="AI830" s="7" t="s">
        <v>5044</v>
      </c>
      <c r="AJ830" s="7" t="s">
        <v>5044</v>
      </c>
      <c r="AK830" s="7" t="s">
        <v>5318</v>
      </c>
      <c r="AL830" s="7" t="s">
        <v>5044</v>
      </c>
      <c r="AM830" s="7">
        <v>0</v>
      </c>
      <c r="AN830" s="7" t="s">
        <v>5318</v>
      </c>
    </row>
    <row r="831" spans="1:40" ht="63" customHeight="1" x14ac:dyDescent="0.2">
      <c r="A831" s="7">
        <v>8366</v>
      </c>
      <c r="B831" s="7" t="s">
        <v>2926</v>
      </c>
      <c r="C831" s="7" t="s">
        <v>2927</v>
      </c>
      <c r="D831" s="7" t="s">
        <v>101</v>
      </c>
      <c r="F831" s="7" t="s">
        <v>384</v>
      </c>
      <c r="G831" s="7" t="s">
        <v>175</v>
      </c>
      <c r="H831" s="7" t="s">
        <v>115</v>
      </c>
      <c r="I831" s="7" t="s">
        <v>13</v>
      </c>
      <c r="J831" s="7" t="s">
        <v>2928</v>
      </c>
      <c r="K831" s="7" t="s">
        <v>2929</v>
      </c>
      <c r="L831" s="7" t="s">
        <v>6238</v>
      </c>
      <c r="M831" s="7">
        <v>0</v>
      </c>
      <c r="N831" s="7" t="s">
        <v>5044</v>
      </c>
      <c r="O831" s="7" t="s">
        <v>5044</v>
      </c>
      <c r="P831" s="7">
        <v>0</v>
      </c>
      <c r="Q831" s="7">
        <v>0</v>
      </c>
      <c r="R831" s="7">
        <v>0</v>
      </c>
      <c r="S831" s="7">
        <v>1</v>
      </c>
      <c r="T831" s="7">
        <v>1</v>
      </c>
      <c r="U831" s="7">
        <v>64</v>
      </c>
      <c r="V831" s="7">
        <v>0</v>
      </c>
      <c r="W831" s="7">
        <v>1</v>
      </c>
      <c r="X831" s="7">
        <v>0</v>
      </c>
      <c r="Y831" s="7">
        <v>0</v>
      </c>
      <c r="Z831" s="7">
        <v>0</v>
      </c>
      <c r="AA831" s="7">
        <v>0</v>
      </c>
      <c r="AB831" s="7">
        <v>1</v>
      </c>
      <c r="AC831" s="7">
        <v>1</v>
      </c>
      <c r="AD831" s="7" t="s">
        <v>5044</v>
      </c>
      <c r="AE831" s="7" t="s">
        <v>5044</v>
      </c>
      <c r="AF831" s="7" t="s">
        <v>5044</v>
      </c>
      <c r="AG831" s="7">
        <v>1</v>
      </c>
      <c r="AH831" s="7">
        <v>0</v>
      </c>
      <c r="AI831" s="7">
        <v>0</v>
      </c>
      <c r="AJ831" s="7" t="s">
        <v>5044</v>
      </c>
      <c r="AK831" s="7" t="s">
        <v>5318</v>
      </c>
      <c r="AL831" s="7">
        <v>0</v>
      </c>
      <c r="AM831" s="7">
        <v>0</v>
      </c>
      <c r="AN831" s="7" t="s">
        <v>5318</v>
      </c>
    </row>
    <row r="832" spans="1:40" ht="63" customHeight="1" x14ac:dyDescent="0.2">
      <c r="A832" s="7">
        <v>8371</v>
      </c>
      <c r="B832" s="7" t="s">
        <v>2930</v>
      </c>
      <c r="C832" s="7" t="s">
        <v>2931</v>
      </c>
      <c r="D832" s="7" t="s">
        <v>16</v>
      </c>
      <c r="F832" s="7" t="s">
        <v>532</v>
      </c>
      <c r="G832" s="7" t="s">
        <v>52</v>
      </c>
      <c r="H832" s="7" t="s">
        <v>43</v>
      </c>
      <c r="I832" s="7" t="s">
        <v>13</v>
      </c>
      <c r="J832" s="7" t="s">
        <v>2932</v>
      </c>
      <c r="K832" s="7" t="s">
        <v>2933</v>
      </c>
      <c r="L832" s="7" t="s">
        <v>6239</v>
      </c>
      <c r="M832" s="7">
        <v>0</v>
      </c>
      <c r="N832" s="7" t="s">
        <v>5044</v>
      </c>
      <c r="O832" s="7" t="s">
        <v>5044</v>
      </c>
      <c r="P832" s="7">
        <v>0</v>
      </c>
      <c r="Q832" s="7">
        <v>0</v>
      </c>
      <c r="R832" s="7">
        <v>0</v>
      </c>
      <c r="S832" s="7">
        <v>1</v>
      </c>
      <c r="T832" s="7">
        <v>4</v>
      </c>
      <c r="U832" s="7">
        <v>100</v>
      </c>
      <c r="V832" s="7">
        <v>0</v>
      </c>
      <c r="W832" s="7">
        <v>1</v>
      </c>
      <c r="X832" s="7">
        <v>0</v>
      </c>
      <c r="Y832" s="7">
        <v>0</v>
      </c>
      <c r="Z832" s="7">
        <v>0</v>
      </c>
      <c r="AA832" s="7">
        <v>0</v>
      </c>
      <c r="AB832" s="7">
        <v>1</v>
      </c>
      <c r="AC832" s="7">
        <v>0</v>
      </c>
      <c r="AD832" s="7" t="s">
        <v>5044</v>
      </c>
      <c r="AE832" s="7" t="s">
        <v>5044</v>
      </c>
      <c r="AF832" s="7" t="s">
        <v>5044</v>
      </c>
      <c r="AG832" s="7">
        <v>0</v>
      </c>
      <c r="AH832" s="7" t="s">
        <v>5044</v>
      </c>
      <c r="AI832" s="7" t="s">
        <v>5044</v>
      </c>
      <c r="AJ832" s="7" t="s">
        <v>5044</v>
      </c>
      <c r="AK832" s="7" t="s">
        <v>5318</v>
      </c>
      <c r="AL832" s="7">
        <v>0</v>
      </c>
      <c r="AM832" s="7">
        <v>0</v>
      </c>
    </row>
    <row r="833" spans="1:40" ht="63" customHeight="1" x14ac:dyDescent="0.2">
      <c r="A833" s="7">
        <v>8399</v>
      </c>
      <c r="B833" s="7" t="s">
        <v>2934</v>
      </c>
      <c r="C833" s="7" t="s">
        <v>2935</v>
      </c>
      <c r="D833" s="7" t="s">
        <v>41</v>
      </c>
      <c r="F833" s="7" t="s">
        <v>65</v>
      </c>
      <c r="G833" s="7" t="s">
        <v>52</v>
      </c>
      <c r="H833" s="7" t="s">
        <v>53</v>
      </c>
      <c r="I833" s="7" t="s">
        <v>13</v>
      </c>
      <c r="J833" s="7" t="s">
        <v>2936</v>
      </c>
      <c r="K833" s="7" t="s">
        <v>2937</v>
      </c>
      <c r="L833" s="7" t="s">
        <v>6241</v>
      </c>
      <c r="M833" s="7">
        <v>1</v>
      </c>
      <c r="N833" s="7">
        <v>0</v>
      </c>
      <c r="O833" s="7" t="s">
        <v>5044</v>
      </c>
      <c r="P833" s="7">
        <v>0</v>
      </c>
      <c r="Q833" s="7">
        <v>0</v>
      </c>
      <c r="R833" s="7">
        <v>0</v>
      </c>
      <c r="S833" s="7">
        <v>9</v>
      </c>
      <c r="T833" s="7">
        <v>1</v>
      </c>
      <c r="U833" s="7">
        <v>922</v>
      </c>
      <c r="V833" s="7">
        <v>0</v>
      </c>
      <c r="W833" s="7">
        <v>1</v>
      </c>
      <c r="X833" s="7">
        <v>0</v>
      </c>
      <c r="Y833" s="7">
        <v>0</v>
      </c>
      <c r="Z833" s="7">
        <v>1</v>
      </c>
      <c r="AA833" s="7">
        <v>0</v>
      </c>
      <c r="AB833" s="7">
        <v>1</v>
      </c>
      <c r="AC833" s="7" t="s">
        <v>5044</v>
      </c>
      <c r="AD833" s="7" t="s">
        <v>5044</v>
      </c>
      <c r="AE833" s="7" t="s">
        <v>5044</v>
      </c>
      <c r="AF833" s="7" t="s">
        <v>5044</v>
      </c>
      <c r="AG833" s="7" t="s">
        <v>5044</v>
      </c>
      <c r="AH833" s="7" t="s">
        <v>5044</v>
      </c>
      <c r="AI833" s="7" t="s">
        <v>5044</v>
      </c>
      <c r="AJ833" s="7" t="s">
        <v>5044</v>
      </c>
      <c r="AK833" s="7" t="s">
        <v>5318</v>
      </c>
      <c r="AL833" s="7" t="s">
        <v>5044</v>
      </c>
      <c r="AM833" s="7">
        <v>0</v>
      </c>
      <c r="AN833" s="7" t="s">
        <v>5318</v>
      </c>
    </row>
    <row r="834" spans="1:40" ht="63" customHeight="1" x14ac:dyDescent="0.2">
      <c r="A834" s="7">
        <v>8417</v>
      </c>
      <c r="B834" s="7" t="s">
        <v>2938</v>
      </c>
      <c r="C834" s="7" t="s">
        <v>2939</v>
      </c>
      <c r="D834" s="7" t="s">
        <v>149</v>
      </c>
      <c r="F834" s="7" t="s">
        <v>1423</v>
      </c>
      <c r="G834" s="7" t="s">
        <v>32</v>
      </c>
      <c r="H834" s="7" t="s">
        <v>740</v>
      </c>
      <c r="I834" s="7" t="s">
        <v>13</v>
      </c>
      <c r="J834" s="7" t="s">
        <v>2940</v>
      </c>
      <c r="K834" s="7" t="s">
        <v>2941</v>
      </c>
      <c r="L834" s="7" t="s">
        <v>6292</v>
      </c>
      <c r="M834" s="7">
        <v>0</v>
      </c>
      <c r="N834" s="9" t="s">
        <v>5044</v>
      </c>
      <c r="O834" s="9" t="s">
        <v>5044</v>
      </c>
      <c r="P834" s="7">
        <v>0</v>
      </c>
      <c r="Q834" s="7">
        <v>0</v>
      </c>
      <c r="R834" s="7">
        <v>0</v>
      </c>
      <c r="S834" s="7">
        <v>1</v>
      </c>
      <c r="T834" s="7">
        <v>4</v>
      </c>
      <c r="U834" s="7">
        <v>150</v>
      </c>
      <c r="V834" s="7">
        <v>0</v>
      </c>
      <c r="W834" s="7">
        <v>1</v>
      </c>
      <c r="X834" s="7">
        <v>0</v>
      </c>
      <c r="Y834" s="7">
        <v>0</v>
      </c>
      <c r="Z834" s="7">
        <v>0</v>
      </c>
      <c r="AA834" s="7">
        <v>0</v>
      </c>
      <c r="AB834" s="7">
        <v>1</v>
      </c>
      <c r="AC834" s="7">
        <v>0</v>
      </c>
      <c r="AD834" s="7" t="s">
        <v>5044</v>
      </c>
      <c r="AE834" s="7" t="s">
        <v>5044</v>
      </c>
      <c r="AF834" s="7" t="s">
        <v>5044</v>
      </c>
      <c r="AG834" s="7">
        <v>0</v>
      </c>
      <c r="AH834" s="7" t="s">
        <v>5044</v>
      </c>
      <c r="AI834" s="7" t="s">
        <v>5044</v>
      </c>
      <c r="AJ834" s="7" t="s">
        <v>5044</v>
      </c>
      <c r="AK834" s="7" t="s">
        <v>5318</v>
      </c>
      <c r="AL834" s="7">
        <v>0</v>
      </c>
      <c r="AM834" s="7">
        <v>0</v>
      </c>
    </row>
    <row r="835" spans="1:40" ht="63" customHeight="1" x14ac:dyDescent="0.2">
      <c r="A835" s="7">
        <v>8423</v>
      </c>
      <c r="B835" s="7" t="s">
        <v>2942</v>
      </c>
      <c r="C835" s="7" t="s">
        <v>2943</v>
      </c>
      <c r="D835" s="7" t="s">
        <v>46</v>
      </c>
      <c r="F835" s="7" t="s">
        <v>92</v>
      </c>
      <c r="G835" s="7" t="s">
        <v>144</v>
      </c>
      <c r="H835" s="7" t="s">
        <v>2896</v>
      </c>
      <c r="I835" s="7" t="s">
        <v>13</v>
      </c>
      <c r="J835" s="7" t="s">
        <v>2944</v>
      </c>
      <c r="K835" s="7" t="s">
        <v>2945</v>
      </c>
      <c r="L835" s="11" t="s">
        <v>5044</v>
      </c>
      <c r="M835" s="7">
        <v>0</v>
      </c>
      <c r="N835" s="7" t="s">
        <v>5044</v>
      </c>
      <c r="O835" s="7" t="s">
        <v>5044</v>
      </c>
      <c r="P835" s="7">
        <v>0</v>
      </c>
      <c r="Q835" s="7">
        <v>0</v>
      </c>
      <c r="R835" s="7">
        <v>0</v>
      </c>
      <c r="S835" s="7">
        <v>1</v>
      </c>
      <c r="T835" s="7">
        <v>4</v>
      </c>
      <c r="U835" s="7">
        <v>100</v>
      </c>
      <c r="V835" s="7">
        <v>0</v>
      </c>
      <c r="W835" s="7">
        <v>1</v>
      </c>
      <c r="X835" s="7">
        <v>0</v>
      </c>
      <c r="Y835" s="7">
        <v>0</v>
      </c>
      <c r="Z835" s="7">
        <v>0</v>
      </c>
      <c r="AA835" s="7">
        <v>0</v>
      </c>
      <c r="AB835" s="7">
        <v>1</v>
      </c>
      <c r="AC835" s="7">
        <v>0</v>
      </c>
      <c r="AD835" s="7" t="s">
        <v>5044</v>
      </c>
      <c r="AE835" s="7" t="s">
        <v>5044</v>
      </c>
      <c r="AF835" s="7" t="s">
        <v>5044</v>
      </c>
      <c r="AG835" s="7">
        <v>0</v>
      </c>
      <c r="AH835" s="7" t="s">
        <v>5044</v>
      </c>
      <c r="AI835" s="7" t="s">
        <v>5044</v>
      </c>
      <c r="AJ835" s="7" t="s">
        <v>5044</v>
      </c>
      <c r="AK835" s="7" t="s">
        <v>5318</v>
      </c>
      <c r="AL835" s="7">
        <v>1</v>
      </c>
      <c r="AM835" s="7">
        <v>0</v>
      </c>
      <c r="AN835" s="7" t="s">
        <v>5318</v>
      </c>
    </row>
    <row r="836" spans="1:40" ht="63" customHeight="1" x14ac:dyDescent="0.2">
      <c r="A836" s="7">
        <v>8437</v>
      </c>
      <c r="B836" s="7" t="s">
        <v>2946</v>
      </c>
      <c r="C836" s="7" t="s">
        <v>2947</v>
      </c>
      <c r="D836" s="7" t="s">
        <v>101</v>
      </c>
      <c r="F836" s="7" t="s">
        <v>1082</v>
      </c>
      <c r="G836" s="7" t="s">
        <v>11</v>
      </c>
      <c r="H836" s="7" t="s">
        <v>2948</v>
      </c>
      <c r="I836" s="7" t="s">
        <v>13</v>
      </c>
      <c r="J836" s="7" t="s">
        <v>2949</v>
      </c>
      <c r="K836" s="7" t="s">
        <v>2950</v>
      </c>
      <c r="L836" s="7" t="s">
        <v>6242</v>
      </c>
      <c r="M836" s="7">
        <v>0</v>
      </c>
      <c r="N836" s="7" t="s">
        <v>5044</v>
      </c>
      <c r="O836" s="7" t="s">
        <v>5044</v>
      </c>
      <c r="P836" s="7">
        <v>0</v>
      </c>
      <c r="Q836" s="7">
        <v>0</v>
      </c>
      <c r="R836" s="7">
        <v>0</v>
      </c>
      <c r="S836" s="7">
        <v>1</v>
      </c>
      <c r="T836" s="7">
        <v>4</v>
      </c>
      <c r="U836" s="7">
        <v>50</v>
      </c>
      <c r="V836" s="7">
        <v>0</v>
      </c>
      <c r="W836" s="7">
        <v>1</v>
      </c>
      <c r="X836" s="7">
        <v>0</v>
      </c>
      <c r="Y836" s="7">
        <v>0</v>
      </c>
      <c r="Z836" s="7">
        <v>0</v>
      </c>
      <c r="AA836" s="7">
        <v>0</v>
      </c>
      <c r="AB836" s="7">
        <v>1</v>
      </c>
      <c r="AC836" s="7">
        <v>0</v>
      </c>
      <c r="AD836" s="7" t="s">
        <v>5044</v>
      </c>
      <c r="AE836" s="7" t="s">
        <v>5044</v>
      </c>
      <c r="AF836" s="7" t="s">
        <v>5044</v>
      </c>
      <c r="AG836" s="7">
        <v>0</v>
      </c>
      <c r="AH836" s="7" t="s">
        <v>5044</v>
      </c>
      <c r="AI836" s="7" t="s">
        <v>5044</v>
      </c>
      <c r="AJ836" s="7" t="s">
        <v>5044</v>
      </c>
      <c r="AK836" s="7" t="s">
        <v>5318</v>
      </c>
      <c r="AL836" s="7">
        <v>0</v>
      </c>
      <c r="AM836" s="7">
        <v>0</v>
      </c>
    </row>
    <row r="837" spans="1:40" ht="63" customHeight="1" x14ac:dyDescent="0.2">
      <c r="A837" s="7">
        <v>8444</v>
      </c>
      <c r="B837" s="7" t="s">
        <v>2951</v>
      </c>
      <c r="C837" s="7" t="s">
        <v>2952</v>
      </c>
      <c r="D837" s="7" t="s">
        <v>16</v>
      </c>
      <c r="F837" s="7" t="s">
        <v>372</v>
      </c>
      <c r="G837" s="7" t="s">
        <v>32</v>
      </c>
      <c r="H837" s="7" t="s">
        <v>28</v>
      </c>
      <c r="I837" s="7" t="s">
        <v>13</v>
      </c>
      <c r="J837" s="7" t="s">
        <v>2953</v>
      </c>
      <c r="K837" s="7" t="s">
        <v>2954</v>
      </c>
      <c r="L837" s="7" t="s">
        <v>6243</v>
      </c>
      <c r="M837" s="7">
        <v>0</v>
      </c>
      <c r="N837" s="7" t="s">
        <v>5044</v>
      </c>
      <c r="O837" s="7" t="s">
        <v>5044</v>
      </c>
      <c r="P837" s="7">
        <v>0</v>
      </c>
      <c r="Q837" s="7">
        <v>0</v>
      </c>
      <c r="R837" s="7">
        <v>0</v>
      </c>
      <c r="S837" s="7" t="s">
        <v>5207</v>
      </c>
      <c r="T837" s="7">
        <v>5</v>
      </c>
      <c r="U837" s="7">
        <v>87</v>
      </c>
      <c r="V837" s="7">
        <v>0</v>
      </c>
      <c r="W837" s="7">
        <v>1</v>
      </c>
      <c r="X837" s="7">
        <v>0</v>
      </c>
      <c r="Y837" s="7">
        <v>0</v>
      </c>
      <c r="Z837" s="7">
        <v>0</v>
      </c>
      <c r="AA837" s="7">
        <v>0</v>
      </c>
      <c r="AB837" s="7">
        <v>1</v>
      </c>
      <c r="AC837" s="7">
        <v>0</v>
      </c>
      <c r="AD837" s="7" t="s">
        <v>5044</v>
      </c>
      <c r="AE837" s="7" t="s">
        <v>5044</v>
      </c>
      <c r="AF837" s="7" t="s">
        <v>5044</v>
      </c>
      <c r="AG837" s="7">
        <v>0</v>
      </c>
      <c r="AH837" s="7" t="s">
        <v>5044</v>
      </c>
      <c r="AI837" s="7" t="s">
        <v>5044</v>
      </c>
      <c r="AJ837" s="7" t="s">
        <v>5044</v>
      </c>
      <c r="AK837" s="7" t="s">
        <v>5318</v>
      </c>
      <c r="AL837" s="7">
        <v>0</v>
      </c>
      <c r="AM837" s="7">
        <v>0</v>
      </c>
      <c r="AN837" s="7" t="s">
        <v>5318</v>
      </c>
    </row>
    <row r="838" spans="1:40" ht="63" customHeight="1" x14ac:dyDescent="0.2">
      <c r="A838" s="7">
        <v>8471</v>
      </c>
      <c r="B838" s="7" t="s">
        <v>2955</v>
      </c>
      <c r="C838" s="7" t="s">
        <v>2956</v>
      </c>
      <c r="D838" s="7" t="s">
        <v>22</v>
      </c>
      <c r="F838" s="7" t="s">
        <v>220</v>
      </c>
      <c r="G838" s="7" t="s">
        <v>52</v>
      </c>
      <c r="H838" s="7" t="s">
        <v>53</v>
      </c>
      <c r="I838" s="7" t="s">
        <v>13</v>
      </c>
      <c r="J838" s="7" t="s">
        <v>2957</v>
      </c>
      <c r="K838" s="7" t="s">
        <v>2958</v>
      </c>
      <c r="L838" s="7" t="s">
        <v>6244</v>
      </c>
      <c r="M838" s="7">
        <v>1</v>
      </c>
      <c r="N838" s="7">
        <v>0</v>
      </c>
      <c r="O838" s="7" t="s">
        <v>5044</v>
      </c>
      <c r="P838" s="7">
        <v>0</v>
      </c>
      <c r="Q838" s="7">
        <v>0</v>
      </c>
      <c r="R838" s="7">
        <v>0</v>
      </c>
      <c r="S838" s="7">
        <v>1</v>
      </c>
      <c r="T838" s="7">
        <v>4</v>
      </c>
      <c r="U838" s="7">
        <v>345</v>
      </c>
      <c r="V838" s="7">
        <v>0</v>
      </c>
      <c r="W838" s="7">
        <v>1</v>
      </c>
      <c r="X838" s="7">
        <v>0</v>
      </c>
      <c r="Y838" s="7">
        <v>0</v>
      </c>
      <c r="Z838" s="7">
        <v>0</v>
      </c>
      <c r="AA838" s="7">
        <v>0</v>
      </c>
      <c r="AB838" s="7">
        <v>1</v>
      </c>
      <c r="AC838" s="7" t="s">
        <v>5044</v>
      </c>
      <c r="AD838" s="7" t="s">
        <v>5044</v>
      </c>
      <c r="AE838" s="7" t="s">
        <v>5044</v>
      </c>
      <c r="AF838" s="7" t="s">
        <v>5044</v>
      </c>
      <c r="AG838" s="7" t="s">
        <v>5044</v>
      </c>
      <c r="AH838" s="7" t="s">
        <v>5044</v>
      </c>
      <c r="AI838" s="7" t="s">
        <v>5044</v>
      </c>
      <c r="AJ838" s="7" t="s">
        <v>5044</v>
      </c>
      <c r="AK838" s="7" t="s">
        <v>5318</v>
      </c>
      <c r="AL838" s="7" t="s">
        <v>5044</v>
      </c>
      <c r="AM838" s="7">
        <v>0</v>
      </c>
      <c r="AN838" s="7" t="s">
        <v>5318</v>
      </c>
    </row>
    <row r="839" spans="1:40" ht="63" customHeight="1" x14ac:dyDescent="0.2">
      <c r="A839" s="7">
        <v>8501</v>
      </c>
      <c r="B839" s="7" t="s">
        <v>2959</v>
      </c>
      <c r="C839" s="7" t="s">
        <v>2960</v>
      </c>
      <c r="D839" s="7" t="s">
        <v>95</v>
      </c>
      <c r="F839" s="7" t="s">
        <v>1298</v>
      </c>
      <c r="G839" s="7" t="s">
        <v>11</v>
      </c>
      <c r="H839" s="7" t="s">
        <v>2453</v>
      </c>
      <c r="I839" s="7" t="s">
        <v>13</v>
      </c>
      <c r="J839" s="7" t="s">
        <v>2961</v>
      </c>
      <c r="K839" s="7" t="s">
        <v>2962</v>
      </c>
      <c r="L839" s="7" t="s">
        <v>6245</v>
      </c>
      <c r="M839" s="7">
        <v>0</v>
      </c>
      <c r="N839" s="7" t="s">
        <v>5044</v>
      </c>
      <c r="O839" s="7" t="s">
        <v>5044</v>
      </c>
      <c r="P839" s="7">
        <v>0</v>
      </c>
      <c r="Q839" s="7">
        <v>0</v>
      </c>
      <c r="R839" s="7">
        <v>0</v>
      </c>
      <c r="S839" s="7">
        <v>1</v>
      </c>
      <c r="T839" s="7">
        <v>5</v>
      </c>
      <c r="U839" s="7">
        <v>32</v>
      </c>
      <c r="V839" s="7">
        <v>0</v>
      </c>
      <c r="W839" s="7">
        <v>1</v>
      </c>
      <c r="X839" s="7">
        <v>0</v>
      </c>
      <c r="Y839" s="7">
        <v>0</v>
      </c>
      <c r="Z839" s="7">
        <v>0</v>
      </c>
      <c r="AA839" s="7">
        <v>0</v>
      </c>
      <c r="AB839" s="7">
        <v>1</v>
      </c>
      <c r="AC839" s="7">
        <v>1</v>
      </c>
      <c r="AD839" s="7" t="s">
        <v>5044</v>
      </c>
      <c r="AE839" s="7" t="s">
        <v>5044</v>
      </c>
      <c r="AF839" s="7" t="s">
        <v>5044</v>
      </c>
      <c r="AG839" s="7">
        <v>2</v>
      </c>
      <c r="AH839" s="7">
        <v>3</v>
      </c>
      <c r="AI839" s="7">
        <v>0</v>
      </c>
      <c r="AJ839" s="7" t="s">
        <v>5044</v>
      </c>
      <c r="AK839" s="7" t="s">
        <v>6246</v>
      </c>
      <c r="AL839" s="7">
        <v>1</v>
      </c>
      <c r="AM839" s="7">
        <v>0</v>
      </c>
      <c r="AN839" s="7" t="s">
        <v>5318</v>
      </c>
    </row>
    <row r="840" spans="1:40" ht="63" customHeight="1" x14ac:dyDescent="0.2">
      <c r="A840" s="7">
        <v>8504</v>
      </c>
      <c r="B840" s="23" t="s">
        <v>2963</v>
      </c>
      <c r="C840" s="7" t="s">
        <v>2964</v>
      </c>
      <c r="D840" s="7" t="s">
        <v>16</v>
      </c>
      <c r="F840" s="7" t="s">
        <v>470</v>
      </c>
      <c r="G840" s="7" t="s">
        <v>92</v>
      </c>
      <c r="H840" s="7" t="s">
        <v>38</v>
      </c>
      <c r="I840" s="7" t="s">
        <v>13</v>
      </c>
      <c r="J840" s="7" t="s">
        <v>2965</v>
      </c>
      <c r="K840" s="7" t="s">
        <v>2966</v>
      </c>
      <c r="L840" s="7" t="s">
        <v>6247</v>
      </c>
      <c r="M840" s="7">
        <v>0</v>
      </c>
      <c r="N840" s="7" t="s">
        <v>5044</v>
      </c>
      <c r="O840" s="7" t="s">
        <v>5044</v>
      </c>
      <c r="P840" s="7">
        <v>0</v>
      </c>
      <c r="Q840" s="7">
        <v>0</v>
      </c>
      <c r="R840" s="7">
        <v>0</v>
      </c>
      <c r="S840" s="7">
        <v>1</v>
      </c>
      <c r="T840" s="7">
        <v>1</v>
      </c>
      <c r="U840" s="7">
        <v>245</v>
      </c>
      <c r="V840" s="7">
        <v>0</v>
      </c>
      <c r="W840" s="7">
        <v>1</v>
      </c>
      <c r="X840" s="7">
        <v>0</v>
      </c>
      <c r="Y840" s="7">
        <v>0</v>
      </c>
      <c r="Z840" s="7">
        <v>0</v>
      </c>
      <c r="AA840" s="7">
        <v>0</v>
      </c>
      <c r="AB840" s="7">
        <v>1</v>
      </c>
      <c r="AC840" s="7">
        <v>1</v>
      </c>
      <c r="AD840" s="7" t="s">
        <v>5044</v>
      </c>
      <c r="AE840" s="7" t="s">
        <v>5044</v>
      </c>
      <c r="AF840" s="7" t="s">
        <v>5044</v>
      </c>
      <c r="AG840" s="7">
        <v>2</v>
      </c>
      <c r="AH840" s="7">
        <v>2</v>
      </c>
      <c r="AI840" s="7">
        <v>2</v>
      </c>
      <c r="AJ840" s="7" t="s">
        <v>5044</v>
      </c>
      <c r="AK840" s="7" t="s">
        <v>6248</v>
      </c>
      <c r="AL840" s="7">
        <v>0</v>
      </c>
      <c r="AM840" s="7">
        <v>0</v>
      </c>
      <c r="AN840" s="7" t="s">
        <v>5318</v>
      </c>
    </row>
    <row r="841" spans="1:40" ht="63" customHeight="1" x14ac:dyDescent="0.2">
      <c r="A841" s="7">
        <v>8533</v>
      </c>
      <c r="B841" s="7" t="s">
        <v>2967</v>
      </c>
      <c r="C841" s="7" t="s">
        <v>2968</v>
      </c>
      <c r="D841" s="7" t="s">
        <v>16</v>
      </c>
      <c r="F841" s="7" t="s">
        <v>151</v>
      </c>
      <c r="G841" s="7" t="s">
        <v>47</v>
      </c>
      <c r="H841" s="7" t="s">
        <v>2969</v>
      </c>
      <c r="I841" s="7" t="s">
        <v>13</v>
      </c>
      <c r="J841" s="7" t="s">
        <v>2970</v>
      </c>
      <c r="K841" s="7" t="s">
        <v>2971</v>
      </c>
      <c r="L841" s="7" t="s">
        <v>6249</v>
      </c>
      <c r="M841" s="7">
        <v>0</v>
      </c>
      <c r="N841" s="7" t="s">
        <v>5044</v>
      </c>
      <c r="O841" s="7" t="s">
        <v>5044</v>
      </c>
      <c r="P841" s="7">
        <v>0</v>
      </c>
      <c r="Q841" s="7">
        <v>0</v>
      </c>
      <c r="R841" s="7">
        <v>0</v>
      </c>
      <c r="S841" s="7" t="s">
        <v>5207</v>
      </c>
      <c r="T841" s="7">
        <v>1</v>
      </c>
      <c r="U841" s="7">
        <v>45</v>
      </c>
      <c r="V841" s="7">
        <v>0</v>
      </c>
      <c r="W841" s="7">
        <v>1</v>
      </c>
      <c r="X841" s="7">
        <v>0</v>
      </c>
      <c r="Y841" s="7">
        <v>0</v>
      </c>
      <c r="Z841" s="7">
        <v>0</v>
      </c>
      <c r="AA841" s="7">
        <v>0</v>
      </c>
      <c r="AB841" s="7">
        <v>1</v>
      </c>
      <c r="AC841" s="7">
        <v>1</v>
      </c>
      <c r="AD841" s="7" t="s">
        <v>5044</v>
      </c>
      <c r="AE841" s="7" t="s">
        <v>5044</v>
      </c>
      <c r="AF841" s="7" t="s">
        <v>5044</v>
      </c>
      <c r="AG841" s="7">
        <v>2</v>
      </c>
      <c r="AH841" s="7">
        <v>3</v>
      </c>
      <c r="AI841" s="7">
        <v>0</v>
      </c>
      <c r="AJ841" s="7" t="s">
        <v>5044</v>
      </c>
      <c r="AK841" s="7">
        <v>1</v>
      </c>
      <c r="AL841" s="7">
        <v>1</v>
      </c>
      <c r="AM841" s="7">
        <v>0</v>
      </c>
      <c r="AN841" s="7" t="s">
        <v>5318</v>
      </c>
    </row>
    <row r="842" spans="1:40" ht="63" customHeight="1" x14ac:dyDescent="0.2">
      <c r="A842" s="7">
        <v>8539</v>
      </c>
      <c r="B842" s="7" t="s">
        <v>2972</v>
      </c>
      <c r="C842" s="7" t="s">
        <v>2973</v>
      </c>
      <c r="D842" s="7" t="s">
        <v>46</v>
      </c>
      <c r="F842" s="7" t="s">
        <v>2974</v>
      </c>
      <c r="G842" s="7" t="s">
        <v>52</v>
      </c>
      <c r="H842" s="7" t="s">
        <v>2975</v>
      </c>
      <c r="I842" s="7" t="s">
        <v>13</v>
      </c>
      <c r="J842" s="7" t="s">
        <v>2976</v>
      </c>
      <c r="K842" s="7" t="s">
        <v>2977</v>
      </c>
      <c r="L842" s="7" t="s">
        <v>6250</v>
      </c>
      <c r="M842" s="7">
        <v>0</v>
      </c>
      <c r="N842" s="7" t="s">
        <v>5044</v>
      </c>
      <c r="O842" s="7" t="s">
        <v>5044</v>
      </c>
      <c r="P842" s="7">
        <v>0</v>
      </c>
      <c r="Q842" s="7">
        <v>0</v>
      </c>
      <c r="R842" s="7">
        <v>0</v>
      </c>
      <c r="S842" s="7">
        <v>1</v>
      </c>
      <c r="T842" s="7">
        <v>1</v>
      </c>
      <c r="U842" s="7">
        <v>64</v>
      </c>
      <c r="V842" s="7">
        <v>0</v>
      </c>
      <c r="W842" s="7">
        <v>1</v>
      </c>
      <c r="X842" s="7">
        <v>0</v>
      </c>
      <c r="Y842" s="7">
        <v>0</v>
      </c>
      <c r="Z842" s="7">
        <v>0</v>
      </c>
      <c r="AA842" s="7">
        <v>0</v>
      </c>
      <c r="AB842" s="7">
        <v>1</v>
      </c>
      <c r="AC842" s="7">
        <v>1</v>
      </c>
      <c r="AD842" s="7" t="s">
        <v>5044</v>
      </c>
      <c r="AE842" s="7" t="s">
        <v>5044</v>
      </c>
      <c r="AF842" s="7" t="s">
        <v>5044</v>
      </c>
      <c r="AG842" s="7">
        <v>2</v>
      </c>
      <c r="AH842" s="7">
        <v>2</v>
      </c>
      <c r="AI842" s="7">
        <v>2</v>
      </c>
      <c r="AJ842" s="7" t="s">
        <v>5044</v>
      </c>
      <c r="AK842" s="7" t="s">
        <v>6248</v>
      </c>
      <c r="AL842" s="7">
        <v>0</v>
      </c>
      <c r="AM842" s="7">
        <v>0</v>
      </c>
    </row>
    <row r="843" spans="1:40" ht="63" customHeight="1" x14ac:dyDescent="0.2">
      <c r="A843" s="7">
        <v>8542</v>
      </c>
      <c r="B843" s="7" t="s">
        <v>2978</v>
      </c>
      <c r="C843" s="7" t="s">
        <v>2979</v>
      </c>
      <c r="D843" s="7" t="s">
        <v>41</v>
      </c>
      <c r="E843" s="7" t="s">
        <v>305</v>
      </c>
      <c r="F843" s="7" t="s">
        <v>118</v>
      </c>
      <c r="G843" s="7" t="s">
        <v>48</v>
      </c>
      <c r="H843" s="7" t="s">
        <v>296</v>
      </c>
      <c r="I843" s="7" t="s">
        <v>13</v>
      </c>
      <c r="J843" s="7" t="s">
        <v>2980</v>
      </c>
      <c r="K843" s="7" t="s">
        <v>2981</v>
      </c>
      <c r="L843" s="7" t="s">
        <v>2981</v>
      </c>
      <c r="M843" s="7">
        <v>1</v>
      </c>
      <c r="N843" s="7">
        <v>0</v>
      </c>
      <c r="O843" s="7" t="s">
        <v>5044</v>
      </c>
      <c r="P843" s="7">
        <v>0</v>
      </c>
      <c r="Q843" s="7">
        <v>0</v>
      </c>
      <c r="R843" s="7">
        <v>0</v>
      </c>
      <c r="S843" s="7">
        <v>1</v>
      </c>
      <c r="T843" s="7">
        <v>1</v>
      </c>
      <c r="U843" s="7">
        <v>1146</v>
      </c>
      <c r="V843" s="7">
        <v>1</v>
      </c>
      <c r="W843" s="7">
        <v>0</v>
      </c>
      <c r="X843" s="7">
        <v>0</v>
      </c>
      <c r="Y843" s="7">
        <v>0</v>
      </c>
      <c r="Z843" s="7">
        <v>0</v>
      </c>
      <c r="AA843" s="7">
        <v>0</v>
      </c>
      <c r="AB843" s="7">
        <v>1</v>
      </c>
      <c r="AC843" s="7" t="s">
        <v>5044</v>
      </c>
      <c r="AD843" s="7" t="s">
        <v>5044</v>
      </c>
      <c r="AE843" s="7" t="s">
        <v>5044</v>
      </c>
      <c r="AF843" s="7" t="s">
        <v>5044</v>
      </c>
      <c r="AG843" s="7" t="s">
        <v>5044</v>
      </c>
      <c r="AH843" s="7" t="s">
        <v>5044</v>
      </c>
      <c r="AI843" s="7" t="s">
        <v>5044</v>
      </c>
      <c r="AJ843" s="7" t="s">
        <v>5044</v>
      </c>
      <c r="AK843" s="7" t="s">
        <v>5318</v>
      </c>
      <c r="AL843" s="7" t="s">
        <v>5044</v>
      </c>
      <c r="AM843" s="7">
        <v>0</v>
      </c>
      <c r="AN843" s="7" t="s">
        <v>5318</v>
      </c>
    </row>
    <row r="844" spans="1:40" ht="63" customHeight="1" x14ac:dyDescent="0.2">
      <c r="A844" s="7">
        <v>8576</v>
      </c>
      <c r="B844" s="23" t="s">
        <v>2982</v>
      </c>
      <c r="C844" s="7" t="s">
        <v>2983</v>
      </c>
      <c r="D844" s="7" t="s">
        <v>16</v>
      </c>
      <c r="F844" s="7" t="s">
        <v>260</v>
      </c>
      <c r="G844" s="7" t="s">
        <v>47</v>
      </c>
      <c r="H844" s="7" t="s">
        <v>2984</v>
      </c>
      <c r="I844" s="7" t="s">
        <v>13</v>
      </c>
      <c r="J844" s="7" t="s">
        <v>2985</v>
      </c>
      <c r="K844" s="7" t="s">
        <v>2986</v>
      </c>
      <c r="L844" s="7" t="s">
        <v>6251</v>
      </c>
      <c r="M844" s="7">
        <v>0</v>
      </c>
      <c r="N844" s="7" t="s">
        <v>5044</v>
      </c>
      <c r="O844" s="7" t="s">
        <v>5044</v>
      </c>
      <c r="P844" s="7">
        <v>0</v>
      </c>
      <c r="Q844" s="7">
        <v>0</v>
      </c>
      <c r="R844" s="7">
        <v>0</v>
      </c>
      <c r="S844" s="7">
        <v>4</v>
      </c>
      <c r="T844" s="7">
        <v>2</v>
      </c>
      <c r="U844" s="7">
        <v>400</v>
      </c>
      <c r="V844" s="7">
        <v>1</v>
      </c>
      <c r="W844" s="7">
        <v>0</v>
      </c>
      <c r="X844" s="7">
        <v>0</v>
      </c>
      <c r="Y844" s="7">
        <v>0</v>
      </c>
      <c r="Z844" s="7">
        <v>0</v>
      </c>
      <c r="AA844" s="7">
        <v>0</v>
      </c>
      <c r="AB844" s="7">
        <v>1</v>
      </c>
      <c r="AC844" s="7">
        <v>1</v>
      </c>
      <c r="AD844" s="7">
        <v>1</v>
      </c>
      <c r="AE844" s="7">
        <v>0</v>
      </c>
      <c r="AF844" s="7">
        <v>0</v>
      </c>
      <c r="AG844" s="23" t="s">
        <v>5044</v>
      </c>
      <c r="AH844" s="7" t="s">
        <v>5044</v>
      </c>
      <c r="AI844" s="7" t="s">
        <v>5044</v>
      </c>
      <c r="AJ844" s="7" t="s">
        <v>5044</v>
      </c>
      <c r="AK844" s="7" t="s">
        <v>5318</v>
      </c>
      <c r="AL844" s="7">
        <v>1</v>
      </c>
      <c r="AM844" s="7">
        <v>0</v>
      </c>
      <c r="AN844" s="7" t="s">
        <v>5318</v>
      </c>
    </row>
    <row r="845" spans="1:40" ht="63" customHeight="1" x14ac:dyDescent="0.2">
      <c r="A845" s="7">
        <v>8596</v>
      </c>
      <c r="B845" s="7" t="s">
        <v>2987</v>
      </c>
      <c r="C845" s="7" t="s">
        <v>2988</v>
      </c>
      <c r="D845" s="7" t="s">
        <v>375</v>
      </c>
      <c r="E845" s="7" t="s">
        <v>305</v>
      </c>
      <c r="F845" s="7" t="s">
        <v>92</v>
      </c>
      <c r="H845" s="7" t="s">
        <v>119</v>
      </c>
      <c r="I845" s="7" t="s">
        <v>13</v>
      </c>
      <c r="J845" s="7" t="s">
        <v>2989</v>
      </c>
      <c r="K845" s="7" t="s">
        <v>2990</v>
      </c>
      <c r="L845" s="7" t="s">
        <v>6252</v>
      </c>
      <c r="M845" s="7">
        <v>1</v>
      </c>
      <c r="N845" s="7">
        <v>0</v>
      </c>
      <c r="O845" s="7" t="s">
        <v>5044</v>
      </c>
      <c r="P845" s="7">
        <v>0</v>
      </c>
      <c r="Q845" s="7">
        <v>0</v>
      </c>
      <c r="R845" s="7">
        <v>0</v>
      </c>
      <c r="S845" s="7">
        <v>1</v>
      </c>
      <c r="T845" s="7">
        <v>1</v>
      </c>
      <c r="U845" s="7">
        <v>155</v>
      </c>
      <c r="V845" s="7">
        <v>0</v>
      </c>
      <c r="W845" s="7">
        <v>1</v>
      </c>
      <c r="X845" s="7">
        <v>0</v>
      </c>
      <c r="Y845" s="7">
        <v>0</v>
      </c>
      <c r="Z845" s="7">
        <v>0</v>
      </c>
      <c r="AA845" s="7">
        <v>0</v>
      </c>
      <c r="AB845" s="7">
        <v>1</v>
      </c>
      <c r="AC845" s="7" t="s">
        <v>5044</v>
      </c>
      <c r="AD845" s="7" t="s">
        <v>5044</v>
      </c>
      <c r="AE845" s="7" t="s">
        <v>5044</v>
      </c>
      <c r="AF845" s="7" t="s">
        <v>5044</v>
      </c>
      <c r="AG845" s="7" t="s">
        <v>5044</v>
      </c>
      <c r="AH845" s="7" t="s">
        <v>5044</v>
      </c>
      <c r="AI845" s="7" t="s">
        <v>5044</v>
      </c>
      <c r="AJ845" s="7" t="s">
        <v>5044</v>
      </c>
      <c r="AK845" s="7" t="s">
        <v>5318</v>
      </c>
      <c r="AL845" s="7" t="s">
        <v>5044</v>
      </c>
      <c r="AM845" s="7">
        <v>0</v>
      </c>
    </row>
    <row r="846" spans="1:40" ht="63" customHeight="1" x14ac:dyDescent="0.2">
      <c r="A846" s="7">
        <v>8597</v>
      </c>
      <c r="B846" s="7" t="s">
        <v>2991</v>
      </c>
      <c r="C846" s="7" t="s">
        <v>2992</v>
      </c>
      <c r="D846" s="7" t="s">
        <v>41</v>
      </c>
      <c r="F846" s="7" t="s">
        <v>312</v>
      </c>
      <c r="G846" s="7" t="s">
        <v>52</v>
      </c>
      <c r="H846" s="7" t="s">
        <v>38</v>
      </c>
      <c r="I846" s="7" t="s">
        <v>13</v>
      </c>
      <c r="J846" s="7" t="s">
        <v>2993</v>
      </c>
      <c r="K846" s="7" t="s">
        <v>2994</v>
      </c>
      <c r="L846" s="7" t="s">
        <v>6253</v>
      </c>
      <c r="M846" s="7">
        <v>0</v>
      </c>
      <c r="N846" s="7" t="s">
        <v>5044</v>
      </c>
      <c r="O846" s="7" t="s">
        <v>5044</v>
      </c>
      <c r="P846" s="7">
        <v>0</v>
      </c>
      <c r="Q846" s="7">
        <v>0</v>
      </c>
      <c r="R846" s="7">
        <v>0</v>
      </c>
      <c r="S846" s="7">
        <v>1</v>
      </c>
      <c r="T846" s="7">
        <v>1</v>
      </c>
      <c r="U846" s="7">
        <v>400</v>
      </c>
      <c r="V846" s="7">
        <v>0</v>
      </c>
      <c r="W846" s="7">
        <v>1</v>
      </c>
      <c r="X846" s="7">
        <v>0</v>
      </c>
      <c r="Y846" s="7">
        <v>0</v>
      </c>
      <c r="Z846" s="7">
        <v>1</v>
      </c>
      <c r="AA846" s="7">
        <v>0</v>
      </c>
      <c r="AB846" s="7">
        <v>1</v>
      </c>
      <c r="AC846" s="7">
        <v>1</v>
      </c>
      <c r="AD846" s="7" t="s">
        <v>5044</v>
      </c>
      <c r="AE846" s="7" t="s">
        <v>5044</v>
      </c>
      <c r="AF846" s="7" t="s">
        <v>5044</v>
      </c>
      <c r="AG846" s="7">
        <v>2</v>
      </c>
      <c r="AH846" s="7">
        <v>3</v>
      </c>
      <c r="AI846" s="7">
        <v>0</v>
      </c>
      <c r="AJ846" s="7">
        <v>0</v>
      </c>
      <c r="AK846" s="7">
        <v>1</v>
      </c>
      <c r="AL846" s="7">
        <v>0</v>
      </c>
      <c r="AM846" s="7">
        <v>0</v>
      </c>
      <c r="AN846" s="7" t="s">
        <v>5318</v>
      </c>
    </row>
    <row r="847" spans="1:40" ht="63" customHeight="1" x14ac:dyDescent="0.2">
      <c r="A847" s="7">
        <v>8606</v>
      </c>
      <c r="B847" s="7" t="s">
        <v>2995</v>
      </c>
      <c r="C847" s="7" t="s">
        <v>2996</v>
      </c>
      <c r="D847" s="7" t="s">
        <v>74</v>
      </c>
      <c r="F847" s="7" t="s">
        <v>254</v>
      </c>
      <c r="G847" s="7" t="s">
        <v>52</v>
      </c>
      <c r="H847" s="7" t="s">
        <v>53</v>
      </c>
      <c r="I847" s="7" t="s">
        <v>13</v>
      </c>
      <c r="J847" s="7" t="s">
        <v>2997</v>
      </c>
      <c r="K847" s="7" t="s">
        <v>2998</v>
      </c>
      <c r="L847" s="7" t="s">
        <v>6254</v>
      </c>
      <c r="M847" s="7">
        <v>1</v>
      </c>
      <c r="N847" s="7">
        <v>0</v>
      </c>
      <c r="O847" s="7">
        <v>0</v>
      </c>
      <c r="P847" s="7">
        <v>0</v>
      </c>
      <c r="Q847" s="7">
        <v>0</v>
      </c>
      <c r="R847" s="7">
        <v>0</v>
      </c>
      <c r="S847" s="7">
        <v>1</v>
      </c>
      <c r="T847" s="7">
        <v>1</v>
      </c>
      <c r="U847" s="7">
        <v>270</v>
      </c>
      <c r="V847" s="7">
        <v>0</v>
      </c>
      <c r="W847" s="7">
        <v>1</v>
      </c>
      <c r="X847" s="7">
        <v>0</v>
      </c>
      <c r="Y847" s="7">
        <v>0</v>
      </c>
      <c r="Z847" s="7">
        <v>0</v>
      </c>
      <c r="AA847" s="7">
        <v>0</v>
      </c>
      <c r="AB847" s="7">
        <v>1</v>
      </c>
      <c r="AC847" s="7" t="s">
        <v>5044</v>
      </c>
      <c r="AD847" s="7" t="s">
        <v>5044</v>
      </c>
      <c r="AE847" s="7" t="s">
        <v>5044</v>
      </c>
      <c r="AF847" s="7" t="s">
        <v>5044</v>
      </c>
      <c r="AG847" s="7" t="s">
        <v>5044</v>
      </c>
      <c r="AH847" s="7" t="s">
        <v>5044</v>
      </c>
      <c r="AI847" s="7" t="s">
        <v>5044</v>
      </c>
      <c r="AJ847" s="7" t="s">
        <v>5044</v>
      </c>
      <c r="AK847" s="7" t="s">
        <v>5318</v>
      </c>
      <c r="AL847" s="7" t="s">
        <v>5044</v>
      </c>
      <c r="AM847" s="7">
        <v>0</v>
      </c>
      <c r="AN847" s="7" t="s">
        <v>5318</v>
      </c>
    </row>
    <row r="848" spans="1:40" ht="63" customHeight="1" x14ac:dyDescent="0.2">
      <c r="A848" s="7">
        <v>8607</v>
      </c>
      <c r="B848" s="7" t="s">
        <v>2999</v>
      </c>
      <c r="C848" s="7" t="s">
        <v>3000</v>
      </c>
      <c r="D848" s="7" t="s">
        <v>46</v>
      </c>
      <c r="F848" s="7" t="s">
        <v>51</v>
      </c>
      <c r="G848" s="7" t="s">
        <v>52</v>
      </c>
      <c r="H848" s="7" t="s">
        <v>53</v>
      </c>
      <c r="I848" s="7" t="s">
        <v>13</v>
      </c>
      <c r="J848" s="7" t="s">
        <v>3001</v>
      </c>
      <c r="K848" s="7" t="s">
        <v>3002</v>
      </c>
      <c r="L848" s="7" t="s">
        <v>5879</v>
      </c>
      <c r="M848" s="7">
        <v>1</v>
      </c>
      <c r="N848" s="7">
        <v>0</v>
      </c>
      <c r="O848" s="7" t="s">
        <v>5044</v>
      </c>
      <c r="P848" s="7">
        <v>0</v>
      </c>
      <c r="Q848" s="7">
        <v>0</v>
      </c>
      <c r="R848" s="7">
        <v>0</v>
      </c>
      <c r="S848" s="7">
        <v>1</v>
      </c>
      <c r="T848" s="7">
        <v>1</v>
      </c>
      <c r="U848" s="7">
        <v>812</v>
      </c>
      <c r="V848" s="7">
        <v>0</v>
      </c>
      <c r="W848" s="7">
        <v>1</v>
      </c>
      <c r="X848" s="7">
        <v>0</v>
      </c>
      <c r="Y848" s="7">
        <v>0</v>
      </c>
      <c r="Z848" s="7">
        <v>0</v>
      </c>
      <c r="AA848" s="7">
        <v>0</v>
      </c>
      <c r="AB848" s="7">
        <v>1</v>
      </c>
      <c r="AC848" s="7" t="s">
        <v>5044</v>
      </c>
      <c r="AD848" s="7" t="s">
        <v>5044</v>
      </c>
      <c r="AE848" s="7" t="s">
        <v>5044</v>
      </c>
      <c r="AF848" s="7" t="s">
        <v>5044</v>
      </c>
      <c r="AG848" s="7" t="s">
        <v>5044</v>
      </c>
      <c r="AH848" s="7" t="s">
        <v>5044</v>
      </c>
      <c r="AI848" s="7" t="s">
        <v>5044</v>
      </c>
      <c r="AJ848" s="7" t="s">
        <v>5044</v>
      </c>
      <c r="AK848" s="7" t="s">
        <v>5318</v>
      </c>
      <c r="AL848" s="7" t="s">
        <v>5044</v>
      </c>
      <c r="AM848" s="7">
        <v>0</v>
      </c>
      <c r="AN848" s="7" t="s">
        <v>5318</v>
      </c>
    </row>
    <row r="849" spans="1:40" ht="63" customHeight="1" x14ac:dyDescent="0.2">
      <c r="A849" s="7">
        <v>8612</v>
      </c>
      <c r="B849" s="7" t="s">
        <v>3003</v>
      </c>
      <c r="C849" s="7" t="s">
        <v>3004</v>
      </c>
      <c r="D849" s="7" t="s">
        <v>16</v>
      </c>
      <c r="F849" s="7" t="s">
        <v>143</v>
      </c>
      <c r="G849" s="7" t="s">
        <v>587</v>
      </c>
      <c r="H849" s="7" t="s">
        <v>255</v>
      </c>
      <c r="I849" s="7" t="s">
        <v>13</v>
      </c>
      <c r="J849" s="7" t="s">
        <v>3005</v>
      </c>
      <c r="K849" s="7" t="s">
        <v>3006</v>
      </c>
      <c r="L849" s="7" t="s">
        <v>5880</v>
      </c>
      <c r="M849" s="7">
        <v>0</v>
      </c>
      <c r="N849" s="7" t="s">
        <v>5044</v>
      </c>
      <c r="O849" s="7" t="s">
        <v>5044</v>
      </c>
      <c r="P849" s="7">
        <v>0</v>
      </c>
      <c r="Q849" s="7">
        <v>0</v>
      </c>
      <c r="R849" s="7">
        <v>0</v>
      </c>
      <c r="S849" s="7" t="s">
        <v>7673</v>
      </c>
      <c r="T849" s="7">
        <v>1</v>
      </c>
      <c r="U849" s="7">
        <v>538</v>
      </c>
      <c r="V849" s="7">
        <v>0</v>
      </c>
      <c r="W849" s="7">
        <v>1</v>
      </c>
      <c r="X849" s="7">
        <v>0</v>
      </c>
      <c r="Y849" s="7">
        <v>0</v>
      </c>
      <c r="Z849" s="7">
        <v>0</v>
      </c>
      <c r="AA849" s="7">
        <v>0</v>
      </c>
      <c r="AB849" s="7">
        <v>1</v>
      </c>
      <c r="AC849" s="7">
        <v>1</v>
      </c>
      <c r="AD849" s="7" t="s">
        <v>5044</v>
      </c>
      <c r="AE849" s="7" t="s">
        <v>5044</v>
      </c>
      <c r="AF849" s="7" t="s">
        <v>5044</v>
      </c>
      <c r="AG849" s="7">
        <v>1</v>
      </c>
      <c r="AH849" s="7">
        <v>0</v>
      </c>
      <c r="AI849" s="7">
        <v>0</v>
      </c>
      <c r="AJ849" s="7" t="s">
        <v>5044</v>
      </c>
      <c r="AK849" s="7" t="s">
        <v>5318</v>
      </c>
      <c r="AL849" s="7">
        <v>0</v>
      </c>
      <c r="AM849" s="7">
        <v>0</v>
      </c>
      <c r="AN849" s="7" t="s">
        <v>5318</v>
      </c>
    </row>
    <row r="850" spans="1:40" ht="63" customHeight="1" x14ac:dyDescent="0.2">
      <c r="A850" s="7">
        <v>8613</v>
      </c>
      <c r="B850" s="7" t="s">
        <v>3007</v>
      </c>
      <c r="C850" s="7" t="s">
        <v>3008</v>
      </c>
      <c r="D850" s="7" t="s">
        <v>22</v>
      </c>
      <c r="F850" s="7" t="s">
        <v>168</v>
      </c>
      <c r="G850" s="7" t="s">
        <v>18</v>
      </c>
      <c r="H850" s="7" t="s">
        <v>413</v>
      </c>
      <c r="I850" s="7" t="s">
        <v>13</v>
      </c>
      <c r="J850" s="7" t="s">
        <v>3009</v>
      </c>
      <c r="K850" s="7" t="s">
        <v>3010</v>
      </c>
      <c r="L850" s="7" t="s">
        <v>5881</v>
      </c>
      <c r="M850" s="7">
        <v>1</v>
      </c>
      <c r="N850" s="7">
        <v>1</v>
      </c>
      <c r="O850" s="7">
        <v>0</v>
      </c>
      <c r="P850" s="7">
        <v>0</v>
      </c>
      <c r="Q850" s="7">
        <v>0</v>
      </c>
      <c r="R850" s="7">
        <v>0</v>
      </c>
      <c r="S850" s="7">
        <v>1</v>
      </c>
      <c r="T850" s="7">
        <v>1</v>
      </c>
      <c r="U850" s="7">
        <v>64</v>
      </c>
      <c r="V850" s="7">
        <v>0</v>
      </c>
      <c r="W850" s="7">
        <v>1</v>
      </c>
      <c r="X850" s="7">
        <v>0</v>
      </c>
      <c r="Y850" s="7">
        <v>0</v>
      </c>
      <c r="Z850" s="7">
        <v>0</v>
      </c>
      <c r="AA850" s="7">
        <v>0</v>
      </c>
      <c r="AB850" s="7">
        <v>1</v>
      </c>
      <c r="AC850" s="7" t="s">
        <v>5044</v>
      </c>
      <c r="AD850" s="7" t="s">
        <v>5044</v>
      </c>
      <c r="AE850" s="7" t="s">
        <v>5044</v>
      </c>
      <c r="AF850" s="7" t="s">
        <v>5044</v>
      </c>
      <c r="AG850" s="7" t="s">
        <v>5044</v>
      </c>
      <c r="AH850" s="7" t="s">
        <v>5044</v>
      </c>
      <c r="AI850" s="7" t="s">
        <v>5044</v>
      </c>
      <c r="AJ850" s="7" t="s">
        <v>5044</v>
      </c>
      <c r="AK850" s="7" t="s">
        <v>5318</v>
      </c>
      <c r="AL850" s="7" t="s">
        <v>5044</v>
      </c>
      <c r="AM850" s="7">
        <v>0</v>
      </c>
    </row>
    <row r="851" spans="1:40" ht="63" customHeight="1" x14ac:dyDescent="0.2">
      <c r="A851" s="7">
        <v>8615</v>
      </c>
      <c r="B851" s="7" t="s">
        <v>3011</v>
      </c>
      <c r="C851" s="7" t="s">
        <v>3012</v>
      </c>
      <c r="D851" s="7" t="s">
        <v>46</v>
      </c>
      <c r="F851" s="7" t="s">
        <v>3013</v>
      </c>
      <c r="H851" s="7" t="s">
        <v>1463</v>
      </c>
      <c r="I851" s="7" t="s">
        <v>13</v>
      </c>
      <c r="K851" s="7" t="s">
        <v>3014</v>
      </c>
      <c r="L851" s="7" t="s">
        <v>5882</v>
      </c>
      <c r="M851" s="7">
        <v>1</v>
      </c>
      <c r="N851" s="7">
        <v>0</v>
      </c>
      <c r="O851" s="7" t="s">
        <v>5044</v>
      </c>
      <c r="P851" s="7">
        <v>0</v>
      </c>
      <c r="Q851" s="7">
        <v>0</v>
      </c>
      <c r="R851" s="7">
        <v>0</v>
      </c>
      <c r="S851" s="7" t="s">
        <v>7673</v>
      </c>
      <c r="T851" s="7">
        <v>1</v>
      </c>
      <c r="U851" s="7">
        <v>2100</v>
      </c>
      <c r="V851" s="7">
        <v>0</v>
      </c>
      <c r="W851" s="7">
        <v>1</v>
      </c>
      <c r="X851" s="7">
        <v>0</v>
      </c>
      <c r="Y851" s="7">
        <v>0</v>
      </c>
      <c r="Z851" s="7">
        <v>0</v>
      </c>
      <c r="AA851" s="7">
        <v>0</v>
      </c>
      <c r="AB851" s="7">
        <v>1</v>
      </c>
      <c r="AC851" s="7" t="s">
        <v>5044</v>
      </c>
      <c r="AD851" s="7" t="s">
        <v>5044</v>
      </c>
      <c r="AE851" s="7" t="s">
        <v>5044</v>
      </c>
      <c r="AF851" s="7" t="s">
        <v>5044</v>
      </c>
      <c r="AG851" s="7" t="s">
        <v>5044</v>
      </c>
      <c r="AH851" s="7" t="s">
        <v>5044</v>
      </c>
      <c r="AI851" s="7" t="s">
        <v>5044</v>
      </c>
      <c r="AJ851" s="7" t="s">
        <v>5044</v>
      </c>
      <c r="AK851" s="7" t="s">
        <v>5318</v>
      </c>
      <c r="AL851" s="7" t="s">
        <v>5044</v>
      </c>
      <c r="AM851" s="7">
        <v>0</v>
      </c>
      <c r="AN851" s="7" t="s">
        <v>5318</v>
      </c>
    </row>
    <row r="852" spans="1:40" ht="63" customHeight="1" x14ac:dyDescent="0.2">
      <c r="A852" s="7">
        <v>8621</v>
      </c>
      <c r="B852" s="7" t="s">
        <v>3015</v>
      </c>
      <c r="C852" s="7" t="s">
        <v>3016</v>
      </c>
      <c r="D852" s="7" t="s">
        <v>95</v>
      </c>
      <c r="F852" s="7" t="s">
        <v>1801</v>
      </c>
      <c r="G852" s="7" t="s">
        <v>11</v>
      </c>
      <c r="H852" s="7" t="s">
        <v>43</v>
      </c>
      <c r="I852" s="7" t="s">
        <v>13</v>
      </c>
      <c r="J852" s="7" t="s">
        <v>3017</v>
      </c>
      <c r="K852" s="7" t="s">
        <v>3018</v>
      </c>
      <c r="L852" s="7" t="s">
        <v>5883</v>
      </c>
      <c r="M852" s="7">
        <v>0</v>
      </c>
      <c r="N852" s="7" t="s">
        <v>5044</v>
      </c>
      <c r="O852" s="7" t="s">
        <v>5044</v>
      </c>
      <c r="P852" s="7">
        <v>0</v>
      </c>
      <c r="Q852" s="7">
        <v>0</v>
      </c>
      <c r="R852" s="7">
        <v>0</v>
      </c>
      <c r="S852" s="7">
        <v>1</v>
      </c>
      <c r="T852" s="7">
        <v>1</v>
      </c>
      <c r="U852" s="7">
        <v>268</v>
      </c>
      <c r="V852" s="7">
        <v>0</v>
      </c>
      <c r="W852" s="7">
        <v>1</v>
      </c>
      <c r="X852" s="7">
        <v>0</v>
      </c>
      <c r="Y852" s="7">
        <v>0</v>
      </c>
      <c r="Z852" s="7">
        <v>0</v>
      </c>
      <c r="AA852" s="7">
        <v>0</v>
      </c>
      <c r="AB852" s="7">
        <v>1</v>
      </c>
      <c r="AC852" s="7">
        <v>1</v>
      </c>
      <c r="AD852" s="7" t="s">
        <v>5044</v>
      </c>
      <c r="AE852" s="7" t="s">
        <v>5044</v>
      </c>
      <c r="AF852" s="7" t="s">
        <v>5044</v>
      </c>
      <c r="AG852" s="7">
        <v>2</v>
      </c>
      <c r="AH852" s="7">
        <v>3</v>
      </c>
      <c r="AI852" s="7">
        <v>0</v>
      </c>
      <c r="AJ852" s="7" t="s">
        <v>5044</v>
      </c>
      <c r="AK852" s="7">
        <v>1</v>
      </c>
      <c r="AL852" s="7">
        <v>0</v>
      </c>
      <c r="AM852" s="7">
        <v>0</v>
      </c>
      <c r="AN852" s="7" t="s">
        <v>5318</v>
      </c>
    </row>
    <row r="853" spans="1:40" ht="63" customHeight="1" x14ac:dyDescent="0.2">
      <c r="A853" s="7">
        <v>8624</v>
      </c>
      <c r="B853" s="7" t="s">
        <v>3019</v>
      </c>
      <c r="C853" s="7" t="s">
        <v>3020</v>
      </c>
      <c r="D853" s="7" t="s">
        <v>41</v>
      </c>
      <c r="F853" s="7" t="s">
        <v>107</v>
      </c>
      <c r="G853" s="7" t="s">
        <v>52</v>
      </c>
      <c r="H853" s="7" t="s">
        <v>348</v>
      </c>
      <c r="I853" s="7" t="s">
        <v>13</v>
      </c>
      <c r="J853" s="7" t="s">
        <v>3021</v>
      </c>
      <c r="K853" s="7" t="s">
        <v>3022</v>
      </c>
      <c r="L853" s="7" t="s">
        <v>5884</v>
      </c>
      <c r="M853" s="7">
        <v>0</v>
      </c>
      <c r="N853" s="7" t="s">
        <v>5044</v>
      </c>
      <c r="O853" s="7" t="s">
        <v>5044</v>
      </c>
      <c r="P853" s="7">
        <v>0</v>
      </c>
      <c r="Q853" s="7">
        <v>0</v>
      </c>
      <c r="R853" s="7">
        <v>0</v>
      </c>
      <c r="S853" s="7">
        <v>9</v>
      </c>
      <c r="T853" s="7">
        <v>4</v>
      </c>
      <c r="U853" s="7">
        <v>129</v>
      </c>
      <c r="V853" s="7">
        <v>0</v>
      </c>
      <c r="W853" s="7">
        <v>1</v>
      </c>
      <c r="X853" s="7">
        <v>0</v>
      </c>
      <c r="Y853" s="7">
        <v>0</v>
      </c>
      <c r="Z853" s="7">
        <v>0</v>
      </c>
      <c r="AA853" s="7">
        <v>0</v>
      </c>
      <c r="AB853" s="7">
        <v>1</v>
      </c>
      <c r="AC853" s="7">
        <v>1</v>
      </c>
      <c r="AD853" s="7" t="s">
        <v>5044</v>
      </c>
      <c r="AE853" s="7" t="s">
        <v>5044</v>
      </c>
      <c r="AF853" s="7" t="s">
        <v>5044</v>
      </c>
      <c r="AG853" s="7">
        <v>2</v>
      </c>
      <c r="AH853" s="7">
        <v>3</v>
      </c>
      <c r="AI853" s="7">
        <v>0</v>
      </c>
      <c r="AJ853" s="7" t="s">
        <v>5044</v>
      </c>
      <c r="AK853" s="7" t="s">
        <v>5885</v>
      </c>
      <c r="AL853" s="7">
        <v>1</v>
      </c>
      <c r="AM853" s="7">
        <v>0</v>
      </c>
      <c r="AN853" s="7" t="s">
        <v>5318</v>
      </c>
    </row>
    <row r="854" spans="1:40" ht="63" customHeight="1" x14ac:dyDescent="0.2">
      <c r="A854" s="7">
        <v>8628</v>
      </c>
      <c r="B854" s="7" t="s">
        <v>3023</v>
      </c>
      <c r="C854" s="7" t="s">
        <v>3024</v>
      </c>
      <c r="D854" s="7" t="s">
        <v>74</v>
      </c>
      <c r="F854" s="7" t="s">
        <v>197</v>
      </c>
      <c r="G854" s="7" t="s">
        <v>144</v>
      </c>
      <c r="H854" s="7" t="s">
        <v>3025</v>
      </c>
      <c r="I854" s="7" t="s">
        <v>13</v>
      </c>
      <c r="J854" s="7" t="s">
        <v>3026</v>
      </c>
      <c r="K854" s="7" t="s">
        <v>3027</v>
      </c>
      <c r="L854" s="7" t="s">
        <v>5886</v>
      </c>
      <c r="M854" s="7">
        <v>1</v>
      </c>
      <c r="N854" s="7">
        <v>0</v>
      </c>
      <c r="O854" s="7" t="s">
        <v>5044</v>
      </c>
      <c r="P854" s="7">
        <v>0</v>
      </c>
      <c r="Q854" s="7">
        <v>0</v>
      </c>
      <c r="R854" s="7">
        <v>0</v>
      </c>
      <c r="S854" s="7">
        <v>5</v>
      </c>
      <c r="T854" s="7">
        <v>4</v>
      </c>
      <c r="U854" s="7">
        <v>452</v>
      </c>
      <c r="V854" s="7">
        <v>0</v>
      </c>
      <c r="W854" s="7">
        <v>1</v>
      </c>
      <c r="X854" s="7">
        <v>0</v>
      </c>
      <c r="Y854" s="7">
        <v>0</v>
      </c>
      <c r="Z854" s="7">
        <v>0</v>
      </c>
      <c r="AA854" s="7">
        <v>0</v>
      </c>
      <c r="AB854" s="7">
        <v>1</v>
      </c>
      <c r="AC854" s="7" t="s">
        <v>5044</v>
      </c>
      <c r="AD854" s="7" t="s">
        <v>5044</v>
      </c>
      <c r="AE854" s="7" t="s">
        <v>5044</v>
      </c>
      <c r="AF854" s="7" t="s">
        <v>5044</v>
      </c>
      <c r="AG854" s="7" t="s">
        <v>5044</v>
      </c>
      <c r="AH854" s="7" t="s">
        <v>5044</v>
      </c>
      <c r="AI854" s="7" t="s">
        <v>5044</v>
      </c>
      <c r="AJ854" s="7" t="s">
        <v>5044</v>
      </c>
      <c r="AK854" s="7" t="s">
        <v>5318</v>
      </c>
      <c r="AL854" s="7" t="s">
        <v>5044</v>
      </c>
      <c r="AM854" s="7">
        <v>0</v>
      </c>
      <c r="AN854" s="7" t="s">
        <v>5318</v>
      </c>
    </row>
    <row r="855" spans="1:40" ht="63" customHeight="1" x14ac:dyDescent="0.2">
      <c r="A855" s="7">
        <v>8637</v>
      </c>
      <c r="B855" s="7" t="s">
        <v>3028</v>
      </c>
      <c r="C855" s="7" t="s">
        <v>3029</v>
      </c>
      <c r="D855" s="7" t="s">
        <v>101</v>
      </c>
      <c r="F855" s="7" t="s">
        <v>688</v>
      </c>
      <c r="G855" s="7" t="s">
        <v>11</v>
      </c>
      <c r="H855" s="7" t="s">
        <v>89</v>
      </c>
      <c r="I855" s="7" t="s">
        <v>13</v>
      </c>
      <c r="J855" s="7" t="s">
        <v>3030</v>
      </c>
      <c r="K855" s="7" t="s">
        <v>3031</v>
      </c>
      <c r="L855" s="7" t="s">
        <v>5887</v>
      </c>
      <c r="M855" s="7">
        <v>0</v>
      </c>
      <c r="N855" s="7" t="s">
        <v>5044</v>
      </c>
      <c r="O855" s="7" t="s">
        <v>5044</v>
      </c>
      <c r="P855" s="7">
        <v>1</v>
      </c>
      <c r="Q855" s="7">
        <v>0</v>
      </c>
      <c r="R855" s="7">
        <v>0</v>
      </c>
      <c r="S855" s="7">
        <v>9</v>
      </c>
      <c r="T855" s="7">
        <v>1</v>
      </c>
      <c r="U855" s="7">
        <v>58</v>
      </c>
      <c r="V855" s="7">
        <v>0</v>
      </c>
      <c r="W855" s="7">
        <v>1</v>
      </c>
      <c r="X855" s="7">
        <v>0</v>
      </c>
      <c r="Y855" s="7">
        <v>0</v>
      </c>
      <c r="Z855" s="7">
        <v>0</v>
      </c>
      <c r="AA855" s="7">
        <v>0</v>
      </c>
      <c r="AB855" s="7">
        <v>1</v>
      </c>
      <c r="AC855" s="7">
        <v>1</v>
      </c>
      <c r="AD855" s="7" t="s">
        <v>5044</v>
      </c>
      <c r="AE855" s="7" t="s">
        <v>5044</v>
      </c>
      <c r="AF855" s="7" t="s">
        <v>5044</v>
      </c>
      <c r="AG855" s="7">
        <v>1</v>
      </c>
      <c r="AH855" s="7">
        <v>0</v>
      </c>
      <c r="AI855" s="7">
        <v>0</v>
      </c>
      <c r="AJ855" s="7" t="s">
        <v>5044</v>
      </c>
      <c r="AK855" s="7" t="s">
        <v>5318</v>
      </c>
      <c r="AL855" s="7">
        <v>1</v>
      </c>
      <c r="AM855" s="7">
        <v>0</v>
      </c>
      <c r="AN855" s="7" t="s">
        <v>5318</v>
      </c>
    </row>
    <row r="856" spans="1:40" ht="63" customHeight="1" x14ac:dyDescent="0.2">
      <c r="A856" s="7">
        <v>8639</v>
      </c>
      <c r="B856" s="7" t="s">
        <v>3032</v>
      </c>
      <c r="C856" s="7" t="s">
        <v>3033</v>
      </c>
      <c r="D856" s="7" t="s">
        <v>95</v>
      </c>
      <c r="F856" s="7" t="s">
        <v>985</v>
      </c>
      <c r="G856" s="7" t="s">
        <v>52</v>
      </c>
      <c r="H856" s="7" t="s">
        <v>71</v>
      </c>
      <c r="I856" s="7" t="s">
        <v>13</v>
      </c>
      <c r="J856" s="7" t="s">
        <v>3034</v>
      </c>
      <c r="K856" s="7" t="s">
        <v>3035</v>
      </c>
      <c r="L856" s="7" t="s">
        <v>5888</v>
      </c>
      <c r="M856" s="7">
        <v>0</v>
      </c>
      <c r="N856" s="7" t="s">
        <v>5044</v>
      </c>
      <c r="O856" s="7" t="s">
        <v>5044</v>
      </c>
      <c r="P856" s="7">
        <v>0</v>
      </c>
      <c r="Q856" s="7">
        <v>0</v>
      </c>
      <c r="R856" s="7">
        <v>0</v>
      </c>
      <c r="S856" s="7">
        <v>1</v>
      </c>
      <c r="T856" s="7">
        <v>4</v>
      </c>
      <c r="U856" s="7">
        <v>100</v>
      </c>
      <c r="V856" s="7">
        <v>0</v>
      </c>
      <c r="W856" s="7">
        <v>1</v>
      </c>
      <c r="X856" s="7">
        <v>0</v>
      </c>
      <c r="Y856" s="7">
        <v>0</v>
      </c>
      <c r="Z856" s="7">
        <v>0</v>
      </c>
      <c r="AA856" s="7">
        <v>0</v>
      </c>
      <c r="AB856" s="7">
        <v>1</v>
      </c>
      <c r="AC856" s="7">
        <v>0</v>
      </c>
      <c r="AD856" s="7" t="s">
        <v>5044</v>
      </c>
      <c r="AE856" s="7" t="s">
        <v>5044</v>
      </c>
      <c r="AF856" s="7" t="s">
        <v>5044</v>
      </c>
      <c r="AG856" s="7">
        <v>0</v>
      </c>
      <c r="AH856" s="7" t="s">
        <v>5044</v>
      </c>
      <c r="AI856" s="7" t="s">
        <v>5044</v>
      </c>
      <c r="AJ856" s="7" t="s">
        <v>5044</v>
      </c>
      <c r="AK856" s="7" t="s">
        <v>5889</v>
      </c>
      <c r="AL856" s="7">
        <v>0</v>
      </c>
      <c r="AM856" s="7">
        <v>0</v>
      </c>
      <c r="AN856" s="7" t="s">
        <v>5318</v>
      </c>
    </row>
    <row r="857" spans="1:40" ht="63" customHeight="1" x14ac:dyDescent="0.2">
      <c r="A857" s="7">
        <v>8659</v>
      </c>
      <c r="B857" s="7" t="s">
        <v>3044</v>
      </c>
      <c r="C857" s="7" t="s">
        <v>3045</v>
      </c>
      <c r="D857" s="7" t="s">
        <v>46</v>
      </c>
      <c r="F857" s="7" t="s">
        <v>900</v>
      </c>
      <c r="G857" s="7" t="s">
        <v>32</v>
      </c>
      <c r="H857" s="7" t="s">
        <v>43</v>
      </c>
      <c r="I857" s="7" t="s">
        <v>13</v>
      </c>
      <c r="J857" s="7" t="s">
        <v>3046</v>
      </c>
      <c r="K857" s="7" t="s">
        <v>3047</v>
      </c>
      <c r="L857" s="7" t="s">
        <v>5890</v>
      </c>
      <c r="M857" s="7">
        <v>0</v>
      </c>
      <c r="N857" s="7" t="s">
        <v>5044</v>
      </c>
      <c r="O857" s="7" t="s">
        <v>5044</v>
      </c>
      <c r="P857" s="7">
        <v>0</v>
      </c>
      <c r="Q857" s="7">
        <v>0</v>
      </c>
      <c r="R857" s="7">
        <v>0</v>
      </c>
      <c r="S857" s="7">
        <v>9</v>
      </c>
      <c r="T857" s="7">
        <v>1</v>
      </c>
      <c r="U857" s="7">
        <v>147</v>
      </c>
      <c r="V857" s="7">
        <v>0</v>
      </c>
      <c r="W857" s="7">
        <v>1</v>
      </c>
      <c r="X857" s="7">
        <v>0</v>
      </c>
      <c r="Y857" s="7">
        <v>0</v>
      </c>
      <c r="Z857" s="7">
        <v>1</v>
      </c>
      <c r="AA857" s="7">
        <v>0</v>
      </c>
      <c r="AB857" s="7">
        <v>1</v>
      </c>
      <c r="AC857" s="7">
        <v>1</v>
      </c>
      <c r="AD857" s="7" t="s">
        <v>5044</v>
      </c>
      <c r="AE857" s="7" t="s">
        <v>5044</v>
      </c>
      <c r="AF857" s="7" t="s">
        <v>5044</v>
      </c>
      <c r="AG857" s="7">
        <v>2</v>
      </c>
      <c r="AH857" s="7">
        <v>3</v>
      </c>
      <c r="AI857" s="7">
        <v>0</v>
      </c>
      <c r="AJ857" s="7">
        <v>0</v>
      </c>
      <c r="AK857" s="7">
        <v>1</v>
      </c>
      <c r="AL857" s="7">
        <v>1</v>
      </c>
      <c r="AM857" s="7">
        <v>0</v>
      </c>
    </row>
    <row r="858" spans="1:40" ht="63" customHeight="1" x14ac:dyDescent="0.2">
      <c r="A858" s="7">
        <v>8677</v>
      </c>
      <c r="B858" s="7" t="s">
        <v>3048</v>
      </c>
      <c r="C858" s="7" t="s">
        <v>3049</v>
      </c>
      <c r="D858" s="7" t="s">
        <v>30</v>
      </c>
      <c r="F858" s="7" t="s">
        <v>110</v>
      </c>
      <c r="G858" s="7" t="s">
        <v>11</v>
      </c>
      <c r="H858" s="7" t="s">
        <v>38</v>
      </c>
      <c r="I858" s="7" t="s">
        <v>13</v>
      </c>
      <c r="J858" s="7" t="s">
        <v>3050</v>
      </c>
      <c r="K858" s="7" t="s">
        <v>3051</v>
      </c>
      <c r="L858" s="7" t="s">
        <v>5891</v>
      </c>
      <c r="M858" s="7">
        <v>0</v>
      </c>
      <c r="N858" s="7" t="s">
        <v>5044</v>
      </c>
      <c r="O858" s="7" t="s">
        <v>5044</v>
      </c>
      <c r="P858" s="7">
        <v>0</v>
      </c>
      <c r="Q858" s="7">
        <v>0</v>
      </c>
      <c r="R858" s="7">
        <v>0</v>
      </c>
      <c r="S858" s="7">
        <v>1</v>
      </c>
      <c r="T858" s="7">
        <v>2</v>
      </c>
      <c r="U858" s="7">
        <v>60</v>
      </c>
      <c r="V858" s="7">
        <v>0</v>
      </c>
      <c r="W858" s="7">
        <v>1</v>
      </c>
      <c r="X858" s="7">
        <v>0</v>
      </c>
      <c r="Y858" s="7">
        <v>0</v>
      </c>
      <c r="Z858" s="7">
        <v>0</v>
      </c>
      <c r="AA858" s="7">
        <v>0</v>
      </c>
      <c r="AB858" s="7">
        <v>1</v>
      </c>
      <c r="AC858" s="7">
        <v>1</v>
      </c>
      <c r="AD858" s="7" t="s">
        <v>5044</v>
      </c>
      <c r="AE858" s="7" t="s">
        <v>5044</v>
      </c>
      <c r="AF858" s="7" t="s">
        <v>5044</v>
      </c>
      <c r="AG858" s="7">
        <v>2</v>
      </c>
      <c r="AH858" s="7">
        <v>2</v>
      </c>
      <c r="AI858" s="7">
        <v>1</v>
      </c>
      <c r="AJ858" s="7" t="s">
        <v>5044</v>
      </c>
      <c r="AK858" s="7" t="s">
        <v>5318</v>
      </c>
      <c r="AL858" s="7">
        <v>1</v>
      </c>
      <c r="AM858" s="7">
        <v>0</v>
      </c>
      <c r="AN858" s="7" t="s">
        <v>5318</v>
      </c>
    </row>
    <row r="859" spans="1:40" ht="63" customHeight="1" x14ac:dyDescent="0.2">
      <c r="A859" s="7">
        <v>8688</v>
      </c>
      <c r="B859" s="7" t="s">
        <v>3052</v>
      </c>
      <c r="C859" s="7" t="s">
        <v>3053</v>
      </c>
      <c r="D859" s="7" t="s">
        <v>101</v>
      </c>
      <c r="F859" s="7" t="s">
        <v>2672</v>
      </c>
      <c r="G859" s="7" t="s">
        <v>3054</v>
      </c>
      <c r="H859" s="7" t="s">
        <v>180</v>
      </c>
      <c r="I859" s="7" t="s">
        <v>13</v>
      </c>
      <c r="J859" s="7" t="s">
        <v>3055</v>
      </c>
      <c r="K859" s="7" t="s">
        <v>3056</v>
      </c>
      <c r="L859" s="7" t="s">
        <v>5124</v>
      </c>
      <c r="M859" s="7">
        <v>0</v>
      </c>
      <c r="N859" s="7" t="s">
        <v>5044</v>
      </c>
      <c r="O859" s="7" t="s">
        <v>5044</v>
      </c>
      <c r="P859" s="7">
        <v>0</v>
      </c>
      <c r="Q859" s="7">
        <v>0</v>
      </c>
      <c r="R859" s="7">
        <v>0</v>
      </c>
      <c r="S859" s="7">
        <v>3</v>
      </c>
      <c r="T859" s="7">
        <v>1</v>
      </c>
      <c r="U859" s="7">
        <v>410</v>
      </c>
      <c r="V859" s="7">
        <v>0</v>
      </c>
      <c r="W859" s="7">
        <v>1</v>
      </c>
      <c r="X859" s="7">
        <v>0</v>
      </c>
      <c r="Y859" s="7">
        <v>0</v>
      </c>
      <c r="Z859" s="7">
        <v>0</v>
      </c>
      <c r="AA859" s="7">
        <v>0</v>
      </c>
      <c r="AB859" s="7">
        <v>1</v>
      </c>
      <c r="AC859" s="7">
        <v>1</v>
      </c>
      <c r="AD859" s="7" t="s">
        <v>5044</v>
      </c>
      <c r="AE859" s="7" t="s">
        <v>5044</v>
      </c>
      <c r="AF859" s="7" t="s">
        <v>5044</v>
      </c>
      <c r="AG859" s="7">
        <v>2</v>
      </c>
      <c r="AH859" s="7">
        <v>3</v>
      </c>
      <c r="AI859" s="7">
        <v>0</v>
      </c>
      <c r="AJ859" s="7" t="s">
        <v>5044</v>
      </c>
      <c r="AK859" s="7" t="s">
        <v>5892</v>
      </c>
      <c r="AL859" s="7">
        <v>0</v>
      </c>
      <c r="AM859" s="7">
        <v>0</v>
      </c>
      <c r="AN859" s="7" t="s">
        <v>5318</v>
      </c>
    </row>
    <row r="860" spans="1:40" ht="63" customHeight="1" x14ac:dyDescent="0.2">
      <c r="A860" s="7">
        <v>8691</v>
      </c>
      <c r="B860" s="7" t="s">
        <v>3057</v>
      </c>
      <c r="C860" s="7" t="s">
        <v>3058</v>
      </c>
      <c r="D860" s="7" t="s">
        <v>101</v>
      </c>
      <c r="F860" s="7" t="s">
        <v>18</v>
      </c>
      <c r="G860" s="7" t="s">
        <v>52</v>
      </c>
      <c r="H860" s="7" t="s">
        <v>211</v>
      </c>
      <c r="I860" s="7" t="s">
        <v>13</v>
      </c>
      <c r="J860" s="7" t="s">
        <v>3059</v>
      </c>
      <c r="K860" s="7" t="s">
        <v>3060</v>
      </c>
      <c r="L860" s="7" t="s">
        <v>5893</v>
      </c>
      <c r="M860" s="7">
        <v>0</v>
      </c>
      <c r="N860" s="7" t="s">
        <v>5044</v>
      </c>
      <c r="O860" s="7" t="s">
        <v>5044</v>
      </c>
      <c r="P860" s="7">
        <v>0</v>
      </c>
      <c r="Q860" s="7">
        <v>0</v>
      </c>
      <c r="R860" s="7">
        <v>0</v>
      </c>
      <c r="S860" s="7">
        <v>1</v>
      </c>
      <c r="T860" s="7">
        <v>4</v>
      </c>
      <c r="U860" s="7">
        <v>124</v>
      </c>
      <c r="V860" s="7">
        <v>0</v>
      </c>
      <c r="W860" s="7">
        <v>1</v>
      </c>
      <c r="X860" s="7">
        <v>0</v>
      </c>
      <c r="Y860" s="7">
        <v>0</v>
      </c>
      <c r="Z860" s="7">
        <v>1</v>
      </c>
      <c r="AA860" s="7">
        <v>0</v>
      </c>
      <c r="AB860" s="7">
        <v>1</v>
      </c>
      <c r="AC860" s="7">
        <v>1</v>
      </c>
      <c r="AD860" s="7" t="s">
        <v>5044</v>
      </c>
      <c r="AE860" s="7" t="s">
        <v>5044</v>
      </c>
      <c r="AF860" s="7" t="s">
        <v>5044</v>
      </c>
      <c r="AG860" s="7">
        <v>0</v>
      </c>
      <c r="AH860" s="7" t="s">
        <v>5044</v>
      </c>
      <c r="AI860" s="7" t="s">
        <v>5044</v>
      </c>
      <c r="AJ860" s="7">
        <v>0</v>
      </c>
      <c r="AK860" s="7" t="s">
        <v>5894</v>
      </c>
      <c r="AL860" s="7">
        <v>1</v>
      </c>
      <c r="AM860" s="7">
        <v>0</v>
      </c>
    </row>
    <row r="861" spans="1:40" ht="63" customHeight="1" x14ac:dyDescent="0.2">
      <c r="A861" s="7">
        <v>8708</v>
      </c>
      <c r="B861" s="7" t="s">
        <v>3061</v>
      </c>
      <c r="C861" s="7" t="s">
        <v>3062</v>
      </c>
      <c r="D861" s="7" t="s">
        <v>16</v>
      </c>
      <c r="F861" s="7" t="s">
        <v>470</v>
      </c>
      <c r="G861" s="7" t="s">
        <v>48</v>
      </c>
      <c r="H861" s="7" t="s">
        <v>38</v>
      </c>
      <c r="I861" s="7" t="s">
        <v>13</v>
      </c>
      <c r="J861" s="7" t="s">
        <v>3063</v>
      </c>
      <c r="K861" s="7" t="s">
        <v>3064</v>
      </c>
      <c r="L861" s="7" t="s">
        <v>5723</v>
      </c>
      <c r="M861" s="7">
        <v>0</v>
      </c>
      <c r="N861" s="7" t="s">
        <v>5044</v>
      </c>
      <c r="O861" s="7" t="s">
        <v>5044</v>
      </c>
      <c r="P861" s="7">
        <v>0</v>
      </c>
      <c r="Q861" s="7">
        <v>0</v>
      </c>
      <c r="R861" s="7">
        <v>0</v>
      </c>
      <c r="S861" s="7">
        <v>1</v>
      </c>
      <c r="T861" s="7">
        <v>1</v>
      </c>
      <c r="U861" s="7">
        <v>802</v>
      </c>
      <c r="V861" s="7">
        <v>0</v>
      </c>
      <c r="W861" s="7">
        <v>1</v>
      </c>
      <c r="X861" s="7">
        <v>0</v>
      </c>
      <c r="Y861" s="7">
        <v>0</v>
      </c>
      <c r="Z861" s="7">
        <v>0</v>
      </c>
      <c r="AA861" s="7">
        <v>0</v>
      </c>
      <c r="AB861" s="7">
        <v>1</v>
      </c>
      <c r="AC861" s="7">
        <v>1</v>
      </c>
      <c r="AD861" s="7" t="s">
        <v>5044</v>
      </c>
      <c r="AE861" s="7" t="s">
        <v>5044</v>
      </c>
      <c r="AF861" s="7" t="s">
        <v>5044</v>
      </c>
      <c r="AG861" s="7">
        <v>2</v>
      </c>
      <c r="AH861" s="7">
        <v>3</v>
      </c>
      <c r="AI861" s="7">
        <v>0</v>
      </c>
      <c r="AJ861" s="7" t="s">
        <v>5044</v>
      </c>
      <c r="AK861" s="7">
        <v>1</v>
      </c>
      <c r="AL861" s="7">
        <v>0</v>
      </c>
      <c r="AM861" s="7">
        <v>0</v>
      </c>
      <c r="AN861" s="7" t="s">
        <v>5318</v>
      </c>
    </row>
    <row r="862" spans="1:40" ht="63" customHeight="1" x14ac:dyDescent="0.2">
      <c r="A862" s="7">
        <v>8710</v>
      </c>
      <c r="B862" s="7" t="s">
        <v>3065</v>
      </c>
      <c r="C862" s="7" t="s">
        <v>3066</v>
      </c>
      <c r="D862" s="7" t="s">
        <v>46</v>
      </c>
      <c r="F862" s="7" t="s">
        <v>136</v>
      </c>
      <c r="G862" s="7" t="s">
        <v>37</v>
      </c>
      <c r="H862" s="7" t="s">
        <v>2795</v>
      </c>
      <c r="I862" s="7" t="s">
        <v>13</v>
      </c>
      <c r="J862" s="7" t="s">
        <v>3067</v>
      </c>
      <c r="K862" s="7" t="s">
        <v>3068</v>
      </c>
      <c r="L862" s="7" t="s">
        <v>5895</v>
      </c>
      <c r="M862" s="7">
        <v>0</v>
      </c>
      <c r="N862" s="7" t="s">
        <v>5044</v>
      </c>
      <c r="O862" s="7" t="s">
        <v>5044</v>
      </c>
      <c r="P862" s="7">
        <v>0</v>
      </c>
      <c r="Q862" s="7">
        <v>0</v>
      </c>
      <c r="R862" s="7">
        <v>0</v>
      </c>
      <c r="S862" s="7">
        <v>3</v>
      </c>
      <c r="T862" s="7">
        <v>6</v>
      </c>
      <c r="U862" s="7">
        <v>76</v>
      </c>
      <c r="V862" s="7">
        <v>0</v>
      </c>
      <c r="W862" s="7">
        <v>1</v>
      </c>
      <c r="X862" s="7">
        <v>0</v>
      </c>
      <c r="Y862" s="7">
        <v>0</v>
      </c>
      <c r="Z862" s="7">
        <v>0</v>
      </c>
      <c r="AA862" s="7">
        <v>0</v>
      </c>
      <c r="AB862" s="7">
        <v>1</v>
      </c>
      <c r="AC862" s="7">
        <v>1</v>
      </c>
      <c r="AD862" s="7" t="s">
        <v>5044</v>
      </c>
      <c r="AE862" s="7" t="s">
        <v>5044</v>
      </c>
      <c r="AF862" s="7" t="s">
        <v>5044</v>
      </c>
      <c r="AG862" s="7">
        <v>2</v>
      </c>
      <c r="AH862" s="7">
        <v>3</v>
      </c>
      <c r="AI862" s="7">
        <v>0</v>
      </c>
      <c r="AJ862" s="7" t="s">
        <v>5044</v>
      </c>
      <c r="AK862" s="7" t="s">
        <v>5896</v>
      </c>
      <c r="AL862" s="7">
        <v>0</v>
      </c>
      <c r="AM862" s="7">
        <v>0</v>
      </c>
      <c r="AN862" s="7" t="s">
        <v>5318</v>
      </c>
    </row>
    <row r="863" spans="1:40" ht="63" customHeight="1" x14ac:dyDescent="0.2">
      <c r="A863" s="7">
        <v>8712</v>
      </c>
      <c r="B863" s="7" t="s">
        <v>3069</v>
      </c>
      <c r="C863" s="7" t="s">
        <v>3070</v>
      </c>
      <c r="D863" s="7" t="s">
        <v>41</v>
      </c>
      <c r="F863" s="7" t="s">
        <v>92</v>
      </c>
      <c r="G863" s="7" t="s">
        <v>11</v>
      </c>
      <c r="H863" s="7" t="s">
        <v>19</v>
      </c>
      <c r="I863" s="7" t="s">
        <v>13</v>
      </c>
      <c r="J863" s="7" t="s">
        <v>3071</v>
      </c>
      <c r="K863" s="7" t="s">
        <v>3072</v>
      </c>
      <c r="L863" s="7" t="s">
        <v>5897</v>
      </c>
      <c r="M863" s="7">
        <v>1</v>
      </c>
      <c r="N863" s="7">
        <v>0</v>
      </c>
      <c r="O863" s="7" t="s">
        <v>5044</v>
      </c>
      <c r="P863" s="7">
        <v>0</v>
      </c>
      <c r="Q863" s="7">
        <v>0</v>
      </c>
      <c r="R863" s="7">
        <v>0</v>
      </c>
      <c r="S863" s="7" t="s">
        <v>5170</v>
      </c>
      <c r="T863" s="7">
        <v>1</v>
      </c>
      <c r="U863" s="7">
        <v>321</v>
      </c>
      <c r="V863" s="7">
        <v>0</v>
      </c>
      <c r="W863" s="7">
        <v>1</v>
      </c>
      <c r="X863" s="7">
        <v>0</v>
      </c>
      <c r="Y863" s="7">
        <v>0</v>
      </c>
      <c r="Z863" s="7">
        <v>0</v>
      </c>
      <c r="AA863" s="7">
        <v>0</v>
      </c>
      <c r="AB863" s="7">
        <v>1</v>
      </c>
      <c r="AC863" s="7" t="s">
        <v>5044</v>
      </c>
      <c r="AD863" s="7" t="s">
        <v>5044</v>
      </c>
      <c r="AE863" s="7" t="s">
        <v>5044</v>
      </c>
      <c r="AF863" s="7" t="s">
        <v>5044</v>
      </c>
      <c r="AG863" s="7" t="s">
        <v>5044</v>
      </c>
      <c r="AH863" s="7" t="s">
        <v>5044</v>
      </c>
      <c r="AI863" s="7" t="s">
        <v>5044</v>
      </c>
      <c r="AJ863" s="7" t="s">
        <v>5044</v>
      </c>
      <c r="AK863" s="7" t="s">
        <v>5318</v>
      </c>
      <c r="AL863" s="7" t="s">
        <v>5044</v>
      </c>
      <c r="AM863" s="7">
        <v>0</v>
      </c>
      <c r="AN863" s="7" t="s">
        <v>5318</v>
      </c>
    </row>
    <row r="864" spans="1:40" ht="63" customHeight="1" x14ac:dyDescent="0.2">
      <c r="A864" s="7">
        <v>8716</v>
      </c>
      <c r="B864" s="7" t="s">
        <v>3073</v>
      </c>
      <c r="C864" s="7" t="s">
        <v>3074</v>
      </c>
      <c r="D864" s="7" t="s">
        <v>22</v>
      </c>
      <c r="F864" s="7" t="s">
        <v>114</v>
      </c>
      <c r="G864" s="7" t="s">
        <v>92</v>
      </c>
      <c r="H864" s="7" t="s">
        <v>102</v>
      </c>
      <c r="I864" s="7" t="s">
        <v>13</v>
      </c>
      <c r="J864" s="7" t="s">
        <v>3075</v>
      </c>
      <c r="K864" s="7" t="s">
        <v>3076</v>
      </c>
      <c r="L864" s="7" t="s">
        <v>5898</v>
      </c>
      <c r="M864" s="7">
        <v>0</v>
      </c>
      <c r="N864" s="7" t="s">
        <v>5044</v>
      </c>
      <c r="O864" s="7" t="s">
        <v>5044</v>
      </c>
      <c r="P864" s="7">
        <v>0</v>
      </c>
      <c r="Q864" s="7">
        <v>0</v>
      </c>
      <c r="R864" s="7">
        <v>0</v>
      </c>
      <c r="S864" s="7">
        <v>3</v>
      </c>
      <c r="T864" s="7">
        <v>1</v>
      </c>
      <c r="U864" s="7">
        <v>120</v>
      </c>
      <c r="V864" s="7">
        <v>0</v>
      </c>
      <c r="W864" s="7">
        <v>1</v>
      </c>
      <c r="X864" s="7">
        <v>0</v>
      </c>
      <c r="Y864" s="7">
        <v>0</v>
      </c>
      <c r="Z864" s="7">
        <v>0</v>
      </c>
      <c r="AA864" s="7">
        <v>0</v>
      </c>
      <c r="AB864" s="7">
        <v>1</v>
      </c>
      <c r="AC864" s="7">
        <v>1</v>
      </c>
      <c r="AD864" s="7" t="s">
        <v>5044</v>
      </c>
      <c r="AE864" s="7" t="s">
        <v>5044</v>
      </c>
      <c r="AF864" s="7" t="s">
        <v>5044</v>
      </c>
      <c r="AG864" s="7">
        <v>2</v>
      </c>
      <c r="AH864" s="7">
        <v>3</v>
      </c>
      <c r="AI864" s="7">
        <v>0</v>
      </c>
      <c r="AJ864" s="7" t="s">
        <v>5044</v>
      </c>
      <c r="AK864" s="7" t="s">
        <v>5896</v>
      </c>
      <c r="AL864" s="7">
        <v>1</v>
      </c>
      <c r="AM864" s="7">
        <v>0</v>
      </c>
      <c r="AN864" s="7" t="s">
        <v>5318</v>
      </c>
    </row>
    <row r="865" spans="1:40" ht="63" customHeight="1" x14ac:dyDescent="0.2">
      <c r="A865" s="7">
        <v>8718</v>
      </c>
      <c r="B865" s="7" t="s">
        <v>3077</v>
      </c>
      <c r="C865" s="7" t="s">
        <v>3078</v>
      </c>
      <c r="D865" s="7" t="s">
        <v>95</v>
      </c>
      <c r="F865" s="7" t="s">
        <v>703</v>
      </c>
      <c r="G865" s="7" t="s">
        <v>144</v>
      </c>
      <c r="H865" s="7" t="s">
        <v>102</v>
      </c>
      <c r="I865" s="7" t="s">
        <v>13</v>
      </c>
      <c r="J865" s="7" t="s">
        <v>3079</v>
      </c>
      <c r="K865" s="7" t="s">
        <v>3080</v>
      </c>
      <c r="L865" s="7" t="s">
        <v>5899</v>
      </c>
      <c r="M865" s="7">
        <v>0</v>
      </c>
      <c r="N865" s="7" t="s">
        <v>5044</v>
      </c>
      <c r="O865" s="7" t="s">
        <v>5044</v>
      </c>
      <c r="P865" s="7">
        <v>0</v>
      </c>
      <c r="Q865" s="7">
        <v>0</v>
      </c>
      <c r="R865" s="7">
        <v>0</v>
      </c>
      <c r="S865" s="7">
        <v>3</v>
      </c>
      <c r="T865" s="7">
        <v>1</v>
      </c>
      <c r="U865" s="7">
        <v>160</v>
      </c>
      <c r="V865" s="7">
        <v>0</v>
      </c>
      <c r="W865" s="7">
        <v>1</v>
      </c>
      <c r="X865" s="7">
        <v>0</v>
      </c>
      <c r="Y865" s="7">
        <v>0</v>
      </c>
      <c r="Z865" s="7">
        <v>0</v>
      </c>
      <c r="AA865" s="7">
        <v>0</v>
      </c>
      <c r="AB865" s="7">
        <v>0</v>
      </c>
      <c r="AC865" s="7">
        <v>1</v>
      </c>
      <c r="AD865" s="7" t="s">
        <v>5044</v>
      </c>
      <c r="AE865" s="7" t="s">
        <v>5044</v>
      </c>
      <c r="AF865" s="7" t="s">
        <v>5044</v>
      </c>
      <c r="AG865" s="7">
        <v>2</v>
      </c>
      <c r="AH865" s="7">
        <v>3</v>
      </c>
      <c r="AI865" s="7">
        <v>0</v>
      </c>
      <c r="AJ865" s="7" t="s">
        <v>5044</v>
      </c>
      <c r="AK865" s="7" t="s">
        <v>5900</v>
      </c>
      <c r="AL865" s="7">
        <v>1</v>
      </c>
      <c r="AM865" s="7">
        <v>0</v>
      </c>
      <c r="AN865" s="7" t="s">
        <v>5318</v>
      </c>
    </row>
    <row r="866" spans="1:40" ht="63" customHeight="1" x14ac:dyDescent="0.2">
      <c r="A866" s="7">
        <v>8744</v>
      </c>
      <c r="B866" s="7" t="s">
        <v>3081</v>
      </c>
      <c r="C866" s="7" t="s">
        <v>3082</v>
      </c>
      <c r="D866" s="7" t="s">
        <v>101</v>
      </c>
      <c r="F866" s="7" t="s">
        <v>48</v>
      </c>
      <c r="G866" s="7" t="s">
        <v>92</v>
      </c>
      <c r="H866" s="7" t="s">
        <v>19</v>
      </c>
      <c r="I866" s="7" t="s">
        <v>13</v>
      </c>
      <c r="J866" s="7" t="s">
        <v>3083</v>
      </c>
      <c r="K866" s="7" t="s">
        <v>3084</v>
      </c>
      <c r="L866" s="7" t="s">
        <v>5901</v>
      </c>
      <c r="M866" s="7">
        <v>1</v>
      </c>
      <c r="N866" s="7">
        <v>0</v>
      </c>
      <c r="O866" s="7" t="s">
        <v>5044</v>
      </c>
      <c r="P866" s="7">
        <v>0</v>
      </c>
      <c r="Q866" s="7">
        <v>0</v>
      </c>
      <c r="R866" s="7">
        <v>0</v>
      </c>
      <c r="S866" s="7">
        <v>1</v>
      </c>
      <c r="T866" s="7">
        <v>4</v>
      </c>
      <c r="U866" s="7">
        <v>106</v>
      </c>
      <c r="V866" s="7">
        <v>0</v>
      </c>
      <c r="W866" s="7">
        <v>1</v>
      </c>
      <c r="X866" s="7">
        <v>0</v>
      </c>
      <c r="Y866" s="7">
        <v>0</v>
      </c>
      <c r="Z866" s="7">
        <v>0</v>
      </c>
      <c r="AA866" s="7">
        <v>0</v>
      </c>
      <c r="AB866" s="7">
        <v>1</v>
      </c>
      <c r="AC866" s="7" t="s">
        <v>5044</v>
      </c>
      <c r="AD866" s="7" t="s">
        <v>5044</v>
      </c>
      <c r="AE866" s="7" t="s">
        <v>5044</v>
      </c>
      <c r="AF866" s="7" t="s">
        <v>5044</v>
      </c>
      <c r="AG866" s="7" t="s">
        <v>5044</v>
      </c>
      <c r="AH866" s="7" t="s">
        <v>5044</v>
      </c>
      <c r="AI866" s="7" t="s">
        <v>5044</v>
      </c>
      <c r="AJ866" s="7" t="s">
        <v>5044</v>
      </c>
      <c r="AK866" s="7" t="s">
        <v>5318</v>
      </c>
      <c r="AL866" s="7" t="s">
        <v>5044</v>
      </c>
      <c r="AM866" s="7">
        <v>0</v>
      </c>
      <c r="AN866" s="7" t="s">
        <v>5318</v>
      </c>
    </row>
    <row r="867" spans="1:40" ht="63" customHeight="1" x14ac:dyDescent="0.2">
      <c r="A867" s="7">
        <v>8745</v>
      </c>
      <c r="B867" s="7" t="s">
        <v>3085</v>
      </c>
      <c r="C867" s="7" t="s">
        <v>3086</v>
      </c>
      <c r="D867" s="7" t="s">
        <v>149</v>
      </c>
      <c r="F867" s="7" t="s">
        <v>194</v>
      </c>
      <c r="G867" s="7" t="s">
        <v>32</v>
      </c>
      <c r="H867" s="7" t="s">
        <v>1321</v>
      </c>
      <c r="I867" s="7" t="s">
        <v>13</v>
      </c>
      <c r="J867" s="7" t="s">
        <v>3087</v>
      </c>
      <c r="K867" s="7" t="s">
        <v>3088</v>
      </c>
      <c r="L867" s="11" t="s">
        <v>5044</v>
      </c>
      <c r="M867" s="7">
        <v>0</v>
      </c>
      <c r="N867" s="7" t="s">
        <v>5044</v>
      </c>
      <c r="O867" s="7" t="s">
        <v>5044</v>
      </c>
      <c r="P867" s="7">
        <v>0</v>
      </c>
      <c r="Q867" s="7">
        <v>0</v>
      </c>
      <c r="R867" s="7">
        <v>0</v>
      </c>
      <c r="S867" s="7">
        <v>1</v>
      </c>
      <c r="T867" s="7">
        <v>4</v>
      </c>
      <c r="U867" s="7">
        <v>160</v>
      </c>
      <c r="V867" s="7">
        <v>0</v>
      </c>
      <c r="W867" s="7">
        <v>1</v>
      </c>
      <c r="X867" s="7">
        <v>0</v>
      </c>
      <c r="Y867" s="7">
        <v>0</v>
      </c>
      <c r="Z867" s="7">
        <v>0</v>
      </c>
      <c r="AA867" s="7">
        <v>0</v>
      </c>
      <c r="AB867" s="7">
        <v>0</v>
      </c>
      <c r="AC867" s="7">
        <v>1</v>
      </c>
      <c r="AD867" s="7" t="s">
        <v>5044</v>
      </c>
      <c r="AE867" s="7" t="s">
        <v>5044</v>
      </c>
      <c r="AF867" s="7" t="s">
        <v>5044</v>
      </c>
      <c r="AG867" s="7">
        <v>1</v>
      </c>
      <c r="AH867" s="7">
        <v>0</v>
      </c>
      <c r="AI867" s="7">
        <v>0</v>
      </c>
      <c r="AJ867" s="7" t="s">
        <v>5044</v>
      </c>
      <c r="AK867" s="7" t="s">
        <v>5318</v>
      </c>
      <c r="AL867" s="7">
        <v>1</v>
      </c>
      <c r="AM867" s="7">
        <v>0</v>
      </c>
      <c r="AN867" s="7" t="s">
        <v>5318</v>
      </c>
    </row>
    <row r="868" spans="1:40" ht="63" customHeight="1" x14ac:dyDescent="0.2">
      <c r="A868" s="7">
        <v>8760</v>
      </c>
      <c r="B868" s="7" t="s">
        <v>3089</v>
      </c>
      <c r="C868" s="7" t="s">
        <v>3090</v>
      </c>
      <c r="D868" s="7" t="s">
        <v>22</v>
      </c>
      <c r="F868" s="7" t="s">
        <v>577</v>
      </c>
      <c r="G868" s="7" t="s">
        <v>18</v>
      </c>
      <c r="H868" s="7" t="s">
        <v>764</v>
      </c>
      <c r="I868" s="7" t="s">
        <v>13</v>
      </c>
      <c r="J868" s="7" t="s">
        <v>3091</v>
      </c>
      <c r="K868" s="7" t="s">
        <v>3092</v>
      </c>
      <c r="L868" s="11" t="s">
        <v>5044</v>
      </c>
      <c r="M868" s="7">
        <v>0</v>
      </c>
      <c r="N868" s="7" t="s">
        <v>5044</v>
      </c>
      <c r="O868" s="7" t="s">
        <v>5044</v>
      </c>
      <c r="P868" s="7">
        <v>0</v>
      </c>
      <c r="Q868" s="7">
        <v>0</v>
      </c>
      <c r="R868" s="7">
        <v>0</v>
      </c>
      <c r="S868" s="7" t="s">
        <v>5772</v>
      </c>
      <c r="T868" s="7">
        <v>4</v>
      </c>
      <c r="U868" s="7">
        <v>27</v>
      </c>
      <c r="V868" s="7">
        <v>0</v>
      </c>
      <c r="W868" s="7">
        <v>1</v>
      </c>
      <c r="X868" s="7">
        <v>0</v>
      </c>
      <c r="Y868" s="7">
        <v>0</v>
      </c>
      <c r="Z868" s="7">
        <v>0</v>
      </c>
      <c r="AA868" s="7">
        <v>0</v>
      </c>
      <c r="AB868" s="7">
        <v>0</v>
      </c>
      <c r="AC868" s="7">
        <v>1</v>
      </c>
      <c r="AD868" s="7" t="s">
        <v>5044</v>
      </c>
      <c r="AE868" s="7" t="s">
        <v>5044</v>
      </c>
      <c r="AF868" s="7" t="s">
        <v>5044</v>
      </c>
      <c r="AG868" s="7">
        <v>2</v>
      </c>
      <c r="AH868" s="7">
        <v>3</v>
      </c>
      <c r="AI868" s="7">
        <v>0</v>
      </c>
      <c r="AJ868" s="7" t="s">
        <v>5044</v>
      </c>
      <c r="AK868" s="7" t="s">
        <v>5903</v>
      </c>
      <c r="AL868" s="7">
        <v>0</v>
      </c>
      <c r="AM868" s="7">
        <v>0</v>
      </c>
      <c r="AN868" s="7" t="s">
        <v>5318</v>
      </c>
    </row>
    <row r="869" spans="1:40" ht="63" customHeight="1" x14ac:dyDescent="0.2">
      <c r="A869" s="7">
        <v>8763</v>
      </c>
      <c r="B869" s="7" t="s">
        <v>3093</v>
      </c>
      <c r="C869" s="7" t="s">
        <v>3094</v>
      </c>
      <c r="D869" s="7" t="s">
        <v>16</v>
      </c>
      <c r="F869" s="7" t="s">
        <v>1042</v>
      </c>
      <c r="G869" s="7" t="s">
        <v>11</v>
      </c>
      <c r="H869" s="7" t="s">
        <v>3095</v>
      </c>
      <c r="I869" s="7" t="s">
        <v>13</v>
      </c>
      <c r="J869" s="7" t="s">
        <v>3096</v>
      </c>
      <c r="K869" s="7" t="s">
        <v>3097</v>
      </c>
      <c r="L869" s="11" t="s">
        <v>5044</v>
      </c>
      <c r="M869" s="7">
        <v>0</v>
      </c>
      <c r="N869" s="7" t="s">
        <v>5044</v>
      </c>
      <c r="O869" s="7" t="s">
        <v>5044</v>
      </c>
      <c r="P869" s="7">
        <v>0</v>
      </c>
      <c r="Q869" s="7">
        <v>0</v>
      </c>
      <c r="R869" s="7">
        <v>0</v>
      </c>
      <c r="S869" s="7">
        <v>5</v>
      </c>
      <c r="T869" s="7">
        <v>4</v>
      </c>
      <c r="U869" s="7">
        <v>46</v>
      </c>
      <c r="V869" s="7">
        <v>1</v>
      </c>
      <c r="W869" s="7">
        <v>0</v>
      </c>
      <c r="X869" s="7">
        <v>0</v>
      </c>
      <c r="Y869" s="7">
        <v>0</v>
      </c>
      <c r="Z869" s="7">
        <v>0</v>
      </c>
      <c r="AA869" s="7">
        <v>0</v>
      </c>
      <c r="AB869" s="7">
        <v>1</v>
      </c>
      <c r="AC869" s="7">
        <v>1</v>
      </c>
      <c r="AD869" s="7">
        <v>2</v>
      </c>
      <c r="AE869" s="7">
        <v>1</v>
      </c>
      <c r="AF869" s="7">
        <v>2</v>
      </c>
      <c r="AG869" s="7" t="s">
        <v>5044</v>
      </c>
      <c r="AH869" s="7" t="s">
        <v>5044</v>
      </c>
      <c r="AI869" s="7" t="s">
        <v>5044</v>
      </c>
      <c r="AJ869" s="7" t="s">
        <v>5044</v>
      </c>
      <c r="AK869" s="7" t="s">
        <v>5904</v>
      </c>
      <c r="AL869" s="7" t="s">
        <v>5044</v>
      </c>
      <c r="AM869" s="7">
        <v>0</v>
      </c>
    </row>
    <row r="870" spans="1:40" ht="63" customHeight="1" x14ac:dyDescent="0.2">
      <c r="A870" s="7">
        <v>8774</v>
      </c>
      <c r="B870" s="7" t="s">
        <v>3098</v>
      </c>
      <c r="C870" s="7" t="s">
        <v>3099</v>
      </c>
      <c r="D870" s="7" t="s">
        <v>101</v>
      </c>
      <c r="F870" s="7" t="s">
        <v>51</v>
      </c>
      <c r="G870" s="7" t="s">
        <v>52</v>
      </c>
      <c r="H870" s="7" t="s">
        <v>2002</v>
      </c>
      <c r="I870" s="7" t="s">
        <v>13</v>
      </c>
      <c r="J870" s="7" t="s">
        <v>3100</v>
      </c>
      <c r="K870" s="7" t="s">
        <v>3101</v>
      </c>
      <c r="L870" s="7" t="s">
        <v>5905</v>
      </c>
      <c r="M870" s="7">
        <v>0</v>
      </c>
      <c r="N870" s="7" t="s">
        <v>5044</v>
      </c>
      <c r="O870" s="7" t="s">
        <v>5044</v>
      </c>
      <c r="P870" s="7">
        <v>0</v>
      </c>
      <c r="Q870" s="7">
        <v>0</v>
      </c>
      <c r="R870" s="7">
        <v>0</v>
      </c>
      <c r="S870" s="7">
        <v>9</v>
      </c>
      <c r="T870" s="7">
        <v>4</v>
      </c>
      <c r="U870" s="7">
        <v>80</v>
      </c>
      <c r="V870" s="7">
        <v>0</v>
      </c>
      <c r="W870" s="7">
        <v>1</v>
      </c>
      <c r="X870" s="7">
        <v>0</v>
      </c>
      <c r="Y870" s="7">
        <v>0</v>
      </c>
      <c r="Z870" s="7">
        <v>0</v>
      </c>
      <c r="AA870" s="7">
        <v>0</v>
      </c>
      <c r="AB870" s="7">
        <v>1</v>
      </c>
      <c r="AC870" s="7">
        <v>1</v>
      </c>
      <c r="AD870" s="7" t="s">
        <v>5044</v>
      </c>
      <c r="AE870" s="7" t="s">
        <v>5044</v>
      </c>
      <c r="AF870" s="7" t="s">
        <v>5044</v>
      </c>
      <c r="AG870" s="7">
        <v>2</v>
      </c>
      <c r="AH870" s="7">
        <v>3</v>
      </c>
      <c r="AI870" s="7">
        <v>0</v>
      </c>
      <c r="AJ870" s="7" t="s">
        <v>5044</v>
      </c>
      <c r="AK870" s="7" t="s">
        <v>5318</v>
      </c>
      <c r="AL870" s="7">
        <v>1</v>
      </c>
      <c r="AM870" s="7">
        <v>0</v>
      </c>
    </row>
    <row r="871" spans="1:40" ht="63" customHeight="1" x14ac:dyDescent="0.2">
      <c r="A871" s="7">
        <v>8803</v>
      </c>
      <c r="B871" s="7" t="s">
        <v>3102</v>
      </c>
      <c r="C871" s="7" t="s">
        <v>3103</v>
      </c>
      <c r="D871" s="7" t="s">
        <v>16</v>
      </c>
      <c r="F871" s="7" t="s">
        <v>941</v>
      </c>
      <c r="G871" s="7" t="s">
        <v>37</v>
      </c>
      <c r="H871" s="7" t="s">
        <v>217</v>
      </c>
      <c r="I871" s="7" t="s">
        <v>13</v>
      </c>
      <c r="J871" s="7" t="s">
        <v>3104</v>
      </c>
      <c r="K871" s="7" t="s">
        <v>3105</v>
      </c>
      <c r="L871" s="7" t="s">
        <v>5906</v>
      </c>
      <c r="M871" s="7">
        <v>0</v>
      </c>
      <c r="N871" s="7" t="s">
        <v>5044</v>
      </c>
      <c r="O871" s="7" t="s">
        <v>5044</v>
      </c>
      <c r="P871" s="7">
        <v>0</v>
      </c>
      <c r="Q871" s="7">
        <v>0</v>
      </c>
      <c r="R871" s="7">
        <v>0</v>
      </c>
      <c r="S871" s="7" t="s">
        <v>5728</v>
      </c>
      <c r="T871" s="7">
        <v>1</v>
      </c>
      <c r="U871" s="7">
        <v>533</v>
      </c>
      <c r="V871" s="7">
        <v>0</v>
      </c>
      <c r="W871" s="7">
        <v>1</v>
      </c>
      <c r="X871" s="7">
        <v>0</v>
      </c>
      <c r="Y871" s="7">
        <v>0</v>
      </c>
      <c r="Z871" s="7">
        <v>0</v>
      </c>
      <c r="AA871" s="7">
        <v>0</v>
      </c>
      <c r="AB871" s="7">
        <v>1</v>
      </c>
      <c r="AC871" s="7">
        <v>1</v>
      </c>
      <c r="AD871" s="7" t="s">
        <v>5044</v>
      </c>
      <c r="AE871" s="7" t="s">
        <v>5044</v>
      </c>
      <c r="AF871" s="7" t="s">
        <v>5044</v>
      </c>
      <c r="AG871" s="7">
        <v>1</v>
      </c>
      <c r="AH871" s="7">
        <v>0</v>
      </c>
      <c r="AI871" s="7">
        <v>0</v>
      </c>
      <c r="AJ871" s="7" t="s">
        <v>5044</v>
      </c>
      <c r="AK871" s="7" t="s">
        <v>5318</v>
      </c>
      <c r="AL871" s="7">
        <v>0</v>
      </c>
      <c r="AM871" s="7">
        <v>0</v>
      </c>
    </row>
    <row r="872" spans="1:40" ht="63" customHeight="1" x14ac:dyDescent="0.2">
      <c r="A872" s="7">
        <v>8806</v>
      </c>
      <c r="B872" s="7" t="s">
        <v>3106</v>
      </c>
      <c r="C872" s="7" t="s">
        <v>3107</v>
      </c>
      <c r="D872" s="7" t="s">
        <v>95</v>
      </c>
      <c r="F872" s="7" t="s">
        <v>1801</v>
      </c>
      <c r="G872" s="7" t="s">
        <v>52</v>
      </c>
      <c r="H872" s="7" t="s">
        <v>43</v>
      </c>
      <c r="I872" s="7" t="s">
        <v>13</v>
      </c>
      <c r="J872" s="7" t="s">
        <v>3108</v>
      </c>
      <c r="K872" s="7" t="s">
        <v>3109</v>
      </c>
      <c r="L872" s="7" t="s">
        <v>5907</v>
      </c>
      <c r="M872" s="7">
        <v>0</v>
      </c>
      <c r="N872" s="7" t="s">
        <v>5044</v>
      </c>
      <c r="O872" s="7" t="s">
        <v>5044</v>
      </c>
      <c r="P872" s="7">
        <v>0</v>
      </c>
      <c r="Q872" s="7">
        <v>0</v>
      </c>
      <c r="R872" s="7">
        <v>0</v>
      </c>
      <c r="S872" s="7">
        <v>1</v>
      </c>
      <c r="T872" s="7">
        <v>5</v>
      </c>
      <c r="U872" s="7">
        <v>184</v>
      </c>
      <c r="V872" s="7">
        <v>0</v>
      </c>
      <c r="W872" s="7">
        <v>1</v>
      </c>
      <c r="X872" s="7">
        <v>0</v>
      </c>
      <c r="Y872" s="7">
        <v>0</v>
      </c>
      <c r="Z872" s="7">
        <v>0</v>
      </c>
      <c r="AA872" s="7">
        <v>0</v>
      </c>
      <c r="AB872" s="7">
        <v>1</v>
      </c>
      <c r="AC872" s="7">
        <v>1</v>
      </c>
      <c r="AD872" s="7" t="s">
        <v>5044</v>
      </c>
      <c r="AE872" s="7" t="s">
        <v>5044</v>
      </c>
      <c r="AF872" s="7" t="s">
        <v>5044</v>
      </c>
      <c r="AG872" s="7">
        <v>1</v>
      </c>
      <c r="AH872" s="7">
        <v>0</v>
      </c>
      <c r="AI872" s="7">
        <v>0</v>
      </c>
      <c r="AJ872" s="7" t="s">
        <v>5044</v>
      </c>
      <c r="AK872" s="7" t="s">
        <v>5318</v>
      </c>
      <c r="AL872" s="7">
        <v>0</v>
      </c>
      <c r="AM872" s="7">
        <v>0</v>
      </c>
    </row>
    <row r="873" spans="1:40" ht="63" customHeight="1" x14ac:dyDescent="0.2">
      <c r="A873" s="7">
        <v>8807</v>
      </c>
      <c r="B873" s="7" t="s">
        <v>3110</v>
      </c>
      <c r="C873" s="7" t="s">
        <v>3107</v>
      </c>
      <c r="D873" s="7" t="s">
        <v>149</v>
      </c>
      <c r="F873" s="7" t="s">
        <v>3111</v>
      </c>
      <c r="G873" s="7" t="s">
        <v>17</v>
      </c>
      <c r="H873" s="7" t="s">
        <v>663</v>
      </c>
      <c r="I873" s="7" t="s">
        <v>13</v>
      </c>
      <c r="J873" s="7" t="s">
        <v>3112</v>
      </c>
      <c r="K873" s="7" t="s">
        <v>3113</v>
      </c>
      <c r="L873" s="7" t="s">
        <v>5908</v>
      </c>
      <c r="M873" s="7">
        <v>0</v>
      </c>
      <c r="N873" s="7" t="s">
        <v>5044</v>
      </c>
      <c r="O873" s="7" t="s">
        <v>5044</v>
      </c>
      <c r="P873" s="7">
        <v>0</v>
      </c>
      <c r="Q873" s="7">
        <v>0</v>
      </c>
      <c r="R873" s="7">
        <v>0</v>
      </c>
      <c r="S873" s="7">
        <v>1</v>
      </c>
      <c r="T873" s="7">
        <v>5</v>
      </c>
      <c r="U873" s="7">
        <v>145</v>
      </c>
      <c r="V873" s="7">
        <v>0</v>
      </c>
      <c r="W873" s="7">
        <v>1</v>
      </c>
      <c r="X873" s="7">
        <v>0</v>
      </c>
      <c r="Y873" s="7">
        <v>0</v>
      </c>
      <c r="Z873" s="7">
        <v>0</v>
      </c>
      <c r="AA873" s="7">
        <v>0</v>
      </c>
      <c r="AB873" s="7">
        <v>1</v>
      </c>
      <c r="AC873" s="7">
        <v>1</v>
      </c>
      <c r="AD873" s="7" t="s">
        <v>5044</v>
      </c>
      <c r="AE873" s="7" t="s">
        <v>5044</v>
      </c>
      <c r="AF873" s="7" t="s">
        <v>5044</v>
      </c>
      <c r="AG873" s="7">
        <v>2</v>
      </c>
      <c r="AH873" s="7">
        <v>3</v>
      </c>
      <c r="AI873" s="7">
        <v>0</v>
      </c>
      <c r="AJ873" s="7" t="s">
        <v>5044</v>
      </c>
      <c r="AK873" s="7">
        <v>1</v>
      </c>
      <c r="AL873" s="7">
        <v>1</v>
      </c>
      <c r="AM873" s="7">
        <v>0</v>
      </c>
      <c r="AN873" s="7" t="s">
        <v>5318</v>
      </c>
    </row>
    <row r="874" spans="1:40" ht="63" customHeight="1" x14ac:dyDescent="0.2">
      <c r="A874" s="7">
        <v>8823</v>
      </c>
      <c r="B874" s="7" t="s">
        <v>3114</v>
      </c>
      <c r="C874" s="7" t="s">
        <v>3115</v>
      </c>
      <c r="D874" s="7" t="s">
        <v>56</v>
      </c>
      <c r="F874" s="7" t="s">
        <v>136</v>
      </c>
      <c r="G874" s="7" t="s">
        <v>52</v>
      </c>
      <c r="H874" s="7" t="s">
        <v>53</v>
      </c>
      <c r="I874" s="7" t="s">
        <v>13</v>
      </c>
      <c r="J874" s="7" t="s">
        <v>3116</v>
      </c>
      <c r="K874" s="7" t="s">
        <v>3117</v>
      </c>
      <c r="L874" s="7" t="s">
        <v>5909</v>
      </c>
      <c r="M874" s="7">
        <v>1</v>
      </c>
      <c r="N874" s="7">
        <v>0</v>
      </c>
      <c r="O874" s="7" t="s">
        <v>5044</v>
      </c>
      <c r="P874" s="7">
        <v>0</v>
      </c>
      <c r="Q874" s="7">
        <v>0</v>
      </c>
      <c r="R874" s="7">
        <v>0</v>
      </c>
      <c r="S874" s="7">
        <v>1</v>
      </c>
      <c r="T874" s="7">
        <v>1</v>
      </c>
      <c r="U874" s="7">
        <v>506</v>
      </c>
      <c r="V874" s="7">
        <v>1</v>
      </c>
      <c r="W874" s="7">
        <v>0</v>
      </c>
      <c r="X874" s="7">
        <v>0</v>
      </c>
      <c r="Y874" s="7">
        <v>0</v>
      </c>
      <c r="Z874" s="7">
        <v>0</v>
      </c>
      <c r="AA874" s="7">
        <v>0</v>
      </c>
      <c r="AB874" s="7">
        <v>1</v>
      </c>
      <c r="AC874" s="7" t="s">
        <v>5044</v>
      </c>
      <c r="AD874" s="7" t="s">
        <v>5044</v>
      </c>
      <c r="AE874" s="7" t="s">
        <v>5044</v>
      </c>
      <c r="AF874" s="7" t="s">
        <v>5044</v>
      </c>
      <c r="AG874" s="7" t="s">
        <v>5044</v>
      </c>
      <c r="AH874" s="7" t="s">
        <v>5044</v>
      </c>
      <c r="AI874" s="7" t="s">
        <v>5044</v>
      </c>
      <c r="AJ874" s="7" t="s">
        <v>5044</v>
      </c>
      <c r="AK874" s="7" t="s">
        <v>5318</v>
      </c>
      <c r="AL874" s="7" t="s">
        <v>5044</v>
      </c>
      <c r="AM874" s="7">
        <v>0</v>
      </c>
      <c r="AN874" s="7" t="s">
        <v>5318</v>
      </c>
    </row>
    <row r="875" spans="1:40" ht="63" customHeight="1" x14ac:dyDescent="0.2">
      <c r="A875" s="7">
        <v>8831</v>
      </c>
      <c r="B875" s="7" t="s">
        <v>3118</v>
      </c>
      <c r="C875" s="7" t="s">
        <v>3119</v>
      </c>
      <c r="D875" s="7" t="s">
        <v>95</v>
      </c>
      <c r="F875" s="7" t="s">
        <v>52</v>
      </c>
      <c r="G875" s="7" t="s">
        <v>52</v>
      </c>
      <c r="H875" s="7" t="s">
        <v>3120</v>
      </c>
      <c r="I875" s="7" t="s">
        <v>13</v>
      </c>
      <c r="J875" s="7" t="s">
        <v>3121</v>
      </c>
      <c r="K875" s="7" t="s">
        <v>3122</v>
      </c>
      <c r="L875" s="7" t="s">
        <v>5910</v>
      </c>
      <c r="M875" s="7">
        <v>1</v>
      </c>
      <c r="N875" s="7">
        <v>0</v>
      </c>
      <c r="O875" s="7" t="s">
        <v>5044</v>
      </c>
      <c r="P875" s="7">
        <v>0</v>
      </c>
      <c r="Q875" s="7">
        <v>0</v>
      </c>
      <c r="R875" s="7">
        <v>0</v>
      </c>
      <c r="S875" s="7">
        <v>1</v>
      </c>
      <c r="T875" s="7">
        <v>2</v>
      </c>
      <c r="U875" s="7">
        <v>880</v>
      </c>
      <c r="V875" s="7">
        <v>0</v>
      </c>
      <c r="W875" s="7">
        <v>1</v>
      </c>
      <c r="X875" s="7">
        <v>0</v>
      </c>
      <c r="Y875" s="7">
        <v>0</v>
      </c>
      <c r="Z875" s="7">
        <v>0</v>
      </c>
      <c r="AA875" s="7">
        <v>0</v>
      </c>
      <c r="AB875" s="7">
        <v>1</v>
      </c>
      <c r="AC875" s="7" t="s">
        <v>5044</v>
      </c>
      <c r="AD875" s="7" t="s">
        <v>5044</v>
      </c>
      <c r="AE875" s="7" t="s">
        <v>5044</v>
      </c>
      <c r="AF875" s="7" t="s">
        <v>5044</v>
      </c>
      <c r="AG875" s="7" t="s">
        <v>5044</v>
      </c>
      <c r="AH875" s="7" t="s">
        <v>5044</v>
      </c>
      <c r="AI875" s="7" t="s">
        <v>5044</v>
      </c>
      <c r="AJ875" s="7" t="s">
        <v>5044</v>
      </c>
      <c r="AK875" s="7" t="s">
        <v>5318</v>
      </c>
      <c r="AL875" s="7" t="s">
        <v>5044</v>
      </c>
      <c r="AM875" s="7">
        <v>0</v>
      </c>
      <c r="AN875" s="7" t="s">
        <v>5318</v>
      </c>
    </row>
    <row r="876" spans="1:40" ht="63" customHeight="1" x14ac:dyDescent="0.2">
      <c r="A876" s="7">
        <v>8843</v>
      </c>
      <c r="B876" s="7" t="s">
        <v>3123</v>
      </c>
      <c r="C876" s="7" t="s">
        <v>3124</v>
      </c>
      <c r="D876" s="7" t="s">
        <v>41</v>
      </c>
      <c r="F876" s="7" t="s">
        <v>175</v>
      </c>
      <c r="H876" s="7" t="s">
        <v>621</v>
      </c>
      <c r="I876" s="7" t="s">
        <v>13</v>
      </c>
      <c r="J876" s="7" t="s">
        <v>3125</v>
      </c>
      <c r="K876" s="7" t="s">
        <v>3126</v>
      </c>
      <c r="L876" s="7" t="s">
        <v>5911</v>
      </c>
      <c r="M876" s="7">
        <v>1</v>
      </c>
      <c r="N876" s="7">
        <v>0</v>
      </c>
      <c r="O876" s="7" t="s">
        <v>5044</v>
      </c>
      <c r="P876" s="7">
        <v>0</v>
      </c>
      <c r="Q876" s="7">
        <v>0</v>
      </c>
      <c r="R876" s="7">
        <v>0</v>
      </c>
      <c r="S876" s="7">
        <v>1</v>
      </c>
      <c r="T876" s="7">
        <v>1</v>
      </c>
      <c r="U876" s="7">
        <v>654</v>
      </c>
      <c r="V876" s="7">
        <v>0</v>
      </c>
      <c r="W876" s="7">
        <v>1</v>
      </c>
      <c r="X876" s="7">
        <v>0</v>
      </c>
      <c r="Y876" s="7">
        <v>0</v>
      </c>
      <c r="Z876" s="7">
        <v>0</v>
      </c>
      <c r="AA876" s="7">
        <v>0</v>
      </c>
      <c r="AB876" s="7">
        <v>1</v>
      </c>
      <c r="AC876" s="7" t="s">
        <v>5044</v>
      </c>
      <c r="AD876" s="7" t="s">
        <v>5044</v>
      </c>
      <c r="AE876" s="7" t="s">
        <v>5044</v>
      </c>
      <c r="AF876" s="7" t="s">
        <v>5044</v>
      </c>
      <c r="AG876" s="7" t="s">
        <v>5044</v>
      </c>
      <c r="AH876" s="7" t="s">
        <v>5044</v>
      </c>
      <c r="AI876" s="7" t="s">
        <v>5044</v>
      </c>
      <c r="AJ876" s="7" t="s">
        <v>5044</v>
      </c>
      <c r="AK876" s="7" t="s">
        <v>5318</v>
      </c>
      <c r="AL876" s="7" t="s">
        <v>5044</v>
      </c>
      <c r="AM876" s="7">
        <v>0</v>
      </c>
      <c r="AN876" s="7" t="s">
        <v>5318</v>
      </c>
    </row>
    <row r="877" spans="1:40" ht="63" customHeight="1" x14ac:dyDescent="0.2">
      <c r="A877" s="7">
        <v>8868</v>
      </c>
      <c r="B877" s="7" t="s">
        <v>3127</v>
      </c>
      <c r="C877" s="7" t="s">
        <v>3128</v>
      </c>
      <c r="D877" s="7" t="s">
        <v>25</v>
      </c>
      <c r="F877" s="7" t="s">
        <v>571</v>
      </c>
      <c r="G877" s="7" t="s">
        <v>11</v>
      </c>
      <c r="H877" s="7" t="s">
        <v>3129</v>
      </c>
      <c r="I877" s="7" t="s">
        <v>13</v>
      </c>
      <c r="K877" s="7" t="s">
        <v>3130</v>
      </c>
      <c r="L877" s="7" t="s">
        <v>5912</v>
      </c>
      <c r="M877" s="7">
        <v>0</v>
      </c>
      <c r="N877" s="7" t="s">
        <v>5044</v>
      </c>
      <c r="O877" s="7" t="s">
        <v>5044</v>
      </c>
      <c r="P877" s="7">
        <v>0</v>
      </c>
      <c r="Q877" s="7">
        <v>0</v>
      </c>
      <c r="R877" s="7">
        <v>0</v>
      </c>
      <c r="S877" s="7">
        <v>1</v>
      </c>
      <c r="T877" s="7">
        <v>1</v>
      </c>
      <c r="U877" s="7">
        <v>143</v>
      </c>
      <c r="V877" s="7">
        <v>0</v>
      </c>
      <c r="W877" s="7">
        <v>1</v>
      </c>
      <c r="X877" s="7">
        <v>0</v>
      </c>
      <c r="Y877" s="7">
        <v>0</v>
      </c>
      <c r="Z877" s="7">
        <v>0</v>
      </c>
      <c r="AA877" s="7">
        <v>0</v>
      </c>
      <c r="AB877" s="7">
        <v>1</v>
      </c>
      <c r="AC877" s="7">
        <v>0</v>
      </c>
      <c r="AD877" s="7" t="s">
        <v>5044</v>
      </c>
      <c r="AE877" s="7" t="s">
        <v>5044</v>
      </c>
      <c r="AF877" s="7" t="s">
        <v>5044</v>
      </c>
      <c r="AG877" s="7">
        <v>0</v>
      </c>
      <c r="AH877" s="7" t="s">
        <v>5044</v>
      </c>
      <c r="AI877" s="7" t="s">
        <v>5044</v>
      </c>
      <c r="AJ877" s="7" t="s">
        <v>5044</v>
      </c>
      <c r="AK877" s="7" t="s">
        <v>5318</v>
      </c>
      <c r="AL877" s="7">
        <v>0</v>
      </c>
      <c r="AM877" s="7">
        <v>0</v>
      </c>
      <c r="AN877" s="7" t="s">
        <v>5318</v>
      </c>
    </row>
    <row r="878" spans="1:40" ht="63" customHeight="1" x14ac:dyDescent="0.2">
      <c r="A878" s="7">
        <v>8871</v>
      </c>
      <c r="B878" s="7" t="s">
        <v>3131</v>
      </c>
      <c r="C878" s="7" t="s">
        <v>3132</v>
      </c>
      <c r="D878" s="7" t="s">
        <v>22</v>
      </c>
      <c r="F878" s="7" t="s">
        <v>626</v>
      </c>
      <c r="G878" s="7" t="s">
        <v>37</v>
      </c>
      <c r="H878" s="7" t="s">
        <v>43</v>
      </c>
      <c r="I878" s="7" t="s">
        <v>13</v>
      </c>
      <c r="J878" s="7" t="s">
        <v>3133</v>
      </c>
      <c r="K878" s="7" t="s">
        <v>3134</v>
      </c>
      <c r="L878" s="7" t="s">
        <v>5913</v>
      </c>
      <c r="M878" s="7">
        <v>0</v>
      </c>
      <c r="N878" s="7" t="s">
        <v>5044</v>
      </c>
      <c r="O878" s="7" t="s">
        <v>5044</v>
      </c>
      <c r="P878" s="7">
        <v>0</v>
      </c>
      <c r="Q878" s="7">
        <v>0</v>
      </c>
      <c r="R878" s="7">
        <v>0</v>
      </c>
      <c r="S878" s="7">
        <v>1</v>
      </c>
      <c r="T878" s="7">
        <v>1</v>
      </c>
      <c r="U878" s="7">
        <v>198</v>
      </c>
      <c r="V878" s="7">
        <v>0</v>
      </c>
      <c r="W878" s="7">
        <v>1</v>
      </c>
      <c r="X878" s="7">
        <v>0</v>
      </c>
      <c r="Y878" s="7">
        <v>0</v>
      </c>
      <c r="Z878" s="7">
        <v>0</v>
      </c>
      <c r="AA878" s="7">
        <v>0</v>
      </c>
      <c r="AB878" s="7">
        <v>1</v>
      </c>
      <c r="AC878" s="7">
        <v>0</v>
      </c>
      <c r="AD878" s="7" t="s">
        <v>5044</v>
      </c>
      <c r="AE878" s="7" t="s">
        <v>5044</v>
      </c>
      <c r="AF878" s="7" t="s">
        <v>5044</v>
      </c>
      <c r="AG878" s="7">
        <v>0</v>
      </c>
      <c r="AH878" s="7" t="s">
        <v>5044</v>
      </c>
      <c r="AI878" s="7" t="s">
        <v>5044</v>
      </c>
      <c r="AJ878" s="7" t="s">
        <v>5044</v>
      </c>
      <c r="AK878" s="7" t="s">
        <v>5318</v>
      </c>
      <c r="AL878" s="7">
        <v>0</v>
      </c>
      <c r="AM878" s="7">
        <v>0</v>
      </c>
      <c r="AN878" s="7" t="s">
        <v>5318</v>
      </c>
    </row>
    <row r="879" spans="1:40" ht="63" customHeight="1" x14ac:dyDescent="0.2">
      <c r="A879" s="7">
        <v>8883</v>
      </c>
      <c r="B879" s="7" t="s">
        <v>3135</v>
      </c>
      <c r="C879" s="7" t="s">
        <v>3136</v>
      </c>
      <c r="D879" s="7" t="s">
        <v>16</v>
      </c>
      <c r="F879" s="7" t="s">
        <v>372</v>
      </c>
      <c r="G879" s="7" t="s">
        <v>175</v>
      </c>
      <c r="H879" s="7" t="s">
        <v>290</v>
      </c>
      <c r="I879" s="7" t="s">
        <v>13</v>
      </c>
      <c r="J879" s="7" t="s">
        <v>3137</v>
      </c>
      <c r="K879" s="7" t="s">
        <v>3138</v>
      </c>
      <c r="L879" s="7" t="s">
        <v>5914</v>
      </c>
      <c r="M879" s="7">
        <v>0</v>
      </c>
      <c r="N879" s="7" t="s">
        <v>5044</v>
      </c>
      <c r="O879" s="7" t="s">
        <v>5044</v>
      </c>
      <c r="P879" s="7">
        <v>0</v>
      </c>
      <c r="Q879" s="7">
        <v>0</v>
      </c>
      <c r="R879" s="7">
        <v>0</v>
      </c>
      <c r="S879" s="7">
        <v>1</v>
      </c>
      <c r="T879" s="7">
        <v>6</v>
      </c>
      <c r="U879" s="7">
        <v>224</v>
      </c>
      <c r="V879" s="7">
        <v>0</v>
      </c>
      <c r="W879" s="7">
        <v>1</v>
      </c>
      <c r="X879" s="7">
        <v>0</v>
      </c>
      <c r="Y879" s="7">
        <v>0</v>
      </c>
      <c r="Z879" s="7">
        <v>0</v>
      </c>
      <c r="AA879" s="7">
        <v>0</v>
      </c>
      <c r="AB879" s="7">
        <v>1</v>
      </c>
      <c r="AC879" s="7">
        <v>1</v>
      </c>
      <c r="AD879" s="7" t="s">
        <v>5044</v>
      </c>
      <c r="AE879" s="7" t="s">
        <v>5044</v>
      </c>
      <c r="AF879" s="7" t="s">
        <v>5044</v>
      </c>
      <c r="AG879" s="7">
        <v>2</v>
      </c>
      <c r="AH879" s="7">
        <v>3</v>
      </c>
      <c r="AI879" s="7">
        <v>0</v>
      </c>
      <c r="AJ879" s="7" t="s">
        <v>5044</v>
      </c>
      <c r="AK879" s="7">
        <v>1</v>
      </c>
      <c r="AL879" s="7" t="s">
        <v>5044</v>
      </c>
      <c r="AM879" s="7">
        <v>0</v>
      </c>
      <c r="AN879" s="7" t="s">
        <v>5105</v>
      </c>
    </row>
    <row r="880" spans="1:40" ht="63" customHeight="1" x14ac:dyDescent="0.2">
      <c r="A880" s="7">
        <v>8887</v>
      </c>
      <c r="B880" s="7" t="s">
        <v>3139</v>
      </c>
      <c r="C880" s="7" t="s">
        <v>3140</v>
      </c>
      <c r="D880" s="7" t="s">
        <v>74</v>
      </c>
      <c r="H880" s="7" t="s">
        <v>679</v>
      </c>
      <c r="I880" s="7" t="s">
        <v>13</v>
      </c>
      <c r="J880" s="7" t="s">
        <v>3141</v>
      </c>
      <c r="K880" s="7" t="s">
        <v>3142</v>
      </c>
      <c r="L880" s="7" t="s">
        <v>5916</v>
      </c>
      <c r="M880" s="7">
        <v>0</v>
      </c>
      <c r="N880" s="7" t="s">
        <v>5044</v>
      </c>
      <c r="O880" s="7" t="s">
        <v>5044</v>
      </c>
      <c r="P880" s="7">
        <v>0</v>
      </c>
      <c r="Q880" s="7">
        <v>0</v>
      </c>
      <c r="R880" s="7">
        <v>0</v>
      </c>
      <c r="S880" s="7">
        <v>3</v>
      </c>
      <c r="T880" s="7">
        <v>1</v>
      </c>
      <c r="U880" s="7">
        <v>145</v>
      </c>
      <c r="V880" s="7">
        <v>0</v>
      </c>
      <c r="W880" s="7">
        <v>1</v>
      </c>
      <c r="X880" s="7">
        <v>0</v>
      </c>
      <c r="Y880" s="7">
        <v>0</v>
      </c>
      <c r="Z880" s="7">
        <v>0</v>
      </c>
      <c r="AA880" s="7">
        <v>0</v>
      </c>
      <c r="AB880" s="7">
        <v>1</v>
      </c>
      <c r="AC880" s="7">
        <v>1</v>
      </c>
      <c r="AD880" s="7" t="s">
        <v>5044</v>
      </c>
      <c r="AE880" s="7" t="s">
        <v>5044</v>
      </c>
      <c r="AF880" s="7" t="s">
        <v>5044</v>
      </c>
      <c r="AG880" s="7">
        <v>2</v>
      </c>
      <c r="AH880" s="7">
        <v>3</v>
      </c>
      <c r="AI880" s="7">
        <v>0</v>
      </c>
      <c r="AJ880" s="7" t="s">
        <v>5044</v>
      </c>
      <c r="AK880" s="7" t="s">
        <v>5917</v>
      </c>
      <c r="AL880" s="7">
        <v>0</v>
      </c>
      <c r="AM880" s="7">
        <v>0</v>
      </c>
      <c r="AN880" s="7" t="s">
        <v>5318</v>
      </c>
    </row>
    <row r="881" spans="1:40" ht="63" customHeight="1" x14ac:dyDescent="0.2">
      <c r="A881" s="7">
        <v>8918</v>
      </c>
      <c r="B881" s="7" t="s">
        <v>3147</v>
      </c>
      <c r="C881" s="7" t="s">
        <v>3148</v>
      </c>
      <c r="D881" s="7" t="s">
        <v>16</v>
      </c>
      <c r="F881" s="7" t="s">
        <v>865</v>
      </c>
      <c r="G881" s="7" t="s">
        <v>48</v>
      </c>
      <c r="H881" s="7" t="s">
        <v>286</v>
      </c>
      <c r="I881" s="7" t="s">
        <v>13</v>
      </c>
      <c r="J881" s="7" t="s">
        <v>3149</v>
      </c>
      <c r="K881" s="7" t="s">
        <v>3150</v>
      </c>
      <c r="L881" s="7" t="s">
        <v>5920</v>
      </c>
      <c r="M881" s="7">
        <v>0</v>
      </c>
      <c r="N881" s="7" t="s">
        <v>5044</v>
      </c>
      <c r="O881" s="7" t="s">
        <v>5044</v>
      </c>
      <c r="P881" s="7">
        <v>0</v>
      </c>
      <c r="Q881" s="7">
        <v>0</v>
      </c>
      <c r="R881" s="7">
        <v>0</v>
      </c>
      <c r="S881" s="7">
        <v>1</v>
      </c>
      <c r="T881" s="7">
        <v>4</v>
      </c>
      <c r="U881" s="7">
        <v>126</v>
      </c>
      <c r="V881" s="7">
        <v>0</v>
      </c>
      <c r="W881" s="7">
        <v>1</v>
      </c>
      <c r="X881" s="7">
        <v>0</v>
      </c>
      <c r="Y881" s="7">
        <v>0</v>
      </c>
      <c r="Z881" s="7">
        <v>0</v>
      </c>
      <c r="AA881" s="7">
        <v>0</v>
      </c>
      <c r="AB881" s="7">
        <v>1</v>
      </c>
      <c r="AC881" s="7">
        <v>1</v>
      </c>
      <c r="AD881" s="7" t="s">
        <v>5044</v>
      </c>
      <c r="AE881" s="7" t="s">
        <v>5044</v>
      </c>
      <c r="AF881" s="7" t="s">
        <v>5044</v>
      </c>
      <c r="AG881" s="7">
        <v>1</v>
      </c>
      <c r="AH881" s="7">
        <v>0</v>
      </c>
      <c r="AI881" s="7">
        <v>0</v>
      </c>
      <c r="AJ881" s="7" t="s">
        <v>5044</v>
      </c>
      <c r="AK881" s="7" t="s">
        <v>5318</v>
      </c>
      <c r="AL881" s="7">
        <v>1</v>
      </c>
      <c r="AM881" s="7">
        <v>0</v>
      </c>
    </row>
    <row r="882" spans="1:40" ht="63" customHeight="1" x14ac:dyDescent="0.2">
      <c r="A882" s="7">
        <v>8920</v>
      </c>
      <c r="B882" s="7" t="s">
        <v>3151</v>
      </c>
      <c r="C882" s="7" t="s">
        <v>3152</v>
      </c>
      <c r="D882" s="7" t="s">
        <v>16</v>
      </c>
      <c r="F882" s="7" t="s">
        <v>220</v>
      </c>
      <c r="G882" s="7" t="s">
        <v>144</v>
      </c>
      <c r="H882" s="7" t="s">
        <v>3153</v>
      </c>
      <c r="I882" s="7" t="s">
        <v>13</v>
      </c>
      <c r="J882" s="7" t="s">
        <v>3154</v>
      </c>
      <c r="K882" s="7" t="s">
        <v>3155</v>
      </c>
      <c r="L882" s="11" t="s">
        <v>5044</v>
      </c>
      <c r="M882" s="7">
        <v>0</v>
      </c>
      <c r="N882" s="7" t="s">
        <v>5044</v>
      </c>
      <c r="O882" s="7" t="s">
        <v>5044</v>
      </c>
      <c r="P882" s="7">
        <v>0</v>
      </c>
      <c r="Q882" s="7">
        <v>0</v>
      </c>
      <c r="R882" s="7">
        <v>0</v>
      </c>
      <c r="S882" s="7" t="s">
        <v>5921</v>
      </c>
      <c r="T882" s="7">
        <v>4</v>
      </c>
      <c r="U882" s="7">
        <v>16</v>
      </c>
      <c r="V882" s="7">
        <v>0</v>
      </c>
      <c r="W882" s="7">
        <v>1</v>
      </c>
      <c r="X882" s="7">
        <v>0</v>
      </c>
      <c r="Y882" s="7">
        <v>0</v>
      </c>
      <c r="Z882" s="7">
        <v>0</v>
      </c>
      <c r="AA882" s="7">
        <v>0</v>
      </c>
      <c r="AB882" s="7">
        <v>1</v>
      </c>
      <c r="AC882" s="7">
        <v>1</v>
      </c>
      <c r="AD882" s="7" t="s">
        <v>5044</v>
      </c>
      <c r="AE882" s="7" t="s">
        <v>5044</v>
      </c>
      <c r="AF882" s="7" t="s">
        <v>5044</v>
      </c>
      <c r="AG882" s="7">
        <v>2</v>
      </c>
      <c r="AH882" s="7">
        <v>3</v>
      </c>
      <c r="AI882" s="7">
        <v>0</v>
      </c>
      <c r="AJ882" s="7" t="s">
        <v>5044</v>
      </c>
      <c r="AK882" s="7" t="s">
        <v>5922</v>
      </c>
      <c r="AL882" s="7" t="s">
        <v>5044</v>
      </c>
      <c r="AM882" s="7">
        <v>0</v>
      </c>
    </row>
    <row r="883" spans="1:40" ht="63" customHeight="1" x14ac:dyDescent="0.2">
      <c r="A883" s="7">
        <v>8921</v>
      </c>
      <c r="B883" s="7" t="s">
        <v>3156</v>
      </c>
      <c r="C883" s="7" t="s">
        <v>3157</v>
      </c>
      <c r="D883" s="7" t="s">
        <v>101</v>
      </c>
      <c r="F883" s="7" t="s">
        <v>859</v>
      </c>
      <c r="G883" s="7" t="s">
        <v>32</v>
      </c>
      <c r="H883" s="7" t="s">
        <v>390</v>
      </c>
      <c r="I883" s="7" t="s">
        <v>13</v>
      </c>
      <c r="J883" s="7" t="s">
        <v>3158</v>
      </c>
      <c r="K883" s="7" t="s">
        <v>3159</v>
      </c>
      <c r="L883" s="7" t="s">
        <v>5923</v>
      </c>
      <c r="M883" s="7">
        <v>0</v>
      </c>
      <c r="N883" s="7" t="s">
        <v>5044</v>
      </c>
      <c r="O883" s="7" t="s">
        <v>5044</v>
      </c>
      <c r="P883" s="7">
        <v>0</v>
      </c>
      <c r="Q883" s="7">
        <v>0</v>
      </c>
      <c r="R883" s="7">
        <v>0</v>
      </c>
      <c r="S883" s="7">
        <v>5</v>
      </c>
      <c r="T883" s="7">
        <v>2</v>
      </c>
      <c r="U883" s="7">
        <v>141</v>
      </c>
      <c r="V883" s="7">
        <v>0</v>
      </c>
      <c r="W883" s="7">
        <v>1</v>
      </c>
      <c r="X883" s="7">
        <v>0</v>
      </c>
      <c r="Y883" s="7">
        <v>0</v>
      </c>
      <c r="Z883" s="7">
        <v>0</v>
      </c>
      <c r="AA883" s="7">
        <v>0</v>
      </c>
      <c r="AB883" s="7">
        <v>1</v>
      </c>
      <c r="AC883" s="7">
        <v>1</v>
      </c>
      <c r="AD883" s="7" t="s">
        <v>5044</v>
      </c>
      <c r="AE883" s="7" t="s">
        <v>5044</v>
      </c>
      <c r="AF883" s="7" t="s">
        <v>5044</v>
      </c>
      <c r="AG883" s="7">
        <v>1</v>
      </c>
      <c r="AH883" s="7">
        <v>0</v>
      </c>
      <c r="AI883" s="7">
        <v>0</v>
      </c>
      <c r="AJ883" s="7" t="s">
        <v>5044</v>
      </c>
      <c r="AK883" s="7" t="s">
        <v>5318</v>
      </c>
      <c r="AL883" s="7">
        <v>1</v>
      </c>
      <c r="AM883" s="7">
        <v>0</v>
      </c>
      <c r="AN883" s="7" t="s">
        <v>5318</v>
      </c>
    </row>
    <row r="884" spans="1:40" ht="63" customHeight="1" x14ac:dyDescent="0.2">
      <c r="A884" s="7">
        <v>8922</v>
      </c>
      <c r="B884" s="7" t="s">
        <v>3160</v>
      </c>
      <c r="C884" s="7" t="s">
        <v>3161</v>
      </c>
      <c r="D884" s="7" t="s">
        <v>74</v>
      </c>
      <c r="F884" s="7" t="s">
        <v>757</v>
      </c>
      <c r="G884" s="7" t="s">
        <v>32</v>
      </c>
      <c r="H884" s="7" t="s">
        <v>459</v>
      </c>
      <c r="I884" s="7" t="s">
        <v>13</v>
      </c>
      <c r="J884" s="7" t="s">
        <v>3162</v>
      </c>
      <c r="K884" s="7" t="s">
        <v>3163</v>
      </c>
      <c r="L884" s="7" t="s">
        <v>5924</v>
      </c>
      <c r="M884" s="7">
        <v>0</v>
      </c>
      <c r="N884" s="7" t="s">
        <v>5044</v>
      </c>
      <c r="O884" s="7" t="s">
        <v>5044</v>
      </c>
      <c r="P884" s="7">
        <v>0</v>
      </c>
      <c r="Q884" s="7">
        <v>0</v>
      </c>
      <c r="R884" s="7">
        <v>0</v>
      </c>
      <c r="S884" s="7">
        <v>2</v>
      </c>
      <c r="T884" s="7">
        <v>4</v>
      </c>
      <c r="U884" s="7">
        <v>68</v>
      </c>
      <c r="V884" s="7">
        <v>0</v>
      </c>
      <c r="W884" s="7">
        <v>1</v>
      </c>
      <c r="X884" s="7">
        <v>0</v>
      </c>
      <c r="Y884" s="7">
        <v>0</v>
      </c>
      <c r="Z884" s="7">
        <v>1</v>
      </c>
      <c r="AA884" s="7">
        <v>0</v>
      </c>
      <c r="AB884" s="7">
        <v>0</v>
      </c>
      <c r="AC884" s="7">
        <v>1</v>
      </c>
      <c r="AD884" s="7" t="s">
        <v>5044</v>
      </c>
      <c r="AE884" s="7" t="s">
        <v>5044</v>
      </c>
      <c r="AF884" s="7" t="s">
        <v>5044</v>
      </c>
      <c r="AG884" s="7">
        <v>0</v>
      </c>
      <c r="AH884" s="7" t="s">
        <v>5044</v>
      </c>
      <c r="AI884" s="7" t="s">
        <v>5044</v>
      </c>
      <c r="AJ884" s="7">
        <v>0</v>
      </c>
      <c r="AK884" s="7" t="s">
        <v>5318</v>
      </c>
      <c r="AL884" s="7">
        <v>1</v>
      </c>
      <c r="AM884" s="7">
        <v>0</v>
      </c>
    </row>
    <row r="885" spans="1:40" ht="63" customHeight="1" x14ac:dyDescent="0.2">
      <c r="A885" s="7">
        <v>8930</v>
      </c>
      <c r="B885" s="7" t="s">
        <v>3164</v>
      </c>
      <c r="C885" s="7" t="s">
        <v>3165</v>
      </c>
      <c r="D885" s="7" t="s">
        <v>46</v>
      </c>
      <c r="F885" s="7" t="s">
        <v>865</v>
      </c>
      <c r="G885" s="7" t="s">
        <v>48</v>
      </c>
      <c r="H885" s="7" t="s">
        <v>357</v>
      </c>
      <c r="I885" s="7" t="s">
        <v>13</v>
      </c>
      <c r="J885" s="7" t="s">
        <v>3166</v>
      </c>
      <c r="K885" s="7" t="s">
        <v>3167</v>
      </c>
      <c r="L885" s="11" t="s">
        <v>5044</v>
      </c>
      <c r="M885" s="7">
        <v>0</v>
      </c>
      <c r="N885" s="7" t="s">
        <v>5044</v>
      </c>
      <c r="O885" s="7" t="s">
        <v>5044</v>
      </c>
      <c r="P885" s="7">
        <v>0</v>
      </c>
      <c r="Q885" s="7">
        <v>0</v>
      </c>
      <c r="R885" s="7">
        <v>0</v>
      </c>
      <c r="S885" s="7">
        <v>1</v>
      </c>
      <c r="T885" s="7">
        <v>4</v>
      </c>
      <c r="U885" s="7">
        <v>63</v>
      </c>
      <c r="V885" s="7">
        <v>0</v>
      </c>
      <c r="W885" s="7">
        <v>1</v>
      </c>
      <c r="X885" s="7">
        <v>0</v>
      </c>
      <c r="Y885" s="7">
        <v>0</v>
      </c>
      <c r="Z885" s="7">
        <v>0</v>
      </c>
      <c r="AA885" s="7">
        <v>0</v>
      </c>
      <c r="AB885" s="7">
        <v>0</v>
      </c>
      <c r="AC885" s="7">
        <v>1</v>
      </c>
      <c r="AD885" s="7" t="s">
        <v>5044</v>
      </c>
      <c r="AE885" s="7" t="s">
        <v>5044</v>
      </c>
      <c r="AF885" s="7" t="s">
        <v>5044</v>
      </c>
      <c r="AG885" s="7">
        <v>2</v>
      </c>
      <c r="AH885" s="7">
        <v>3</v>
      </c>
      <c r="AI885" s="7">
        <v>0</v>
      </c>
      <c r="AJ885" s="7" t="s">
        <v>5044</v>
      </c>
      <c r="AL885" s="7" t="s">
        <v>5044</v>
      </c>
      <c r="AM885" s="7">
        <v>0</v>
      </c>
    </row>
    <row r="886" spans="1:40" ht="63" customHeight="1" x14ac:dyDescent="0.2">
      <c r="A886" s="7">
        <v>8931</v>
      </c>
      <c r="B886" s="23" t="s">
        <v>3168</v>
      </c>
      <c r="C886" s="7" t="s">
        <v>3169</v>
      </c>
      <c r="D886" s="7" t="s">
        <v>46</v>
      </c>
      <c r="F886" s="7" t="s">
        <v>332</v>
      </c>
      <c r="G886" s="7" t="s">
        <v>175</v>
      </c>
      <c r="H886" s="7" t="s">
        <v>217</v>
      </c>
      <c r="I886" s="7" t="s">
        <v>13</v>
      </c>
      <c r="J886" s="7" t="s">
        <v>3170</v>
      </c>
      <c r="K886" s="7" t="s">
        <v>3171</v>
      </c>
      <c r="L886" s="7" t="s">
        <v>5926</v>
      </c>
      <c r="M886" s="7">
        <v>0</v>
      </c>
      <c r="N886" s="7" t="s">
        <v>5044</v>
      </c>
      <c r="O886" s="7" t="s">
        <v>5044</v>
      </c>
      <c r="P886" s="7">
        <v>0</v>
      </c>
      <c r="Q886" s="7">
        <v>0</v>
      </c>
      <c r="R886" s="7">
        <v>0</v>
      </c>
      <c r="S886" s="7">
        <v>1</v>
      </c>
      <c r="T886" s="7">
        <v>4</v>
      </c>
      <c r="U886" s="7">
        <v>662</v>
      </c>
      <c r="V886" s="7">
        <v>1</v>
      </c>
      <c r="W886" s="7">
        <v>0</v>
      </c>
      <c r="X886" s="7">
        <v>0</v>
      </c>
      <c r="Y886" s="7">
        <v>0</v>
      </c>
      <c r="Z886" s="7">
        <v>0</v>
      </c>
      <c r="AA886" s="7">
        <v>0</v>
      </c>
      <c r="AB886" s="7">
        <v>1</v>
      </c>
      <c r="AC886" s="7">
        <v>1</v>
      </c>
      <c r="AD886" s="7">
        <v>2</v>
      </c>
      <c r="AE886" s="7">
        <v>2</v>
      </c>
      <c r="AF886" s="7">
        <v>2</v>
      </c>
      <c r="AG886" s="23" t="s">
        <v>5044</v>
      </c>
      <c r="AH886" s="23" t="s">
        <v>5044</v>
      </c>
      <c r="AI886" s="23" t="s">
        <v>5044</v>
      </c>
      <c r="AJ886" s="7" t="s">
        <v>5044</v>
      </c>
      <c r="AK886" s="7" t="s">
        <v>5927</v>
      </c>
      <c r="AL886" s="7">
        <v>1</v>
      </c>
      <c r="AM886" s="7">
        <v>0</v>
      </c>
      <c r="AN886" s="7" t="s">
        <v>5318</v>
      </c>
    </row>
    <row r="887" spans="1:40" ht="63" customHeight="1" x14ac:dyDescent="0.2">
      <c r="A887" s="7">
        <v>8940</v>
      </c>
      <c r="B887" s="7" t="s">
        <v>3172</v>
      </c>
      <c r="C887" s="7" t="s">
        <v>3173</v>
      </c>
      <c r="D887" s="7" t="s">
        <v>22</v>
      </c>
      <c r="F887" s="7" t="s">
        <v>3174</v>
      </c>
      <c r="H887" s="7" t="s">
        <v>572</v>
      </c>
      <c r="I887" s="7" t="s">
        <v>13</v>
      </c>
      <c r="J887" s="7" t="s">
        <v>3175</v>
      </c>
      <c r="K887" s="7" t="s">
        <v>3176</v>
      </c>
      <c r="L887" s="7" t="s">
        <v>5928</v>
      </c>
      <c r="M887" s="7">
        <v>0</v>
      </c>
      <c r="N887" s="7" t="s">
        <v>5044</v>
      </c>
      <c r="O887" s="7" t="s">
        <v>5044</v>
      </c>
      <c r="P887" s="7">
        <v>0</v>
      </c>
      <c r="Q887" s="7">
        <v>0</v>
      </c>
      <c r="R887" s="7">
        <v>0</v>
      </c>
      <c r="S887" s="7">
        <v>1</v>
      </c>
      <c r="T887" s="7">
        <v>4</v>
      </c>
      <c r="U887" s="7">
        <v>70</v>
      </c>
      <c r="V887" s="7">
        <v>0</v>
      </c>
      <c r="W887" s="7">
        <v>1</v>
      </c>
      <c r="X887" s="7">
        <v>0</v>
      </c>
      <c r="Y887" s="7">
        <v>0</v>
      </c>
      <c r="Z887" s="7">
        <v>0</v>
      </c>
      <c r="AA887" s="7">
        <v>0</v>
      </c>
      <c r="AB887" s="7">
        <v>1</v>
      </c>
      <c r="AC887" s="7">
        <v>1</v>
      </c>
      <c r="AD887" s="7" t="s">
        <v>5044</v>
      </c>
      <c r="AE887" s="7" t="s">
        <v>5044</v>
      </c>
      <c r="AF887" s="7" t="s">
        <v>5044</v>
      </c>
      <c r="AG887" s="7">
        <v>2</v>
      </c>
      <c r="AH887" s="7">
        <v>3</v>
      </c>
      <c r="AI887" s="7">
        <v>0</v>
      </c>
      <c r="AJ887" s="7" t="s">
        <v>5044</v>
      </c>
      <c r="AK887" s="7">
        <v>1</v>
      </c>
      <c r="AL887" s="7">
        <v>0</v>
      </c>
      <c r="AM887" s="7">
        <v>0</v>
      </c>
      <c r="AN887" s="7" t="s">
        <v>5318</v>
      </c>
    </row>
    <row r="888" spans="1:40" ht="63" customHeight="1" x14ac:dyDescent="0.2">
      <c r="A888" s="7">
        <v>8959</v>
      </c>
      <c r="B888" s="7" t="s">
        <v>3177</v>
      </c>
      <c r="C888" s="7" t="s">
        <v>3178</v>
      </c>
      <c r="D888" s="7" t="s">
        <v>16</v>
      </c>
      <c r="F888" s="7" t="s">
        <v>3179</v>
      </c>
      <c r="G888" s="7" t="s">
        <v>32</v>
      </c>
      <c r="H888" s="7" t="s">
        <v>730</v>
      </c>
      <c r="I888" s="7" t="s">
        <v>13</v>
      </c>
      <c r="J888" s="7" t="s">
        <v>3180</v>
      </c>
      <c r="K888" s="7" t="s">
        <v>3181</v>
      </c>
      <c r="L888" s="7" t="s">
        <v>5929</v>
      </c>
      <c r="M888" s="7">
        <v>0</v>
      </c>
      <c r="N888" s="7" t="s">
        <v>5044</v>
      </c>
      <c r="O888" s="7" t="s">
        <v>5044</v>
      </c>
      <c r="P888" s="7">
        <v>0</v>
      </c>
      <c r="Q888" s="7">
        <v>0</v>
      </c>
      <c r="R888" s="7">
        <v>0</v>
      </c>
      <c r="S888" s="7" t="s">
        <v>5708</v>
      </c>
      <c r="T888" s="7">
        <v>3</v>
      </c>
      <c r="U888" s="7">
        <v>208</v>
      </c>
      <c r="V888" s="7">
        <v>1</v>
      </c>
      <c r="W888" s="7">
        <v>0</v>
      </c>
      <c r="X888" s="7">
        <v>0</v>
      </c>
      <c r="Y888" s="7">
        <v>0</v>
      </c>
      <c r="Z888" s="7">
        <v>0</v>
      </c>
      <c r="AA888" s="7">
        <v>0</v>
      </c>
      <c r="AB888" s="7">
        <v>1</v>
      </c>
      <c r="AC888" s="7">
        <v>1</v>
      </c>
      <c r="AD888" s="7">
        <v>2</v>
      </c>
      <c r="AE888" s="7">
        <v>1</v>
      </c>
      <c r="AF888" s="7">
        <v>1</v>
      </c>
      <c r="AG888" s="7" t="s">
        <v>5044</v>
      </c>
      <c r="AH888" s="7" t="s">
        <v>5044</v>
      </c>
      <c r="AI888" s="7" t="s">
        <v>5044</v>
      </c>
      <c r="AJ888" s="7" t="s">
        <v>5044</v>
      </c>
      <c r="AK888" s="7" t="s">
        <v>5930</v>
      </c>
      <c r="AL888" s="7">
        <v>0</v>
      </c>
      <c r="AM888" s="7">
        <v>0</v>
      </c>
    </row>
    <row r="889" spans="1:40" ht="63" customHeight="1" x14ac:dyDescent="0.2">
      <c r="A889" s="7">
        <v>8971</v>
      </c>
      <c r="B889" s="7" t="s">
        <v>3182</v>
      </c>
      <c r="C889" s="7" t="s">
        <v>3183</v>
      </c>
      <c r="D889" s="7" t="s">
        <v>41</v>
      </c>
      <c r="F889" s="7" t="s">
        <v>92</v>
      </c>
      <c r="H889" s="7" t="s">
        <v>130</v>
      </c>
      <c r="I889" s="7" t="s">
        <v>13</v>
      </c>
      <c r="J889" s="7" t="s">
        <v>3184</v>
      </c>
      <c r="K889" s="7" t="s">
        <v>3185</v>
      </c>
      <c r="L889" s="7" t="s">
        <v>5931</v>
      </c>
      <c r="M889" s="7">
        <v>0</v>
      </c>
      <c r="N889" s="7" t="s">
        <v>5044</v>
      </c>
      <c r="O889" s="7" t="s">
        <v>5044</v>
      </c>
      <c r="P889" s="7">
        <v>0</v>
      </c>
      <c r="Q889" s="7">
        <v>0</v>
      </c>
      <c r="R889" s="7">
        <v>0</v>
      </c>
      <c r="S889" s="7">
        <v>5</v>
      </c>
      <c r="T889" s="7">
        <v>1</v>
      </c>
      <c r="U889" s="7">
        <v>154</v>
      </c>
      <c r="V889" s="7">
        <v>0</v>
      </c>
      <c r="W889" s="7">
        <v>1</v>
      </c>
      <c r="X889" s="7">
        <v>0</v>
      </c>
      <c r="Y889" s="7">
        <v>0</v>
      </c>
      <c r="Z889" s="7">
        <v>0</v>
      </c>
      <c r="AA889" s="7">
        <v>0</v>
      </c>
      <c r="AB889" s="7">
        <v>1</v>
      </c>
      <c r="AC889" s="7">
        <v>1</v>
      </c>
      <c r="AD889" s="7" t="s">
        <v>5044</v>
      </c>
      <c r="AE889" s="7" t="s">
        <v>5044</v>
      </c>
      <c r="AF889" s="7" t="s">
        <v>5044</v>
      </c>
      <c r="AG889" s="7">
        <v>2</v>
      </c>
      <c r="AH889" s="7">
        <v>3</v>
      </c>
      <c r="AI889" s="7">
        <v>0</v>
      </c>
      <c r="AJ889" s="7" t="s">
        <v>5044</v>
      </c>
      <c r="AK889" s="7">
        <v>1</v>
      </c>
      <c r="AL889" s="7">
        <v>0</v>
      </c>
      <c r="AM889" s="7">
        <v>0</v>
      </c>
      <c r="AN889" s="7" t="s">
        <v>5318</v>
      </c>
    </row>
    <row r="890" spans="1:40" ht="63" customHeight="1" x14ac:dyDescent="0.2">
      <c r="A890" s="7">
        <v>8980</v>
      </c>
      <c r="B890" s="7" t="s">
        <v>3186</v>
      </c>
      <c r="C890" s="7" t="s">
        <v>3187</v>
      </c>
      <c r="D890" s="7" t="s">
        <v>35</v>
      </c>
      <c r="F890" s="7" t="s">
        <v>1180</v>
      </c>
      <c r="G890" s="7" t="s">
        <v>144</v>
      </c>
      <c r="H890" s="7" t="s">
        <v>251</v>
      </c>
      <c r="I890" s="7" t="s">
        <v>13</v>
      </c>
      <c r="J890" s="7" t="s">
        <v>3188</v>
      </c>
      <c r="K890" s="7" t="s">
        <v>3189</v>
      </c>
      <c r="L890" s="11" t="s">
        <v>5044</v>
      </c>
      <c r="M890" s="7">
        <v>0</v>
      </c>
      <c r="N890" s="7" t="s">
        <v>5044</v>
      </c>
      <c r="O890" s="7" t="s">
        <v>5044</v>
      </c>
      <c r="P890" s="7">
        <v>0</v>
      </c>
      <c r="Q890" s="7">
        <v>0</v>
      </c>
      <c r="R890" s="7">
        <v>0</v>
      </c>
      <c r="S890" s="7">
        <v>3</v>
      </c>
      <c r="T890" s="7">
        <v>4</v>
      </c>
      <c r="U890" s="7">
        <v>102</v>
      </c>
      <c r="V890" s="7">
        <v>0</v>
      </c>
      <c r="W890" s="7">
        <v>1</v>
      </c>
      <c r="X890" s="7">
        <v>0</v>
      </c>
      <c r="Y890" s="7">
        <v>0</v>
      </c>
      <c r="Z890" s="7">
        <v>0</v>
      </c>
      <c r="AA890" s="7">
        <v>0</v>
      </c>
      <c r="AB890" s="7">
        <v>1</v>
      </c>
      <c r="AC890" s="7">
        <v>1</v>
      </c>
      <c r="AD890" s="7" t="s">
        <v>5044</v>
      </c>
      <c r="AE890" s="7" t="s">
        <v>5044</v>
      </c>
      <c r="AF890" s="7" t="s">
        <v>5044</v>
      </c>
      <c r="AG890" s="7">
        <v>2</v>
      </c>
      <c r="AH890" s="7">
        <v>3</v>
      </c>
      <c r="AI890" s="7">
        <v>0</v>
      </c>
      <c r="AJ890" s="7" t="s">
        <v>5044</v>
      </c>
      <c r="AK890" s="7">
        <v>1</v>
      </c>
      <c r="AL890" s="7" t="s">
        <v>5044</v>
      </c>
      <c r="AM890" s="7">
        <v>0</v>
      </c>
      <c r="AN890" s="7" t="s">
        <v>5105</v>
      </c>
    </row>
    <row r="891" spans="1:40" ht="63" customHeight="1" x14ac:dyDescent="0.2">
      <c r="A891" s="7">
        <v>8982</v>
      </c>
      <c r="B891" s="7" t="s">
        <v>3190</v>
      </c>
      <c r="C891" s="7" t="s">
        <v>3191</v>
      </c>
      <c r="D891" s="7" t="s">
        <v>41</v>
      </c>
      <c r="F891" s="7" t="s">
        <v>83</v>
      </c>
      <c r="G891" s="7" t="s">
        <v>18</v>
      </c>
      <c r="H891" s="7" t="s">
        <v>3025</v>
      </c>
      <c r="I891" s="7" t="s">
        <v>13</v>
      </c>
      <c r="J891" s="7" t="s">
        <v>3192</v>
      </c>
      <c r="K891" s="7" t="s">
        <v>3193</v>
      </c>
      <c r="L891" s="7" t="s">
        <v>5932</v>
      </c>
      <c r="M891" s="7">
        <v>1</v>
      </c>
      <c r="N891" s="7">
        <v>0</v>
      </c>
      <c r="O891" s="7">
        <v>0</v>
      </c>
      <c r="P891" s="7">
        <v>0</v>
      </c>
      <c r="Q891" s="7">
        <v>0</v>
      </c>
      <c r="R891" s="7">
        <v>0</v>
      </c>
      <c r="S891" s="7">
        <v>5</v>
      </c>
      <c r="T891" s="7">
        <v>4</v>
      </c>
      <c r="U891" s="7">
        <v>780</v>
      </c>
      <c r="V891" s="7">
        <v>0</v>
      </c>
      <c r="W891" s="7">
        <v>1</v>
      </c>
      <c r="X891" s="7">
        <v>0</v>
      </c>
      <c r="Y891" s="7">
        <v>0</v>
      </c>
      <c r="Z891" s="7">
        <v>0</v>
      </c>
      <c r="AA891" s="7">
        <v>0</v>
      </c>
      <c r="AB891" s="7">
        <v>1</v>
      </c>
      <c r="AC891" s="7" t="s">
        <v>5044</v>
      </c>
      <c r="AD891" s="7" t="s">
        <v>5044</v>
      </c>
      <c r="AE891" s="7" t="s">
        <v>5044</v>
      </c>
      <c r="AF891" s="7" t="s">
        <v>5044</v>
      </c>
      <c r="AG891" s="7" t="s">
        <v>5044</v>
      </c>
      <c r="AH891" s="7" t="s">
        <v>5044</v>
      </c>
      <c r="AI891" s="7" t="s">
        <v>5044</v>
      </c>
      <c r="AJ891" s="7" t="s">
        <v>5044</v>
      </c>
      <c r="AK891" s="7" t="s">
        <v>5318</v>
      </c>
      <c r="AL891" s="7" t="s">
        <v>5044</v>
      </c>
      <c r="AM891" s="7">
        <v>0</v>
      </c>
      <c r="AN891" s="7" t="s">
        <v>5318</v>
      </c>
    </row>
    <row r="892" spans="1:40" ht="63" customHeight="1" x14ac:dyDescent="0.2">
      <c r="A892" s="7">
        <v>8989</v>
      </c>
      <c r="B892" s="7" t="s">
        <v>3194</v>
      </c>
      <c r="C892" s="7" t="s">
        <v>3195</v>
      </c>
      <c r="D892" s="7" t="s">
        <v>16</v>
      </c>
      <c r="F892" s="7" t="s">
        <v>3196</v>
      </c>
      <c r="G892" s="7" t="s">
        <v>37</v>
      </c>
      <c r="H892" s="7" t="s">
        <v>740</v>
      </c>
      <c r="I892" s="7" t="s">
        <v>13</v>
      </c>
      <c r="J892" s="7" t="s">
        <v>3197</v>
      </c>
      <c r="K892" s="7" t="s">
        <v>3198</v>
      </c>
      <c r="L892" s="7" t="s">
        <v>5933</v>
      </c>
      <c r="M892" s="7">
        <v>0</v>
      </c>
      <c r="N892" s="7" t="s">
        <v>5044</v>
      </c>
      <c r="O892" s="7" t="s">
        <v>5044</v>
      </c>
      <c r="P892" s="7">
        <v>0</v>
      </c>
      <c r="Q892" s="7">
        <v>0</v>
      </c>
      <c r="R892" s="7">
        <v>0</v>
      </c>
      <c r="S892" s="7">
        <v>9</v>
      </c>
      <c r="T892" s="7">
        <v>4</v>
      </c>
      <c r="U892" s="7">
        <v>74</v>
      </c>
      <c r="V892" s="7">
        <v>0</v>
      </c>
      <c r="W892" s="7">
        <v>1</v>
      </c>
      <c r="X892" s="7">
        <v>0</v>
      </c>
      <c r="Y892" s="7">
        <v>0</v>
      </c>
      <c r="Z892" s="7">
        <v>0</v>
      </c>
      <c r="AA892" s="7">
        <v>0</v>
      </c>
      <c r="AB892" s="7">
        <v>1</v>
      </c>
      <c r="AC892" s="7">
        <v>1</v>
      </c>
      <c r="AD892" s="7" t="s">
        <v>5044</v>
      </c>
      <c r="AE892" s="7" t="s">
        <v>5044</v>
      </c>
      <c r="AF892" s="7" t="s">
        <v>5044</v>
      </c>
      <c r="AG892" s="7">
        <v>1</v>
      </c>
      <c r="AH892" s="7">
        <v>0</v>
      </c>
      <c r="AI892" s="7">
        <v>0</v>
      </c>
      <c r="AJ892" s="7" t="s">
        <v>5044</v>
      </c>
      <c r="AK892" s="7" t="s">
        <v>5318</v>
      </c>
      <c r="AL892" s="7">
        <v>1</v>
      </c>
      <c r="AM892" s="7">
        <v>0</v>
      </c>
    </row>
    <row r="893" spans="1:40" ht="63" customHeight="1" x14ac:dyDescent="0.2">
      <c r="A893" s="7">
        <v>8990</v>
      </c>
      <c r="B893" s="7" t="s">
        <v>3199</v>
      </c>
      <c r="C893" s="7" t="s">
        <v>3200</v>
      </c>
      <c r="D893" s="7" t="s">
        <v>46</v>
      </c>
      <c r="F893" s="7" t="s">
        <v>338</v>
      </c>
      <c r="G893" s="7" t="s">
        <v>18</v>
      </c>
      <c r="H893" s="7" t="s">
        <v>12</v>
      </c>
      <c r="I893" s="7" t="s">
        <v>13</v>
      </c>
      <c r="J893" s="7" t="s">
        <v>3201</v>
      </c>
      <c r="K893" s="7" t="s">
        <v>3202</v>
      </c>
      <c r="L893" s="7" t="s">
        <v>5934</v>
      </c>
      <c r="M893" s="7">
        <v>0</v>
      </c>
      <c r="N893" s="7" t="s">
        <v>5044</v>
      </c>
      <c r="O893" s="7" t="s">
        <v>5044</v>
      </c>
      <c r="P893" s="7">
        <v>0</v>
      </c>
      <c r="Q893" s="7">
        <v>0</v>
      </c>
      <c r="R893" s="7">
        <v>0</v>
      </c>
      <c r="S893" s="7">
        <v>3</v>
      </c>
      <c r="T893" s="7">
        <v>1</v>
      </c>
      <c r="U893" s="7">
        <v>401</v>
      </c>
      <c r="V893" s="7">
        <v>0</v>
      </c>
      <c r="W893" s="7">
        <v>1</v>
      </c>
      <c r="X893" s="7">
        <v>0</v>
      </c>
      <c r="Y893" s="7">
        <v>0</v>
      </c>
      <c r="Z893" s="7">
        <v>0</v>
      </c>
      <c r="AA893" s="7">
        <v>0</v>
      </c>
      <c r="AB893" s="7">
        <v>1</v>
      </c>
      <c r="AC893" s="7">
        <v>1</v>
      </c>
      <c r="AD893" s="7" t="s">
        <v>5044</v>
      </c>
      <c r="AE893" s="7" t="s">
        <v>5044</v>
      </c>
      <c r="AF893" s="7" t="s">
        <v>5044</v>
      </c>
      <c r="AG893" s="7">
        <v>2</v>
      </c>
      <c r="AH893" s="7">
        <v>3</v>
      </c>
      <c r="AI893" s="7">
        <v>0</v>
      </c>
      <c r="AJ893" s="7" t="s">
        <v>5044</v>
      </c>
      <c r="AK893" s="7" t="s">
        <v>5318</v>
      </c>
      <c r="AL893" s="7">
        <v>0</v>
      </c>
      <c r="AM893" s="7">
        <v>0</v>
      </c>
      <c r="AN893" s="7" t="s">
        <v>5318</v>
      </c>
    </row>
    <row r="894" spans="1:40" ht="63" customHeight="1" x14ac:dyDescent="0.2">
      <c r="A894" s="7">
        <v>8991</v>
      </c>
      <c r="B894" s="7" t="s">
        <v>3203</v>
      </c>
      <c r="C894" s="7" t="s">
        <v>3204</v>
      </c>
      <c r="D894" s="7" t="s">
        <v>22</v>
      </c>
      <c r="F894" s="7" t="s">
        <v>65</v>
      </c>
      <c r="G894" s="7" t="s">
        <v>144</v>
      </c>
      <c r="H894" s="7" t="s">
        <v>3205</v>
      </c>
      <c r="I894" s="7" t="s">
        <v>13</v>
      </c>
      <c r="J894" s="7" t="s">
        <v>3206</v>
      </c>
      <c r="K894" s="7" t="s">
        <v>3207</v>
      </c>
      <c r="L894" s="7" t="s">
        <v>5935</v>
      </c>
      <c r="M894" s="7">
        <v>0</v>
      </c>
      <c r="N894" s="7" t="s">
        <v>5044</v>
      </c>
      <c r="O894" s="7" t="s">
        <v>5044</v>
      </c>
      <c r="P894" s="7">
        <v>0</v>
      </c>
      <c r="Q894" s="7">
        <v>0</v>
      </c>
      <c r="R894" s="7">
        <v>0</v>
      </c>
      <c r="S894" s="7">
        <v>5</v>
      </c>
      <c r="T894" s="7">
        <v>2</v>
      </c>
      <c r="U894" s="7">
        <v>132</v>
      </c>
      <c r="V894" s="7">
        <v>0</v>
      </c>
      <c r="W894" s="7">
        <v>1</v>
      </c>
      <c r="X894" s="7">
        <v>0</v>
      </c>
      <c r="Y894" s="7">
        <v>0</v>
      </c>
      <c r="Z894" s="7">
        <v>0</v>
      </c>
      <c r="AA894" s="7">
        <v>0</v>
      </c>
      <c r="AB894" s="7">
        <v>1</v>
      </c>
      <c r="AC894" s="7">
        <v>1</v>
      </c>
      <c r="AD894" s="7" t="s">
        <v>5044</v>
      </c>
      <c r="AE894" s="7" t="s">
        <v>5044</v>
      </c>
      <c r="AF894" s="7" t="s">
        <v>5044</v>
      </c>
      <c r="AG894" s="7">
        <v>2</v>
      </c>
      <c r="AH894" s="7">
        <v>3</v>
      </c>
      <c r="AI894" s="7">
        <v>0</v>
      </c>
      <c r="AJ894" s="7" t="s">
        <v>5044</v>
      </c>
      <c r="AK894" s="7" t="s">
        <v>5936</v>
      </c>
      <c r="AL894" s="7">
        <v>0</v>
      </c>
      <c r="AM894" s="7">
        <v>0</v>
      </c>
      <c r="AN894" s="7" t="s">
        <v>5318</v>
      </c>
    </row>
    <row r="895" spans="1:40" ht="63" customHeight="1" x14ac:dyDescent="0.2">
      <c r="A895" s="7">
        <v>9010</v>
      </c>
      <c r="B895" s="7" t="s">
        <v>3208</v>
      </c>
      <c r="C895" s="7" t="s">
        <v>3209</v>
      </c>
      <c r="D895" s="7" t="s">
        <v>101</v>
      </c>
      <c r="F895" s="7" t="s">
        <v>107</v>
      </c>
      <c r="G895" s="7" t="s">
        <v>52</v>
      </c>
      <c r="H895" s="7" t="s">
        <v>53</v>
      </c>
      <c r="I895" s="7" t="s">
        <v>13</v>
      </c>
      <c r="J895" s="7" t="s">
        <v>3210</v>
      </c>
      <c r="K895" s="7" t="s">
        <v>3211</v>
      </c>
      <c r="L895" s="7" t="s">
        <v>5937</v>
      </c>
      <c r="M895" s="7">
        <v>1</v>
      </c>
      <c r="N895" s="7">
        <v>0</v>
      </c>
      <c r="O895" s="7" t="s">
        <v>5044</v>
      </c>
      <c r="P895" s="7">
        <v>0</v>
      </c>
      <c r="Q895" s="7">
        <v>0</v>
      </c>
      <c r="R895" s="7">
        <v>0</v>
      </c>
      <c r="S895" s="7">
        <v>1</v>
      </c>
      <c r="T895" s="7">
        <v>1</v>
      </c>
      <c r="U895" s="7">
        <v>321</v>
      </c>
      <c r="V895" s="7">
        <v>0</v>
      </c>
      <c r="W895" s="7">
        <v>1</v>
      </c>
      <c r="X895" s="7">
        <v>0</v>
      </c>
      <c r="Y895" s="7">
        <v>0</v>
      </c>
      <c r="Z895" s="7">
        <v>0</v>
      </c>
      <c r="AA895" s="7">
        <v>0</v>
      </c>
      <c r="AB895" s="7">
        <v>1</v>
      </c>
      <c r="AC895" s="7" t="s">
        <v>5044</v>
      </c>
      <c r="AD895" s="7" t="s">
        <v>5044</v>
      </c>
      <c r="AE895" s="7" t="s">
        <v>5044</v>
      </c>
      <c r="AF895" s="7" t="s">
        <v>5044</v>
      </c>
      <c r="AG895" s="7" t="s">
        <v>5044</v>
      </c>
      <c r="AH895" s="7" t="s">
        <v>5044</v>
      </c>
      <c r="AI895" s="7" t="s">
        <v>5044</v>
      </c>
      <c r="AJ895" s="7" t="s">
        <v>5044</v>
      </c>
      <c r="AK895" s="7" t="s">
        <v>5318</v>
      </c>
      <c r="AL895" s="7" t="s">
        <v>5044</v>
      </c>
      <c r="AM895" s="7">
        <v>0</v>
      </c>
      <c r="AN895" s="7" t="s">
        <v>5318</v>
      </c>
    </row>
    <row r="896" spans="1:40" ht="63" customHeight="1" x14ac:dyDescent="0.2">
      <c r="A896" s="7">
        <v>9016</v>
      </c>
      <c r="B896" s="7" t="s">
        <v>3212</v>
      </c>
      <c r="C896" s="7" t="s">
        <v>3213</v>
      </c>
      <c r="D896" s="7" t="s">
        <v>16</v>
      </c>
      <c r="F896" s="7" t="s">
        <v>293</v>
      </c>
      <c r="H896" s="7" t="s">
        <v>453</v>
      </c>
      <c r="I896" s="7" t="s">
        <v>13</v>
      </c>
      <c r="J896" s="7" t="s">
        <v>3214</v>
      </c>
      <c r="K896" s="7" t="s">
        <v>3215</v>
      </c>
      <c r="L896" s="7" t="s">
        <v>5938</v>
      </c>
      <c r="M896" s="7">
        <v>0</v>
      </c>
      <c r="N896" s="7" t="s">
        <v>5044</v>
      </c>
      <c r="O896" s="7" t="s">
        <v>5044</v>
      </c>
      <c r="P896" s="7">
        <v>0</v>
      </c>
      <c r="Q896" s="7">
        <v>0</v>
      </c>
      <c r="R896" s="7">
        <v>0</v>
      </c>
      <c r="S896" s="7">
        <v>9</v>
      </c>
      <c r="T896" s="7">
        <v>1</v>
      </c>
      <c r="U896" s="7">
        <v>38</v>
      </c>
      <c r="V896" s="7">
        <v>0</v>
      </c>
      <c r="W896" s="7">
        <v>1</v>
      </c>
      <c r="X896" s="7">
        <v>0</v>
      </c>
      <c r="Y896" s="7">
        <v>0</v>
      </c>
      <c r="Z896" s="7">
        <v>0</v>
      </c>
      <c r="AA896" s="7">
        <v>0</v>
      </c>
      <c r="AB896" s="7">
        <v>1</v>
      </c>
      <c r="AC896" s="7">
        <v>1</v>
      </c>
      <c r="AD896" s="7" t="s">
        <v>5044</v>
      </c>
      <c r="AE896" s="7" t="s">
        <v>5044</v>
      </c>
      <c r="AF896" s="7" t="s">
        <v>5044</v>
      </c>
      <c r="AG896" s="7">
        <v>2</v>
      </c>
      <c r="AH896" s="7">
        <v>2</v>
      </c>
      <c r="AI896" s="7">
        <v>2</v>
      </c>
      <c r="AJ896" s="7" t="s">
        <v>5044</v>
      </c>
      <c r="AK896" s="7" t="s">
        <v>5318</v>
      </c>
      <c r="AL896" s="7">
        <v>1</v>
      </c>
      <c r="AM896" s="7">
        <v>0</v>
      </c>
      <c r="AN896" s="7" t="s">
        <v>5217</v>
      </c>
    </row>
    <row r="897" spans="1:40" ht="63" customHeight="1" x14ac:dyDescent="0.2">
      <c r="A897" s="7">
        <v>9019</v>
      </c>
      <c r="B897" s="7" t="s">
        <v>3216</v>
      </c>
      <c r="C897" s="7" t="s">
        <v>3217</v>
      </c>
      <c r="D897" s="7" t="s">
        <v>46</v>
      </c>
      <c r="F897" s="7" t="s">
        <v>168</v>
      </c>
      <c r="G897" s="7" t="s">
        <v>11</v>
      </c>
      <c r="H897" s="7" t="s">
        <v>160</v>
      </c>
      <c r="I897" s="7" t="s">
        <v>13</v>
      </c>
      <c r="J897" s="7" t="s">
        <v>3218</v>
      </c>
      <c r="K897" s="7" t="s">
        <v>3219</v>
      </c>
      <c r="L897" s="7" t="s">
        <v>5939</v>
      </c>
      <c r="M897" s="7">
        <v>0</v>
      </c>
      <c r="N897" s="7" t="s">
        <v>5044</v>
      </c>
      <c r="O897" s="7" t="s">
        <v>5044</v>
      </c>
      <c r="P897" s="7">
        <v>0</v>
      </c>
      <c r="Q897" s="7">
        <v>0</v>
      </c>
      <c r="R897" s="7">
        <v>0</v>
      </c>
      <c r="S897" s="7">
        <v>1</v>
      </c>
      <c r="T897" s="7">
        <v>1</v>
      </c>
      <c r="U897" s="7">
        <v>60</v>
      </c>
      <c r="V897" s="7">
        <v>0</v>
      </c>
      <c r="W897" s="7">
        <v>1</v>
      </c>
      <c r="X897" s="7">
        <v>0</v>
      </c>
      <c r="Y897" s="7">
        <v>0</v>
      </c>
      <c r="Z897" s="7">
        <v>0</v>
      </c>
      <c r="AA897" s="7">
        <v>0</v>
      </c>
      <c r="AB897" s="7">
        <v>1</v>
      </c>
      <c r="AC897" s="7">
        <v>1</v>
      </c>
      <c r="AD897" s="7" t="s">
        <v>5044</v>
      </c>
      <c r="AE897" s="7" t="s">
        <v>5044</v>
      </c>
      <c r="AF897" s="7" t="s">
        <v>5044</v>
      </c>
      <c r="AG897" s="7">
        <v>1</v>
      </c>
      <c r="AH897" s="7">
        <v>0</v>
      </c>
      <c r="AI897" s="7">
        <v>0</v>
      </c>
      <c r="AJ897" s="7" t="s">
        <v>5044</v>
      </c>
      <c r="AK897" s="7" t="s">
        <v>5318</v>
      </c>
      <c r="AL897" s="7">
        <v>1</v>
      </c>
      <c r="AM897" s="7">
        <v>0</v>
      </c>
      <c r="AN897" s="7" t="s">
        <v>5318</v>
      </c>
    </row>
    <row r="898" spans="1:40" ht="63" customHeight="1" x14ac:dyDescent="0.2">
      <c r="A898" s="7">
        <v>9024</v>
      </c>
      <c r="B898" s="7" t="s">
        <v>3224</v>
      </c>
      <c r="C898" s="7" t="s">
        <v>3225</v>
      </c>
      <c r="D898" s="7" t="s">
        <v>16</v>
      </c>
      <c r="F898" s="7" t="s">
        <v>48</v>
      </c>
      <c r="H898" s="7" t="s">
        <v>3226</v>
      </c>
      <c r="I898" s="7" t="s">
        <v>13</v>
      </c>
      <c r="K898" s="7" t="s">
        <v>3227</v>
      </c>
      <c r="L898" s="7" t="s">
        <v>5941</v>
      </c>
      <c r="M898" s="7">
        <v>1</v>
      </c>
      <c r="N898" s="7">
        <v>0</v>
      </c>
      <c r="O898" s="7" t="s">
        <v>5044</v>
      </c>
      <c r="P898" s="7">
        <v>0</v>
      </c>
      <c r="Q898" s="7">
        <v>0</v>
      </c>
      <c r="R898" s="7">
        <v>0</v>
      </c>
      <c r="S898" s="7" t="s">
        <v>7673</v>
      </c>
      <c r="T898" s="7">
        <v>1</v>
      </c>
      <c r="U898" s="7">
        <v>1560</v>
      </c>
      <c r="V898" s="7">
        <v>0</v>
      </c>
      <c r="W898" s="7">
        <v>1</v>
      </c>
      <c r="X898" s="7">
        <v>0</v>
      </c>
      <c r="Y898" s="7">
        <v>0</v>
      </c>
      <c r="Z898" s="7">
        <v>1</v>
      </c>
      <c r="AA898" s="7">
        <v>0</v>
      </c>
      <c r="AB898" s="7">
        <v>1</v>
      </c>
      <c r="AC898" s="7" t="s">
        <v>5044</v>
      </c>
      <c r="AD898" s="7" t="s">
        <v>5044</v>
      </c>
      <c r="AE898" s="7" t="s">
        <v>5044</v>
      </c>
      <c r="AF898" s="7" t="s">
        <v>5044</v>
      </c>
      <c r="AG898" s="7" t="s">
        <v>5044</v>
      </c>
      <c r="AH898" s="7" t="s">
        <v>5044</v>
      </c>
      <c r="AI898" s="7" t="s">
        <v>5044</v>
      </c>
      <c r="AJ898" s="7" t="s">
        <v>5044</v>
      </c>
      <c r="AK898" s="7" t="s">
        <v>5318</v>
      </c>
      <c r="AL898" s="7" t="s">
        <v>5044</v>
      </c>
      <c r="AM898" s="7">
        <v>0</v>
      </c>
      <c r="AN898" s="7" t="s">
        <v>5318</v>
      </c>
    </row>
    <row r="899" spans="1:40" ht="63" customHeight="1" x14ac:dyDescent="0.2">
      <c r="A899" s="7">
        <v>9027</v>
      </c>
      <c r="B899" s="7" t="s">
        <v>3228</v>
      </c>
      <c r="C899" s="7" t="s">
        <v>3229</v>
      </c>
      <c r="D899" s="7" t="s">
        <v>56</v>
      </c>
      <c r="F899" s="7" t="s">
        <v>325</v>
      </c>
      <c r="G899" s="7" t="s">
        <v>18</v>
      </c>
      <c r="H899" s="7" t="s">
        <v>160</v>
      </c>
      <c r="I899" s="7" t="s">
        <v>13</v>
      </c>
      <c r="J899" s="7" t="s">
        <v>3230</v>
      </c>
      <c r="K899" s="7" t="s">
        <v>3231</v>
      </c>
      <c r="L899" s="11" t="s">
        <v>5044</v>
      </c>
      <c r="M899" s="7">
        <v>0</v>
      </c>
      <c r="N899" s="7" t="s">
        <v>5044</v>
      </c>
      <c r="O899" s="7" t="s">
        <v>5044</v>
      </c>
      <c r="P899" s="7">
        <v>0</v>
      </c>
      <c r="Q899" s="7">
        <v>0</v>
      </c>
      <c r="R899" s="7">
        <v>0</v>
      </c>
      <c r="S899" s="7">
        <v>11</v>
      </c>
      <c r="T899" s="7">
        <v>4</v>
      </c>
      <c r="U899" s="7">
        <v>100</v>
      </c>
      <c r="V899" s="7">
        <v>0</v>
      </c>
      <c r="W899" s="7">
        <v>1</v>
      </c>
      <c r="X899" s="7">
        <v>0</v>
      </c>
      <c r="Y899" s="7">
        <v>0</v>
      </c>
      <c r="Z899" s="7">
        <v>0</v>
      </c>
      <c r="AA899" s="7">
        <v>0</v>
      </c>
      <c r="AB899" s="7">
        <v>1</v>
      </c>
      <c r="AC899" s="7">
        <v>1</v>
      </c>
      <c r="AD899" s="7" t="s">
        <v>5044</v>
      </c>
      <c r="AE899" s="7" t="s">
        <v>5044</v>
      </c>
      <c r="AF899" s="7" t="s">
        <v>5044</v>
      </c>
      <c r="AG899" s="7">
        <v>2</v>
      </c>
      <c r="AH899" s="7">
        <v>3</v>
      </c>
      <c r="AI899" s="7">
        <v>0</v>
      </c>
      <c r="AJ899" s="7" t="s">
        <v>5044</v>
      </c>
      <c r="AK899" s="7" t="s">
        <v>5943</v>
      </c>
      <c r="AL899" s="7">
        <v>1</v>
      </c>
      <c r="AM899" s="7">
        <v>0</v>
      </c>
      <c r="AN899" s="7" t="s">
        <v>5318</v>
      </c>
    </row>
    <row r="900" spans="1:40" ht="63" customHeight="1" x14ac:dyDescent="0.2">
      <c r="A900" s="7">
        <v>9037</v>
      </c>
      <c r="B900" s="7" t="s">
        <v>3232</v>
      </c>
      <c r="C900" s="7" t="s">
        <v>3233</v>
      </c>
      <c r="D900" s="7" t="s">
        <v>149</v>
      </c>
      <c r="F900" s="7" t="s">
        <v>3174</v>
      </c>
      <c r="G900" s="7" t="s">
        <v>144</v>
      </c>
      <c r="H900" s="7" t="s">
        <v>3234</v>
      </c>
      <c r="I900" s="7" t="s">
        <v>13</v>
      </c>
      <c r="J900" s="7" t="s">
        <v>3235</v>
      </c>
      <c r="K900" s="7" t="s">
        <v>3236</v>
      </c>
      <c r="L900" s="7" t="s">
        <v>5944</v>
      </c>
      <c r="M900" s="7">
        <v>0</v>
      </c>
      <c r="N900" s="7" t="s">
        <v>5044</v>
      </c>
      <c r="O900" s="7" t="s">
        <v>5044</v>
      </c>
      <c r="P900" s="7">
        <v>0</v>
      </c>
      <c r="Q900" s="7">
        <v>0</v>
      </c>
      <c r="R900" s="7">
        <v>0</v>
      </c>
      <c r="S900" s="7">
        <v>1</v>
      </c>
      <c r="T900" s="7">
        <v>2</v>
      </c>
      <c r="U900" s="7">
        <v>98</v>
      </c>
      <c r="V900" s="7">
        <v>0</v>
      </c>
      <c r="W900" s="7">
        <v>1</v>
      </c>
      <c r="X900" s="7">
        <v>0</v>
      </c>
      <c r="Y900" s="7">
        <v>0</v>
      </c>
      <c r="Z900" s="7">
        <v>0</v>
      </c>
      <c r="AA900" s="7">
        <v>0</v>
      </c>
      <c r="AB900" s="7">
        <v>1</v>
      </c>
      <c r="AC900" s="7">
        <v>1</v>
      </c>
      <c r="AD900" s="7" t="s">
        <v>5044</v>
      </c>
      <c r="AE900" s="7" t="s">
        <v>5044</v>
      </c>
      <c r="AF900" s="7" t="s">
        <v>5044</v>
      </c>
      <c r="AG900" s="7">
        <v>2</v>
      </c>
      <c r="AH900" s="7">
        <v>3</v>
      </c>
      <c r="AI900" s="7">
        <v>0</v>
      </c>
      <c r="AJ900" s="7" t="s">
        <v>5044</v>
      </c>
      <c r="AK900" s="7" t="s">
        <v>5945</v>
      </c>
      <c r="AL900" s="7">
        <v>0</v>
      </c>
      <c r="AM900" s="7">
        <v>0</v>
      </c>
      <c r="AN900" s="7" t="s">
        <v>5318</v>
      </c>
    </row>
    <row r="901" spans="1:40" ht="63" customHeight="1" x14ac:dyDescent="0.2">
      <c r="A901" s="7">
        <v>9038</v>
      </c>
      <c r="B901" s="7" t="s">
        <v>3237</v>
      </c>
      <c r="C901" s="7" t="s">
        <v>3238</v>
      </c>
      <c r="D901" s="7" t="s">
        <v>56</v>
      </c>
      <c r="F901" s="7" t="s">
        <v>3239</v>
      </c>
      <c r="G901" s="7" t="s">
        <v>18</v>
      </c>
      <c r="H901" s="7" t="s">
        <v>251</v>
      </c>
      <c r="I901" s="7" t="s">
        <v>13</v>
      </c>
      <c r="J901" s="7" t="s">
        <v>3240</v>
      </c>
      <c r="K901" s="7" t="s">
        <v>3241</v>
      </c>
      <c r="L901" s="7" t="s">
        <v>5946</v>
      </c>
      <c r="M901" s="7">
        <v>0</v>
      </c>
      <c r="N901" s="7" t="s">
        <v>5044</v>
      </c>
      <c r="O901" s="7" t="s">
        <v>5044</v>
      </c>
      <c r="P901" s="7">
        <v>0</v>
      </c>
      <c r="Q901" s="7">
        <v>0</v>
      </c>
      <c r="R901" s="7">
        <v>0</v>
      </c>
      <c r="S901" s="7">
        <v>1</v>
      </c>
      <c r="T901" s="7">
        <v>2</v>
      </c>
      <c r="U901" s="7">
        <v>206</v>
      </c>
      <c r="V901" s="7">
        <v>1</v>
      </c>
      <c r="W901" s="7">
        <v>0</v>
      </c>
      <c r="X901" s="7">
        <v>0</v>
      </c>
      <c r="Y901" s="7">
        <v>0</v>
      </c>
      <c r="Z901" s="7">
        <v>0</v>
      </c>
      <c r="AA901" s="7">
        <v>0</v>
      </c>
      <c r="AB901" s="7">
        <v>1</v>
      </c>
      <c r="AC901" s="7">
        <v>1</v>
      </c>
      <c r="AD901" s="7">
        <v>2</v>
      </c>
      <c r="AE901" s="7">
        <v>3</v>
      </c>
      <c r="AF901" s="7">
        <v>0</v>
      </c>
      <c r="AG901" s="7" t="s">
        <v>5044</v>
      </c>
      <c r="AH901" s="7" t="s">
        <v>5044</v>
      </c>
      <c r="AI901" s="7" t="s">
        <v>5044</v>
      </c>
      <c r="AJ901" s="7" t="s">
        <v>5044</v>
      </c>
      <c r="AK901" s="7" t="s">
        <v>5945</v>
      </c>
      <c r="AL901" s="7">
        <v>0</v>
      </c>
      <c r="AM901" s="7">
        <v>0</v>
      </c>
      <c r="AN901" s="7" t="s">
        <v>5318</v>
      </c>
    </row>
    <row r="902" spans="1:40" ht="63" customHeight="1" x14ac:dyDescent="0.2">
      <c r="A902" s="7">
        <v>9054</v>
      </c>
      <c r="B902" s="7" t="s">
        <v>3242</v>
      </c>
      <c r="C902" s="7" t="s">
        <v>3243</v>
      </c>
      <c r="D902" s="7" t="s">
        <v>16</v>
      </c>
      <c r="F902" s="7" t="s">
        <v>98</v>
      </c>
      <c r="G902" s="7" t="s">
        <v>52</v>
      </c>
      <c r="H902" s="7" t="s">
        <v>3244</v>
      </c>
      <c r="I902" s="7" t="s">
        <v>13</v>
      </c>
      <c r="K902" s="7" t="s">
        <v>3245</v>
      </c>
      <c r="L902" s="7" t="s">
        <v>5947</v>
      </c>
      <c r="M902" s="7">
        <v>0</v>
      </c>
      <c r="N902" s="7" t="s">
        <v>5044</v>
      </c>
      <c r="O902" s="7" t="s">
        <v>5044</v>
      </c>
      <c r="P902" s="7">
        <v>0</v>
      </c>
      <c r="Q902" s="7">
        <v>0</v>
      </c>
      <c r="R902" s="7">
        <v>0</v>
      </c>
      <c r="S902" s="7" t="s">
        <v>5207</v>
      </c>
      <c r="T902" s="7">
        <v>1</v>
      </c>
      <c r="U902" s="7">
        <v>36</v>
      </c>
      <c r="V902" s="7">
        <v>0</v>
      </c>
      <c r="W902" s="7">
        <v>1</v>
      </c>
      <c r="X902" s="7">
        <v>0</v>
      </c>
      <c r="Y902" s="7">
        <v>0</v>
      </c>
      <c r="Z902" s="7">
        <v>0</v>
      </c>
      <c r="AA902" s="7">
        <v>0</v>
      </c>
      <c r="AB902" s="7">
        <v>1</v>
      </c>
      <c r="AC902" s="7">
        <v>1</v>
      </c>
      <c r="AD902" s="7" t="s">
        <v>5044</v>
      </c>
      <c r="AE902" s="7" t="s">
        <v>5044</v>
      </c>
      <c r="AF902" s="7" t="s">
        <v>5044</v>
      </c>
      <c r="AG902" s="7">
        <v>1</v>
      </c>
      <c r="AH902" s="7">
        <v>0</v>
      </c>
      <c r="AI902" s="7">
        <v>0</v>
      </c>
      <c r="AJ902" s="7" t="s">
        <v>5044</v>
      </c>
      <c r="AK902" s="7" t="s">
        <v>5318</v>
      </c>
      <c r="AL902" s="7">
        <v>0</v>
      </c>
      <c r="AM902" s="7">
        <v>0</v>
      </c>
      <c r="AN902" s="7" t="s">
        <v>5318</v>
      </c>
    </row>
    <row r="903" spans="1:40" ht="63" customHeight="1" x14ac:dyDescent="0.2">
      <c r="A903" s="7">
        <v>9058</v>
      </c>
      <c r="B903" s="7" t="s">
        <v>3246</v>
      </c>
      <c r="C903" s="7" t="s">
        <v>3247</v>
      </c>
      <c r="D903" s="7" t="s">
        <v>95</v>
      </c>
      <c r="F903" s="7" t="s">
        <v>114</v>
      </c>
      <c r="G903" s="7" t="s">
        <v>37</v>
      </c>
      <c r="H903" s="7" t="s">
        <v>115</v>
      </c>
      <c r="I903" s="7" t="s">
        <v>13</v>
      </c>
      <c r="J903" s="7" t="s">
        <v>3248</v>
      </c>
      <c r="K903" s="7" t="s">
        <v>3249</v>
      </c>
      <c r="L903" s="7" t="s">
        <v>5948</v>
      </c>
      <c r="M903" s="7">
        <v>0</v>
      </c>
      <c r="N903" s="7" t="s">
        <v>5044</v>
      </c>
      <c r="O903" s="7" t="s">
        <v>5044</v>
      </c>
      <c r="P903" s="7">
        <v>0</v>
      </c>
      <c r="Q903" s="7">
        <v>0</v>
      </c>
      <c r="R903" s="7">
        <v>0</v>
      </c>
      <c r="S903" s="7">
        <v>1</v>
      </c>
      <c r="T903" s="7">
        <v>1</v>
      </c>
      <c r="U903" s="7">
        <v>55</v>
      </c>
      <c r="V903" s="7">
        <v>0</v>
      </c>
      <c r="W903" s="7">
        <v>1</v>
      </c>
      <c r="X903" s="7">
        <v>0</v>
      </c>
      <c r="Y903" s="7">
        <v>0</v>
      </c>
      <c r="Z903" s="7">
        <v>0</v>
      </c>
      <c r="AA903" s="7">
        <v>0</v>
      </c>
      <c r="AB903" s="7">
        <v>1</v>
      </c>
      <c r="AC903" s="7">
        <v>1</v>
      </c>
      <c r="AD903" s="7" t="s">
        <v>5044</v>
      </c>
      <c r="AE903" s="7" t="s">
        <v>5044</v>
      </c>
      <c r="AF903" s="7" t="s">
        <v>5044</v>
      </c>
      <c r="AG903" s="7">
        <v>2</v>
      </c>
      <c r="AH903" s="7">
        <v>1</v>
      </c>
      <c r="AI903" s="7">
        <v>2</v>
      </c>
      <c r="AJ903" s="7" t="s">
        <v>5044</v>
      </c>
      <c r="AK903" s="7" t="s">
        <v>5318</v>
      </c>
      <c r="AL903" s="7" t="s">
        <v>5044</v>
      </c>
      <c r="AM903" s="7">
        <v>0</v>
      </c>
      <c r="AN903" s="7" t="s">
        <v>5105</v>
      </c>
    </row>
    <row r="904" spans="1:40" ht="63" customHeight="1" x14ac:dyDescent="0.2">
      <c r="A904" s="7">
        <v>9059</v>
      </c>
      <c r="B904" s="7" t="s">
        <v>3250</v>
      </c>
      <c r="C904" s="7" t="s">
        <v>3251</v>
      </c>
      <c r="D904" s="7" t="s">
        <v>41</v>
      </c>
      <c r="F904" s="7" t="s">
        <v>335</v>
      </c>
      <c r="G904" s="7" t="s">
        <v>11</v>
      </c>
      <c r="H904" s="7" t="s">
        <v>43</v>
      </c>
      <c r="I904" s="7" t="s">
        <v>13</v>
      </c>
      <c r="J904" s="7" t="s">
        <v>3252</v>
      </c>
      <c r="K904" s="7" t="s">
        <v>3253</v>
      </c>
      <c r="L904" s="7" t="s">
        <v>5949</v>
      </c>
      <c r="M904" s="7">
        <v>0</v>
      </c>
      <c r="N904" s="7" t="s">
        <v>5044</v>
      </c>
      <c r="O904" s="7" t="s">
        <v>5044</v>
      </c>
      <c r="P904" s="7">
        <v>0</v>
      </c>
      <c r="Q904" s="7">
        <v>0</v>
      </c>
      <c r="R904" s="7">
        <v>0</v>
      </c>
      <c r="S904" s="7">
        <v>1</v>
      </c>
      <c r="T904" s="7">
        <v>1</v>
      </c>
      <c r="U904" s="7">
        <v>268</v>
      </c>
      <c r="V904" s="7">
        <v>0</v>
      </c>
      <c r="W904" s="7">
        <v>1</v>
      </c>
      <c r="X904" s="7">
        <v>0</v>
      </c>
      <c r="Y904" s="7">
        <v>0</v>
      </c>
      <c r="Z904" s="7">
        <v>0</v>
      </c>
      <c r="AA904" s="7">
        <v>0</v>
      </c>
      <c r="AB904" s="7">
        <v>1</v>
      </c>
      <c r="AC904" s="7">
        <v>1</v>
      </c>
      <c r="AD904" s="7" t="s">
        <v>5044</v>
      </c>
      <c r="AE904" s="7" t="s">
        <v>5044</v>
      </c>
      <c r="AF904" s="7" t="s">
        <v>5044</v>
      </c>
      <c r="AG904" s="7">
        <v>2</v>
      </c>
      <c r="AH904" s="7">
        <v>1</v>
      </c>
      <c r="AI904" s="7">
        <v>2</v>
      </c>
      <c r="AJ904" s="7" t="s">
        <v>5044</v>
      </c>
      <c r="AK904" s="7" t="s">
        <v>5318</v>
      </c>
      <c r="AL904" s="7">
        <v>1</v>
      </c>
      <c r="AM904" s="7">
        <v>0</v>
      </c>
      <c r="AN904" s="7" t="s">
        <v>5318</v>
      </c>
    </row>
    <row r="905" spans="1:40" ht="63" customHeight="1" x14ac:dyDescent="0.2">
      <c r="A905" s="7">
        <v>9068</v>
      </c>
      <c r="B905" s="7" t="s">
        <v>3259</v>
      </c>
      <c r="C905" s="7" t="s">
        <v>3260</v>
      </c>
      <c r="D905" s="7" t="s">
        <v>56</v>
      </c>
      <c r="F905" s="7" t="s">
        <v>929</v>
      </c>
      <c r="G905" s="7" t="s">
        <v>18</v>
      </c>
      <c r="H905" s="7" t="s">
        <v>43</v>
      </c>
      <c r="I905" s="7" t="s">
        <v>437</v>
      </c>
      <c r="J905" s="7" t="s">
        <v>3261</v>
      </c>
      <c r="K905" s="7" t="s">
        <v>3262</v>
      </c>
      <c r="L905" s="7" t="s">
        <v>5953</v>
      </c>
      <c r="M905" s="7">
        <v>0</v>
      </c>
      <c r="N905" s="7" t="s">
        <v>5044</v>
      </c>
      <c r="O905" s="7" t="s">
        <v>5044</v>
      </c>
      <c r="P905" s="7">
        <v>0</v>
      </c>
      <c r="Q905" s="7">
        <v>0</v>
      </c>
      <c r="R905" s="7">
        <v>0</v>
      </c>
      <c r="S905" s="7">
        <v>1</v>
      </c>
      <c r="T905" s="7">
        <v>2</v>
      </c>
      <c r="U905" s="7">
        <v>330</v>
      </c>
      <c r="V905" s="7">
        <v>1</v>
      </c>
      <c r="W905" s="7">
        <v>1</v>
      </c>
      <c r="X905" s="7">
        <v>0</v>
      </c>
      <c r="Y905" s="7">
        <v>0</v>
      </c>
      <c r="Z905" s="7">
        <v>0</v>
      </c>
      <c r="AA905" s="7">
        <v>0</v>
      </c>
      <c r="AB905" s="7">
        <v>1</v>
      </c>
      <c r="AC905" s="7">
        <v>1</v>
      </c>
      <c r="AD905" s="7">
        <v>2</v>
      </c>
      <c r="AE905" s="7">
        <v>2</v>
      </c>
      <c r="AF905" s="7">
        <v>2</v>
      </c>
      <c r="AG905" s="7">
        <v>2</v>
      </c>
      <c r="AH905" s="7">
        <v>3</v>
      </c>
      <c r="AI905" s="7">
        <v>0</v>
      </c>
      <c r="AJ905" s="7" t="s">
        <v>5044</v>
      </c>
      <c r="AK905" s="7">
        <v>1</v>
      </c>
      <c r="AL905" s="7">
        <v>0</v>
      </c>
      <c r="AM905" s="7">
        <v>0</v>
      </c>
    </row>
    <row r="906" spans="1:40" ht="63" customHeight="1" x14ac:dyDescent="0.2">
      <c r="A906" s="7">
        <v>9092</v>
      </c>
      <c r="B906" s="7" t="s">
        <v>3263</v>
      </c>
      <c r="C906" s="7" t="s">
        <v>3264</v>
      </c>
      <c r="D906" s="7" t="s">
        <v>149</v>
      </c>
      <c r="F906" s="7" t="s">
        <v>384</v>
      </c>
      <c r="G906" s="7" t="s">
        <v>37</v>
      </c>
      <c r="H906" s="7" t="s">
        <v>290</v>
      </c>
      <c r="I906" s="7" t="s">
        <v>13</v>
      </c>
      <c r="J906" s="7" t="s">
        <v>3265</v>
      </c>
      <c r="K906" s="7" t="s">
        <v>3266</v>
      </c>
      <c r="L906" s="7" t="s">
        <v>5954</v>
      </c>
      <c r="M906" s="7">
        <v>0</v>
      </c>
      <c r="N906" s="7" t="s">
        <v>5044</v>
      </c>
      <c r="O906" s="7" t="s">
        <v>5044</v>
      </c>
      <c r="P906" s="7">
        <v>0</v>
      </c>
      <c r="Q906" s="7">
        <v>0</v>
      </c>
      <c r="R906" s="7">
        <v>0</v>
      </c>
      <c r="S906" s="7">
        <v>1</v>
      </c>
      <c r="T906" s="7">
        <v>4</v>
      </c>
      <c r="U906" s="7">
        <v>212</v>
      </c>
      <c r="V906" s="7">
        <v>0</v>
      </c>
      <c r="W906" s="7">
        <v>1</v>
      </c>
      <c r="X906" s="7">
        <v>0</v>
      </c>
      <c r="Y906" s="7">
        <v>0</v>
      </c>
      <c r="Z906" s="7">
        <v>0</v>
      </c>
      <c r="AA906" s="7">
        <v>0</v>
      </c>
      <c r="AB906" s="7">
        <v>1</v>
      </c>
      <c r="AC906" s="7">
        <v>0</v>
      </c>
      <c r="AD906" s="7" t="s">
        <v>5044</v>
      </c>
      <c r="AE906" s="7" t="s">
        <v>5044</v>
      </c>
      <c r="AF906" s="7" t="s">
        <v>5044</v>
      </c>
      <c r="AG906" s="7">
        <v>0</v>
      </c>
      <c r="AH906" s="7" t="s">
        <v>5044</v>
      </c>
      <c r="AI906" s="7" t="s">
        <v>5044</v>
      </c>
      <c r="AJ906" s="7" t="s">
        <v>5044</v>
      </c>
      <c r="AK906" s="7" t="s">
        <v>5318</v>
      </c>
      <c r="AL906" s="7">
        <v>1</v>
      </c>
      <c r="AM906" s="7">
        <v>0</v>
      </c>
      <c r="AN906" s="7" t="s">
        <v>5217</v>
      </c>
    </row>
    <row r="907" spans="1:40" ht="63" customHeight="1" x14ac:dyDescent="0.2">
      <c r="A907" s="7">
        <v>9102</v>
      </c>
      <c r="B907" s="7" t="s">
        <v>3267</v>
      </c>
      <c r="C907" s="7" t="s">
        <v>3268</v>
      </c>
      <c r="D907" s="7" t="s">
        <v>74</v>
      </c>
      <c r="F907" s="7" t="s">
        <v>31</v>
      </c>
      <c r="G907" s="7" t="s">
        <v>37</v>
      </c>
      <c r="H907" s="7" t="s">
        <v>160</v>
      </c>
      <c r="I907" s="7" t="s">
        <v>13</v>
      </c>
      <c r="J907" s="7" t="s">
        <v>3269</v>
      </c>
      <c r="K907" s="7" t="s">
        <v>3270</v>
      </c>
      <c r="L907" s="7" t="s">
        <v>5955</v>
      </c>
      <c r="M907" s="7">
        <v>0</v>
      </c>
      <c r="N907" s="7" t="s">
        <v>5044</v>
      </c>
      <c r="O907" s="7" t="s">
        <v>5044</v>
      </c>
      <c r="P907" s="7">
        <v>0</v>
      </c>
      <c r="Q907" s="7">
        <v>0</v>
      </c>
      <c r="R907" s="7">
        <v>0</v>
      </c>
      <c r="S907" s="7">
        <v>11</v>
      </c>
      <c r="T907" s="7">
        <v>1</v>
      </c>
      <c r="U907" s="7">
        <v>64</v>
      </c>
      <c r="V907" s="7">
        <v>0</v>
      </c>
      <c r="W907" s="7">
        <v>1</v>
      </c>
      <c r="X907" s="7">
        <v>0</v>
      </c>
      <c r="Y907" s="7">
        <v>0</v>
      </c>
      <c r="Z907" s="7">
        <v>0</v>
      </c>
      <c r="AA907" s="7">
        <v>0</v>
      </c>
      <c r="AB907" s="7">
        <v>1</v>
      </c>
      <c r="AC907" s="7">
        <v>1</v>
      </c>
      <c r="AD907" s="7" t="s">
        <v>5044</v>
      </c>
      <c r="AE907" s="7" t="s">
        <v>5044</v>
      </c>
      <c r="AF907" s="7" t="s">
        <v>5044</v>
      </c>
      <c r="AG907" s="7">
        <v>2</v>
      </c>
      <c r="AH907" s="7">
        <v>1</v>
      </c>
      <c r="AI907" s="7">
        <v>2</v>
      </c>
      <c r="AJ907" s="7" t="s">
        <v>5044</v>
      </c>
      <c r="AK907" s="7" t="s">
        <v>5318</v>
      </c>
      <c r="AL907" s="7">
        <v>0</v>
      </c>
      <c r="AM907" s="7">
        <v>0</v>
      </c>
      <c r="AN907" s="7" t="s">
        <v>5318</v>
      </c>
    </row>
    <row r="908" spans="1:40" ht="63" customHeight="1" x14ac:dyDescent="0.2">
      <c r="A908" s="7">
        <v>9117</v>
      </c>
      <c r="B908" s="7" t="s">
        <v>3271</v>
      </c>
      <c r="C908" s="7" t="s">
        <v>3272</v>
      </c>
      <c r="D908" s="7" t="s">
        <v>101</v>
      </c>
      <c r="F908" s="7" t="s">
        <v>163</v>
      </c>
      <c r="G908" s="7" t="s">
        <v>27</v>
      </c>
      <c r="H908" s="7" t="s">
        <v>3273</v>
      </c>
      <c r="I908" s="7" t="s">
        <v>13</v>
      </c>
      <c r="J908" s="7" t="s">
        <v>3274</v>
      </c>
      <c r="K908" s="7" t="s">
        <v>3275</v>
      </c>
      <c r="L908" s="7" t="s">
        <v>5956</v>
      </c>
      <c r="M908" s="7">
        <v>0</v>
      </c>
      <c r="N908" s="7" t="s">
        <v>5044</v>
      </c>
      <c r="O908" s="7" t="s">
        <v>5044</v>
      </c>
      <c r="P908" s="7">
        <v>0</v>
      </c>
      <c r="Q908" s="7">
        <v>0</v>
      </c>
      <c r="R908" s="7">
        <v>0</v>
      </c>
      <c r="S908" s="7" t="s">
        <v>5708</v>
      </c>
      <c r="T908" s="7">
        <v>1</v>
      </c>
      <c r="U908" s="7">
        <v>88</v>
      </c>
      <c r="V908" s="7">
        <v>0</v>
      </c>
      <c r="W908" s="7">
        <v>1</v>
      </c>
      <c r="X908" s="7">
        <v>0</v>
      </c>
      <c r="Y908" s="7">
        <v>0</v>
      </c>
      <c r="Z908" s="7">
        <v>0</v>
      </c>
      <c r="AA908" s="7">
        <v>0</v>
      </c>
      <c r="AB908" s="7">
        <v>1</v>
      </c>
      <c r="AC908" s="7">
        <v>1</v>
      </c>
      <c r="AD908" s="7" t="s">
        <v>5044</v>
      </c>
      <c r="AE908" s="7" t="s">
        <v>5044</v>
      </c>
      <c r="AF908" s="7" t="s">
        <v>5044</v>
      </c>
      <c r="AG908" s="7">
        <v>2</v>
      </c>
      <c r="AH908" s="7">
        <v>3</v>
      </c>
      <c r="AI908" s="7">
        <v>0</v>
      </c>
      <c r="AJ908" s="7" t="s">
        <v>5044</v>
      </c>
      <c r="AK908" s="7" t="s">
        <v>5957</v>
      </c>
      <c r="AL908" s="7" t="s">
        <v>5044</v>
      </c>
      <c r="AM908" s="7">
        <v>0</v>
      </c>
    </row>
    <row r="909" spans="1:40" ht="63" customHeight="1" x14ac:dyDescent="0.2">
      <c r="A909" s="7">
        <v>9137</v>
      </c>
      <c r="B909" s="7" t="s">
        <v>3276</v>
      </c>
      <c r="C909" s="7" t="s">
        <v>3277</v>
      </c>
      <c r="D909" s="7" t="s">
        <v>56</v>
      </c>
      <c r="F909" s="7" t="s">
        <v>788</v>
      </c>
      <c r="G909" s="7" t="s">
        <v>175</v>
      </c>
      <c r="H909" s="7" t="s">
        <v>3278</v>
      </c>
      <c r="I909" s="7" t="s">
        <v>13</v>
      </c>
      <c r="J909" s="7" t="s">
        <v>3279</v>
      </c>
      <c r="K909" s="7" t="s">
        <v>3280</v>
      </c>
      <c r="L909" s="7" t="s">
        <v>5958</v>
      </c>
      <c r="M909" s="7">
        <v>0</v>
      </c>
      <c r="N909" s="7" t="s">
        <v>5044</v>
      </c>
      <c r="O909" s="7" t="s">
        <v>5044</v>
      </c>
      <c r="P909" s="7">
        <v>0</v>
      </c>
      <c r="Q909" s="7">
        <v>0</v>
      </c>
      <c r="R909" s="7">
        <v>0</v>
      </c>
      <c r="S909" s="7">
        <v>1</v>
      </c>
      <c r="T909" s="7">
        <v>4</v>
      </c>
      <c r="U909" s="7">
        <v>110</v>
      </c>
      <c r="V909" s="7">
        <v>0</v>
      </c>
      <c r="W909" s="7">
        <v>1</v>
      </c>
      <c r="X909" s="7">
        <v>0</v>
      </c>
      <c r="Y909" s="7">
        <v>0</v>
      </c>
      <c r="Z909" s="7">
        <v>0</v>
      </c>
      <c r="AA909" s="7">
        <v>0</v>
      </c>
      <c r="AB909" s="7">
        <v>1</v>
      </c>
      <c r="AC909" s="7">
        <v>1</v>
      </c>
      <c r="AD909" s="7" t="s">
        <v>5044</v>
      </c>
      <c r="AE909" s="7" t="s">
        <v>5044</v>
      </c>
      <c r="AF909" s="7" t="s">
        <v>5044</v>
      </c>
      <c r="AG909" s="7">
        <v>2</v>
      </c>
      <c r="AH909" s="7">
        <v>3</v>
      </c>
      <c r="AI909" s="7">
        <v>0</v>
      </c>
      <c r="AJ909" s="7" t="s">
        <v>5044</v>
      </c>
      <c r="AK909" s="7">
        <v>1</v>
      </c>
      <c r="AL909" s="7">
        <v>1</v>
      </c>
      <c r="AM909" s="7">
        <v>0</v>
      </c>
      <c r="AN909" s="7" t="s">
        <v>5318</v>
      </c>
    </row>
    <row r="910" spans="1:40" ht="63" customHeight="1" x14ac:dyDescent="0.2">
      <c r="A910" s="7">
        <v>9151</v>
      </c>
      <c r="B910" s="7" t="s">
        <v>3281</v>
      </c>
      <c r="C910" s="7" t="s">
        <v>3282</v>
      </c>
      <c r="D910" s="7" t="s">
        <v>95</v>
      </c>
      <c r="F910" s="7" t="s">
        <v>829</v>
      </c>
      <c r="G910" s="7" t="s">
        <v>52</v>
      </c>
      <c r="H910" s="7" t="s">
        <v>224</v>
      </c>
      <c r="I910" s="7" t="s">
        <v>13</v>
      </c>
      <c r="J910" s="7" t="s">
        <v>3283</v>
      </c>
      <c r="K910" s="7" t="s">
        <v>3284</v>
      </c>
      <c r="L910" s="7" t="s">
        <v>5959</v>
      </c>
      <c r="M910" s="7">
        <v>0</v>
      </c>
      <c r="N910" s="7" t="s">
        <v>5044</v>
      </c>
      <c r="O910" s="7" t="s">
        <v>5044</v>
      </c>
      <c r="P910" s="7">
        <v>0</v>
      </c>
      <c r="Q910" s="7">
        <v>0</v>
      </c>
      <c r="R910" s="7">
        <v>0</v>
      </c>
      <c r="S910" s="7">
        <v>9</v>
      </c>
      <c r="T910" s="7">
        <v>2</v>
      </c>
      <c r="U910" s="7">
        <v>135</v>
      </c>
      <c r="V910" s="7">
        <v>0</v>
      </c>
      <c r="W910" s="7">
        <v>1</v>
      </c>
      <c r="X910" s="7">
        <v>0</v>
      </c>
      <c r="Y910" s="7">
        <v>0</v>
      </c>
      <c r="Z910" s="7">
        <v>1</v>
      </c>
      <c r="AA910" s="7">
        <v>0</v>
      </c>
      <c r="AB910" s="7">
        <v>1</v>
      </c>
      <c r="AC910" s="7">
        <v>1</v>
      </c>
      <c r="AD910" s="7" t="s">
        <v>5044</v>
      </c>
      <c r="AE910" s="7" t="s">
        <v>5044</v>
      </c>
      <c r="AF910" s="7" t="s">
        <v>5044</v>
      </c>
      <c r="AG910" s="7">
        <v>2</v>
      </c>
      <c r="AH910" s="7">
        <v>3</v>
      </c>
      <c r="AI910" s="7">
        <v>0</v>
      </c>
      <c r="AJ910" s="7">
        <v>0</v>
      </c>
      <c r="AK910" s="7">
        <v>1</v>
      </c>
      <c r="AL910" s="7">
        <v>0</v>
      </c>
      <c r="AM910" s="7">
        <v>0</v>
      </c>
      <c r="AN910" s="7" t="s">
        <v>5318</v>
      </c>
    </row>
    <row r="911" spans="1:40" ht="63" customHeight="1" x14ac:dyDescent="0.2">
      <c r="A911" s="7">
        <v>9165</v>
      </c>
      <c r="B911" s="7" t="s">
        <v>3285</v>
      </c>
      <c r="C911" s="7" t="s">
        <v>3286</v>
      </c>
      <c r="D911" s="7" t="s">
        <v>101</v>
      </c>
      <c r="F911" s="7" t="s">
        <v>48</v>
      </c>
      <c r="G911" s="7" t="s">
        <v>48</v>
      </c>
      <c r="H911" s="7" t="s">
        <v>19</v>
      </c>
      <c r="I911" s="7" t="s">
        <v>13</v>
      </c>
      <c r="J911" s="7" t="s">
        <v>3287</v>
      </c>
      <c r="K911" s="7" t="s">
        <v>3288</v>
      </c>
      <c r="L911" s="7" t="s">
        <v>5960</v>
      </c>
      <c r="M911" s="7">
        <v>1</v>
      </c>
      <c r="N911" s="7">
        <v>0</v>
      </c>
      <c r="O911" s="7" t="s">
        <v>5044</v>
      </c>
      <c r="P911" s="7">
        <v>0</v>
      </c>
      <c r="Q911" s="7">
        <v>0</v>
      </c>
      <c r="R911" s="7">
        <v>0</v>
      </c>
      <c r="S911" s="7">
        <v>1</v>
      </c>
      <c r="T911" s="7">
        <v>1</v>
      </c>
      <c r="U911" s="7">
        <v>124</v>
      </c>
      <c r="V911" s="7">
        <v>0</v>
      </c>
      <c r="W911" s="7">
        <v>1</v>
      </c>
      <c r="X911" s="7">
        <v>0</v>
      </c>
      <c r="Y911" s="7">
        <v>0</v>
      </c>
      <c r="Z911" s="7">
        <v>0</v>
      </c>
      <c r="AA911" s="7">
        <v>0</v>
      </c>
      <c r="AB911" s="7">
        <v>1</v>
      </c>
      <c r="AC911" s="7" t="s">
        <v>5044</v>
      </c>
      <c r="AD911" s="7" t="s">
        <v>5044</v>
      </c>
      <c r="AE911" s="7" t="s">
        <v>5044</v>
      </c>
      <c r="AF911" s="7" t="s">
        <v>5044</v>
      </c>
      <c r="AG911" s="7" t="s">
        <v>5044</v>
      </c>
      <c r="AH911" s="7" t="s">
        <v>5044</v>
      </c>
      <c r="AI911" s="7" t="s">
        <v>5044</v>
      </c>
      <c r="AJ911" s="7" t="s">
        <v>5044</v>
      </c>
      <c r="AK911" s="7" t="s">
        <v>5318</v>
      </c>
      <c r="AL911" s="7" t="s">
        <v>5044</v>
      </c>
      <c r="AM911" s="7">
        <v>0</v>
      </c>
      <c r="AN911" s="7" t="s">
        <v>5318</v>
      </c>
    </row>
    <row r="912" spans="1:40" ht="63" customHeight="1" x14ac:dyDescent="0.2">
      <c r="A912" s="7">
        <v>9173</v>
      </c>
      <c r="B912" s="7" t="s">
        <v>3289</v>
      </c>
      <c r="C912" s="7" t="s">
        <v>3290</v>
      </c>
      <c r="D912" s="7" t="s">
        <v>149</v>
      </c>
      <c r="F912" s="7" t="s">
        <v>1989</v>
      </c>
      <c r="G912" s="7" t="s">
        <v>52</v>
      </c>
      <c r="H912" s="7" t="s">
        <v>3291</v>
      </c>
      <c r="I912" s="7" t="s">
        <v>13</v>
      </c>
      <c r="J912" s="7" t="s">
        <v>3292</v>
      </c>
      <c r="K912" s="7" t="s">
        <v>3293</v>
      </c>
      <c r="L912" s="7" t="s">
        <v>5961</v>
      </c>
      <c r="M912" s="7">
        <v>0</v>
      </c>
      <c r="N912" s="7" t="s">
        <v>5044</v>
      </c>
      <c r="O912" s="7" t="s">
        <v>5044</v>
      </c>
      <c r="P912" s="7">
        <v>0</v>
      </c>
      <c r="Q912" s="7">
        <v>0</v>
      </c>
      <c r="R912" s="7">
        <v>0</v>
      </c>
      <c r="S912" s="7">
        <v>1</v>
      </c>
      <c r="T912" s="7">
        <v>1</v>
      </c>
      <c r="U912" s="7">
        <v>73</v>
      </c>
      <c r="V912" s="7">
        <v>0</v>
      </c>
      <c r="W912" s="7">
        <v>1</v>
      </c>
      <c r="X912" s="7">
        <v>0</v>
      </c>
      <c r="Y912" s="7">
        <v>0</v>
      </c>
      <c r="Z912" s="7">
        <v>0</v>
      </c>
      <c r="AA912" s="7">
        <v>0</v>
      </c>
      <c r="AB912" s="7">
        <v>1</v>
      </c>
      <c r="AC912" s="7">
        <v>1</v>
      </c>
      <c r="AD912" s="7" t="s">
        <v>5044</v>
      </c>
      <c r="AE912" s="7" t="s">
        <v>5044</v>
      </c>
      <c r="AF912" s="7" t="s">
        <v>5044</v>
      </c>
      <c r="AG912" s="7">
        <v>2</v>
      </c>
      <c r="AH912" s="7">
        <v>3</v>
      </c>
      <c r="AI912" s="7">
        <v>0</v>
      </c>
      <c r="AJ912" s="7" t="s">
        <v>5044</v>
      </c>
      <c r="AK912" s="7">
        <v>1</v>
      </c>
      <c r="AL912" s="7">
        <v>0</v>
      </c>
      <c r="AM912" s="7">
        <v>0</v>
      </c>
      <c r="AN912" s="7" t="s">
        <v>5318</v>
      </c>
    </row>
    <row r="913" spans="1:40" ht="63" customHeight="1" x14ac:dyDescent="0.2">
      <c r="A913" s="7">
        <v>9204</v>
      </c>
      <c r="B913" s="7" t="s">
        <v>3294</v>
      </c>
      <c r="C913" s="7" t="s">
        <v>3295</v>
      </c>
      <c r="D913" s="7" t="s">
        <v>25</v>
      </c>
      <c r="F913" s="7" t="s">
        <v>299</v>
      </c>
      <c r="G913" s="7" t="s">
        <v>52</v>
      </c>
      <c r="H913" s="7" t="s">
        <v>119</v>
      </c>
      <c r="I913" s="7" t="s">
        <v>13</v>
      </c>
      <c r="J913" s="7" t="s">
        <v>3296</v>
      </c>
      <c r="K913" s="7" t="s">
        <v>3297</v>
      </c>
      <c r="L913" s="7" t="s">
        <v>5962</v>
      </c>
      <c r="M913" s="7">
        <v>1</v>
      </c>
      <c r="N913" s="7">
        <v>0</v>
      </c>
      <c r="O913" s="7">
        <v>0</v>
      </c>
      <c r="P913" s="7">
        <v>0</v>
      </c>
      <c r="Q913" s="7">
        <v>0</v>
      </c>
      <c r="R913" s="7">
        <v>0</v>
      </c>
      <c r="S913" s="7">
        <v>1</v>
      </c>
      <c r="T913" s="7">
        <v>1</v>
      </c>
      <c r="U913" s="7">
        <v>120</v>
      </c>
      <c r="V913" s="7">
        <v>0</v>
      </c>
      <c r="W913" s="7">
        <v>1</v>
      </c>
      <c r="X913" s="7">
        <v>0</v>
      </c>
      <c r="Y913" s="7">
        <v>0</v>
      </c>
      <c r="Z913" s="7">
        <v>0</v>
      </c>
      <c r="AA913" s="7">
        <v>0</v>
      </c>
      <c r="AB913" s="7">
        <v>1</v>
      </c>
      <c r="AC913" s="7" t="s">
        <v>5044</v>
      </c>
      <c r="AD913" s="7" t="s">
        <v>5044</v>
      </c>
      <c r="AE913" s="7" t="s">
        <v>5044</v>
      </c>
      <c r="AF913" s="7" t="s">
        <v>5044</v>
      </c>
      <c r="AG913" s="7" t="s">
        <v>5044</v>
      </c>
      <c r="AH913" s="7" t="s">
        <v>5044</v>
      </c>
      <c r="AI913" s="7" t="s">
        <v>5044</v>
      </c>
      <c r="AJ913" s="7" t="s">
        <v>5044</v>
      </c>
      <c r="AK913" s="7" t="s">
        <v>5318</v>
      </c>
      <c r="AL913" s="7" t="s">
        <v>5044</v>
      </c>
      <c r="AM913" s="7">
        <v>0</v>
      </c>
    </row>
    <row r="914" spans="1:40" ht="63" customHeight="1" x14ac:dyDescent="0.2">
      <c r="A914" s="7">
        <v>9217</v>
      </c>
      <c r="B914" s="7" t="s">
        <v>3302</v>
      </c>
      <c r="C914" s="7" t="s">
        <v>3303</v>
      </c>
      <c r="D914" s="7" t="s">
        <v>16</v>
      </c>
      <c r="F914" s="7" t="s">
        <v>1700</v>
      </c>
      <c r="G914" s="7" t="s">
        <v>144</v>
      </c>
      <c r="H914" s="7" t="s">
        <v>596</v>
      </c>
      <c r="I914" s="7" t="s">
        <v>13</v>
      </c>
      <c r="J914" s="7" t="s">
        <v>3304</v>
      </c>
      <c r="K914" s="7" t="s">
        <v>3305</v>
      </c>
      <c r="L914" s="7" t="s">
        <v>5781</v>
      </c>
      <c r="M914" s="7">
        <v>0</v>
      </c>
      <c r="N914" s="7" t="s">
        <v>5044</v>
      </c>
      <c r="O914" s="7" t="s">
        <v>5044</v>
      </c>
      <c r="P914" s="7">
        <v>0</v>
      </c>
      <c r="Q914" s="7">
        <v>0</v>
      </c>
      <c r="R914" s="7">
        <v>0</v>
      </c>
      <c r="S914" s="7">
        <v>1</v>
      </c>
      <c r="T914" s="7">
        <v>1</v>
      </c>
      <c r="U914" s="7">
        <v>112</v>
      </c>
      <c r="V914" s="7">
        <v>0</v>
      </c>
      <c r="W914" s="7">
        <v>1</v>
      </c>
      <c r="X914" s="7">
        <v>0</v>
      </c>
      <c r="Y914" s="7">
        <v>1</v>
      </c>
      <c r="Z914" s="7">
        <v>0</v>
      </c>
      <c r="AA914" s="7">
        <v>0</v>
      </c>
      <c r="AB914" s="7">
        <v>1</v>
      </c>
      <c r="AC914" s="7">
        <v>1</v>
      </c>
      <c r="AD914" s="7" t="s">
        <v>5044</v>
      </c>
      <c r="AE914" s="7" t="s">
        <v>5044</v>
      </c>
      <c r="AF914" s="7" t="s">
        <v>5044</v>
      </c>
      <c r="AG914" s="7">
        <v>1</v>
      </c>
      <c r="AH914" s="7">
        <v>0</v>
      </c>
      <c r="AI914" s="7">
        <v>0</v>
      </c>
      <c r="AJ914" s="7">
        <v>0</v>
      </c>
      <c r="AK914" s="7" t="s">
        <v>5318</v>
      </c>
      <c r="AL914" s="7">
        <v>0</v>
      </c>
      <c r="AM914" s="7">
        <v>0</v>
      </c>
      <c r="AN914" s="7" t="s">
        <v>5318</v>
      </c>
    </row>
    <row r="915" spans="1:40" ht="63" customHeight="1" x14ac:dyDescent="0.2">
      <c r="A915" s="7">
        <v>9221</v>
      </c>
      <c r="B915" s="7" t="s">
        <v>3306</v>
      </c>
      <c r="C915" s="7" t="s">
        <v>3307</v>
      </c>
      <c r="D915" s="7" t="s">
        <v>16</v>
      </c>
      <c r="F915" s="7" t="s">
        <v>3179</v>
      </c>
      <c r="G915" s="7" t="s">
        <v>32</v>
      </c>
      <c r="H915" s="7" t="s">
        <v>730</v>
      </c>
      <c r="I915" s="7" t="s">
        <v>13</v>
      </c>
      <c r="J915" s="7" t="s">
        <v>3308</v>
      </c>
      <c r="K915" s="7" t="s">
        <v>3309</v>
      </c>
      <c r="L915" s="7" t="s">
        <v>5963</v>
      </c>
      <c r="M915" s="7">
        <v>0</v>
      </c>
      <c r="N915" s="7" t="s">
        <v>5044</v>
      </c>
      <c r="O915" s="7" t="s">
        <v>5044</v>
      </c>
      <c r="P915" s="7">
        <v>0</v>
      </c>
      <c r="Q915" s="7">
        <v>0</v>
      </c>
      <c r="R915" s="7">
        <v>0</v>
      </c>
      <c r="S915" s="7">
        <v>3</v>
      </c>
      <c r="T915" s="7">
        <v>1</v>
      </c>
      <c r="U915" s="7">
        <v>530</v>
      </c>
      <c r="V915" s="7">
        <v>0</v>
      </c>
      <c r="W915" s="7">
        <v>1</v>
      </c>
      <c r="X915" s="7">
        <v>0</v>
      </c>
      <c r="Y915" s="7">
        <v>0</v>
      </c>
      <c r="Z915" s="7">
        <v>0</v>
      </c>
      <c r="AA915" s="7">
        <v>0</v>
      </c>
      <c r="AB915" s="7">
        <v>1</v>
      </c>
      <c r="AC915" s="7">
        <v>1</v>
      </c>
      <c r="AD915" s="7" t="s">
        <v>5044</v>
      </c>
      <c r="AE915" s="7" t="s">
        <v>5044</v>
      </c>
      <c r="AF915" s="7" t="s">
        <v>5044</v>
      </c>
      <c r="AG915" s="7">
        <v>1</v>
      </c>
      <c r="AH915" s="7">
        <v>0</v>
      </c>
      <c r="AI915" s="7">
        <v>0</v>
      </c>
      <c r="AJ915" s="7" t="s">
        <v>5044</v>
      </c>
      <c r="AK915" s="7" t="s">
        <v>5318</v>
      </c>
      <c r="AL915" s="7">
        <v>1</v>
      </c>
      <c r="AM915" s="7">
        <v>0</v>
      </c>
      <c r="AN915" s="7" t="s">
        <v>5318</v>
      </c>
    </row>
    <row r="916" spans="1:40" ht="63" customHeight="1" x14ac:dyDescent="0.2">
      <c r="A916" s="7">
        <v>9245</v>
      </c>
      <c r="B916" s="7" t="s">
        <v>3310</v>
      </c>
      <c r="C916" s="7" t="s">
        <v>3311</v>
      </c>
      <c r="D916" s="7" t="s">
        <v>41</v>
      </c>
      <c r="F916" s="7" t="s">
        <v>3312</v>
      </c>
      <c r="G916" s="7" t="s">
        <v>52</v>
      </c>
      <c r="H916" s="7" t="s">
        <v>390</v>
      </c>
      <c r="I916" s="7" t="s">
        <v>13</v>
      </c>
      <c r="J916" s="7" t="s">
        <v>3313</v>
      </c>
      <c r="K916" s="7" t="s">
        <v>3314</v>
      </c>
      <c r="L916" s="7" t="s">
        <v>5964</v>
      </c>
      <c r="M916" s="7">
        <v>0</v>
      </c>
      <c r="N916" s="7" t="s">
        <v>5044</v>
      </c>
      <c r="O916" s="7" t="s">
        <v>5044</v>
      </c>
      <c r="P916" s="7">
        <v>0</v>
      </c>
      <c r="Q916" s="7">
        <v>0</v>
      </c>
      <c r="R916" s="7">
        <v>0</v>
      </c>
      <c r="S916" s="7">
        <v>9</v>
      </c>
      <c r="T916" s="7">
        <v>2</v>
      </c>
      <c r="U916" s="7">
        <v>75</v>
      </c>
      <c r="V916" s="7">
        <v>0</v>
      </c>
      <c r="W916" s="7">
        <v>1</v>
      </c>
      <c r="X916" s="7">
        <v>0</v>
      </c>
      <c r="Y916" s="7">
        <v>0</v>
      </c>
      <c r="Z916" s="7">
        <v>0</v>
      </c>
      <c r="AA916" s="7">
        <v>0</v>
      </c>
      <c r="AB916" s="7">
        <v>1</v>
      </c>
      <c r="AC916" s="7">
        <v>0</v>
      </c>
      <c r="AD916" s="7" t="s">
        <v>5044</v>
      </c>
      <c r="AE916" s="7" t="s">
        <v>5044</v>
      </c>
      <c r="AF916" s="7" t="s">
        <v>5044</v>
      </c>
      <c r="AG916" s="7">
        <v>0</v>
      </c>
      <c r="AH916" s="7" t="s">
        <v>5044</v>
      </c>
      <c r="AI916" s="7" t="s">
        <v>5044</v>
      </c>
      <c r="AJ916" s="7" t="s">
        <v>5044</v>
      </c>
      <c r="AK916" s="7" t="s">
        <v>5318</v>
      </c>
      <c r="AL916" s="7">
        <v>0</v>
      </c>
      <c r="AM916" s="7">
        <v>0</v>
      </c>
      <c r="AN916" s="7" t="s">
        <v>5318</v>
      </c>
    </row>
    <row r="917" spans="1:40" ht="63" customHeight="1" x14ac:dyDescent="0.2">
      <c r="A917" s="7">
        <v>9264</v>
      </c>
      <c r="B917" s="7" t="s">
        <v>3315</v>
      </c>
      <c r="C917" s="7" t="s">
        <v>3316</v>
      </c>
      <c r="D917" s="7" t="s">
        <v>56</v>
      </c>
      <c r="F917" s="7" t="s">
        <v>2803</v>
      </c>
      <c r="G917" s="7" t="s">
        <v>11</v>
      </c>
      <c r="H917" s="7" t="s">
        <v>3317</v>
      </c>
      <c r="I917" s="7" t="s">
        <v>13</v>
      </c>
      <c r="J917" s="7" t="s">
        <v>3318</v>
      </c>
      <c r="K917" s="7" t="s">
        <v>3319</v>
      </c>
      <c r="L917" s="7" t="s">
        <v>5965</v>
      </c>
      <c r="M917" s="7">
        <v>0</v>
      </c>
      <c r="N917" s="7" t="s">
        <v>5044</v>
      </c>
      <c r="O917" s="7" t="s">
        <v>5044</v>
      </c>
      <c r="P917" s="7">
        <v>1</v>
      </c>
      <c r="Q917" s="7">
        <v>0</v>
      </c>
      <c r="R917" s="7">
        <v>0</v>
      </c>
      <c r="S917" s="7">
        <v>9</v>
      </c>
      <c r="T917" s="7">
        <v>2</v>
      </c>
      <c r="U917" s="7">
        <v>48</v>
      </c>
      <c r="V917" s="7">
        <v>0</v>
      </c>
      <c r="W917" s="7">
        <v>1</v>
      </c>
      <c r="X917" s="7">
        <v>0</v>
      </c>
      <c r="Y917" s="7">
        <v>0</v>
      </c>
      <c r="Z917" s="7">
        <v>0</v>
      </c>
      <c r="AA917" s="7">
        <v>0</v>
      </c>
      <c r="AB917" s="7">
        <v>1</v>
      </c>
      <c r="AC917" s="7">
        <v>1</v>
      </c>
      <c r="AD917" s="7" t="s">
        <v>5044</v>
      </c>
      <c r="AE917" s="7" t="s">
        <v>5044</v>
      </c>
      <c r="AF917" s="7" t="s">
        <v>5044</v>
      </c>
      <c r="AG917" s="7">
        <v>2</v>
      </c>
      <c r="AH917" s="7">
        <v>3</v>
      </c>
      <c r="AI917" s="7">
        <v>0</v>
      </c>
      <c r="AJ917" s="7" t="s">
        <v>5044</v>
      </c>
      <c r="AK917" s="7">
        <v>1</v>
      </c>
      <c r="AL917" s="7">
        <v>0</v>
      </c>
      <c r="AM917" s="7">
        <v>0</v>
      </c>
      <c r="AN917" s="7" t="s">
        <v>5318</v>
      </c>
    </row>
    <row r="918" spans="1:40" ht="63" customHeight="1" x14ac:dyDescent="0.2">
      <c r="A918" s="7">
        <v>9265</v>
      </c>
      <c r="B918" s="7" t="s">
        <v>3320</v>
      </c>
      <c r="C918" s="7" t="s">
        <v>3321</v>
      </c>
      <c r="D918" s="7" t="s">
        <v>25</v>
      </c>
      <c r="F918" s="7" t="s">
        <v>389</v>
      </c>
      <c r="G918" s="7" t="s">
        <v>11</v>
      </c>
      <c r="H918" s="7" t="s">
        <v>224</v>
      </c>
      <c r="I918" s="7" t="s">
        <v>13</v>
      </c>
      <c r="J918" s="7" t="s">
        <v>3322</v>
      </c>
      <c r="K918" s="7" t="s">
        <v>3323</v>
      </c>
      <c r="L918" s="7" t="s">
        <v>5966</v>
      </c>
      <c r="M918" s="7">
        <v>0</v>
      </c>
      <c r="N918" s="7" t="s">
        <v>5044</v>
      </c>
      <c r="O918" s="7" t="s">
        <v>5044</v>
      </c>
      <c r="P918" s="7">
        <v>0</v>
      </c>
      <c r="Q918" s="7">
        <v>0</v>
      </c>
      <c r="R918" s="7">
        <v>0</v>
      </c>
      <c r="S918" s="7">
        <v>9</v>
      </c>
      <c r="T918" s="7">
        <v>2</v>
      </c>
      <c r="U918" s="7">
        <v>89</v>
      </c>
      <c r="V918" s="7">
        <v>0</v>
      </c>
      <c r="W918" s="7">
        <v>1</v>
      </c>
      <c r="X918" s="7">
        <v>0</v>
      </c>
      <c r="Y918" s="7">
        <v>0</v>
      </c>
      <c r="Z918" s="7">
        <v>0</v>
      </c>
      <c r="AA918" s="7">
        <v>0</v>
      </c>
      <c r="AB918" s="7">
        <v>1</v>
      </c>
      <c r="AC918" s="7">
        <v>1</v>
      </c>
      <c r="AD918" s="7" t="s">
        <v>5044</v>
      </c>
      <c r="AE918" s="7" t="s">
        <v>5044</v>
      </c>
      <c r="AF918" s="7" t="s">
        <v>5044</v>
      </c>
      <c r="AG918" s="7">
        <v>2</v>
      </c>
      <c r="AH918" s="7">
        <v>3</v>
      </c>
      <c r="AI918" s="7">
        <v>0</v>
      </c>
      <c r="AJ918" s="7" t="s">
        <v>5044</v>
      </c>
      <c r="AK918" s="7">
        <v>1</v>
      </c>
      <c r="AL918" s="7">
        <v>1</v>
      </c>
      <c r="AM918" s="7">
        <v>0</v>
      </c>
      <c r="AN918" s="7" t="s">
        <v>5318</v>
      </c>
    </row>
    <row r="919" spans="1:40" ht="63" customHeight="1" x14ac:dyDescent="0.2">
      <c r="A919" s="7">
        <v>9271</v>
      </c>
      <c r="B919" s="7" t="s">
        <v>3328</v>
      </c>
      <c r="C919" s="7" t="s">
        <v>3329</v>
      </c>
      <c r="D919" s="7" t="s">
        <v>22</v>
      </c>
      <c r="F919" s="7" t="s">
        <v>1655</v>
      </c>
      <c r="G919" s="7" t="s">
        <v>11</v>
      </c>
      <c r="H919" s="7" t="s">
        <v>730</v>
      </c>
      <c r="I919" s="7" t="s">
        <v>13</v>
      </c>
      <c r="J919" s="7" t="s">
        <v>3330</v>
      </c>
      <c r="K919" s="7" t="s">
        <v>3331</v>
      </c>
      <c r="L919" s="7" t="s">
        <v>5482</v>
      </c>
      <c r="M919" s="7">
        <v>0</v>
      </c>
      <c r="N919" s="7" t="s">
        <v>5044</v>
      </c>
      <c r="O919" s="7" t="s">
        <v>5044</v>
      </c>
      <c r="P919" s="7">
        <v>0</v>
      </c>
      <c r="Q919" s="7">
        <v>0</v>
      </c>
      <c r="R919" s="7">
        <v>0</v>
      </c>
      <c r="S919" s="7">
        <v>3</v>
      </c>
      <c r="T919" s="7">
        <v>2</v>
      </c>
      <c r="U919" s="7">
        <v>184</v>
      </c>
      <c r="V919" s="7">
        <v>1</v>
      </c>
      <c r="W919" s="7">
        <v>0</v>
      </c>
      <c r="X919" s="7">
        <v>0</v>
      </c>
      <c r="Y919" s="7">
        <v>0</v>
      </c>
      <c r="Z919" s="7">
        <v>0</v>
      </c>
      <c r="AA919" s="7">
        <v>0</v>
      </c>
      <c r="AB919" s="7">
        <v>1</v>
      </c>
      <c r="AC919" s="7">
        <v>1</v>
      </c>
      <c r="AD919" s="7">
        <v>2</v>
      </c>
      <c r="AE919" s="7">
        <v>3</v>
      </c>
      <c r="AF919" s="7">
        <v>0</v>
      </c>
      <c r="AG919" s="7" t="s">
        <v>5044</v>
      </c>
      <c r="AH919" s="7" t="s">
        <v>5044</v>
      </c>
      <c r="AI919" s="7" t="s">
        <v>5044</v>
      </c>
      <c r="AJ919" s="7" t="s">
        <v>5044</v>
      </c>
      <c r="AK919" s="7">
        <v>2</v>
      </c>
      <c r="AL919" s="7">
        <v>1</v>
      </c>
      <c r="AM919" s="7">
        <v>0</v>
      </c>
      <c r="AN919" s="7" t="s">
        <v>5318</v>
      </c>
    </row>
    <row r="920" spans="1:40" ht="63" customHeight="1" x14ac:dyDescent="0.2">
      <c r="A920" s="7">
        <v>9276</v>
      </c>
      <c r="B920" s="7" t="s">
        <v>3332</v>
      </c>
      <c r="C920" s="7" t="s">
        <v>3333</v>
      </c>
      <c r="D920" s="7" t="s">
        <v>41</v>
      </c>
      <c r="F920" s="7" t="s">
        <v>129</v>
      </c>
      <c r="G920" s="7" t="s">
        <v>175</v>
      </c>
      <c r="H920" s="7" t="s">
        <v>172</v>
      </c>
      <c r="I920" s="7" t="s">
        <v>13</v>
      </c>
      <c r="J920" s="7" t="s">
        <v>3334</v>
      </c>
      <c r="K920" s="7" t="s">
        <v>3335</v>
      </c>
      <c r="L920" s="7" t="s">
        <v>5967</v>
      </c>
      <c r="M920" s="7">
        <v>0</v>
      </c>
      <c r="N920" s="7" t="s">
        <v>5044</v>
      </c>
      <c r="O920" s="7">
        <v>0</v>
      </c>
      <c r="P920" s="7">
        <v>0</v>
      </c>
      <c r="Q920" s="7">
        <v>0</v>
      </c>
      <c r="R920" s="7">
        <v>0</v>
      </c>
      <c r="S920" s="7" t="s">
        <v>7674</v>
      </c>
      <c r="T920" s="7">
        <v>1</v>
      </c>
      <c r="U920" s="7">
        <v>153</v>
      </c>
      <c r="V920" s="7">
        <v>0</v>
      </c>
      <c r="W920" s="7">
        <v>1</v>
      </c>
      <c r="X920" s="7">
        <v>0</v>
      </c>
      <c r="Y920" s="7">
        <v>0</v>
      </c>
      <c r="Z920" s="7">
        <v>0</v>
      </c>
      <c r="AA920" s="7">
        <v>0</v>
      </c>
      <c r="AB920" s="7">
        <v>1</v>
      </c>
      <c r="AC920" s="7">
        <v>1</v>
      </c>
      <c r="AD920" s="7" t="s">
        <v>5044</v>
      </c>
      <c r="AE920" s="7" t="s">
        <v>5044</v>
      </c>
      <c r="AF920" s="7" t="s">
        <v>5044</v>
      </c>
      <c r="AG920" s="7">
        <v>1</v>
      </c>
      <c r="AH920" s="7">
        <v>0</v>
      </c>
      <c r="AI920" s="7">
        <v>0</v>
      </c>
      <c r="AJ920" s="7" t="s">
        <v>5044</v>
      </c>
      <c r="AK920" s="7" t="s">
        <v>5318</v>
      </c>
      <c r="AL920" s="7">
        <v>1</v>
      </c>
      <c r="AM920" s="7">
        <v>0</v>
      </c>
      <c r="AN920" s="7" t="s">
        <v>5318</v>
      </c>
    </row>
    <row r="921" spans="1:40" ht="63" customHeight="1" x14ac:dyDescent="0.2">
      <c r="A921" s="7">
        <v>9282</v>
      </c>
      <c r="B921" s="7" t="s">
        <v>3336</v>
      </c>
      <c r="C921" s="7" t="s">
        <v>3337</v>
      </c>
      <c r="D921" s="7" t="s">
        <v>22</v>
      </c>
      <c r="F921" s="7" t="s">
        <v>163</v>
      </c>
      <c r="G921" s="7" t="s">
        <v>144</v>
      </c>
      <c r="H921" s="7" t="s">
        <v>3338</v>
      </c>
      <c r="I921" s="7" t="s">
        <v>13</v>
      </c>
      <c r="J921" s="7" t="s">
        <v>3339</v>
      </c>
      <c r="K921" s="7" t="s">
        <v>3340</v>
      </c>
      <c r="L921" s="11" t="s">
        <v>5044</v>
      </c>
      <c r="M921" s="7">
        <v>0</v>
      </c>
      <c r="N921" s="7" t="s">
        <v>5044</v>
      </c>
      <c r="O921" s="7" t="s">
        <v>5044</v>
      </c>
      <c r="P921" s="7">
        <v>0</v>
      </c>
      <c r="Q921" s="7">
        <v>0</v>
      </c>
      <c r="R921" s="7">
        <v>0</v>
      </c>
      <c r="S921" s="7">
        <v>1</v>
      </c>
      <c r="T921" s="7">
        <v>1</v>
      </c>
      <c r="U921" s="7">
        <v>100</v>
      </c>
      <c r="V921" s="7">
        <v>0</v>
      </c>
      <c r="W921" s="7">
        <v>1</v>
      </c>
      <c r="X921" s="7">
        <v>0</v>
      </c>
      <c r="Y921" s="7">
        <v>0</v>
      </c>
      <c r="Z921" s="7">
        <v>0</v>
      </c>
      <c r="AA921" s="7">
        <v>0</v>
      </c>
      <c r="AB921" s="7">
        <v>1</v>
      </c>
      <c r="AC921" s="7">
        <v>1</v>
      </c>
      <c r="AD921" s="7" t="s">
        <v>5044</v>
      </c>
      <c r="AE921" s="7" t="s">
        <v>5044</v>
      </c>
      <c r="AF921" s="7" t="s">
        <v>5044</v>
      </c>
      <c r="AG921" s="7">
        <v>1</v>
      </c>
      <c r="AH921" s="7">
        <v>0</v>
      </c>
      <c r="AI921" s="7">
        <v>0</v>
      </c>
      <c r="AJ921" s="7" t="s">
        <v>5044</v>
      </c>
      <c r="AK921" s="7" t="s">
        <v>5318</v>
      </c>
      <c r="AL921" s="7">
        <v>1</v>
      </c>
      <c r="AM921" s="7">
        <v>0</v>
      </c>
      <c r="AN921" s="7" t="s">
        <v>5318</v>
      </c>
    </row>
    <row r="922" spans="1:40" ht="63" customHeight="1" x14ac:dyDescent="0.2">
      <c r="A922" s="7">
        <v>9286</v>
      </c>
      <c r="B922" s="7" t="s">
        <v>3341</v>
      </c>
      <c r="C922" s="7" t="s">
        <v>3342</v>
      </c>
      <c r="D922" s="7" t="s">
        <v>74</v>
      </c>
      <c r="F922" s="7" t="s">
        <v>48</v>
      </c>
      <c r="H922" s="7" t="s">
        <v>3343</v>
      </c>
      <c r="I922" s="7" t="s">
        <v>13</v>
      </c>
      <c r="J922" s="7" t="s">
        <v>3344</v>
      </c>
      <c r="K922" s="7" t="s">
        <v>3345</v>
      </c>
      <c r="L922" s="7" t="s">
        <v>5968</v>
      </c>
      <c r="M922" s="7">
        <v>1</v>
      </c>
      <c r="N922" s="7" t="s">
        <v>5044</v>
      </c>
      <c r="O922" s="7" t="s">
        <v>5044</v>
      </c>
      <c r="P922" s="7">
        <v>0</v>
      </c>
      <c r="Q922" s="7">
        <v>0</v>
      </c>
      <c r="R922" s="7">
        <v>0</v>
      </c>
      <c r="S922" s="7" t="s">
        <v>7673</v>
      </c>
      <c r="T922" s="7">
        <v>1</v>
      </c>
      <c r="U922" s="7">
        <v>240</v>
      </c>
      <c r="V922" s="7">
        <v>1</v>
      </c>
      <c r="W922" s="7">
        <v>0</v>
      </c>
      <c r="X922" s="7">
        <v>0</v>
      </c>
      <c r="Y922" s="7">
        <v>1</v>
      </c>
      <c r="Z922" s="7">
        <v>0</v>
      </c>
      <c r="AA922" s="7">
        <v>0</v>
      </c>
      <c r="AB922" s="7">
        <v>1</v>
      </c>
      <c r="AC922" s="7" t="s">
        <v>5044</v>
      </c>
      <c r="AD922" s="7" t="s">
        <v>5044</v>
      </c>
      <c r="AE922" s="7" t="s">
        <v>5044</v>
      </c>
      <c r="AF922" s="7" t="s">
        <v>5044</v>
      </c>
      <c r="AG922" s="7" t="s">
        <v>5044</v>
      </c>
      <c r="AH922" s="7" t="s">
        <v>5044</v>
      </c>
      <c r="AI922" s="7" t="s">
        <v>5044</v>
      </c>
      <c r="AJ922" s="7" t="s">
        <v>5044</v>
      </c>
      <c r="AK922" s="7" t="s">
        <v>5318</v>
      </c>
      <c r="AL922" s="7" t="s">
        <v>5044</v>
      </c>
      <c r="AM922" s="7">
        <v>0</v>
      </c>
      <c r="AN922" s="7" t="s">
        <v>5318</v>
      </c>
    </row>
    <row r="923" spans="1:40" ht="63" customHeight="1" x14ac:dyDescent="0.2">
      <c r="A923" s="7">
        <v>9288</v>
      </c>
      <c r="B923" s="7" t="s">
        <v>3346</v>
      </c>
      <c r="C923" s="7" t="s">
        <v>3347</v>
      </c>
      <c r="D923" s="7" t="s">
        <v>22</v>
      </c>
      <c r="F923" s="7" t="s">
        <v>626</v>
      </c>
      <c r="G923" s="7" t="s">
        <v>18</v>
      </c>
      <c r="H923" s="7" t="s">
        <v>43</v>
      </c>
      <c r="I923" s="7" t="s">
        <v>437</v>
      </c>
      <c r="J923" s="7" t="s">
        <v>3348</v>
      </c>
      <c r="K923" s="7" t="s">
        <v>3349</v>
      </c>
      <c r="L923" s="7" t="s">
        <v>5970</v>
      </c>
      <c r="M923" s="7">
        <v>0</v>
      </c>
      <c r="N923" s="7" t="s">
        <v>5044</v>
      </c>
      <c r="O923" s="7" t="s">
        <v>5044</v>
      </c>
      <c r="P923" s="7">
        <v>0</v>
      </c>
      <c r="Q923" s="7">
        <v>0</v>
      </c>
      <c r="R923" s="7">
        <v>0</v>
      </c>
      <c r="S923" s="7">
        <v>1</v>
      </c>
      <c r="T923" s="7">
        <v>1</v>
      </c>
      <c r="U923" s="7">
        <v>800</v>
      </c>
      <c r="V923" s="7">
        <v>0</v>
      </c>
      <c r="W923" s="7">
        <v>1</v>
      </c>
      <c r="X923" s="7">
        <v>0</v>
      </c>
      <c r="Y923" s="7">
        <v>0</v>
      </c>
      <c r="Z923" s="7">
        <v>0</v>
      </c>
      <c r="AA923" s="7">
        <v>0</v>
      </c>
      <c r="AB923" s="7">
        <v>1</v>
      </c>
      <c r="AC923" s="7">
        <v>0</v>
      </c>
      <c r="AD923" s="7" t="s">
        <v>5044</v>
      </c>
      <c r="AE923" s="7" t="s">
        <v>5044</v>
      </c>
      <c r="AF923" s="7" t="s">
        <v>5044</v>
      </c>
      <c r="AG923" s="7">
        <v>0</v>
      </c>
      <c r="AH923" s="7" t="s">
        <v>5044</v>
      </c>
      <c r="AI923" s="7" t="s">
        <v>5044</v>
      </c>
      <c r="AJ923" s="7" t="s">
        <v>5044</v>
      </c>
      <c r="AK923" s="7" t="s">
        <v>5318</v>
      </c>
      <c r="AL923" s="7">
        <v>0</v>
      </c>
      <c r="AM923" s="7">
        <v>0</v>
      </c>
    </row>
    <row r="924" spans="1:40" ht="63" customHeight="1" x14ac:dyDescent="0.2">
      <c r="A924" s="7">
        <v>9309</v>
      </c>
      <c r="B924" s="7" t="s">
        <v>3350</v>
      </c>
      <c r="C924" s="7" t="s">
        <v>3351</v>
      </c>
      <c r="D924" s="7" t="s">
        <v>46</v>
      </c>
      <c r="F924" s="7" t="s">
        <v>163</v>
      </c>
      <c r="G924" s="7" t="s">
        <v>144</v>
      </c>
      <c r="H924" s="7" t="s">
        <v>422</v>
      </c>
      <c r="I924" s="7" t="s">
        <v>13</v>
      </c>
      <c r="J924" s="7" t="s">
        <v>3352</v>
      </c>
      <c r="K924" s="7" t="s">
        <v>3353</v>
      </c>
      <c r="L924" s="11" t="s">
        <v>5044</v>
      </c>
      <c r="M924" s="7">
        <v>0</v>
      </c>
      <c r="N924" s="7" t="s">
        <v>5044</v>
      </c>
      <c r="O924" s="7" t="s">
        <v>5044</v>
      </c>
      <c r="P924" s="7">
        <v>1</v>
      </c>
      <c r="Q924" s="7">
        <v>0</v>
      </c>
      <c r="R924" s="7">
        <v>0</v>
      </c>
      <c r="S924" s="7">
        <v>1</v>
      </c>
      <c r="T924" s="7">
        <v>1</v>
      </c>
      <c r="U924" s="7">
        <v>20</v>
      </c>
      <c r="V924" s="7">
        <v>0</v>
      </c>
      <c r="W924" s="7">
        <v>1</v>
      </c>
      <c r="X924" s="7">
        <v>0</v>
      </c>
      <c r="Y924" s="7">
        <v>0</v>
      </c>
      <c r="Z924" s="7">
        <v>0</v>
      </c>
      <c r="AA924" s="7">
        <v>0</v>
      </c>
      <c r="AB924" s="7">
        <v>1</v>
      </c>
      <c r="AC924" s="7">
        <v>0</v>
      </c>
      <c r="AD924" s="7" t="s">
        <v>5044</v>
      </c>
      <c r="AE924" s="7" t="s">
        <v>5044</v>
      </c>
      <c r="AF924" s="7" t="s">
        <v>5044</v>
      </c>
      <c r="AG924" s="7">
        <v>0</v>
      </c>
      <c r="AH924" s="7" t="s">
        <v>5044</v>
      </c>
      <c r="AI924" s="7" t="s">
        <v>5044</v>
      </c>
      <c r="AJ924" s="7" t="s">
        <v>5044</v>
      </c>
      <c r="AK924" s="7" t="s">
        <v>5318</v>
      </c>
      <c r="AL924" s="7">
        <v>0</v>
      </c>
      <c r="AM924" s="7">
        <v>0</v>
      </c>
      <c r="AN924" s="7" t="s">
        <v>5318</v>
      </c>
    </row>
    <row r="925" spans="1:40" ht="63" customHeight="1" x14ac:dyDescent="0.2">
      <c r="A925" s="7">
        <v>9316</v>
      </c>
      <c r="B925" s="7" t="s">
        <v>3354</v>
      </c>
      <c r="C925" s="7" t="s">
        <v>3355</v>
      </c>
      <c r="D925" s="7" t="s">
        <v>74</v>
      </c>
      <c r="F925" s="7" t="s">
        <v>27</v>
      </c>
      <c r="G925" s="7" t="s">
        <v>32</v>
      </c>
      <c r="H925" s="7" t="s">
        <v>362</v>
      </c>
      <c r="I925" s="7" t="s">
        <v>13</v>
      </c>
      <c r="J925" s="7" t="s">
        <v>3356</v>
      </c>
      <c r="K925" s="7" t="s">
        <v>3357</v>
      </c>
      <c r="L925" s="7" t="s">
        <v>5971</v>
      </c>
      <c r="M925" s="7">
        <v>0</v>
      </c>
      <c r="N925" s="7" t="s">
        <v>5044</v>
      </c>
      <c r="O925" s="7" t="s">
        <v>5044</v>
      </c>
      <c r="P925" s="7">
        <v>0</v>
      </c>
      <c r="Q925" s="7">
        <v>0</v>
      </c>
      <c r="R925" s="7">
        <v>0</v>
      </c>
      <c r="S925" s="7" t="s">
        <v>5708</v>
      </c>
      <c r="T925" s="7">
        <v>1</v>
      </c>
      <c r="U925" s="7">
        <v>90</v>
      </c>
      <c r="V925" s="7">
        <v>0</v>
      </c>
      <c r="W925" s="7">
        <v>1</v>
      </c>
      <c r="X925" s="7">
        <v>0</v>
      </c>
      <c r="Y925" s="7">
        <v>0</v>
      </c>
      <c r="Z925" s="7">
        <v>0</v>
      </c>
      <c r="AA925" s="7">
        <v>0</v>
      </c>
      <c r="AB925" s="7">
        <v>1</v>
      </c>
      <c r="AC925" s="7">
        <v>1</v>
      </c>
      <c r="AD925" s="7" t="s">
        <v>5044</v>
      </c>
      <c r="AE925" s="7" t="s">
        <v>5044</v>
      </c>
      <c r="AF925" s="7" t="s">
        <v>5044</v>
      </c>
      <c r="AG925" s="7">
        <v>2</v>
      </c>
      <c r="AH925" s="7">
        <v>3</v>
      </c>
      <c r="AI925" s="7">
        <v>0</v>
      </c>
      <c r="AJ925" s="7" t="s">
        <v>5044</v>
      </c>
      <c r="AK925" s="7" t="s">
        <v>5972</v>
      </c>
      <c r="AL925" s="7">
        <v>0</v>
      </c>
      <c r="AM925" s="7">
        <v>0</v>
      </c>
      <c r="AN925" s="7" t="s">
        <v>5318</v>
      </c>
    </row>
    <row r="926" spans="1:40" ht="63" customHeight="1" x14ac:dyDescent="0.2">
      <c r="A926" s="7">
        <v>9321</v>
      </c>
      <c r="B926" s="7" t="s">
        <v>3358</v>
      </c>
      <c r="C926" s="7" t="s">
        <v>3359</v>
      </c>
      <c r="D926" s="7" t="s">
        <v>46</v>
      </c>
      <c r="F926" s="7" t="s">
        <v>144</v>
      </c>
      <c r="G926" s="7" t="s">
        <v>144</v>
      </c>
      <c r="H926" s="7" t="s">
        <v>396</v>
      </c>
      <c r="I926" s="7" t="s">
        <v>13</v>
      </c>
      <c r="J926" s="7" t="s">
        <v>3360</v>
      </c>
      <c r="K926" s="7" t="s">
        <v>3361</v>
      </c>
      <c r="L926" s="7" t="s">
        <v>5973</v>
      </c>
      <c r="M926" s="7">
        <v>0</v>
      </c>
      <c r="N926" s="7" t="s">
        <v>5044</v>
      </c>
      <c r="O926" s="7" t="s">
        <v>5044</v>
      </c>
      <c r="P926" s="7">
        <v>0</v>
      </c>
      <c r="Q926" s="7">
        <v>0</v>
      </c>
      <c r="R926" s="7">
        <v>0</v>
      </c>
      <c r="S926" s="7">
        <v>1</v>
      </c>
      <c r="T926" s="7">
        <v>1</v>
      </c>
      <c r="U926" s="7">
        <v>253</v>
      </c>
      <c r="V926" s="7">
        <v>0</v>
      </c>
      <c r="W926" s="7">
        <v>1</v>
      </c>
      <c r="X926" s="7">
        <v>0</v>
      </c>
      <c r="Y926" s="7">
        <v>0</v>
      </c>
      <c r="Z926" s="7">
        <v>0</v>
      </c>
      <c r="AA926" s="7">
        <v>0</v>
      </c>
      <c r="AB926" s="7">
        <v>1</v>
      </c>
      <c r="AC926" s="7">
        <v>1</v>
      </c>
      <c r="AD926" s="7" t="s">
        <v>5044</v>
      </c>
      <c r="AE926" s="7" t="s">
        <v>5044</v>
      </c>
      <c r="AF926" s="7" t="s">
        <v>5044</v>
      </c>
      <c r="AG926" s="7">
        <v>1</v>
      </c>
      <c r="AH926" s="7">
        <v>0</v>
      </c>
      <c r="AI926" s="7">
        <v>0</v>
      </c>
      <c r="AJ926" s="7" t="s">
        <v>5044</v>
      </c>
      <c r="AK926" s="7" t="s">
        <v>5318</v>
      </c>
      <c r="AL926" s="7">
        <v>1</v>
      </c>
      <c r="AM926" s="7">
        <v>0</v>
      </c>
      <c r="AN926" s="7" t="s">
        <v>5318</v>
      </c>
    </row>
    <row r="927" spans="1:40" ht="63" customHeight="1" x14ac:dyDescent="0.2">
      <c r="A927" s="7">
        <v>9322</v>
      </c>
      <c r="B927" s="7" t="s">
        <v>3362</v>
      </c>
      <c r="C927" s="7" t="s">
        <v>3363</v>
      </c>
      <c r="D927" s="7" t="s">
        <v>95</v>
      </c>
      <c r="F927" s="7" t="s">
        <v>197</v>
      </c>
      <c r="G927" s="7" t="s">
        <v>18</v>
      </c>
      <c r="H927" s="7" t="s">
        <v>3364</v>
      </c>
      <c r="I927" s="7" t="s">
        <v>13</v>
      </c>
      <c r="J927" s="7" t="s">
        <v>3365</v>
      </c>
      <c r="K927" s="7" t="s">
        <v>3366</v>
      </c>
      <c r="L927" s="7" t="s">
        <v>5974</v>
      </c>
      <c r="M927" s="7">
        <v>1</v>
      </c>
      <c r="N927" s="7">
        <v>0</v>
      </c>
      <c r="O927" s="7">
        <v>0</v>
      </c>
      <c r="P927" s="7">
        <v>0</v>
      </c>
      <c r="Q927" s="7">
        <v>0</v>
      </c>
      <c r="R927" s="7">
        <v>0</v>
      </c>
      <c r="S927" s="7">
        <v>3</v>
      </c>
      <c r="T927" s="7">
        <v>1</v>
      </c>
      <c r="U927" s="7">
        <v>504</v>
      </c>
      <c r="V927" s="7">
        <v>1</v>
      </c>
      <c r="W927" s="7">
        <v>0</v>
      </c>
      <c r="X927" s="7">
        <v>0</v>
      </c>
      <c r="Y927" s="7">
        <v>0</v>
      </c>
      <c r="Z927" s="7">
        <v>0</v>
      </c>
      <c r="AA927" s="7">
        <v>0</v>
      </c>
      <c r="AB927" s="7">
        <v>1</v>
      </c>
      <c r="AC927" s="7" t="s">
        <v>5044</v>
      </c>
      <c r="AD927" s="7" t="s">
        <v>5044</v>
      </c>
      <c r="AE927" s="7" t="s">
        <v>5044</v>
      </c>
      <c r="AF927" s="7" t="s">
        <v>5044</v>
      </c>
      <c r="AG927" s="7" t="s">
        <v>5044</v>
      </c>
      <c r="AH927" s="7" t="s">
        <v>5044</v>
      </c>
      <c r="AI927" s="7" t="s">
        <v>5044</v>
      </c>
      <c r="AJ927" s="7" t="s">
        <v>5044</v>
      </c>
      <c r="AK927" s="7" t="s">
        <v>5318</v>
      </c>
      <c r="AL927" s="7" t="s">
        <v>5044</v>
      </c>
      <c r="AM927" s="7">
        <v>0</v>
      </c>
    </row>
    <row r="928" spans="1:40" ht="63" customHeight="1" x14ac:dyDescent="0.2">
      <c r="A928" s="7">
        <v>9331</v>
      </c>
      <c r="B928" s="7" t="s">
        <v>3367</v>
      </c>
      <c r="C928" s="7" t="s">
        <v>3368</v>
      </c>
      <c r="D928" s="7" t="s">
        <v>74</v>
      </c>
      <c r="F928" s="7" t="s">
        <v>27</v>
      </c>
      <c r="G928" s="7" t="s">
        <v>18</v>
      </c>
      <c r="H928" s="7" t="s">
        <v>362</v>
      </c>
      <c r="I928" s="7" t="s">
        <v>13</v>
      </c>
      <c r="J928" s="7" t="s">
        <v>3369</v>
      </c>
      <c r="K928" s="7" t="s">
        <v>3370</v>
      </c>
      <c r="L928" s="7" t="s">
        <v>5975</v>
      </c>
      <c r="M928" s="7">
        <v>0</v>
      </c>
      <c r="N928" s="7" t="s">
        <v>5044</v>
      </c>
      <c r="O928" s="7" t="s">
        <v>5044</v>
      </c>
      <c r="P928" s="7">
        <v>0</v>
      </c>
      <c r="Q928" s="7">
        <v>0</v>
      </c>
      <c r="R928" s="7">
        <v>0</v>
      </c>
      <c r="S928" s="7" t="s">
        <v>5708</v>
      </c>
      <c r="T928" s="7">
        <v>1</v>
      </c>
      <c r="U928" s="7">
        <v>148</v>
      </c>
      <c r="V928" s="7">
        <v>0</v>
      </c>
      <c r="W928" s="7">
        <v>1</v>
      </c>
      <c r="X928" s="7">
        <v>0</v>
      </c>
      <c r="Y928" s="7">
        <v>0</v>
      </c>
      <c r="Z928" s="7">
        <v>0</v>
      </c>
      <c r="AA928" s="7">
        <v>0</v>
      </c>
      <c r="AB928" s="7">
        <v>1</v>
      </c>
      <c r="AC928" s="7">
        <v>1</v>
      </c>
      <c r="AD928" s="7" t="s">
        <v>5044</v>
      </c>
      <c r="AE928" s="7" t="s">
        <v>5044</v>
      </c>
      <c r="AF928" s="7" t="s">
        <v>5044</v>
      </c>
      <c r="AG928" s="7">
        <v>2</v>
      </c>
      <c r="AH928" s="7">
        <v>3</v>
      </c>
      <c r="AI928" s="7">
        <v>0</v>
      </c>
      <c r="AJ928" s="7" t="s">
        <v>5044</v>
      </c>
      <c r="AK928" s="7">
        <v>1</v>
      </c>
      <c r="AL928" s="7">
        <v>1</v>
      </c>
      <c r="AM928" s="7">
        <v>0</v>
      </c>
      <c r="AN928" s="7" t="s">
        <v>5318</v>
      </c>
    </row>
    <row r="929" spans="1:40" ht="63" customHeight="1" x14ac:dyDescent="0.2">
      <c r="A929" s="7">
        <v>9361</v>
      </c>
      <c r="B929" s="7" t="s">
        <v>3375</v>
      </c>
      <c r="C929" s="7" t="s">
        <v>3376</v>
      </c>
      <c r="D929" s="7" t="s">
        <v>95</v>
      </c>
      <c r="F929" s="7" t="s">
        <v>571</v>
      </c>
      <c r="G929" s="7" t="s">
        <v>129</v>
      </c>
      <c r="H929" s="7" t="s">
        <v>59</v>
      </c>
      <c r="I929" s="7" t="s">
        <v>13</v>
      </c>
      <c r="J929" s="7" t="s">
        <v>3377</v>
      </c>
      <c r="K929" s="7" t="s">
        <v>3378</v>
      </c>
      <c r="L929" s="7" t="s">
        <v>5976</v>
      </c>
      <c r="M929" s="7">
        <v>0</v>
      </c>
      <c r="N929" s="7" t="s">
        <v>5044</v>
      </c>
      <c r="O929" s="7" t="s">
        <v>5044</v>
      </c>
      <c r="P929" s="7">
        <v>0</v>
      </c>
      <c r="Q929" s="7">
        <v>0</v>
      </c>
      <c r="R929" s="7">
        <v>0</v>
      </c>
      <c r="S929" s="7">
        <v>1</v>
      </c>
      <c r="T929" s="7">
        <v>4</v>
      </c>
      <c r="U929" s="7">
        <v>75</v>
      </c>
      <c r="V929" s="7">
        <v>0</v>
      </c>
      <c r="W929" s="7">
        <v>1</v>
      </c>
      <c r="X929" s="7">
        <v>0</v>
      </c>
      <c r="Y929" s="7">
        <v>0</v>
      </c>
      <c r="Z929" s="7">
        <v>0</v>
      </c>
      <c r="AA929" s="7">
        <v>0</v>
      </c>
      <c r="AB929" s="7">
        <v>1</v>
      </c>
      <c r="AC929" s="7">
        <v>1</v>
      </c>
      <c r="AD929" s="7" t="s">
        <v>5044</v>
      </c>
      <c r="AE929" s="7" t="s">
        <v>5044</v>
      </c>
      <c r="AF929" s="7" t="s">
        <v>5044</v>
      </c>
      <c r="AG929" s="7">
        <v>2</v>
      </c>
      <c r="AH929" s="7">
        <v>2</v>
      </c>
      <c r="AI929" s="7">
        <v>2</v>
      </c>
      <c r="AJ929" s="7" t="s">
        <v>5044</v>
      </c>
      <c r="AK929" s="7" t="s">
        <v>5318</v>
      </c>
      <c r="AL929" s="7">
        <v>0</v>
      </c>
      <c r="AM929" s="7">
        <v>0</v>
      </c>
      <c r="AN929" s="7" t="s">
        <v>5318</v>
      </c>
    </row>
    <row r="930" spans="1:40" ht="63" customHeight="1" x14ac:dyDescent="0.2">
      <c r="A930" s="7">
        <v>9386</v>
      </c>
      <c r="B930" s="7" t="s">
        <v>3379</v>
      </c>
      <c r="C930" s="7" t="s">
        <v>3380</v>
      </c>
      <c r="D930" s="7" t="s">
        <v>95</v>
      </c>
      <c r="F930" s="7" t="s">
        <v>356</v>
      </c>
      <c r="G930" s="7" t="s">
        <v>18</v>
      </c>
      <c r="H930" s="7" t="s">
        <v>160</v>
      </c>
      <c r="I930" s="7" t="s">
        <v>13</v>
      </c>
      <c r="J930" s="7" t="s">
        <v>3381</v>
      </c>
      <c r="K930" s="7" t="s">
        <v>3382</v>
      </c>
      <c r="L930" s="7" t="s">
        <v>5977</v>
      </c>
      <c r="M930" s="7">
        <v>0</v>
      </c>
      <c r="N930" s="7" t="s">
        <v>5044</v>
      </c>
      <c r="O930" s="7" t="s">
        <v>5044</v>
      </c>
      <c r="P930" s="7">
        <v>0</v>
      </c>
      <c r="Q930" s="7">
        <v>0</v>
      </c>
      <c r="R930" s="7">
        <v>0</v>
      </c>
      <c r="S930" s="7">
        <v>1</v>
      </c>
      <c r="T930" s="7">
        <v>1</v>
      </c>
      <c r="U930" s="7">
        <v>765</v>
      </c>
      <c r="V930" s="7">
        <v>0</v>
      </c>
      <c r="W930" s="7">
        <v>1</v>
      </c>
      <c r="X930" s="7">
        <v>0</v>
      </c>
      <c r="Y930" s="7">
        <v>0</v>
      </c>
      <c r="Z930" s="7">
        <v>0</v>
      </c>
      <c r="AA930" s="7">
        <v>0</v>
      </c>
      <c r="AB930" s="7">
        <v>1</v>
      </c>
      <c r="AC930" s="7">
        <v>1</v>
      </c>
      <c r="AD930" s="7" t="s">
        <v>5044</v>
      </c>
      <c r="AE930" s="7" t="s">
        <v>5044</v>
      </c>
      <c r="AF930" s="7" t="s">
        <v>5044</v>
      </c>
      <c r="AG930" s="7">
        <v>2</v>
      </c>
      <c r="AH930" s="7">
        <v>2</v>
      </c>
      <c r="AI930" s="7">
        <v>2</v>
      </c>
      <c r="AJ930" s="7" t="s">
        <v>5044</v>
      </c>
      <c r="AK930" s="7" t="s">
        <v>5318</v>
      </c>
      <c r="AL930" s="7">
        <v>1</v>
      </c>
      <c r="AM930" s="7">
        <v>0</v>
      </c>
    </row>
    <row r="931" spans="1:40" ht="63" customHeight="1" x14ac:dyDescent="0.2">
      <c r="A931" s="7">
        <v>9397</v>
      </c>
      <c r="B931" s="23" t="s">
        <v>3383</v>
      </c>
      <c r="C931" s="7" t="s">
        <v>3384</v>
      </c>
      <c r="D931" s="7" t="s">
        <v>101</v>
      </c>
      <c r="F931" s="7" t="s">
        <v>197</v>
      </c>
      <c r="G931" s="7" t="s">
        <v>144</v>
      </c>
      <c r="H931" s="7" t="s">
        <v>160</v>
      </c>
      <c r="I931" s="7" t="s">
        <v>13</v>
      </c>
      <c r="J931" s="7" t="s">
        <v>3385</v>
      </c>
      <c r="K931" s="7" t="s">
        <v>3386</v>
      </c>
      <c r="L931" s="7" t="s">
        <v>5978</v>
      </c>
      <c r="M931" s="7">
        <v>0</v>
      </c>
      <c r="N931" s="7" t="s">
        <v>5044</v>
      </c>
      <c r="O931" s="7" t="s">
        <v>5044</v>
      </c>
      <c r="P931" s="7">
        <v>0</v>
      </c>
      <c r="Q931" s="7">
        <v>0</v>
      </c>
      <c r="R931" s="7">
        <v>0</v>
      </c>
      <c r="S931" s="7">
        <v>1</v>
      </c>
      <c r="T931" s="7">
        <v>4</v>
      </c>
      <c r="U931" s="7">
        <v>600</v>
      </c>
      <c r="V931" s="7">
        <v>0</v>
      </c>
      <c r="W931" s="7">
        <v>1</v>
      </c>
      <c r="X931" s="7">
        <v>0</v>
      </c>
      <c r="Y931" s="7">
        <v>0</v>
      </c>
      <c r="Z931" s="7">
        <v>0</v>
      </c>
      <c r="AA931" s="7">
        <v>0</v>
      </c>
      <c r="AB931" s="7">
        <v>1</v>
      </c>
      <c r="AC931" s="7">
        <v>1</v>
      </c>
      <c r="AD931" s="7" t="s">
        <v>5044</v>
      </c>
      <c r="AE931" s="7" t="s">
        <v>5044</v>
      </c>
      <c r="AF931" s="7" t="s">
        <v>5044</v>
      </c>
      <c r="AG931" s="7">
        <v>2</v>
      </c>
      <c r="AH931" s="7">
        <v>3</v>
      </c>
      <c r="AI931" s="7">
        <v>0</v>
      </c>
      <c r="AJ931" s="7" t="s">
        <v>5044</v>
      </c>
      <c r="AK931" s="23">
        <v>1</v>
      </c>
      <c r="AL931" s="7">
        <v>0</v>
      </c>
      <c r="AM931" s="7">
        <v>0</v>
      </c>
      <c r="AN931" s="7" t="s">
        <v>5318</v>
      </c>
    </row>
    <row r="932" spans="1:40" ht="63" customHeight="1" x14ac:dyDescent="0.2">
      <c r="A932" s="7">
        <v>9409</v>
      </c>
      <c r="B932" s="7" t="s">
        <v>3387</v>
      </c>
      <c r="C932" s="7" t="s">
        <v>3388</v>
      </c>
      <c r="D932" s="7" t="s">
        <v>41</v>
      </c>
      <c r="F932" s="7" t="s">
        <v>129</v>
      </c>
      <c r="G932" s="7" t="s">
        <v>47</v>
      </c>
      <c r="H932" s="7" t="s">
        <v>172</v>
      </c>
      <c r="I932" s="7" t="s">
        <v>13</v>
      </c>
      <c r="J932" s="7" t="s">
        <v>3389</v>
      </c>
      <c r="K932" s="7" t="s">
        <v>3390</v>
      </c>
      <c r="L932" s="7" t="s">
        <v>5979</v>
      </c>
      <c r="M932" s="7">
        <v>1</v>
      </c>
      <c r="N932" s="7">
        <v>0</v>
      </c>
      <c r="O932" s="7" t="s">
        <v>5044</v>
      </c>
      <c r="P932" s="7">
        <v>1</v>
      </c>
      <c r="Q932" s="7">
        <v>0</v>
      </c>
      <c r="R932" s="7">
        <v>0</v>
      </c>
      <c r="S932" s="7" t="s">
        <v>5207</v>
      </c>
      <c r="T932" s="7">
        <v>1</v>
      </c>
      <c r="U932" s="7">
        <v>19</v>
      </c>
      <c r="V932" s="7">
        <v>0</v>
      </c>
      <c r="W932" s="7">
        <v>1</v>
      </c>
      <c r="X932" s="7">
        <v>0</v>
      </c>
      <c r="Y932" s="7">
        <v>0</v>
      </c>
      <c r="Z932" s="7">
        <v>0</v>
      </c>
      <c r="AA932" s="7">
        <v>0</v>
      </c>
      <c r="AB932" s="7">
        <v>1</v>
      </c>
      <c r="AC932" s="7">
        <v>0</v>
      </c>
      <c r="AD932" s="7" t="s">
        <v>5044</v>
      </c>
      <c r="AE932" s="7" t="s">
        <v>5044</v>
      </c>
      <c r="AF932" s="7" t="s">
        <v>5044</v>
      </c>
      <c r="AG932" s="7">
        <v>0</v>
      </c>
      <c r="AH932" s="7" t="s">
        <v>5044</v>
      </c>
      <c r="AI932" s="7" t="s">
        <v>5044</v>
      </c>
      <c r="AJ932" s="7" t="s">
        <v>5044</v>
      </c>
      <c r="AK932" s="7" t="s">
        <v>5318</v>
      </c>
      <c r="AL932" s="7" t="s">
        <v>5044</v>
      </c>
      <c r="AM932" s="7">
        <v>0</v>
      </c>
      <c r="AN932" s="7" t="s">
        <v>5318</v>
      </c>
    </row>
    <row r="933" spans="1:40" ht="63" customHeight="1" x14ac:dyDescent="0.2">
      <c r="A933" s="7">
        <v>9420</v>
      </c>
      <c r="B933" s="7" t="s">
        <v>3391</v>
      </c>
      <c r="C933" s="7" t="s">
        <v>3392</v>
      </c>
      <c r="D933" s="7" t="s">
        <v>74</v>
      </c>
      <c r="F933" s="7" t="s">
        <v>31</v>
      </c>
      <c r="G933" s="7" t="s">
        <v>175</v>
      </c>
      <c r="H933" s="7" t="s">
        <v>160</v>
      </c>
      <c r="I933" s="7" t="s">
        <v>13</v>
      </c>
      <c r="J933" s="7" t="s">
        <v>3393</v>
      </c>
      <c r="K933" s="7" t="s">
        <v>3394</v>
      </c>
      <c r="L933" s="7" t="s">
        <v>5980</v>
      </c>
      <c r="M933" s="7">
        <v>0</v>
      </c>
      <c r="N933" s="7" t="s">
        <v>5044</v>
      </c>
      <c r="O933" s="7" t="s">
        <v>5044</v>
      </c>
      <c r="P933" s="7">
        <v>0</v>
      </c>
      <c r="Q933" s="7">
        <v>0</v>
      </c>
      <c r="R933" s="7">
        <v>0</v>
      </c>
      <c r="S933" s="7">
        <v>1</v>
      </c>
      <c r="T933" s="7">
        <v>4</v>
      </c>
      <c r="U933" s="7">
        <v>148</v>
      </c>
      <c r="V933" s="7">
        <v>0</v>
      </c>
      <c r="W933" s="7">
        <v>1</v>
      </c>
      <c r="X933" s="7">
        <v>0</v>
      </c>
      <c r="Y933" s="7">
        <v>0</v>
      </c>
      <c r="Z933" s="7">
        <v>0</v>
      </c>
      <c r="AA933" s="7">
        <v>0</v>
      </c>
      <c r="AB933" s="7">
        <v>1</v>
      </c>
      <c r="AC933" s="7">
        <v>1</v>
      </c>
      <c r="AD933" s="7" t="s">
        <v>5044</v>
      </c>
      <c r="AE933" s="7" t="s">
        <v>5044</v>
      </c>
      <c r="AF933" s="7" t="s">
        <v>5044</v>
      </c>
      <c r="AG933" s="7">
        <v>2</v>
      </c>
      <c r="AH933" s="7">
        <v>3</v>
      </c>
      <c r="AI933" s="7">
        <v>0</v>
      </c>
      <c r="AJ933" s="7" t="s">
        <v>5044</v>
      </c>
      <c r="AK933" s="7">
        <v>1</v>
      </c>
      <c r="AL933" s="7">
        <v>1</v>
      </c>
      <c r="AM933" s="7">
        <v>0</v>
      </c>
      <c r="AN933" s="7" t="s">
        <v>5318</v>
      </c>
    </row>
    <row r="934" spans="1:40" ht="63" customHeight="1" x14ac:dyDescent="0.2">
      <c r="A934" s="7">
        <v>9422</v>
      </c>
      <c r="B934" s="7" t="s">
        <v>3395</v>
      </c>
      <c r="C934" s="7" t="s">
        <v>3396</v>
      </c>
      <c r="D934" s="7" t="s">
        <v>25</v>
      </c>
      <c r="F934" s="7" t="s">
        <v>900</v>
      </c>
      <c r="G934" s="7" t="s">
        <v>144</v>
      </c>
      <c r="H934" s="7" t="s">
        <v>1669</v>
      </c>
      <c r="I934" s="7" t="s">
        <v>13</v>
      </c>
      <c r="J934" s="7" t="s">
        <v>3397</v>
      </c>
      <c r="K934" s="7" t="s">
        <v>3398</v>
      </c>
      <c r="L934" s="11" t="s">
        <v>5044</v>
      </c>
      <c r="M934" s="7">
        <v>0</v>
      </c>
      <c r="N934" s="7" t="s">
        <v>5044</v>
      </c>
      <c r="O934" s="7" t="s">
        <v>5044</v>
      </c>
      <c r="P934" s="7">
        <v>0</v>
      </c>
      <c r="Q934" s="7">
        <v>0</v>
      </c>
      <c r="R934" s="7">
        <v>0</v>
      </c>
      <c r="S934" s="7">
        <v>1</v>
      </c>
      <c r="T934" s="7">
        <v>4</v>
      </c>
      <c r="U934" s="7">
        <v>114</v>
      </c>
      <c r="V934" s="7">
        <v>0</v>
      </c>
      <c r="W934" s="7">
        <v>1</v>
      </c>
      <c r="X934" s="7">
        <v>0</v>
      </c>
      <c r="Y934" s="7">
        <v>0</v>
      </c>
      <c r="Z934" s="7">
        <v>0</v>
      </c>
      <c r="AA934" s="7">
        <v>0</v>
      </c>
      <c r="AB934" s="7">
        <v>1</v>
      </c>
      <c r="AC934" s="7">
        <v>1</v>
      </c>
      <c r="AD934" s="7" t="s">
        <v>5044</v>
      </c>
      <c r="AE934" s="7" t="s">
        <v>5044</v>
      </c>
      <c r="AF934" s="7" t="s">
        <v>5044</v>
      </c>
      <c r="AG934" s="7">
        <v>1</v>
      </c>
      <c r="AH934" s="7">
        <v>0</v>
      </c>
      <c r="AI934" s="7">
        <v>0</v>
      </c>
      <c r="AJ934" s="7" t="s">
        <v>5044</v>
      </c>
      <c r="AK934" s="7" t="s">
        <v>5318</v>
      </c>
      <c r="AL934" s="7">
        <v>0</v>
      </c>
      <c r="AM934" s="7">
        <v>0</v>
      </c>
      <c r="AN934" s="7" t="s">
        <v>5318</v>
      </c>
    </row>
    <row r="935" spans="1:40" ht="63" customHeight="1" x14ac:dyDescent="0.2">
      <c r="A935" s="7">
        <v>9438</v>
      </c>
      <c r="B935" s="7" t="s">
        <v>3399</v>
      </c>
      <c r="C935" s="7" t="s">
        <v>3400</v>
      </c>
      <c r="D935" s="7" t="s">
        <v>30</v>
      </c>
      <c r="F935" s="7" t="s">
        <v>58</v>
      </c>
      <c r="G935" s="7" t="s">
        <v>17</v>
      </c>
      <c r="H935" s="7" t="s">
        <v>238</v>
      </c>
      <c r="I935" s="7" t="s">
        <v>13</v>
      </c>
      <c r="J935" s="7" t="s">
        <v>3401</v>
      </c>
      <c r="K935" s="7" t="s">
        <v>3402</v>
      </c>
      <c r="L935" s="11" t="s">
        <v>5044</v>
      </c>
      <c r="M935" s="7">
        <v>0</v>
      </c>
      <c r="N935" s="7" t="s">
        <v>5044</v>
      </c>
      <c r="O935" s="7" t="s">
        <v>5044</v>
      </c>
      <c r="P935" s="7">
        <v>0</v>
      </c>
      <c r="Q935" s="7">
        <v>0</v>
      </c>
      <c r="R935" s="7">
        <v>0</v>
      </c>
      <c r="S935" s="7">
        <v>3</v>
      </c>
      <c r="T935" s="7">
        <v>4</v>
      </c>
      <c r="U935" s="7">
        <v>60</v>
      </c>
      <c r="V935" s="7">
        <v>0</v>
      </c>
      <c r="W935" s="7">
        <v>1</v>
      </c>
      <c r="X935" s="7">
        <v>0</v>
      </c>
      <c r="Y935" s="7">
        <v>0</v>
      </c>
      <c r="Z935" s="7">
        <v>0</v>
      </c>
      <c r="AA935" s="7">
        <v>0</v>
      </c>
      <c r="AB935" s="7">
        <v>1</v>
      </c>
      <c r="AC935" s="7">
        <v>1</v>
      </c>
      <c r="AD935" s="7" t="s">
        <v>5044</v>
      </c>
      <c r="AE935" s="7" t="s">
        <v>5044</v>
      </c>
      <c r="AF935" s="7" t="s">
        <v>5044</v>
      </c>
      <c r="AG935" s="7">
        <v>2</v>
      </c>
      <c r="AH935" s="7">
        <v>3</v>
      </c>
      <c r="AI935" s="7">
        <v>0</v>
      </c>
      <c r="AJ935" s="7" t="s">
        <v>5044</v>
      </c>
      <c r="AK935" s="7" t="s">
        <v>5981</v>
      </c>
      <c r="AL935" s="7">
        <v>0</v>
      </c>
      <c r="AM935" s="7">
        <v>0</v>
      </c>
      <c r="AN935" s="7" t="s">
        <v>5318</v>
      </c>
    </row>
    <row r="936" spans="1:40" ht="63" customHeight="1" x14ac:dyDescent="0.2">
      <c r="A936" s="7">
        <v>9460</v>
      </c>
      <c r="B936" s="7" t="s">
        <v>3403</v>
      </c>
      <c r="C936" s="7" t="s">
        <v>3404</v>
      </c>
      <c r="D936" s="7" t="s">
        <v>149</v>
      </c>
      <c r="F936" s="7" t="s">
        <v>941</v>
      </c>
      <c r="G936" s="7" t="s">
        <v>32</v>
      </c>
      <c r="H936" s="7" t="s">
        <v>71</v>
      </c>
      <c r="I936" s="7" t="s">
        <v>13</v>
      </c>
      <c r="J936" s="7" t="s">
        <v>3405</v>
      </c>
      <c r="K936" s="7" t="s">
        <v>3406</v>
      </c>
      <c r="L936" s="11" t="s">
        <v>5044</v>
      </c>
      <c r="M936" s="7">
        <v>0</v>
      </c>
      <c r="N936" s="7" t="s">
        <v>5044</v>
      </c>
      <c r="O936" s="7" t="s">
        <v>5044</v>
      </c>
      <c r="P936" s="7">
        <v>0</v>
      </c>
      <c r="Q936" s="7">
        <v>0</v>
      </c>
      <c r="R936" s="7">
        <v>0</v>
      </c>
      <c r="S936" s="7">
        <v>9</v>
      </c>
      <c r="T936" s="7">
        <v>1</v>
      </c>
      <c r="U936" s="7">
        <v>73</v>
      </c>
      <c r="V936" s="7">
        <v>0</v>
      </c>
      <c r="W936" s="7">
        <v>1</v>
      </c>
      <c r="X936" s="7">
        <v>0</v>
      </c>
      <c r="Y936" s="7">
        <v>0</v>
      </c>
      <c r="Z936" s="7">
        <v>0</v>
      </c>
      <c r="AA936" s="7">
        <v>0</v>
      </c>
      <c r="AB936" s="7">
        <v>1</v>
      </c>
      <c r="AC936" s="7">
        <v>1</v>
      </c>
      <c r="AD936" s="7" t="s">
        <v>5044</v>
      </c>
      <c r="AE936" s="7" t="s">
        <v>5044</v>
      </c>
      <c r="AF936" s="7" t="s">
        <v>5044</v>
      </c>
      <c r="AG936" s="7">
        <v>2</v>
      </c>
      <c r="AH936" s="7">
        <v>1</v>
      </c>
      <c r="AI936" s="7">
        <v>1</v>
      </c>
      <c r="AJ936" s="7" t="s">
        <v>5044</v>
      </c>
      <c r="AK936" s="7" t="s">
        <v>5318</v>
      </c>
      <c r="AL936" s="7">
        <v>1</v>
      </c>
      <c r="AM936" s="7">
        <v>0</v>
      </c>
      <c r="AN936" s="7" t="s">
        <v>5318</v>
      </c>
    </row>
    <row r="937" spans="1:40" ht="63" customHeight="1" x14ac:dyDescent="0.2">
      <c r="A937" s="7">
        <v>9473</v>
      </c>
      <c r="B937" s="7" t="s">
        <v>3407</v>
      </c>
      <c r="C937" s="7" t="s">
        <v>3408</v>
      </c>
      <c r="D937" s="7" t="s">
        <v>101</v>
      </c>
      <c r="F937" s="7" t="s">
        <v>1015</v>
      </c>
      <c r="G937" s="7" t="s">
        <v>18</v>
      </c>
      <c r="H937" s="7" t="s">
        <v>679</v>
      </c>
      <c r="I937" s="7" t="s">
        <v>13</v>
      </c>
      <c r="J937" s="7" t="s">
        <v>3409</v>
      </c>
      <c r="K937" s="7" t="s">
        <v>3410</v>
      </c>
      <c r="L937" s="7" t="s">
        <v>5982</v>
      </c>
      <c r="M937" s="7">
        <v>0</v>
      </c>
      <c r="N937" s="7" t="s">
        <v>5044</v>
      </c>
      <c r="O937" s="7" t="s">
        <v>5044</v>
      </c>
      <c r="P937" s="7">
        <v>0</v>
      </c>
      <c r="Q937" s="7">
        <v>0</v>
      </c>
      <c r="R937" s="7">
        <v>0</v>
      </c>
      <c r="S937" s="7">
        <v>3</v>
      </c>
      <c r="T937" s="7">
        <v>1</v>
      </c>
      <c r="U937" s="7">
        <v>305</v>
      </c>
      <c r="V937" s="7">
        <v>0</v>
      </c>
      <c r="W937" s="7">
        <v>1</v>
      </c>
      <c r="X937" s="7">
        <v>0</v>
      </c>
      <c r="Y937" s="7">
        <v>0</v>
      </c>
      <c r="Z937" s="7">
        <v>0</v>
      </c>
      <c r="AA937" s="7">
        <v>0</v>
      </c>
      <c r="AB937" s="7">
        <v>1</v>
      </c>
      <c r="AC937" s="7">
        <v>1</v>
      </c>
      <c r="AD937" s="7" t="s">
        <v>5044</v>
      </c>
      <c r="AE937" s="7" t="s">
        <v>5044</v>
      </c>
      <c r="AF937" s="7" t="s">
        <v>5044</v>
      </c>
      <c r="AG937" s="7">
        <v>2</v>
      </c>
      <c r="AH937" s="7">
        <v>3</v>
      </c>
      <c r="AI937" s="7">
        <v>0</v>
      </c>
      <c r="AJ937" s="7" t="s">
        <v>5044</v>
      </c>
      <c r="AK937" s="7" t="s">
        <v>5983</v>
      </c>
      <c r="AL937" s="7">
        <v>1</v>
      </c>
      <c r="AM937" s="7">
        <v>0</v>
      </c>
      <c r="AN937" s="7" t="s">
        <v>5318</v>
      </c>
    </row>
    <row r="938" spans="1:40" ht="63" customHeight="1" x14ac:dyDescent="0.2">
      <c r="A938" s="7">
        <v>9477</v>
      </c>
      <c r="B938" s="7" t="s">
        <v>3411</v>
      </c>
      <c r="C938" s="7" t="s">
        <v>3412</v>
      </c>
      <c r="D938" s="7" t="s">
        <v>41</v>
      </c>
      <c r="F938" s="7" t="s">
        <v>65</v>
      </c>
      <c r="G938" s="7" t="s">
        <v>52</v>
      </c>
      <c r="H938" s="7" t="s">
        <v>53</v>
      </c>
      <c r="I938" s="7" t="s">
        <v>13</v>
      </c>
      <c r="J938" s="7" t="s">
        <v>3413</v>
      </c>
      <c r="K938" s="7" t="s">
        <v>3414</v>
      </c>
      <c r="L938" s="7" t="s">
        <v>5984</v>
      </c>
      <c r="M938" s="7">
        <v>1</v>
      </c>
      <c r="N938" s="7">
        <v>0</v>
      </c>
      <c r="O938" s="7" t="s">
        <v>5044</v>
      </c>
      <c r="P938" s="7">
        <v>0</v>
      </c>
      <c r="Q938" s="7">
        <v>0</v>
      </c>
      <c r="R938" s="7">
        <v>0</v>
      </c>
      <c r="S938" s="7">
        <v>1</v>
      </c>
      <c r="T938" s="7">
        <v>1</v>
      </c>
      <c r="U938" s="7">
        <v>1658</v>
      </c>
      <c r="V938" s="7">
        <v>0</v>
      </c>
      <c r="W938" s="7">
        <v>1</v>
      </c>
      <c r="X938" s="7">
        <v>0</v>
      </c>
      <c r="Y938" s="7">
        <v>0</v>
      </c>
      <c r="Z938" s="7">
        <v>0</v>
      </c>
      <c r="AA938" s="7">
        <v>0</v>
      </c>
      <c r="AB938" s="7">
        <v>1</v>
      </c>
      <c r="AC938" s="7" t="s">
        <v>5044</v>
      </c>
      <c r="AD938" s="7" t="s">
        <v>5044</v>
      </c>
      <c r="AE938" s="7" t="s">
        <v>5044</v>
      </c>
      <c r="AF938" s="7" t="s">
        <v>5044</v>
      </c>
      <c r="AG938" s="7" t="s">
        <v>5044</v>
      </c>
      <c r="AH938" s="7" t="s">
        <v>5044</v>
      </c>
      <c r="AI938" s="7" t="s">
        <v>5044</v>
      </c>
      <c r="AJ938" s="7" t="s">
        <v>5044</v>
      </c>
      <c r="AK938" s="7" t="s">
        <v>5318</v>
      </c>
      <c r="AL938" s="7" t="s">
        <v>5044</v>
      </c>
      <c r="AM938" s="7">
        <v>0</v>
      </c>
      <c r="AN938" s="7" t="s">
        <v>5318</v>
      </c>
    </row>
    <row r="939" spans="1:40" ht="63" customHeight="1" x14ac:dyDescent="0.2">
      <c r="A939" s="7">
        <v>9494</v>
      </c>
      <c r="B939" s="7" t="s">
        <v>3420</v>
      </c>
      <c r="C939" s="7" t="s">
        <v>3421</v>
      </c>
      <c r="D939" s="7" t="s">
        <v>16</v>
      </c>
      <c r="H939" s="7" t="s">
        <v>3422</v>
      </c>
      <c r="I939" s="7" t="s">
        <v>13</v>
      </c>
      <c r="J939" s="7" t="s">
        <v>3423</v>
      </c>
      <c r="K939" s="7" t="s">
        <v>3424</v>
      </c>
      <c r="L939" s="7" t="s">
        <v>5409</v>
      </c>
      <c r="M939" s="7">
        <v>0</v>
      </c>
      <c r="N939" s="7" t="s">
        <v>5044</v>
      </c>
      <c r="O939" s="7" t="s">
        <v>5044</v>
      </c>
      <c r="P939" s="7">
        <v>0</v>
      </c>
      <c r="Q939" s="7">
        <v>0</v>
      </c>
      <c r="R939" s="7">
        <v>0</v>
      </c>
      <c r="S939" s="7">
        <v>9</v>
      </c>
      <c r="T939" s="7">
        <v>1</v>
      </c>
      <c r="U939" s="7">
        <v>960</v>
      </c>
      <c r="V939" s="7">
        <v>0</v>
      </c>
      <c r="W939" s="7">
        <v>1</v>
      </c>
      <c r="X939" s="7">
        <v>0</v>
      </c>
      <c r="Y939" s="7">
        <v>0</v>
      </c>
      <c r="Z939" s="7">
        <v>0</v>
      </c>
      <c r="AA939" s="7">
        <v>0</v>
      </c>
      <c r="AB939" s="7">
        <v>1</v>
      </c>
      <c r="AC939" s="7">
        <v>1</v>
      </c>
      <c r="AD939" s="7" t="s">
        <v>5044</v>
      </c>
      <c r="AE939" s="7" t="s">
        <v>5044</v>
      </c>
      <c r="AF939" s="7" t="s">
        <v>5044</v>
      </c>
      <c r="AG939" s="7">
        <v>2</v>
      </c>
      <c r="AH939" s="7">
        <v>2</v>
      </c>
      <c r="AI939" s="7">
        <v>2</v>
      </c>
      <c r="AJ939" s="7" t="s">
        <v>5044</v>
      </c>
      <c r="AK939" s="7" t="s">
        <v>5318</v>
      </c>
      <c r="AL939" s="7">
        <v>1</v>
      </c>
      <c r="AM939" s="7">
        <v>0</v>
      </c>
      <c r="AN939" s="7" t="s">
        <v>5318</v>
      </c>
    </row>
    <row r="940" spans="1:40" ht="63" customHeight="1" x14ac:dyDescent="0.2">
      <c r="A940" s="7">
        <v>9496</v>
      </c>
      <c r="B940" s="7" t="s">
        <v>3425</v>
      </c>
      <c r="C940" s="7" t="s">
        <v>3426</v>
      </c>
      <c r="D940" s="7" t="s">
        <v>30</v>
      </c>
      <c r="F940" s="7" t="s">
        <v>3427</v>
      </c>
      <c r="G940" s="7" t="s">
        <v>11</v>
      </c>
      <c r="H940" s="7" t="s">
        <v>972</v>
      </c>
      <c r="I940" s="7" t="s">
        <v>13</v>
      </c>
      <c r="J940" s="7" t="s">
        <v>3428</v>
      </c>
      <c r="K940" s="7" t="s">
        <v>3429</v>
      </c>
      <c r="L940" s="7" t="s">
        <v>5740</v>
      </c>
      <c r="M940" s="7">
        <v>0</v>
      </c>
      <c r="N940" s="7" t="s">
        <v>5044</v>
      </c>
      <c r="O940" s="7" t="s">
        <v>5044</v>
      </c>
      <c r="P940" s="7">
        <v>0</v>
      </c>
      <c r="Q940" s="7">
        <v>0</v>
      </c>
      <c r="R940" s="7">
        <v>0</v>
      </c>
      <c r="S940" s="7">
        <v>9</v>
      </c>
      <c r="T940" s="7">
        <v>1</v>
      </c>
      <c r="U940" s="7">
        <v>400</v>
      </c>
      <c r="V940" s="7">
        <v>0</v>
      </c>
      <c r="W940" s="7">
        <v>1</v>
      </c>
      <c r="X940" s="7">
        <v>0</v>
      </c>
      <c r="Y940" s="7">
        <v>0</v>
      </c>
      <c r="Z940" s="7">
        <v>0</v>
      </c>
      <c r="AA940" s="7">
        <v>0</v>
      </c>
      <c r="AB940" s="7">
        <v>1</v>
      </c>
      <c r="AC940" s="7">
        <v>0</v>
      </c>
      <c r="AD940" s="7" t="s">
        <v>5044</v>
      </c>
      <c r="AE940" s="7" t="s">
        <v>5044</v>
      </c>
      <c r="AF940" s="7" t="s">
        <v>5044</v>
      </c>
      <c r="AG940" s="7">
        <v>0</v>
      </c>
      <c r="AH940" s="7" t="s">
        <v>5044</v>
      </c>
      <c r="AI940" s="7" t="s">
        <v>5044</v>
      </c>
      <c r="AJ940" s="7" t="s">
        <v>5044</v>
      </c>
      <c r="AK940" s="7" t="s">
        <v>5318</v>
      </c>
      <c r="AL940" s="7">
        <v>1</v>
      </c>
      <c r="AM940" s="7">
        <v>0</v>
      </c>
    </row>
    <row r="941" spans="1:40" ht="63" customHeight="1" x14ac:dyDescent="0.2">
      <c r="A941" s="7">
        <v>9500</v>
      </c>
      <c r="B941" s="7" t="s">
        <v>3430</v>
      </c>
      <c r="C941" s="7" t="s">
        <v>3431</v>
      </c>
      <c r="D941" s="7" t="s">
        <v>41</v>
      </c>
      <c r="F941" s="7" t="s">
        <v>1353</v>
      </c>
      <c r="G941" s="7" t="s">
        <v>11</v>
      </c>
      <c r="H941" s="7" t="s">
        <v>3432</v>
      </c>
      <c r="I941" s="7" t="s">
        <v>13</v>
      </c>
      <c r="J941" s="7" t="s">
        <v>3433</v>
      </c>
      <c r="K941" s="7" t="s">
        <v>3434</v>
      </c>
      <c r="L941" s="11" t="s">
        <v>5044</v>
      </c>
      <c r="M941" s="7">
        <v>0</v>
      </c>
      <c r="N941" s="7" t="s">
        <v>5044</v>
      </c>
      <c r="O941" s="7" t="s">
        <v>5044</v>
      </c>
      <c r="P941" s="7">
        <v>0</v>
      </c>
      <c r="Q941" s="7">
        <v>0</v>
      </c>
      <c r="R941" s="7">
        <v>0</v>
      </c>
      <c r="S941" s="7">
        <v>3</v>
      </c>
      <c r="T941" s="7">
        <v>1</v>
      </c>
      <c r="U941" s="7">
        <v>110</v>
      </c>
      <c r="V941" s="7">
        <v>0</v>
      </c>
      <c r="W941" s="7">
        <v>1</v>
      </c>
      <c r="X941" s="7">
        <v>0</v>
      </c>
      <c r="Y941" s="7">
        <v>0</v>
      </c>
      <c r="Z941" s="7">
        <v>0</v>
      </c>
      <c r="AA941" s="7">
        <v>0</v>
      </c>
      <c r="AB941" s="7">
        <v>1</v>
      </c>
      <c r="AC941" s="7">
        <v>1</v>
      </c>
      <c r="AD941" s="7" t="s">
        <v>5044</v>
      </c>
      <c r="AE941" s="7" t="s">
        <v>5044</v>
      </c>
      <c r="AF941" s="7" t="s">
        <v>5044</v>
      </c>
      <c r="AG941" s="7">
        <v>2</v>
      </c>
      <c r="AH941" s="7">
        <v>2</v>
      </c>
      <c r="AI941" s="7">
        <v>2</v>
      </c>
      <c r="AJ941" s="7" t="s">
        <v>5044</v>
      </c>
      <c r="AK941" s="7" t="s">
        <v>5318</v>
      </c>
      <c r="AL941" s="7">
        <v>0</v>
      </c>
      <c r="AM941" s="7">
        <v>0</v>
      </c>
    </row>
    <row r="942" spans="1:40" ht="63" customHeight="1" x14ac:dyDescent="0.2">
      <c r="A942" s="7">
        <v>9513</v>
      </c>
      <c r="B942" s="7" t="s">
        <v>3435</v>
      </c>
      <c r="C942" s="7" t="s">
        <v>3436</v>
      </c>
      <c r="D942" s="7" t="s">
        <v>16</v>
      </c>
      <c r="F942" s="7" t="s">
        <v>136</v>
      </c>
      <c r="G942" s="7" t="s">
        <v>3437</v>
      </c>
      <c r="H942" s="7" t="s">
        <v>319</v>
      </c>
      <c r="I942" s="7" t="s">
        <v>13</v>
      </c>
      <c r="J942" s="7" t="s">
        <v>3438</v>
      </c>
      <c r="K942" s="7" t="s">
        <v>3439</v>
      </c>
      <c r="L942" s="7" t="s">
        <v>5986</v>
      </c>
      <c r="M942" s="7">
        <v>0</v>
      </c>
      <c r="N942" s="7" t="s">
        <v>5044</v>
      </c>
      <c r="O942" s="7" t="s">
        <v>5044</v>
      </c>
      <c r="P942" s="7">
        <v>0</v>
      </c>
      <c r="Q942" s="7">
        <v>0</v>
      </c>
      <c r="R942" s="7">
        <v>0</v>
      </c>
      <c r="S942" s="7">
        <v>9</v>
      </c>
      <c r="T942" s="7">
        <v>4</v>
      </c>
      <c r="U942" s="7">
        <v>40</v>
      </c>
      <c r="V942" s="7">
        <v>0</v>
      </c>
      <c r="W942" s="7">
        <v>1</v>
      </c>
      <c r="X942" s="7">
        <v>0</v>
      </c>
      <c r="Y942" s="7">
        <v>0</v>
      </c>
      <c r="Z942" s="7">
        <v>0</v>
      </c>
      <c r="AA942" s="7">
        <v>0</v>
      </c>
      <c r="AB942" s="7">
        <v>1</v>
      </c>
      <c r="AC942" s="7">
        <v>1</v>
      </c>
      <c r="AD942" s="7" t="s">
        <v>5044</v>
      </c>
      <c r="AE942" s="7" t="s">
        <v>5044</v>
      </c>
      <c r="AF942" s="7" t="s">
        <v>5044</v>
      </c>
      <c r="AG942" s="7">
        <v>2</v>
      </c>
      <c r="AH942" s="7">
        <v>3</v>
      </c>
      <c r="AI942" s="7">
        <v>0</v>
      </c>
      <c r="AJ942" s="7" t="s">
        <v>5044</v>
      </c>
      <c r="AK942" s="7" t="s">
        <v>5915</v>
      </c>
      <c r="AL942" s="7">
        <v>1</v>
      </c>
      <c r="AM942" s="7">
        <v>0</v>
      </c>
      <c r="AN942" s="7" t="s">
        <v>5318</v>
      </c>
    </row>
    <row r="943" spans="1:40" ht="63" customHeight="1" x14ac:dyDescent="0.2">
      <c r="A943" s="7">
        <v>9517</v>
      </c>
      <c r="B943" s="7" t="s">
        <v>3440</v>
      </c>
      <c r="C943" s="7" t="s">
        <v>3441</v>
      </c>
      <c r="D943" s="7" t="s">
        <v>41</v>
      </c>
      <c r="F943" s="7" t="s">
        <v>3442</v>
      </c>
      <c r="G943" s="7" t="s">
        <v>52</v>
      </c>
      <c r="H943" s="7" t="s">
        <v>1083</v>
      </c>
      <c r="I943" s="7" t="s">
        <v>13</v>
      </c>
      <c r="J943" s="7" t="s">
        <v>3443</v>
      </c>
      <c r="K943" s="7" t="s">
        <v>3444</v>
      </c>
      <c r="L943" s="7" t="s">
        <v>5987</v>
      </c>
      <c r="M943" s="7">
        <v>0</v>
      </c>
      <c r="N943" s="7" t="s">
        <v>5044</v>
      </c>
      <c r="O943" s="7" t="s">
        <v>5044</v>
      </c>
      <c r="P943" s="7">
        <v>0</v>
      </c>
      <c r="Q943" s="7">
        <v>0</v>
      </c>
      <c r="R943" s="7">
        <v>0</v>
      </c>
      <c r="S943" s="7">
        <v>1</v>
      </c>
      <c r="T943" s="7">
        <v>1</v>
      </c>
      <c r="U943" s="7">
        <v>184</v>
      </c>
      <c r="V943" s="7">
        <v>0</v>
      </c>
      <c r="W943" s="7">
        <v>1</v>
      </c>
      <c r="X943" s="7">
        <v>0</v>
      </c>
      <c r="Y943" s="7">
        <v>0</v>
      </c>
      <c r="Z943" s="7">
        <v>0</v>
      </c>
      <c r="AA943" s="7">
        <v>0</v>
      </c>
      <c r="AB943" s="7">
        <v>1</v>
      </c>
      <c r="AC943" s="7">
        <v>1</v>
      </c>
      <c r="AD943" s="7" t="s">
        <v>5044</v>
      </c>
      <c r="AE943" s="7" t="s">
        <v>5044</v>
      </c>
      <c r="AF943" s="7" t="s">
        <v>5044</v>
      </c>
      <c r="AG943" s="7">
        <v>2</v>
      </c>
      <c r="AH943" s="7">
        <v>1</v>
      </c>
      <c r="AI943" s="7">
        <v>2</v>
      </c>
      <c r="AJ943" s="7" t="s">
        <v>5044</v>
      </c>
      <c r="AK943" s="7" t="s">
        <v>5988</v>
      </c>
      <c r="AL943" s="7">
        <v>0</v>
      </c>
      <c r="AM943" s="7">
        <v>0</v>
      </c>
      <c r="AN943" s="7" t="s">
        <v>5318</v>
      </c>
    </row>
    <row r="944" spans="1:40" ht="63" customHeight="1" x14ac:dyDescent="0.2">
      <c r="A944" s="7">
        <v>9522</v>
      </c>
      <c r="B944" s="7" t="s">
        <v>3445</v>
      </c>
      <c r="C944" s="7" t="s">
        <v>3446</v>
      </c>
      <c r="D944" s="7" t="s">
        <v>101</v>
      </c>
      <c r="F944" s="7" t="s">
        <v>58</v>
      </c>
      <c r="G944" s="7" t="s">
        <v>27</v>
      </c>
      <c r="H944" s="7" t="s">
        <v>2272</v>
      </c>
      <c r="I944" s="7" t="s">
        <v>13</v>
      </c>
      <c r="J944" s="7" t="s">
        <v>3447</v>
      </c>
      <c r="K944" s="7" t="s">
        <v>3448</v>
      </c>
      <c r="L944" s="7" t="s">
        <v>5989</v>
      </c>
      <c r="M944" s="7">
        <v>0</v>
      </c>
      <c r="N944" s="7" t="s">
        <v>5044</v>
      </c>
      <c r="O944" s="7" t="s">
        <v>5044</v>
      </c>
      <c r="P944" s="7">
        <v>0</v>
      </c>
      <c r="Q944" s="7">
        <v>0</v>
      </c>
      <c r="R944" s="7">
        <v>0</v>
      </c>
      <c r="S944" s="7">
        <v>1</v>
      </c>
      <c r="T944" s="7">
        <v>4</v>
      </c>
      <c r="U944" s="7">
        <v>26</v>
      </c>
      <c r="V944" s="7">
        <v>0</v>
      </c>
      <c r="W944" s="7">
        <v>1</v>
      </c>
      <c r="X944" s="7">
        <v>0</v>
      </c>
      <c r="Y944" s="7">
        <v>0</v>
      </c>
      <c r="Z944" s="7">
        <v>0</v>
      </c>
      <c r="AA944" s="7">
        <v>0</v>
      </c>
      <c r="AB944" s="7">
        <v>1</v>
      </c>
      <c r="AC944" s="7">
        <v>1</v>
      </c>
      <c r="AD944" s="7" t="s">
        <v>5044</v>
      </c>
      <c r="AE944" s="7" t="s">
        <v>5044</v>
      </c>
      <c r="AF944" s="7" t="s">
        <v>5044</v>
      </c>
      <c r="AG944" s="7">
        <v>2</v>
      </c>
      <c r="AH944" s="7">
        <v>3</v>
      </c>
      <c r="AI944" s="7">
        <v>0</v>
      </c>
      <c r="AJ944" s="7" t="s">
        <v>5044</v>
      </c>
      <c r="AK944" s="7" t="s">
        <v>5990</v>
      </c>
      <c r="AL944" s="7">
        <v>0</v>
      </c>
      <c r="AM944" s="7">
        <v>0</v>
      </c>
      <c r="AN944" s="7" t="s">
        <v>5318</v>
      </c>
    </row>
    <row r="945" spans="1:40" ht="63" customHeight="1" x14ac:dyDescent="0.2">
      <c r="A945" s="7">
        <v>9553</v>
      </c>
      <c r="B945" s="7" t="s">
        <v>3449</v>
      </c>
      <c r="C945" s="7" t="s">
        <v>3450</v>
      </c>
      <c r="D945" s="7" t="s">
        <v>25</v>
      </c>
      <c r="F945" s="7" t="s">
        <v>237</v>
      </c>
      <c r="G945" s="7" t="s">
        <v>32</v>
      </c>
      <c r="H945" s="7" t="s">
        <v>160</v>
      </c>
      <c r="I945" s="7" t="s">
        <v>13</v>
      </c>
      <c r="J945" s="7" t="s">
        <v>3451</v>
      </c>
      <c r="K945" s="7" t="s">
        <v>3452</v>
      </c>
      <c r="L945" s="7" t="s">
        <v>5991</v>
      </c>
      <c r="M945" s="7">
        <v>0</v>
      </c>
      <c r="N945" s="7" t="s">
        <v>5044</v>
      </c>
      <c r="O945" s="7" t="s">
        <v>5044</v>
      </c>
      <c r="P945" s="7">
        <v>0</v>
      </c>
      <c r="Q945" s="7">
        <v>0</v>
      </c>
      <c r="R945" s="7">
        <v>0</v>
      </c>
      <c r="S945" s="7">
        <v>1</v>
      </c>
      <c r="T945" s="7">
        <v>4</v>
      </c>
      <c r="U945" s="7">
        <v>200</v>
      </c>
      <c r="V945" s="7">
        <v>0</v>
      </c>
      <c r="W945" s="7">
        <v>1</v>
      </c>
      <c r="X945" s="7">
        <v>0</v>
      </c>
      <c r="Y945" s="7">
        <v>0</v>
      </c>
      <c r="Z945" s="7">
        <v>0</v>
      </c>
      <c r="AA945" s="7">
        <v>0</v>
      </c>
      <c r="AB945" s="7">
        <v>1</v>
      </c>
      <c r="AC945" s="7">
        <v>1</v>
      </c>
      <c r="AD945" s="7" t="s">
        <v>5044</v>
      </c>
      <c r="AE945" s="7" t="s">
        <v>5044</v>
      </c>
      <c r="AF945" s="7" t="s">
        <v>5044</v>
      </c>
      <c r="AG945" s="7">
        <v>1</v>
      </c>
      <c r="AH945" s="7">
        <v>0</v>
      </c>
      <c r="AI945" s="7">
        <v>0</v>
      </c>
      <c r="AJ945" s="7" t="s">
        <v>5044</v>
      </c>
      <c r="AK945" s="7" t="s">
        <v>5318</v>
      </c>
      <c r="AL945" s="7" t="s">
        <v>5044</v>
      </c>
      <c r="AM945" s="7">
        <v>0</v>
      </c>
      <c r="AN945" s="7" t="s">
        <v>6500</v>
      </c>
    </row>
    <row r="946" spans="1:40" ht="63" customHeight="1" x14ac:dyDescent="0.2">
      <c r="A946" s="7">
        <v>9555</v>
      </c>
      <c r="B946" s="7" t="s">
        <v>3453</v>
      </c>
      <c r="C946" s="7" t="s">
        <v>3454</v>
      </c>
      <c r="D946" s="7" t="s">
        <v>95</v>
      </c>
      <c r="F946" s="7" t="s">
        <v>197</v>
      </c>
      <c r="G946" s="7" t="s">
        <v>37</v>
      </c>
      <c r="H946" s="7" t="s">
        <v>169</v>
      </c>
      <c r="I946" s="7" t="s">
        <v>13</v>
      </c>
      <c r="J946" s="7" t="s">
        <v>3455</v>
      </c>
      <c r="K946" s="7" t="s">
        <v>3456</v>
      </c>
      <c r="L946" s="11" t="s">
        <v>5044</v>
      </c>
      <c r="M946" s="7">
        <v>0</v>
      </c>
      <c r="N946" s="7" t="s">
        <v>5044</v>
      </c>
      <c r="O946" s="7" t="s">
        <v>5044</v>
      </c>
      <c r="P946" s="7">
        <v>0</v>
      </c>
      <c r="Q946" s="7">
        <v>0</v>
      </c>
      <c r="R946" s="7">
        <v>0</v>
      </c>
      <c r="S946" s="7">
        <v>1</v>
      </c>
      <c r="T946" s="7">
        <v>4</v>
      </c>
      <c r="U946" s="7">
        <v>68</v>
      </c>
      <c r="V946" s="7">
        <v>0</v>
      </c>
      <c r="W946" s="7">
        <v>1</v>
      </c>
      <c r="X946" s="7">
        <v>0</v>
      </c>
      <c r="Y946" s="7">
        <v>0</v>
      </c>
      <c r="Z946" s="7">
        <v>0</v>
      </c>
      <c r="AA946" s="7">
        <v>0</v>
      </c>
      <c r="AB946" s="7">
        <v>1</v>
      </c>
      <c r="AC946" s="7">
        <v>1</v>
      </c>
      <c r="AD946" s="7" t="s">
        <v>5044</v>
      </c>
      <c r="AE946" s="7" t="s">
        <v>5044</v>
      </c>
      <c r="AF946" s="7" t="s">
        <v>5044</v>
      </c>
      <c r="AG946" s="7">
        <v>2</v>
      </c>
      <c r="AH946" s="7">
        <v>1</v>
      </c>
      <c r="AI946" s="7">
        <v>2</v>
      </c>
      <c r="AJ946" s="7" t="s">
        <v>5044</v>
      </c>
      <c r="AK946" s="7" t="s">
        <v>5318</v>
      </c>
      <c r="AL946" s="7">
        <v>0</v>
      </c>
      <c r="AM946" s="7">
        <v>0</v>
      </c>
      <c r="AN946" s="7" t="s">
        <v>5318</v>
      </c>
    </row>
    <row r="947" spans="1:40" ht="63" customHeight="1" x14ac:dyDescent="0.2">
      <c r="A947" s="7">
        <v>9560</v>
      </c>
      <c r="B947" s="7" t="s">
        <v>3461</v>
      </c>
      <c r="C947" s="7" t="s">
        <v>3462</v>
      </c>
      <c r="D947" s="7" t="s">
        <v>46</v>
      </c>
      <c r="F947" s="7" t="s">
        <v>114</v>
      </c>
      <c r="G947" s="7" t="s">
        <v>175</v>
      </c>
      <c r="H947" s="7" t="s">
        <v>1334</v>
      </c>
      <c r="I947" s="7" t="s">
        <v>13</v>
      </c>
      <c r="J947" s="7" t="s">
        <v>3463</v>
      </c>
      <c r="K947" s="7" t="s">
        <v>3464</v>
      </c>
      <c r="L947" s="7" t="s">
        <v>5993</v>
      </c>
      <c r="M947" s="7">
        <v>0</v>
      </c>
      <c r="N947" s="7" t="s">
        <v>5044</v>
      </c>
      <c r="O947" s="7" t="s">
        <v>5044</v>
      </c>
      <c r="P947" s="7">
        <v>0</v>
      </c>
      <c r="Q947" s="7">
        <v>0</v>
      </c>
      <c r="R947" s="7">
        <v>0</v>
      </c>
      <c r="S947" s="7">
        <v>9</v>
      </c>
      <c r="T947" s="7">
        <v>1</v>
      </c>
      <c r="U947" s="7">
        <v>65</v>
      </c>
      <c r="V947" s="7">
        <v>0</v>
      </c>
      <c r="W947" s="7">
        <v>1</v>
      </c>
      <c r="X947" s="7">
        <v>0</v>
      </c>
      <c r="Y947" s="7">
        <v>0</v>
      </c>
      <c r="Z947" s="7">
        <v>0</v>
      </c>
      <c r="AA947" s="7">
        <v>0</v>
      </c>
      <c r="AB947" s="7">
        <v>1</v>
      </c>
      <c r="AC947" s="7">
        <v>1</v>
      </c>
      <c r="AD947" s="7" t="s">
        <v>5044</v>
      </c>
      <c r="AE947" s="7" t="s">
        <v>5044</v>
      </c>
      <c r="AF947" s="7" t="s">
        <v>5044</v>
      </c>
      <c r="AG947" s="7">
        <v>2</v>
      </c>
      <c r="AH947" s="7">
        <v>3</v>
      </c>
      <c r="AI947" s="7">
        <v>0</v>
      </c>
      <c r="AJ947" s="7" t="s">
        <v>5044</v>
      </c>
      <c r="AK947" s="7">
        <v>1</v>
      </c>
      <c r="AL947" s="7">
        <v>0</v>
      </c>
      <c r="AM947" s="7">
        <v>0</v>
      </c>
      <c r="AN947" s="7" t="s">
        <v>5318</v>
      </c>
    </row>
    <row r="948" spans="1:40" ht="63" customHeight="1" x14ac:dyDescent="0.2">
      <c r="A948" s="7">
        <v>9568</v>
      </c>
      <c r="B948" s="7" t="s">
        <v>3465</v>
      </c>
      <c r="C948" s="7" t="s">
        <v>3466</v>
      </c>
      <c r="D948" s="7" t="s">
        <v>41</v>
      </c>
      <c r="F948" s="7" t="s">
        <v>92</v>
      </c>
      <c r="G948" s="7" t="s">
        <v>17</v>
      </c>
      <c r="H948" s="7" t="s">
        <v>19</v>
      </c>
      <c r="I948" s="7" t="s">
        <v>13</v>
      </c>
      <c r="J948" s="7" t="s">
        <v>3467</v>
      </c>
      <c r="K948" s="7" t="s">
        <v>3468</v>
      </c>
      <c r="L948" s="7" t="s">
        <v>5994</v>
      </c>
      <c r="M948" s="7">
        <v>1</v>
      </c>
      <c r="N948" s="7">
        <v>0</v>
      </c>
      <c r="O948" s="7" t="s">
        <v>5044</v>
      </c>
      <c r="P948" s="7">
        <v>0</v>
      </c>
      <c r="Q948" s="7">
        <v>0</v>
      </c>
      <c r="R948" s="7">
        <v>0</v>
      </c>
      <c r="S948" s="7">
        <v>4</v>
      </c>
      <c r="T948" s="7">
        <v>1</v>
      </c>
      <c r="U948" s="7">
        <v>508</v>
      </c>
      <c r="V948" s="7">
        <v>0</v>
      </c>
      <c r="W948" s="7">
        <v>1</v>
      </c>
      <c r="X948" s="7">
        <v>0</v>
      </c>
      <c r="Y948" s="7">
        <v>0</v>
      </c>
      <c r="Z948" s="7">
        <v>0</v>
      </c>
      <c r="AA948" s="7">
        <v>0</v>
      </c>
      <c r="AB948" s="7">
        <v>1</v>
      </c>
      <c r="AC948" s="7" t="s">
        <v>5044</v>
      </c>
      <c r="AD948" s="7" t="s">
        <v>5044</v>
      </c>
      <c r="AE948" s="7" t="s">
        <v>5044</v>
      </c>
      <c r="AF948" s="7" t="s">
        <v>5044</v>
      </c>
      <c r="AG948" s="7" t="s">
        <v>5044</v>
      </c>
      <c r="AH948" s="7" t="s">
        <v>5044</v>
      </c>
      <c r="AI948" s="7" t="s">
        <v>5044</v>
      </c>
      <c r="AJ948" s="7" t="s">
        <v>5044</v>
      </c>
      <c r="AK948" s="7" t="s">
        <v>5318</v>
      </c>
      <c r="AL948" s="7" t="s">
        <v>5044</v>
      </c>
      <c r="AM948" s="7">
        <v>0</v>
      </c>
      <c r="AN948" s="7" t="s">
        <v>5318</v>
      </c>
    </row>
    <row r="949" spans="1:40" ht="63" customHeight="1" x14ac:dyDescent="0.2">
      <c r="A949" s="7">
        <v>9572</v>
      </c>
      <c r="B949" s="7" t="s">
        <v>3469</v>
      </c>
      <c r="C949" s="7" t="s">
        <v>3470</v>
      </c>
      <c r="D949" s="7" t="s">
        <v>35</v>
      </c>
      <c r="F949" s="7" t="s">
        <v>3471</v>
      </c>
      <c r="G949" s="7" t="s">
        <v>37</v>
      </c>
      <c r="H949" s="7" t="s">
        <v>43</v>
      </c>
      <c r="I949" s="7" t="s">
        <v>13</v>
      </c>
      <c r="J949" s="7" t="s">
        <v>3472</v>
      </c>
      <c r="K949" s="7" t="s">
        <v>3473</v>
      </c>
      <c r="L949" s="7" t="s">
        <v>5995</v>
      </c>
      <c r="M949" s="7">
        <v>0</v>
      </c>
      <c r="N949" s="7" t="s">
        <v>5044</v>
      </c>
      <c r="O949" s="7" t="s">
        <v>5044</v>
      </c>
      <c r="P949" s="7">
        <v>0</v>
      </c>
      <c r="Q949" s="7">
        <v>0</v>
      </c>
      <c r="R949" s="7">
        <v>0</v>
      </c>
      <c r="S949" s="7">
        <v>1</v>
      </c>
      <c r="T949" s="7">
        <v>1</v>
      </c>
      <c r="U949" s="7">
        <v>58</v>
      </c>
      <c r="V949" s="7">
        <v>0</v>
      </c>
      <c r="W949" s="7">
        <v>1</v>
      </c>
      <c r="X949" s="7">
        <v>0</v>
      </c>
      <c r="Y949" s="7">
        <v>0</v>
      </c>
      <c r="Z949" s="7">
        <v>0</v>
      </c>
      <c r="AA949" s="7">
        <v>0</v>
      </c>
      <c r="AB949" s="7">
        <v>1</v>
      </c>
      <c r="AC949" s="7">
        <v>1</v>
      </c>
      <c r="AD949" s="7" t="s">
        <v>5044</v>
      </c>
      <c r="AE949" s="7" t="s">
        <v>5044</v>
      </c>
      <c r="AF949" s="7" t="s">
        <v>5044</v>
      </c>
      <c r="AG949" s="7">
        <v>2</v>
      </c>
      <c r="AH949" s="7">
        <v>2</v>
      </c>
      <c r="AI949" s="7">
        <v>2</v>
      </c>
      <c r="AJ949" s="7" t="s">
        <v>5044</v>
      </c>
      <c r="AK949" s="7" t="s">
        <v>5318</v>
      </c>
      <c r="AL949" s="7">
        <v>0</v>
      </c>
      <c r="AM949" s="7">
        <v>0</v>
      </c>
      <c r="AN949" s="7" t="s">
        <v>5318</v>
      </c>
    </row>
    <row r="950" spans="1:40" ht="63" customHeight="1" x14ac:dyDescent="0.2">
      <c r="A950" s="7">
        <v>9581</v>
      </c>
      <c r="B950" s="7" t="s">
        <v>3478</v>
      </c>
      <c r="C950" s="7" t="s">
        <v>3479</v>
      </c>
      <c r="D950" s="7" t="s">
        <v>22</v>
      </c>
      <c r="F950" s="7" t="s">
        <v>154</v>
      </c>
      <c r="G950" s="7" t="s">
        <v>47</v>
      </c>
      <c r="H950" s="7" t="s">
        <v>38</v>
      </c>
      <c r="I950" s="7" t="s">
        <v>13</v>
      </c>
      <c r="J950" s="7" t="s">
        <v>3480</v>
      </c>
      <c r="K950" s="7" t="s">
        <v>3481</v>
      </c>
      <c r="L950" s="7" t="s">
        <v>5997</v>
      </c>
      <c r="M950" s="7">
        <v>0</v>
      </c>
      <c r="N950" s="7" t="s">
        <v>5044</v>
      </c>
      <c r="O950" s="7" t="s">
        <v>5044</v>
      </c>
      <c r="P950" s="7">
        <v>0</v>
      </c>
      <c r="Q950" s="7">
        <v>0</v>
      </c>
      <c r="R950" s="7">
        <v>0</v>
      </c>
      <c r="S950" s="7">
        <v>1</v>
      </c>
      <c r="T950" s="7">
        <v>1</v>
      </c>
      <c r="U950" s="7">
        <v>142</v>
      </c>
      <c r="V950" s="7">
        <v>0</v>
      </c>
      <c r="W950" s="7">
        <v>1</v>
      </c>
      <c r="X950" s="7">
        <v>0</v>
      </c>
      <c r="Y950" s="7">
        <v>0</v>
      </c>
      <c r="Z950" s="7">
        <v>0</v>
      </c>
      <c r="AA950" s="7">
        <v>0</v>
      </c>
      <c r="AB950" s="7">
        <v>1</v>
      </c>
      <c r="AC950" s="7">
        <v>1</v>
      </c>
      <c r="AD950" s="7" t="s">
        <v>5044</v>
      </c>
      <c r="AE950" s="7" t="s">
        <v>5044</v>
      </c>
      <c r="AF950" s="7" t="s">
        <v>5044</v>
      </c>
      <c r="AG950" s="7">
        <v>1</v>
      </c>
      <c r="AH950" s="7">
        <v>0</v>
      </c>
      <c r="AI950" s="7">
        <v>0</v>
      </c>
      <c r="AJ950" s="7" t="s">
        <v>5044</v>
      </c>
      <c r="AK950" s="7" t="s">
        <v>5318</v>
      </c>
      <c r="AL950" s="7">
        <v>1</v>
      </c>
      <c r="AM950" s="7">
        <v>0</v>
      </c>
      <c r="AN950" s="7" t="s">
        <v>5318</v>
      </c>
    </row>
    <row r="951" spans="1:40" ht="63" customHeight="1" x14ac:dyDescent="0.2">
      <c r="A951" s="7">
        <v>9585</v>
      </c>
      <c r="B951" s="7" t="s">
        <v>3482</v>
      </c>
      <c r="C951" s="7" t="s">
        <v>3483</v>
      </c>
      <c r="D951" s="7" t="s">
        <v>41</v>
      </c>
      <c r="F951" s="7" t="s">
        <v>107</v>
      </c>
      <c r="G951" s="7" t="s">
        <v>175</v>
      </c>
      <c r="H951" s="7" t="s">
        <v>3484</v>
      </c>
      <c r="I951" s="7" t="s">
        <v>13</v>
      </c>
      <c r="J951" s="7" t="s">
        <v>3485</v>
      </c>
      <c r="K951" s="7" t="s">
        <v>3486</v>
      </c>
      <c r="L951" s="11" t="s">
        <v>5044</v>
      </c>
      <c r="M951" s="7">
        <v>0</v>
      </c>
      <c r="N951" s="7" t="s">
        <v>5044</v>
      </c>
      <c r="O951" s="7" t="s">
        <v>5044</v>
      </c>
      <c r="P951" s="7">
        <v>0</v>
      </c>
      <c r="Q951" s="7">
        <v>0</v>
      </c>
      <c r="R951" s="7">
        <v>0</v>
      </c>
      <c r="S951" s="7">
        <v>1</v>
      </c>
      <c r="T951" s="7">
        <v>1</v>
      </c>
      <c r="U951" s="7">
        <v>100</v>
      </c>
      <c r="V951" s="7">
        <v>0</v>
      </c>
      <c r="W951" s="7">
        <v>1</v>
      </c>
      <c r="X951" s="7">
        <v>0</v>
      </c>
      <c r="Y951" s="7">
        <v>0</v>
      </c>
      <c r="Z951" s="7">
        <v>0</v>
      </c>
      <c r="AA951" s="7">
        <v>0</v>
      </c>
      <c r="AB951" s="7">
        <v>1</v>
      </c>
      <c r="AC951" s="7">
        <v>1</v>
      </c>
      <c r="AD951" s="7" t="s">
        <v>5044</v>
      </c>
      <c r="AE951" s="7" t="s">
        <v>5044</v>
      </c>
      <c r="AF951" s="7" t="s">
        <v>5044</v>
      </c>
      <c r="AG951" s="7">
        <v>2</v>
      </c>
      <c r="AH951" s="7">
        <v>3</v>
      </c>
      <c r="AI951" s="7">
        <v>0</v>
      </c>
      <c r="AJ951" s="7" t="s">
        <v>5044</v>
      </c>
      <c r="AK951" s="7" t="s">
        <v>5318</v>
      </c>
      <c r="AL951" s="7">
        <v>0</v>
      </c>
      <c r="AM951" s="7">
        <v>0</v>
      </c>
      <c r="AN951" s="7" t="s">
        <v>5318</v>
      </c>
    </row>
    <row r="952" spans="1:40" ht="63" customHeight="1" x14ac:dyDescent="0.2">
      <c r="A952" s="7">
        <v>9591</v>
      </c>
      <c r="B952" s="23" t="s">
        <v>3487</v>
      </c>
      <c r="C952" s="7" t="s">
        <v>3488</v>
      </c>
      <c r="D952" s="7" t="s">
        <v>41</v>
      </c>
      <c r="F952" s="7" t="s">
        <v>626</v>
      </c>
      <c r="H952" s="7" t="s">
        <v>1449</v>
      </c>
      <c r="I952" s="7" t="s">
        <v>13</v>
      </c>
      <c r="J952" s="7" t="s">
        <v>3489</v>
      </c>
      <c r="K952" s="7" t="s">
        <v>3490</v>
      </c>
      <c r="L952" s="11" t="s">
        <v>5044</v>
      </c>
      <c r="M952" s="7">
        <v>0</v>
      </c>
      <c r="N952" s="7" t="s">
        <v>5044</v>
      </c>
      <c r="O952" s="7" t="s">
        <v>5044</v>
      </c>
      <c r="P952" s="7">
        <v>0</v>
      </c>
      <c r="Q952" s="7">
        <v>0</v>
      </c>
      <c r="R952" s="7">
        <v>0</v>
      </c>
      <c r="S952" s="7" t="s">
        <v>5170</v>
      </c>
      <c r="T952" s="7">
        <v>1</v>
      </c>
      <c r="U952" s="7">
        <v>104</v>
      </c>
      <c r="V952" s="7">
        <v>1</v>
      </c>
      <c r="W952" s="7">
        <v>0</v>
      </c>
      <c r="X952" s="7">
        <v>0</v>
      </c>
      <c r="Y952" s="7">
        <v>0</v>
      </c>
      <c r="Z952" s="7">
        <v>0</v>
      </c>
      <c r="AA952" s="7">
        <v>0</v>
      </c>
      <c r="AB952" s="7">
        <v>1</v>
      </c>
      <c r="AC952" s="7">
        <v>1</v>
      </c>
      <c r="AD952" s="7">
        <v>1</v>
      </c>
      <c r="AE952" s="7">
        <v>0</v>
      </c>
      <c r="AF952" s="7">
        <v>0</v>
      </c>
      <c r="AG952" s="23" t="s">
        <v>5044</v>
      </c>
      <c r="AH952" s="23" t="s">
        <v>5044</v>
      </c>
      <c r="AI952" s="23" t="s">
        <v>5044</v>
      </c>
      <c r="AJ952" s="7" t="s">
        <v>5044</v>
      </c>
      <c r="AK952" s="7" t="s">
        <v>5318</v>
      </c>
      <c r="AL952" s="7">
        <v>1</v>
      </c>
      <c r="AM952" s="7">
        <v>0</v>
      </c>
    </row>
    <row r="953" spans="1:40" ht="63" customHeight="1" x14ac:dyDescent="0.2">
      <c r="A953" s="7">
        <v>9596</v>
      </c>
      <c r="B953" s="7" t="s">
        <v>3491</v>
      </c>
      <c r="C953" s="7" t="s">
        <v>3492</v>
      </c>
      <c r="D953" s="7" t="s">
        <v>22</v>
      </c>
      <c r="F953" s="7" t="s">
        <v>626</v>
      </c>
      <c r="G953" s="7" t="s">
        <v>32</v>
      </c>
      <c r="H953" s="7" t="s">
        <v>43</v>
      </c>
      <c r="I953" s="7" t="s">
        <v>437</v>
      </c>
      <c r="J953" s="7" t="s">
        <v>3493</v>
      </c>
      <c r="K953" s="7" t="s">
        <v>3494</v>
      </c>
      <c r="L953" s="7" t="s">
        <v>5890</v>
      </c>
      <c r="M953" s="7">
        <v>0</v>
      </c>
      <c r="N953" s="7" t="s">
        <v>5044</v>
      </c>
      <c r="O953" s="7" t="s">
        <v>5044</v>
      </c>
      <c r="P953" s="7">
        <v>0</v>
      </c>
      <c r="Q953" s="7">
        <v>0</v>
      </c>
      <c r="R953" s="7">
        <v>0</v>
      </c>
      <c r="S953" s="7">
        <v>1</v>
      </c>
      <c r="T953" s="7">
        <v>1</v>
      </c>
      <c r="U953" s="7">
        <v>280</v>
      </c>
      <c r="V953" s="7">
        <v>1</v>
      </c>
      <c r="W953" s="7">
        <v>0</v>
      </c>
      <c r="X953" s="7">
        <v>0</v>
      </c>
      <c r="Y953" s="7">
        <v>0</v>
      </c>
      <c r="Z953" s="7">
        <v>1</v>
      </c>
      <c r="AA953" s="7">
        <v>0</v>
      </c>
      <c r="AB953" s="7">
        <v>1</v>
      </c>
      <c r="AC953" s="7">
        <v>1</v>
      </c>
      <c r="AD953" s="7">
        <v>2</v>
      </c>
      <c r="AE953" s="7">
        <v>3</v>
      </c>
      <c r="AF953" s="7">
        <v>0</v>
      </c>
      <c r="AG953" s="7" t="s">
        <v>5044</v>
      </c>
      <c r="AH953" s="7" t="s">
        <v>5044</v>
      </c>
      <c r="AI953" s="7" t="s">
        <v>5044</v>
      </c>
      <c r="AJ953" s="7">
        <v>1</v>
      </c>
      <c r="AK953" s="7">
        <v>1</v>
      </c>
      <c r="AL953" s="7">
        <v>1</v>
      </c>
      <c r="AM953" s="7">
        <v>0</v>
      </c>
      <c r="AN953" s="7" t="s">
        <v>5318</v>
      </c>
    </row>
    <row r="954" spans="1:40" ht="63" customHeight="1" x14ac:dyDescent="0.2">
      <c r="A954" s="7">
        <v>9613</v>
      </c>
      <c r="B954" s="7" t="s">
        <v>3495</v>
      </c>
      <c r="C954" s="7" t="s">
        <v>3496</v>
      </c>
      <c r="D954" s="7" t="s">
        <v>16</v>
      </c>
      <c r="F954" s="7" t="s">
        <v>37</v>
      </c>
      <c r="G954" s="7" t="s">
        <v>37</v>
      </c>
      <c r="H954" s="7" t="s">
        <v>396</v>
      </c>
      <c r="I954" s="7" t="s">
        <v>13</v>
      </c>
      <c r="J954" s="7" t="s">
        <v>3497</v>
      </c>
      <c r="K954" s="7" t="s">
        <v>3498</v>
      </c>
      <c r="L954" s="7" t="s">
        <v>5998</v>
      </c>
      <c r="M954" s="7">
        <v>1</v>
      </c>
      <c r="N954" s="7">
        <v>0</v>
      </c>
      <c r="O954" s="7" t="s">
        <v>5044</v>
      </c>
      <c r="P954" s="7">
        <v>0</v>
      </c>
      <c r="Q954" s="7">
        <v>0</v>
      </c>
      <c r="R954" s="7">
        <v>0</v>
      </c>
      <c r="S954" s="7">
        <v>1</v>
      </c>
      <c r="T954" s="7">
        <v>5</v>
      </c>
      <c r="U954" s="7">
        <v>20</v>
      </c>
      <c r="V954" s="7">
        <v>0</v>
      </c>
      <c r="W954" s="7">
        <v>1</v>
      </c>
      <c r="X954" s="7">
        <v>0</v>
      </c>
      <c r="Y954" s="7">
        <v>0</v>
      </c>
      <c r="Z954" s="7">
        <v>1</v>
      </c>
      <c r="AA954" s="7">
        <v>0</v>
      </c>
      <c r="AB954" s="7">
        <v>1</v>
      </c>
      <c r="AC954" s="7" t="s">
        <v>5044</v>
      </c>
      <c r="AD954" s="7" t="s">
        <v>5044</v>
      </c>
      <c r="AE954" s="7" t="s">
        <v>5044</v>
      </c>
      <c r="AF954" s="7" t="s">
        <v>5044</v>
      </c>
      <c r="AG954" s="7" t="s">
        <v>5044</v>
      </c>
      <c r="AH954" s="7" t="s">
        <v>5044</v>
      </c>
      <c r="AI954" s="7" t="s">
        <v>5044</v>
      </c>
      <c r="AJ954" s="7" t="s">
        <v>5044</v>
      </c>
      <c r="AK954" s="7" t="s">
        <v>5318</v>
      </c>
      <c r="AL954" s="7" t="s">
        <v>5044</v>
      </c>
      <c r="AM954" s="7">
        <v>0</v>
      </c>
    </row>
    <row r="955" spans="1:40" ht="63" customHeight="1" x14ac:dyDescent="0.2">
      <c r="A955" s="7">
        <v>9626</v>
      </c>
      <c r="B955" s="7" t="s">
        <v>3499</v>
      </c>
      <c r="C955" s="7" t="s">
        <v>3500</v>
      </c>
      <c r="D955" s="7" t="s">
        <v>16</v>
      </c>
      <c r="F955" s="7" t="s">
        <v>289</v>
      </c>
      <c r="H955" s="7" t="s">
        <v>3501</v>
      </c>
      <c r="I955" s="7" t="s">
        <v>13</v>
      </c>
      <c r="J955" s="7" t="s">
        <v>3502</v>
      </c>
      <c r="K955" s="7" t="s">
        <v>3503</v>
      </c>
      <c r="L955" s="7" t="s">
        <v>5999</v>
      </c>
      <c r="M955" s="7">
        <v>0</v>
      </c>
      <c r="N955" s="7" t="s">
        <v>5044</v>
      </c>
      <c r="O955" s="7" t="s">
        <v>5044</v>
      </c>
      <c r="P955" s="7">
        <v>0</v>
      </c>
      <c r="Q955" s="7">
        <v>0</v>
      </c>
      <c r="R955" s="7">
        <v>0</v>
      </c>
      <c r="S955" s="7">
        <v>1</v>
      </c>
      <c r="T955" s="7">
        <v>2</v>
      </c>
      <c r="U955" s="7">
        <v>130</v>
      </c>
      <c r="V955" s="7">
        <v>0</v>
      </c>
      <c r="W955" s="7">
        <v>1</v>
      </c>
      <c r="X955" s="7">
        <v>0</v>
      </c>
      <c r="Y955" s="7">
        <v>0</v>
      </c>
      <c r="Z955" s="7">
        <v>0</v>
      </c>
      <c r="AA955" s="7">
        <v>0</v>
      </c>
      <c r="AB955" s="7">
        <v>1</v>
      </c>
      <c r="AC955" s="7">
        <v>0</v>
      </c>
      <c r="AD955" s="7" t="s">
        <v>5044</v>
      </c>
      <c r="AE955" s="7" t="s">
        <v>5044</v>
      </c>
      <c r="AF955" s="7" t="s">
        <v>5044</v>
      </c>
      <c r="AG955" s="7">
        <v>0</v>
      </c>
      <c r="AH955" s="7" t="s">
        <v>5044</v>
      </c>
      <c r="AI955" s="7" t="s">
        <v>5044</v>
      </c>
      <c r="AJ955" s="7" t="s">
        <v>5044</v>
      </c>
      <c r="AK955" s="7" t="s">
        <v>5318</v>
      </c>
      <c r="AL955" s="7">
        <v>0</v>
      </c>
      <c r="AM955" s="7">
        <v>0</v>
      </c>
      <c r="AN955" s="7" t="s">
        <v>5318</v>
      </c>
    </row>
    <row r="956" spans="1:40" ht="63" customHeight="1" x14ac:dyDescent="0.2">
      <c r="A956" s="7">
        <v>9631</v>
      </c>
      <c r="B956" s="7" t="s">
        <v>3504</v>
      </c>
      <c r="C956" s="7" t="s">
        <v>3505</v>
      </c>
      <c r="D956" s="7" t="s">
        <v>56</v>
      </c>
      <c r="F956" s="7" t="s">
        <v>51</v>
      </c>
      <c r="G956" s="7" t="s">
        <v>48</v>
      </c>
      <c r="H956" s="7" t="s">
        <v>911</v>
      </c>
      <c r="I956" s="7" t="s">
        <v>13</v>
      </c>
      <c r="J956" s="7" t="s">
        <v>3506</v>
      </c>
      <c r="K956" s="7" t="s">
        <v>3507</v>
      </c>
      <c r="L956" s="7" t="s">
        <v>6000</v>
      </c>
      <c r="M956" s="7">
        <v>0</v>
      </c>
      <c r="N956" s="7" t="s">
        <v>5044</v>
      </c>
      <c r="O956" s="7" t="s">
        <v>5044</v>
      </c>
      <c r="P956" s="7">
        <v>1</v>
      </c>
      <c r="Q956" s="7">
        <v>0</v>
      </c>
      <c r="R956" s="7">
        <v>0</v>
      </c>
      <c r="S956" s="7">
        <v>1</v>
      </c>
      <c r="T956" s="7">
        <v>1</v>
      </c>
      <c r="U956" s="7">
        <v>31</v>
      </c>
      <c r="V956" s="7">
        <v>0</v>
      </c>
      <c r="W956" s="7">
        <v>1</v>
      </c>
      <c r="X956" s="7">
        <v>0</v>
      </c>
      <c r="Y956" s="7">
        <v>0</v>
      </c>
      <c r="Z956" s="7">
        <v>0</v>
      </c>
      <c r="AA956" s="7">
        <v>0</v>
      </c>
      <c r="AB956" s="7">
        <v>1</v>
      </c>
      <c r="AC956" s="7">
        <v>1</v>
      </c>
      <c r="AD956" s="7" t="s">
        <v>5044</v>
      </c>
      <c r="AE956" s="7" t="s">
        <v>5044</v>
      </c>
      <c r="AF956" s="7" t="s">
        <v>5044</v>
      </c>
      <c r="AG956" s="7">
        <v>2</v>
      </c>
      <c r="AH956" s="7">
        <v>3</v>
      </c>
      <c r="AI956" s="7">
        <v>0</v>
      </c>
      <c r="AJ956" s="7" t="s">
        <v>5044</v>
      </c>
      <c r="AK956" s="7" t="s">
        <v>5318</v>
      </c>
      <c r="AL956" s="7" t="s">
        <v>5044</v>
      </c>
      <c r="AM956" s="7">
        <v>0</v>
      </c>
    </row>
    <row r="957" spans="1:40" ht="63" customHeight="1" x14ac:dyDescent="0.2">
      <c r="A957" s="7">
        <v>9636</v>
      </c>
      <c r="B957" s="7" t="s">
        <v>3508</v>
      </c>
      <c r="C957" s="7" t="s">
        <v>3509</v>
      </c>
      <c r="D957" s="7" t="s">
        <v>56</v>
      </c>
      <c r="F957" s="7" t="s">
        <v>147</v>
      </c>
      <c r="G957" s="7" t="s">
        <v>37</v>
      </c>
      <c r="H957" s="7" t="s">
        <v>296</v>
      </c>
      <c r="I957" s="7" t="s">
        <v>13</v>
      </c>
      <c r="J957" s="7" t="s">
        <v>3510</v>
      </c>
      <c r="K957" s="7" t="s">
        <v>3511</v>
      </c>
      <c r="L957" s="7" t="s">
        <v>6001</v>
      </c>
      <c r="M957" s="7">
        <v>0</v>
      </c>
      <c r="N957" s="7" t="s">
        <v>5044</v>
      </c>
      <c r="O957" s="7" t="s">
        <v>5044</v>
      </c>
      <c r="P957" s="7">
        <v>0</v>
      </c>
      <c r="Q957" s="7">
        <v>0</v>
      </c>
      <c r="R957" s="7">
        <v>0</v>
      </c>
      <c r="S957" s="7">
        <v>1</v>
      </c>
      <c r="T957" s="7">
        <v>1</v>
      </c>
      <c r="U957" s="7">
        <v>329</v>
      </c>
      <c r="V957" s="7">
        <v>0</v>
      </c>
      <c r="W957" s="7">
        <v>1</v>
      </c>
      <c r="X957" s="7">
        <v>0</v>
      </c>
      <c r="Y957" s="7">
        <v>0</v>
      </c>
      <c r="Z957" s="7">
        <v>0</v>
      </c>
      <c r="AA957" s="7">
        <v>0</v>
      </c>
      <c r="AB957" s="7">
        <v>1</v>
      </c>
      <c r="AC957" s="7">
        <v>1</v>
      </c>
      <c r="AD957" s="7" t="s">
        <v>5044</v>
      </c>
      <c r="AE957" s="7" t="s">
        <v>5044</v>
      </c>
      <c r="AF957" s="7" t="s">
        <v>5044</v>
      </c>
      <c r="AG957" s="7">
        <v>1</v>
      </c>
      <c r="AH957" s="7">
        <v>0</v>
      </c>
      <c r="AI957" s="7">
        <v>0</v>
      </c>
      <c r="AJ957" s="7" t="s">
        <v>5044</v>
      </c>
      <c r="AK957" s="7" t="s">
        <v>5318</v>
      </c>
      <c r="AL957" s="7">
        <v>1</v>
      </c>
      <c r="AM957" s="7">
        <v>0</v>
      </c>
      <c r="AN957" s="7" t="s">
        <v>5318</v>
      </c>
    </row>
    <row r="958" spans="1:40" ht="63" customHeight="1" x14ac:dyDescent="0.2">
      <c r="A958" s="7">
        <v>9641</v>
      </c>
      <c r="B958" s="7" t="s">
        <v>3512</v>
      </c>
      <c r="C958" s="7" t="s">
        <v>3513</v>
      </c>
      <c r="D958" s="7" t="s">
        <v>101</v>
      </c>
      <c r="F958" s="7" t="s">
        <v>175</v>
      </c>
      <c r="H958" s="7" t="s">
        <v>3514</v>
      </c>
      <c r="I958" s="7" t="s">
        <v>13</v>
      </c>
      <c r="K958" s="7" t="s">
        <v>3515</v>
      </c>
      <c r="L958" s="7" t="s">
        <v>6002</v>
      </c>
      <c r="M958" s="7">
        <v>0</v>
      </c>
      <c r="N958" s="7" t="s">
        <v>5044</v>
      </c>
      <c r="O958" s="7" t="s">
        <v>5044</v>
      </c>
      <c r="P958" s="7">
        <v>0</v>
      </c>
      <c r="Q958" s="7">
        <v>0</v>
      </c>
      <c r="R958" s="7">
        <v>0</v>
      </c>
      <c r="S958" s="7">
        <v>1</v>
      </c>
      <c r="T958" s="7">
        <v>1</v>
      </c>
      <c r="U958" s="7">
        <v>12</v>
      </c>
      <c r="V958" s="7">
        <v>0</v>
      </c>
      <c r="W958" s="7">
        <v>1</v>
      </c>
      <c r="X958" s="7">
        <v>0</v>
      </c>
      <c r="Y958" s="7">
        <v>0</v>
      </c>
      <c r="Z958" s="7">
        <v>0</v>
      </c>
      <c r="AA958" s="7">
        <v>0</v>
      </c>
      <c r="AB958" s="7">
        <v>1</v>
      </c>
      <c r="AC958" s="7">
        <v>1</v>
      </c>
      <c r="AD958" s="7" t="s">
        <v>5044</v>
      </c>
      <c r="AE958" s="7" t="s">
        <v>5044</v>
      </c>
      <c r="AF958" s="7" t="s">
        <v>5044</v>
      </c>
      <c r="AG958" s="7">
        <v>1</v>
      </c>
      <c r="AH958" s="7">
        <v>0</v>
      </c>
      <c r="AI958" s="7">
        <v>0</v>
      </c>
      <c r="AJ958" s="7" t="s">
        <v>5044</v>
      </c>
      <c r="AK958" s="7" t="s">
        <v>5318</v>
      </c>
      <c r="AL958" s="7">
        <v>1</v>
      </c>
      <c r="AM958" s="7">
        <v>0</v>
      </c>
      <c r="AN958" s="7" t="s">
        <v>5318</v>
      </c>
    </row>
    <row r="959" spans="1:40" ht="63" customHeight="1" x14ac:dyDescent="0.2">
      <c r="A959" s="7">
        <v>9643</v>
      </c>
      <c r="B959" s="7" t="s">
        <v>3516</v>
      </c>
      <c r="C959" s="7" t="s">
        <v>3517</v>
      </c>
      <c r="D959" s="7" t="s">
        <v>46</v>
      </c>
      <c r="F959" s="7" t="s">
        <v>31</v>
      </c>
      <c r="G959" s="7" t="s">
        <v>197</v>
      </c>
      <c r="H959" s="7" t="s">
        <v>329</v>
      </c>
      <c r="I959" s="7" t="s">
        <v>13</v>
      </c>
      <c r="J959" s="7" t="s">
        <v>3518</v>
      </c>
      <c r="K959" s="7" t="s">
        <v>3519</v>
      </c>
      <c r="L959" s="7" t="s">
        <v>6003</v>
      </c>
      <c r="M959" s="7">
        <v>0</v>
      </c>
      <c r="N959" s="7" t="s">
        <v>5044</v>
      </c>
      <c r="O959" s="7" t="s">
        <v>5044</v>
      </c>
      <c r="P959" s="7">
        <v>0</v>
      </c>
      <c r="Q959" s="7">
        <v>0</v>
      </c>
      <c r="R959" s="7">
        <v>0</v>
      </c>
      <c r="S959" s="7">
        <v>10</v>
      </c>
      <c r="T959" s="7">
        <v>1</v>
      </c>
      <c r="U959" s="7">
        <v>311</v>
      </c>
      <c r="V959" s="7">
        <v>0</v>
      </c>
      <c r="W959" s="7">
        <v>1</v>
      </c>
      <c r="X959" s="7">
        <v>0</v>
      </c>
      <c r="Y959" s="7">
        <v>0</v>
      </c>
      <c r="Z959" s="7">
        <v>0</v>
      </c>
      <c r="AA959" s="7">
        <v>0</v>
      </c>
      <c r="AB959" s="7">
        <v>1</v>
      </c>
      <c r="AC959" s="7">
        <v>1</v>
      </c>
      <c r="AD959" s="7" t="s">
        <v>5044</v>
      </c>
      <c r="AE959" s="7" t="s">
        <v>5044</v>
      </c>
      <c r="AF959" s="7" t="s">
        <v>5044</v>
      </c>
      <c r="AG959" s="7">
        <v>2</v>
      </c>
      <c r="AH959" s="7">
        <v>3</v>
      </c>
      <c r="AI959" s="7">
        <v>0</v>
      </c>
      <c r="AJ959" s="7" t="s">
        <v>5044</v>
      </c>
      <c r="AK959" s="7">
        <v>1</v>
      </c>
      <c r="AL959" s="7" t="s">
        <v>5044</v>
      </c>
      <c r="AM959" s="7">
        <v>0</v>
      </c>
    </row>
    <row r="960" spans="1:40" ht="63" customHeight="1" x14ac:dyDescent="0.2">
      <c r="A960" s="7">
        <v>9653</v>
      </c>
      <c r="B960" s="7" t="s">
        <v>3520</v>
      </c>
      <c r="C960" s="7" t="s">
        <v>3521</v>
      </c>
      <c r="D960" s="7" t="s">
        <v>149</v>
      </c>
      <c r="F960" s="7" t="s">
        <v>810</v>
      </c>
      <c r="G960" s="7" t="s">
        <v>129</v>
      </c>
      <c r="H960" s="7" t="s">
        <v>733</v>
      </c>
      <c r="I960" s="7" t="s">
        <v>13</v>
      </c>
      <c r="J960" s="7" t="s">
        <v>3522</v>
      </c>
      <c r="K960" s="7" t="s">
        <v>3523</v>
      </c>
      <c r="L960" s="7" t="s">
        <v>6005</v>
      </c>
      <c r="M960" s="7">
        <v>0</v>
      </c>
      <c r="N960" s="7" t="s">
        <v>5044</v>
      </c>
      <c r="O960" s="7" t="s">
        <v>5044</v>
      </c>
      <c r="P960" s="7">
        <v>0</v>
      </c>
      <c r="Q960" s="7">
        <v>0</v>
      </c>
      <c r="R960" s="7">
        <v>0</v>
      </c>
      <c r="S960" s="7">
        <v>1</v>
      </c>
      <c r="T960" s="7">
        <v>2</v>
      </c>
      <c r="U960" s="7">
        <v>486</v>
      </c>
      <c r="V960" s="7">
        <v>0</v>
      </c>
      <c r="W960" s="7">
        <v>1</v>
      </c>
      <c r="X960" s="7">
        <v>0</v>
      </c>
      <c r="Y960" s="7">
        <v>0</v>
      </c>
      <c r="Z960" s="7">
        <v>0</v>
      </c>
      <c r="AA960" s="7">
        <v>0</v>
      </c>
      <c r="AB960" s="7">
        <v>1</v>
      </c>
      <c r="AC960" s="7">
        <v>1</v>
      </c>
      <c r="AD960" s="7" t="s">
        <v>5044</v>
      </c>
      <c r="AE960" s="7" t="s">
        <v>5044</v>
      </c>
      <c r="AF960" s="7" t="s">
        <v>5044</v>
      </c>
      <c r="AG960" s="7">
        <v>2</v>
      </c>
      <c r="AH960" s="7">
        <v>2</v>
      </c>
      <c r="AI960" s="7">
        <v>2</v>
      </c>
      <c r="AJ960" s="7" t="s">
        <v>5044</v>
      </c>
      <c r="AK960" s="7" t="s">
        <v>6006</v>
      </c>
      <c r="AL960" s="7">
        <v>0</v>
      </c>
      <c r="AM960" s="7">
        <v>0</v>
      </c>
    </row>
    <row r="961" spans="1:40" ht="63" customHeight="1" x14ac:dyDescent="0.2">
      <c r="A961" s="7">
        <v>9670</v>
      </c>
      <c r="B961" s="7" t="s">
        <v>3524</v>
      </c>
      <c r="C961" s="7" t="s">
        <v>3525</v>
      </c>
      <c r="D961" s="7" t="s">
        <v>101</v>
      </c>
      <c r="F961" s="7" t="s">
        <v>587</v>
      </c>
      <c r="G961" s="7" t="s">
        <v>27</v>
      </c>
      <c r="H961" s="7" t="s">
        <v>2634</v>
      </c>
      <c r="I961" s="7" t="s">
        <v>13</v>
      </c>
      <c r="J961" s="7" t="s">
        <v>3526</v>
      </c>
      <c r="K961" s="7" t="s">
        <v>3527</v>
      </c>
      <c r="L961" s="7" t="s">
        <v>6007</v>
      </c>
      <c r="M961" s="7">
        <v>0</v>
      </c>
      <c r="N961" s="7" t="s">
        <v>5044</v>
      </c>
      <c r="O961" s="7" t="s">
        <v>5044</v>
      </c>
      <c r="P961" s="7">
        <v>0</v>
      </c>
      <c r="Q961" s="7">
        <v>0</v>
      </c>
      <c r="R961" s="7">
        <v>0</v>
      </c>
      <c r="S961" s="7">
        <v>1</v>
      </c>
      <c r="T961" s="7">
        <v>1</v>
      </c>
      <c r="U961" s="7">
        <v>46</v>
      </c>
      <c r="V961" s="7">
        <v>0</v>
      </c>
      <c r="W961" s="7">
        <v>1</v>
      </c>
      <c r="X961" s="7">
        <v>0</v>
      </c>
      <c r="Y961" s="7">
        <v>0</v>
      </c>
      <c r="Z961" s="7">
        <v>0</v>
      </c>
      <c r="AA961" s="7">
        <v>0</v>
      </c>
      <c r="AB961" s="7">
        <v>1</v>
      </c>
      <c r="AC961" s="7">
        <v>0</v>
      </c>
      <c r="AD961" s="7" t="s">
        <v>5044</v>
      </c>
      <c r="AE961" s="7" t="s">
        <v>5044</v>
      </c>
      <c r="AF961" s="7" t="s">
        <v>5044</v>
      </c>
      <c r="AG961" s="7">
        <v>0</v>
      </c>
      <c r="AH961" s="7" t="s">
        <v>5044</v>
      </c>
      <c r="AI961" s="7" t="s">
        <v>5044</v>
      </c>
      <c r="AJ961" s="7" t="s">
        <v>5044</v>
      </c>
      <c r="AK961" s="7" t="s">
        <v>5318</v>
      </c>
      <c r="AL961" s="7">
        <v>1</v>
      </c>
      <c r="AM961" s="7">
        <v>0</v>
      </c>
      <c r="AN961" s="7" t="s">
        <v>5318</v>
      </c>
    </row>
    <row r="962" spans="1:40" ht="63" customHeight="1" x14ac:dyDescent="0.2">
      <c r="A962" s="7">
        <v>9679</v>
      </c>
      <c r="B962" s="7" t="s">
        <v>3528</v>
      </c>
      <c r="C962" s="7" t="s">
        <v>3529</v>
      </c>
      <c r="D962" s="7" t="s">
        <v>95</v>
      </c>
      <c r="F962" s="7" t="s">
        <v>1801</v>
      </c>
      <c r="G962" s="7" t="s">
        <v>32</v>
      </c>
      <c r="H962" s="7" t="s">
        <v>43</v>
      </c>
      <c r="I962" s="7" t="s">
        <v>13</v>
      </c>
      <c r="J962" s="7" t="s">
        <v>3530</v>
      </c>
      <c r="K962" s="7" t="s">
        <v>3531</v>
      </c>
      <c r="L962" s="7" t="s">
        <v>6008</v>
      </c>
      <c r="M962" s="7">
        <v>0</v>
      </c>
      <c r="N962" s="7" t="s">
        <v>5044</v>
      </c>
      <c r="O962" s="7" t="s">
        <v>5044</v>
      </c>
      <c r="P962" s="7">
        <v>0</v>
      </c>
      <c r="Q962" s="7">
        <v>0</v>
      </c>
      <c r="R962" s="7">
        <v>0</v>
      </c>
      <c r="S962" s="7">
        <v>1</v>
      </c>
      <c r="T962" s="7">
        <v>2</v>
      </c>
      <c r="U962" s="7">
        <v>100</v>
      </c>
      <c r="V962" s="7">
        <v>0</v>
      </c>
      <c r="W962" s="7">
        <v>1</v>
      </c>
      <c r="X962" s="7">
        <v>0</v>
      </c>
      <c r="Y962" s="7">
        <v>0</v>
      </c>
      <c r="Z962" s="7">
        <v>1</v>
      </c>
      <c r="AA962" s="7">
        <v>0</v>
      </c>
      <c r="AB962" s="7">
        <v>1</v>
      </c>
      <c r="AC962" s="7">
        <v>1</v>
      </c>
      <c r="AD962" s="7" t="s">
        <v>5044</v>
      </c>
      <c r="AE962" s="7" t="s">
        <v>5044</v>
      </c>
      <c r="AF962" s="7" t="s">
        <v>5044</v>
      </c>
      <c r="AG962" s="7">
        <v>1</v>
      </c>
      <c r="AH962" s="7">
        <v>0</v>
      </c>
      <c r="AI962" s="7">
        <v>0</v>
      </c>
      <c r="AJ962" s="7">
        <v>0</v>
      </c>
      <c r="AK962" s="7" t="s">
        <v>5318</v>
      </c>
      <c r="AL962" s="7">
        <v>0</v>
      </c>
      <c r="AM962" s="7">
        <v>0</v>
      </c>
    </row>
    <row r="963" spans="1:40" ht="63" customHeight="1" x14ac:dyDescent="0.2">
      <c r="A963" s="7">
        <v>9680</v>
      </c>
      <c r="B963" s="7" t="s">
        <v>3532</v>
      </c>
      <c r="C963" s="7" t="s">
        <v>3533</v>
      </c>
      <c r="D963" s="7" t="s">
        <v>101</v>
      </c>
      <c r="F963" s="7" t="s">
        <v>3534</v>
      </c>
      <c r="G963" s="7" t="s">
        <v>11</v>
      </c>
      <c r="H963" s="7" t="s">
        <v>89</v>
      </c>
      <c r="I963" s="7" t="s">
        <v>13</v>
      </c>
      <c r="J963" s="7" t="s">
        <v>3535</v>
      </c>
      <c r="K963" s="7" t="s">
        <v>3536</v>
      </c>
      <c r="L963" s="7" t="s">
        <v>6009</v>
      </c>
      <c r="M963" s="7">
        <v>0</v>
      </c>
      <c r="N963" s="7" t="s">
        <v>5044</v>
      </c>
      <c r="O963" s="7" t="s">
        <v>5044</v>
      </c>
      <c r="P963" s="7">
        <v>0</v>
      </c>
      <c r="Q963" s="7">
        <v>0</v>
      </c>
      <c r="R963" s="7">
        <v>0</v>
      </c>
      <c r="S963" s="7">
        <v>9</v>
      </c>
      <c r="T963" s="7">
        <v>1</v>
      </c>
      <c r="U963" s="7">
        <v>60</v>
      </c>
      <c r="V963" s="7">
        <v>0</v>
      </c>
      <c r="W963" s="7">
        <v>1</v>
      </c>
      <c r="X963" s="7">
        <v>0</v>
      </c>
      <c r="Y963" s="7">
        <v>0</v>
      </c>
      <c r="Z963" s="7">
        <v>1</v>
      </c>
      <c r="AA963" s="7">
        <v>0</v>
      </c>
      <c r="AB963" s="7">
        <v>1</v>
      </c>
      <c r="AC963" s="7">
        <v>1</v>
      </c>
      <c r="AD963" s="7" t="s">
        <v>5044</v>
      </c>
      <c r="AE963" s="7" t="s">
        <v>5044</v>
      </c>
      <c r="AF963" s="7" t="s">
        <v>5044</v>
      </c>
      <c r="AG963" s="7">
        <v>0</v>
      </c>
      <c r="AH963" s="7" t="s">
        <v>5044</v>
      </c>
      <c r="AI963" s="7" t="s">
        <v>5044</v>
      </c>
      <c r="AJ963" s="7">
        <v>0</v>
      </c>
      <c r="AK963" s="7" t="s">
        <v>5318</v>
      </c>
      <c r="AL963" s="7">
        <v>1</v>
      </c>
      <c r="AM963" s="7">
        <v>0</v>
      </c>
      <c r="AN963" s="7" t="s">
        <v>5318</v>
      </c>
    </row>
    <row r="964" spans="1:40" ht="63" customHeight="1" x14ac:dyDescent="0.2">
      <c r="A964" s="7">
        <v>9681</v>
      </c>
      <c r="B964" s="7" t="s">
        <v>3537</v>
      </c>
      <c r="C964" s="7" t="s">
        <v>3538</v>
      </c>
      <c r="D964" s="7" t="s">
        <v>41</v>
      </c>
      <c r="F964" s="7" t="s">
        <v>3442</v>
      </c>
      <c r="G964" s="7" t="s">
        <v>92</v>
      </c>
      <c r="H964" s="7" t="s">
        <v>1083</v>
      </c>
      <c r="I964" s="7" t="s">
        <v>13</v>
      </c>
      <c r="J964" s="7" t="s">
        <v>3539</v>
      </c>
      <c r="K964" s="7" t="s">
        <v>3540</v>
      </c>
      <c r="L964" s="7" t="s">
        <v>6010</v>
      </c>
      <c r="M964" s="7">
        <v>0</v>
      </c>
      <c r="N964" s="7" t="s">
        <v>5044</v>
      </c>
      <c r="O964" s="7" t="s">
        <v>5044</v>
      </c>
      <c r="P964" s="7">
        <v>0</v>
      </c>
      <c r="Q964" s="7">
        <v>0</v>
      </c>
      <c r="R964" s="7">
        <v>0</v>
      </c>
      <c r="S964" s="7">
        <v>9</v>
      </c>
      <c r="T964" s="7">
        <v>1</v>
      </c>
      <c r="U964" s="7">
        <v>60</v>
      </c>
      <c r="V964" s="7">
        <v>0</v>
      </c>
      <c r="W964" s="7">
        <v>1</v>
      </c>
      <c r="X964" s="7">
        <v>0</v>
      </c>
      <c r="Y964" s="7">
        <v>0</v>
      </c>
      <c r="Z964" s="7">
        <v>1</v>
      </c>
      <c r="AA964" s="7">
        <v>0</v>
      </c>
      <c r="AB964" s="7">
        <v>1</v>
      </c>
      <c r="AC964" s="7">
        <v>0</v>
      </c>
      <c r="AD964" s="7" t="s">
        <v>5044</v>
      </c>
      <c r="AE964" s="7" t="s">
        <v>5044</v>
      </c>
      <c r="AF964" s="7" t="s">
        <v>5044</v>
      </c>
      <c r="AG964" s="7">
        <v>0</v>
      </c>
      <c r="AH964" s="7" t="s">
        <v>5044</v>
      </c>
      <c r="AI964" s="7" t="s">
        <v>5044</v>
      </c>
      <c r="AJ964" s="7">
        <v>0</v>
      </c>
      <c r="AK964" s="7" t="s">
        <v>5318</v>
      </c>
      <c r="AL964" s="7">
        <v>1</v>
      </c>
      <c r="AM964" s="7">
        <v>0</v>
      </c>
    </row>
    <row r="965" spans="1:40" ht="63" customHeight="1" x14ac:dyDescent="0.2">
      <c r="A965" s="7">
        <v>9696</v>
      </c>
      <c r="B965" s="7" t="s">
        <v>3545</v>
      </c>
      <c r="C965" s="7" t="s">
        <v>3546</v>
      </c>
      <c r="D965" s="7" t="s">
        <v>74</v>
      </c>
      <c r="F965" s="7" t="s">
        <v>107</v>
      </c>
      <c r="G965" s="7" t="s">
        <v>52</v>
      </c>
      <c r="H965" s="7" t="s">
        <v>3547</v>
      </c>
      <c r="I965" s="7" t="s">
        <v>13</v>
      </c>
      <c r="J965" s="7" t="s">
        <v>3548</v>
      </c>
      <c r="K965" s="7" t="s">
        <v>3549</v>
      </c>
      <c r="L965" s="7" t="s">
        <v>6012</v>
      </c>
      <c r="M965" s="7">
        <v>0</v>
      </c>
      <c r="N965" s="7" t="s">
        <v>5044</v>
      </c>
      <c r="O965" s="7" t="s">
        <v>5044</v>
      </c>
      <c r="P965" s="7">
        <v>0</v>
      </c>
      <c r="Q965" s="7">
        <v>0</v>
      </c>
      <c r="R965" s="7">
        <v>0</v>
      </c>
      <c r="S965" s="7">
        <v>1</v>
      </c>
      <c r="T965" s="7">
        <v>1</v>
      </c>
      <c r="U965" s="7">
        <v>193</v>
      </c>
      <c r="V965" s="7">
        <v>0</v>
      </c>
      <c r="W965" s="7">
        <v>1</v>
      </c>
      <c r="X965" s="7">
        <v>0</v>
      </c>
      <c r="Y965" s="7">
        <v>0</v>
      </c>
      <c r="Z965" s="7">
        <v>0</v>
      </c>
      <c r="AA965" s="7">
        <v>0</v>
      </c>
      <c r="AB965" s="7">
        <v>1</v>
      </c>
      <c r="AC965" s="7">
        <v>1</v>
      </c>
      <c r="AD965" s="7" t="s">
        <v>5044</v>
      </c>
      <c r="AE965" s="7" t="s">
        <v>5044</v>
      </c>
      <c r="AF965" s="7" t="s">
        <v>5044</v>
      </c>
      <c r="AG965" s="7">
        <v>2</v>
      </c>
      <c r="AH965" s="7">
        <v>1</v>
      </c>
      <c r="AI965" s="7">
        <v>2</v>
      </c>
      <c r="AJ965" s="7" t="s">
        <v>5044</v>
      </c>
      <c r="AK965" s="7" t="s">
        <v>5318</v>
      </c>
      <c r="AL965" s="7">
        <v>0</v>
      </c>
      <c r="AM965" s="7">
        <v>0</v>
      </c>
      <c r="AN965" s="7" t="s">
        <v>5318</v>
      </c>
    </row>
    <row r="966" spans="1:40" ht="63" customHeight="1" x14ac:dyDescent="0.2">
      <c r="A966" s="7">
        <v>9710</v>
      </c>
      <c r="B966" s="7" t="s">
        <v>3550</v>
      </c>
      <c r="C966" s="7" t="s">
        <v>3551</v>
      </c>
      <c r="D966" s="7" t="s">
        <v>74</v>
      </c>
      <c r="F966" s="7" t="s">
        <v>2221</v>
      </c>
      <c r="H966" s="7" t="s">
        <v>1377</v>
      </c>
      <c r="I966" s="7" t="s">
        <v>13</v>
      </c>
      <c r="J966" s="7" t="s">
        <v>3552</v>
      </c>
      <c r="K966" s="7" t="s">
        <v>3553</v>
      </c>
      <c r="L966" s="7" t="s">
        <v>6013</v>
      </c>
      <c r="M966" s="7">
        <v>0</v>
      </c>
      <c r="N966" s="7" t="s">
        <v>5044</v>
      </c>
      <c r="O966" s="7" t="s">
        <v>5044</v>
      </c>
      <c r="P966" s="7">
        <v>0</v>
      </c>
      <c r="Q966" s="7">
        <v>0</v>
      </c>
      <c r="R966" s="7">
        <v>0</v>
      </c>
      <c r="S966" s="7">
        <v>5</v>
      </c>
      <c r="T966" s="7">
        <v>1</v>
      </c>
      <c r="U966" s="7">
        <v>188</v>
      </c>
      <c r="V966" s="7">
        <v>0</v>
      </c>
      <c r="W966" s="7">
        <v>1</v>
      </c>
      <c r="X966" s="7">
        <v>0</v>
      </c>
      <c r="Y966" s="7">
        <v>0</v>
      </c>
      <c r="Z966" s="7">
        <v>0</v>
      </c>
      <c r="AA966" s="7">
        <v>0</v>
      </c>
      <c r="AB966" s="7">
        <v>1</v>
      </c>
      <c r="AC966" s="7">
        <v>1</v>
      </c>
      <c r="AD966" s="7" t="s">
        <v>5044</v>
      </c>
      <c r="AE966" s="7" t="s">
        <v>5044</v>
      </c>
      <c r="AF966" s="7" t="s">
        <v>5044</v>
      </c>
      <c r="AG966" s="7">
        <v>2</v>
      </c>
      <c r="AH966" s="7">
        <v>2</v>
      </c>
      <c r="AI966" s="7">
        <v>2</v>
      </c>
      <c r="AJ966" s="7" t="s">
        <v>5044</v>
      </c>
      <c r="AK966" s="7" t="s">
        <v>5318</v>
      </c>
      <c r="AL966" s="7">
        <v>0</v>
      </c>
      <c r="AM966" s="7">
        <v>0</v>
      </c>
      <c r="AN966" s="7" t="s">
        <v>5318</v>
      </c>
    </row>
    <row r="967" spans="1:40" ht="63" customHeight="1" x14ac:dyDescent="0.2">
      <c r="A967" s="7">
        <v>9717</v>
      </c>
      <c r="B967" s="7" t="s">
        <v>3554</v>
      </c>
      <c r="C967" s="7" t="s">
        <v>3555</v>
      </c>
      <c r="D967" s="7" t="s">
        <v>41</v>
      </c>
      <c r="F967" s="7" t="s">
        <v>684</v>
      </c>
      <c r="G967" s="7" t="s">
        <v>11</v>
      </c>
      <c r="H967" s="7" t="s">
        <v>685</v>
      </c>
      <c r="I967" s="7" t="s">
        <v>13</v>
      </c>
      <c r="J967" s="7" t="s">
        <v>3556</v>
      </c>
      <c r="K967" s="7" t="s">
        <v>3557</v>
      </c>
      <c r="L967" s="11" t="s">
        <v>5044</v>
      </c>
      <c r="M967" s="7">
        <v>0</v>
      </c>
      <c r="N967" s="7" t="s">
        <v>5044</v>
      </c>
      <c r="O967" s="7" t="s">
        <v>5044</v>
      </c>
      <c r="P967" s="7">
        <v>0</v>
      </c>
      <c r="Q967" s="7">
        <v>0</v>
      </c>
      <c r="R967" s="7">
        <v>0</v>
      </c>
      <c r="S967" s="7">
        <v>9</v>
      </c>
      <c r="T967" s="7">
        <v>2</v>
      </c>
      <c r="U967" s="7">
        <v>124</v>
      </c>
      <c r="V967" s="7">
        <v>0</v>
      </c>
      <c r="W967" s="7">
        <v>1</v>
      </c>
      <c r="X967" s="7">
        <v>0</v>
      </c>
      <c r="Y967" s="7">
        <v>0</v>
      </c>
      <c r="Z967" s="7">
        <v>1</v>
      </c>
      <c r="AA967" s="7">
        <v>0</v>
      </c>
      <c r="AB967" s="7">
        <v>1</v>
      </c>
      <c r="AC967" s="7">
        <v>1</v>
      </c>
      <c r="AD967" s="7" t="s">
        <v>5044</v>
      </c>
      <c r="AE967" s="7" t="s">
        <v>5044</v>
      </c>
      <c r="AF967" s="7" t="s">
        <v>5044</v>
      </c>
      <c r="AG967" s="7">
        <v>2</v>
      </c>
      <c r="AH967" s="7">
        <v>3</v>
      </c>
      <c r="AI967" s="7">
        <v>0</v>
      </c>
      <c r="AJ967" s="7">
        <v>0</v>
      </c>
      <c r="AK967" s="7" t="s">
        <v>6014</v>
      </c>
      <c r="AL967" s="7">
        <v>0</v>
      </c>
      <c r="AM967" s="7">
        <v>0</v>
      </c>
    </row>
    <row r="968" spans="1:40" ht="63" customHeight="1" x14ac:dyDescent="0.2">
      <c r="A968" s="7">
        <v>9737</v>
      </c>
      <c r="B968" s="7" t="s">
        <v>3558</v>
      </c>
      <c r="C968" s="7" t="s">
        <v>3559</v>
      </c>
      <c r="D968" s="7" t="s">
        <v>16</v>
      </c>
      <c r="F968" s="7" t="s">
        <v>175</v>
      </c>
      <c r="G968" s="7" t="s">
        <v>92</v>
      </c>
      <c r="H968" s="7" t="s">
        <v>362</v>
      </c>
      <c r="I968" s="7" t="s">
        <v>13</v>
      </c>
      <c r="J968" s="7" t="s">
        <v>3560</v>
      </c>
      <c r="K968" s="7" t="s">
        <v>3561</v>
      </c>
      <c r="L968" s="7" t="s">
        <v>6015</v>
      </c>
      <c r="M968" s="7">
        <v>0</v>
      </c>
      <c r="N968" s="7" t="s">
        <v>5044</v>
      </c>
      <c r="O968" s="7" t="s">
        <v>5044</v>
      </c>
      <c r="P968" s="7">
        <v>0</v>
      </c>
      <c r="Q968" s="7">
        <v>0</v>
      </c>
      <c r="R968" s="7">
        <v>0</v>
      </c>
      <c r="S968" s="7">
        <v>1</v>
      </c>
      <c r="T968" s="7">
        <v>4</v>
      </c>
      <c r="U968" s="7">
        <v>1240</v>
      </c>
      <c r="V968" s="7">
        <v>0</v>
      </c>
      <c r="W968" s="7">
        <v>1</v>
      </c>
      <c r="X968" s="7">
        <v>0</v>
      </c>
      <c r="Y968" s="7">
        <v>0</v>
      </c>
      <c r="Z968" s="7">
        <v>0</v>
      </c>
      <c r="AA968" s="7">
        <v>0</v>
      </c>
      <c r="AB968" s="7">
        <v>1</v>
      </c>
      <c r="AC968" s="7">
        <v>1</v>
      </c>
      <c r="AD968" s="7" t="s">
        <v>5044</v>
      </c>
      <c r="AE968" s="7" t="s">
        <v>5044</v>
      </c>
      <c r="AF968" s="7" t="s">
        <v>5044</v>
      </c>
      <c r="AG968" s="7">
        <v>2</v>
      </c>
      <c r="AH968" s="7">
        <v>1</v>
      </c>
      <c r="AI968" s="7">
        <v>1</v>
      </c>
      <c r="AJ968" s="7" t="s">
        <v>5044</v>
      </c>
      <c r="AK968" s="7" t="s">
        <v>5318</v>
      </c>
      <c r="AL968" s="7" t="s">
        <v>5044</v>
      </c>
      <c r="AM968" s="7">
        <v>0</v>
      </c>
    </row>
    <row r="969" spans="1:40" ht="63" customHeight="1" x14ac:dyDescent="0.2">
      <c r="A969" s="7">
        <v>9739</v>
      </c>
      <c r="B969" s="23" t="s">
        <v>3562</v>
      </c>
      <c r="C969" s="7" t="s">
        <v>3563</v>
      </c>
      <c r="D969" s="7" t="s">
        <v>16</v>
      </c>
      <c r="F969" s="7" t="s">
        <v>1015</v>
      </c>
      <c r="G969" s="7" t="s">
        <v>27</v>
      </c>
      <c r="H969" s="7" t="s">
        <v>251</v>
      </c>
      <c r="I969" s="7" t="s">
        <v>13</v>
      </c>
      <c r="J969" s="7" t="s">
        <v>3564</v>
      </c>
      <c r="K969" s="7" t="s">
        <v>3565</v>
      </c>
      <c r="L969" s="7" t="s">
        <v>6016</v>
      </c>
      <c r="M969" s="7">
        <v>0</v>
      </c>
      <c r="N969" s="7" t="s">
        <v>5044</v>
      </c>
      <c r="O969" s="7" t="s">
        <v>5044</v>
      </c>
      <c r="P969" s="7">
        <v>0</v>
      </c>
      <c r="Q969" s="7">
        <v>0</v>
      </c>
      <c r="R969" s="7">
        <v>0</v>
      </c>
      <c r="S969" s="7">
        <v>1</v>
      </c>
      <c r="T969" s="7">
        <v>4</v>
      </c>
      <c r="U969" s="7">
        <v>347</v>
      </c>
      <c r="V969" s="7">
        <v>1</v>
      </c>
      <c r="W969" s="7">
        <v>0</v>
      </c>
      <c r="X969" s="7">
        <v>0</v>
      </c>
      <c r="Y969" s="7">
        <v>0</v>
      </c>
      <c r="Z969" s="7">
        <v>0</v>
      </c>
      <c r="AA969" s="7">
        <v>0</v>
      </c>
      <c r="AB969" s="7">
        <v>1</v>
      </c>
      <c r="AC969" s="7">
        <v>1</v>
      </c>
      <c r="AD969" s="7">
        <v>2</v>
      </c>
      <c r="AE969" s="7">
        <v>1</v>
      </c>
      <c r="AF969" s="7">
        <v>1</v>
      </c>
      <c r="AG969" s="23" t="s">
        <v>5044</v>
      </c>
      <c r="AH969" s="23" t="s">
        <v>5044</v>
      </c>
      <c r="AI969" s="23" t="s">
        <v>5044</v>
      </c>
      <c r="AJ969" s="7" t="s">
        <v>5044</v>
      </c>
      <c r="AK969" s="7" t="s">
        <v>5318</v>
      </c>
      <c r="AL969" s="7">
        <v>1</v>
      </c>
      <c r="AM969" s="7">
        <v>0</v>
      </c>
      <c r="AN969" s="7" t="s">
        <v>5318</v>
      </c>
    </row>
    <row r="970" spans="1:40" ht="63" customHeight="1" x14ac:dyDescent="0.2">
      <c r="A970" s="7">
        <v>9741</v>
      </c>
      <c r="B970" s="7" t="s">
        <v>3566</v>
      </c>
      <c r="C970" s="7" t="s">
        <v>3567</v>
      </c>
      <c r="D970" s="7" t="s">
        <v>16</v>
      </c>
      <c r="F970" s="7" t="s">
        <v>151</v>
      </c>
      <c r="G970" s="7" t="s">
        <v>52</v>
      </c>
      <c r="H970" s="7" t="s">
        <v>768</v>
      </c>
      <c r="I970" s="7" t="s">
        <v>13</v>
      </c>
      <c r="J970" s="7" t="s">
        <v>3568</v>
      </c>
      <c r="K970" s="7" t="s">
        <v>3569</v>
      </c>
      <c r="L970" s="7" t="s">
        <v>6017</v>
      </c>
      <c r="M970" s="7">
        <v>0</v>
      </c>
      <c r="N970" s="7" t="s">
        <v>5044</v>
      </c>
      <c r="O970" s="7" t="s">
        <v>5044</v>
      </c>
      <c r="P970" s="7">
        <v>0</v>
      </c>
      <c r="Q970" s="7">
        <v>0</v>
      </c>
      <c r="R970" s="7">
        <v>0</v>
      </c>
      <c r="S970" s="7">
        <v>1</v>
      </c>
      <c r="T970" s="7">
        <v>4</v>
      </c>
      <c r="U970" s="7">
        <v>126</v>
      </c>
      <c r="V970" s="7">
        <v>0</v>
      </c>
      <c r="W970" s="7">
        <v>1</v>
      </c>
      <c r="X970" s="7">
        <v>0</v>
      </c>
      <c r="Y970" s="7">
        <v>0</v>
      </c>
      <c r="Z970" s="7">
        <v>0</v>
      </c>
      <c r="AA970" s="7">
        <v>0</v>
      </c>
      <c r="AB970" s="7">
        <v>1</v>
      </c>
      <c r="AC970" s="7">
        <v>1</v>
      </c>
      <c r="AD970" s="7" t="s">
        <v>5044</v>
      </c>
      <c r="AE970" s="7" t="s">
        <v>5044</v>
      </c>
      <c r="AF970" s="7" t="s">
        <v>5044</v>
      </c>
      <c r="AG970" s="7">
        <v>2</v>
      </c>
      <c r="AH970" s="7">
        <v>2</v>
      </c>
      <c r="AI970" s="7">
        <v>2</v>
      </c>
      <c r="AJ970" s="7" t="s">
        <v>5044</v>
      </c>
      <c r="AK970" s="7" t="s">
        <v>5318</v>
      </c>
      <c r="AL970" s="7">
        <v>1</v>
      </c>
      <c r="AM970" s="7">
        <v>0</v>
      </c>
      <c r="AN970" s="7" t="s">
        <v>5318</v>
      </c>
    </row>
    <row r="971" spans="1:40" ht="63" customHeight="1" x14ac:dyDescent="0.2">
      <c r="A971" s="7">
        <v>9746</v>
      </c>
      <c r="B971" s="7" t="s">
        <v>3570</v>
      </c>
      <c r="C971" s="7" t="s">
        <v>3571</v>
      </c>
      <c r="D971" s="7" t="s">
        <v>74</v>
      </c>
      <c r="F971" s="7" t="s">
        <v>107</v>
      </c>
      <c r="G971" s="7" t="s">
        <v>52</v>
      </c>
      <c r="H971" s="7" t="s">
        <v>137</v>
      </c>
      <c r="I971" s="7" t="s">
        <v>13</v>
      </c>
      <c r="J971" s="7" t="s">
        <v>3572</v>
      </c>
      <c r="K971" s="7" t="s">
        <v>3573</v>
      </c>
      <c r="L971" s="7" t="s">
        <v>6018</v>
      </c>
      <c r="M971" s="7">
        <v>0</v>
      </c>
      <c r="N971" s="7" t="s">
        <v>5044</v>
      </c>
      <c r="O971" s="7" t="s">
        <v>5044</v>
      </c>
      <c r="P971" s="7">
        <v>0</v>
      </c>
      <c r="Q971" s="7">
        <v>0</v>
      </c>
      <c r="R971" s="7">
        <v>0</v>
      </c>
      <c r="S971" s="7">
        <v>9</v>
      </c>
      <c r="T971" s="7">
        <v>4</v>
      </c>
      <c r="U971" s="7">
        <v>154</v>
      </c>
      <c r="V971" s="7">
        <v>1</v>
      </c>
      <c r="W971" s="7">
        <v>0</v>
      </c>
      <c r="X971" s="7">
        <v>0</v>
      </c>
      <c r="Y971" s="7">
        <v>0</v>
      </c>
      <c r="Z971" s="7">
        <v>0</v>
      </c>
      <c r="AA971" s="7">
        <v>0</v>
      </c>
      <c r="AB971" s="7">
        <v>1</v>
      </c>
      <c r="AC971" s="7">
        <v>1</v>
      </c>
      <c r="AD971" s="7">
        <v>2</v>
      </c>
      <c r="AE971" s="7">
        <v>2</v>
      </c>
      <c r="AF971" s="7">
        <v>1</v>
      </c>
      <c r="AG971" s="7" t="s">
        <v>5044</v>
      </c>
      <c r="AH971" s="7" t="s">
        <v>5044</v>
      </c>
      <c r="AI971" s="7" t="s">
        <v>5044</v>
      </c>
      <c r="AJ971" s="7" t="s">
        <v>5044</v>
      </c>
      <c r="AK971" s="7" t="s">
        <v>5318</v>
      </c>
      <c r="AL971" s="7">
        <v>1</v>
      </c>
      <c r="AM971" s="7">
        <v>0</v>
      </c>
    </row>
    <row r="972" spans="1:40" ht="63" customHeight="1" x14ac:dyDescent="0.2">
      <c r="A972" s="7">
        <v>9752</v>
      </c>
      <c r="B972" s="7" t="s">
        <v>3574</v>
      </c>
      <c r="C972" s="7" t="s">
        <v>3575</v>
      </c>
      <c r="D972" s="7" t="s">
        <v>149</v>
      </c>
      <c r="F972" s="7" t="s">
        <v>48</v>
      </c>
      <c r="G972" s="7" t="s">
        <v>175</v>
      </c>
      <c r="H972" s="7" t="s">
        <v>319</v>
      </c>
      <c r="I972" s="7" t="s">
        <v>13</v>
      </c>
      <c r="J972" s="7" t="s">
        <v>3576</v>
      </c>
      <c r="K972" s="7" t="s">
        <v>3577</v>
      </c>
      <c r="L972" s="7" t="s">
        <v>6019</v>
      </c>
      <c r="M972" s="7">
        <v>0</v>
      </c>
      <c r="N972" s="7" t="s">
        <v>5044</v>
      </c>
      <c r="O972" s="7" t="s">
        <v>5044</v>
      </c>
      <c r="P972" s="7">
        <v>0</v>
      </c>
      <c r="Q972" s="7">
        <v>0</v>
      </c>
      <c r="R972" s="7">
        <v>0</v>
      </c>
      <c r="S972" s="7">
        <v>9</v>
      </c>
      <c r="T972" s="7">
        <v>1</v>
      </c>
      <c r="U972" s="7">
        <v>41</v>
      </c>
      <c r="V972" s="7">
        <v>0</v>
      </c>
      <c r="W972" s="7">
        <v>1</v>
      </c>
      <c r="X972" s="7">
        <v>0</v>
      </c>
      <c r="Y972" s="7">
        <v>0</v>
      </c>
      <c r="Z972" s="7">
        <v>0</v>
      </c>
      <c r="AA972" s="7">
        <v>0</v>
      </c>
      <c r="AB972" s="7">
        <v>0</v>
      </c>
      <c r="AC972" s="7">
        <v>1</v>
      </c>
      <c r="AD972" s="7" t="s">
        <v>5044</v>
      </c>
      <c r="AE972" s="7" t="s">
        <v>5044</v>
      </c>
      <c r="AF972" s="7" t="s">
        <v>5044</v>
      </c>
      <c r="AG972" s="7">
        <v>1</v>
      </c>
      <c r="AH972" s="7">
        <v>0</v>
      </c>
      <c r="AI972" s="7">
        <v>0</v>
      </c>
      <c r="AJ972" s="7" t="s">
        <v>5044</v>
      </c>
      <c r="AK972" s="7" t="s">
        <v>5318</v>
      </c>
      <c r="AL972" s="7">
        <v>0</v>
      </c>
      <c r="AM972" s="7">
        <v>0</v>
      </c>
      <c r="AN972" s="7" t="s">
        <v>5318</v>
      </c>
    </row>
    <row r="973" spans="1:40" ht="63" customHeight="1" x14ac:dyDescent="0.2">
      <c r="A973" s="7">
        <v>9753</v>
      </c>
      <c r="B973" s="7" t="s">
        <v>3578</v>
      </c>
      <c r="C973" s="7" t="s">
        <v>3579</v>
      </c>
      <c r="D973" s="7" t="s">
        <v>30</v>
      </c>
      <c r="F973" s="7" t="s">
        <v>791</v>
      </c>
      <c r="G973" s="7" t="s">
        <v>32</v>
      </c>
      <c r="H973" s="7" t="s">
        <v>89</v>
      </c>
      <c r="I973" s="7" t="s">
        <v>13</v>
      </c>
      <c r="J973" s="7" t="s">
        <v>3580</v>
      </c>
      <c r="K973" s="7" t="s">
        <v>3581</v>
      </c>
      <c r="L973" s="7" t="s">
        <v>6020</v>
      </c>
      <c r="M973" s="7">
        <v>0</v>
      </c>
      <c r="N973" s="7" t="s">
        <v>5044</v>
      </c>
      <c r="O973" s="7" t="s">
        <v>5044</v>
      </c>
      <c r="P973" s="7">
        <v>0</v>
      </c>
      <c r="Q973" s="7">
        <v>0</v>
      </c>
      <c r="R973" s="7">
        <v>0</v>
      </c>
      <c r="S973" s="7">
        <v>9</v>
      </c>
      <c r="T973" s="7">
        <v>1</v>
      </c>
      <c r="U973" s="7">
        <v>50</v>
      </c>
      <c r="V973" s="7">
        <v>0</v>
      </c>
      <c r="W973" s="7">
        <v>1</v>
      </c>
      <c r="X973" s="7">
        <v>0</v>
      </c>
      <c r="Y973" s="7">
        <v>0</v>
      </c>
      <c r="Z973" s="7">
        <v>0</v>
      </c>
      <c r="AA973" s="7">
        <v>0</v>
      </c>
      <c r="AB973" s="7">
        <v>0</v>
      </c>
      <c r="AC973" s="7">
        <v>1</v>
      </c>
      <c r="AD973" s="7" t="s">
        <v>5044</v>
      </c>
      <c r="AE973" s="7" t="s">
        <v>5044</v>
      </c>
      <c r="AF973" s="7" t="s">
        <v>5044</v>
      </c>
      <c r="AG973" s="7">
        <v>1</v>
      </c>
      <c r="AH973" s="7">
        <v>0</v>
      </c>
      <c r="AI973" s="7">
        <v>0</v>
      </c>
      <c r="AJ973" s="7" t="s">
        <v>5044</v>
      </c>
      <c r="AK973" s="7" t="s">
        <v>5318</v>
      </c>
      <c r="AL973" s="7">
        <v>1</v>
      </c>
      <c r="AM973" s="7">
        <v>0</v>
      </c>
      <c r="AN973" s="7" t="s">
        <v>5318</v>
      </c>
    </row>
    <row r="974" spans="1:40" ht="63" customHeight="1" x14ac:dyDescent="0.2">
      <c r="A974" s="7">
        <v>9760</v>
      </c>
      <c r="B974" s="7" t="s">
        <v>3582</v>
      </c>
      <c r="C974" s="7" t="s">
        <v>3583</v>
      </c>
      <c r="D974" s="7" t="s">
        <v>149</v>
      </c>
      <c r="F974" s="7" t="s">
        <v>416</v>
      </c>
      <c r="G974" s="7" t="s">
        <v>144</v>
      </c>
      <c r="H974" s="7" t="s">
        <v>3584</v>
      </c>
      <c r="I974" s="7" t="s">
        <v>13</v>
      </c>
      <c r="J974" s="7" t="s">
        <v>3585</v>
      </c>
      <c r="K974" s="7" t="s">
        <v>3586</v>
      </c>
      <c r="L974" s="11" t="s">
        <v>5044</v>
      </c>
      <c r="M974" s="7">
        <v>0</v>
      </c>
      <c r="N974" s="7" t="s">
        <v>5044</v>
      </c>
      <c r="O974" s="7" t="s">
        <v>5044</v>
      </c>
      <c r="P974" s="7">
        <v>0</v>
      </c>
      <c r="Q974" s="7">
        <v>0</v>
      </c>
      <c r="R974" s="7">
        <v>0</v>
      </c>
      <c r="S974" s="7">
        <v>1</v>
      </c>
      <c r="T974" s="7">
        <v>4</v>
      </c>
      <c r="U974" s="7">
        <v>125</v>
      </c>
      <c r="V974" s="7">
        <v>0</v>
      </c>
      <c r="W974" s="7">
        <v>1</v>
      </c>
      <c r="X974" s="7">
        <v>0</v>
      </c>
      <c r="Y974" s="7">
        <v>0</v>
      </c>
      <c r="Z974" s="7">
        <v>0</v>
      </c>
      <c r="AA974" s="7">
        <v>0</v>
      </c>
      <c r="AB974" s="7">
        <v>1</v>
      </c>
      <c r="AC974" s="7">
        <v>1</v>
      </c>
      <c r="AD974" s="7" t="s">
        <v>5044</v>
      </c>
      <c r="AE974" s="7" t="s">
        <v>5044</v>
      </c>
      <c r="AF974" s="7" t="s">
        <v>5044</v>
      </c>
      <c r="AG974" s="7">
        <v>1</v>
      </c>
      <c r="AH974" s="7">
        <v>0</v>
      </c>
      <c r="AI974" s="7">
        <v>0</v>
      </c>
      <c r="AJ974" s="7" t="s">
        <v>5044</v>
      </c>
      <c r="AK974" s="7" t="s">
        <v>5318</v>
      </c>
      <c r="AL974" s="7">
        <v>1</v>
      </c>
      <c r="AM974" s="7">
        <v>0</v>
      </c>
      <c r="AN974" s="7" t="s">
        <v>5318</v>
      </c>
    </row>
    <row r="975" spans="1:40" ht="63" customHeight="1" x14ac:dyDescent="0.2">
      <c r="A975" s="7">
        <v>9767</v>
      </c>
      <c r="B975" s="7" t="s">
        <v>3587</v>
      </c>
      <c r="C975" s="7" t="s">
        <v>3588</v>
      </c>
      <c r="D975" s="7" t="s">
        <v>25</v>
      </c>
      <c r="F975" s="7" t="s">
        <v>3111</v>
      </c>
      <c r="G975" s="7" t="s">
        <v>47</v>
      </c>
      <c r="H975" s="7" t="s">
        <v>3589</v>
      </c>
      <c r="I975" s="7" t="s">
        <v>13</v>
      </c>
      <c r="J975" s="7" t="s">
        <v>3590</v>
      </c>
      <c r="K975" s="7" t="s">
        <v>3591</v>
      </c>
      <c r="L975" s="11" t="s">
        <v>5044</v>
      </c>
      <c r="M975" s="7">
        <v>0</v>
      </c>
      <c r="N975" s="7" t="s">
        <v>5044</v>
      </c>
      <c r="O975" s="7" t="s">
        <v>5044</v>
      </c>
      <c r="P975" s="7">
        <v>0</v>
      </c>
      <c r="Q975" s="7">
        <v>0</v>
      </c>
      <c r="R975" s="7">
        <v>0</v>
      </c>
      <c r="S975" s="7">
        <v>1</v>
      </c>
      <c r="T975" s="7">
        <v>1</v>
      </c>
      <c r="U975" s="7">
        <v>97</v>
      </c>
      <c r="V975" s="7">
        <v>0</v>
      </c>
      <c r="W975" s="7">
        <v>1</v>
      </c>
      <c r="X975" s="7">
        <v>0</v>
      </c>
      <c r="Y975" s="7">
        <v>0</v>
      </c>
      <c r="Z975" s="7">
        <v>0</v>
      </c>
      <c r="AA975" s="7">
        <v>0</v>
      </c>
      <c r="AB975" s="7">
        <v>1</v>
      </c>
      <c r="AC975" s="7">
        <v>1</v>
      </c>
      <c r="AD975" s="7" t="s">
        <v>5044</v>
      </c>
      <c r="AE975" s="7" t="s">
        <v>5044</v>
      </c>
      <c r="AF975" s="7" t="s">
        <v>5044</v>
      </c>
      <c r="AG975" s="7">
        <v>1</v>
      </c>
      <c r="AH975" s="7">
        <v>0</v>
      </c>
      <c r="AI975" s="7">
        <v>0</v>
      </c>
      <c r="AJ975" s="7" t="s">
        <v>5044</v>
      </c>
      <c r="AK975" s="7" t="s">
        <v>5318</v>
      </c>
      <c r="AL975" s="7">
        <v>0</v>
      </c>
      <c r="AM975" s="7">
        <v>0</v>
      </c>
      <c r="AN975" s="7" t="s">
        <v>4675</v>
      </c>
    </row>
    <row r="976" spans="1:40" ht="63" customHeight="1" x14ac:dyDescent="0.2">
      <c r="A976" s="7">
        <v>9770</v>
      </c>
      <c r="B976" s="23" t="s">
        <v>3592</v>
      </c>
      <c r="C976" s="7" t="s">
        <v>3593</v>
      </c>
      <c r="D976" s="7" t="s">
        <v>16</v>
      </c>
      <c r="F976" s="7" t="s">
        <v>280</v>
      </c>
      <c r="G976" s="7" t="s">
        <v>52</v>
      </c>
      <c r="H976" s="7" t="s">
        <v>1043</v>
      </c>
      <c r="I976" s="7" t="s">
        <v>13</v>
      </c>
      <c r="J976" s="7" t="s">
        <v>3594</v>
      </c>
      <c r="K976" s="7" t="s">
        <v>3595</v>
      </c>
      <c r="L976" s="11" t="s">
        <v>5044</v>
      </c>
      <c r="M976" s="7">
        <v>0</v>
      </c>
      <c r="N976" s="7" t="s">
        <v>5044</v>
      </c>
      <c r="O976" s="7" t="s">
        <v>5044</v>
      </c>
      <c r="P976" s="7">
        <v>0</v>
      </c>
      <c r="Q976" s="7">
        <v>0</v>
      </c>
      <c r="R976" s="7">
        <v>0</v>
      </c>
      <c r="S976" s="7">
        <v>3</v>
      </c>
      <c r="T976" s="7">
        <v>6</v>
      </c>
      <c r="U976" s="7">
        <v>121</v>
      </c>
      <c r="V976" s="7">
        <v>1</v>
      </c>
      <c r="W976" s="7">
        <v>0</v>
      </c>
      <c r="X976" s="7">
        <v>0</v>
      </c>
      <c r="Y976" s="7">
        <v>0</v>
      </c>
      <c r="Z976" s="7">
        <v>0</v>
      </c>
      <c r="AA976" s="7">
        <v>0</v>
      </c>
      <c r="AB976" s="7">
        <v>1</v>
      </c>
      <c r="AC976" s="7">
        <v>1</v>
      </c>
      <c r="AD976" s="7">
        <v>1</v>
      </c>
      <c r="AE976" s="7">
        <v>0</v>
      </c>
      <c r="AF976" s="7">
        <v>0</v>
      </c>
      <c r="AG976" s="23" t="s">
        <v>5044</v>
      </c>
      <c r="AH976" s="23" t="s">
        <v>5044</v>
      </c>
      <c r="AI976" s="23" t="s">
        <v>5044</v>
      </c>
      <c r="AJ976" s="7" t="s">
        <v>5044</v>
      </c>
      <c r="AK976" s="7" t="s">
        <v>5318</v>
      </c>
      <c r="AL976" s="7">
        <v>0</v>
      </c>
      <c r="AM976" s="7">
        <v>0</v>
      </c>
      <c r="AN976" s="7" t="s">
        <v>5318</v>
      </c>
    </row>
    <row r="977" spans="1:40" ht="63" customHeight="1" x14ac:dyDescent="0.2">
      <c r="A977" s="7">
        <v>9794</v>
      </c>
      <c r="B977" s="7" t="s">
        <v>3596</v>
      </c>
      <c r="C977" s="7" t="s">
        <v>3597</v>
      </c>
      <c r="D977" s="7" t="s">
        <v>41</v>
      </c>
      <c r="F977" s="7" t="s">
        <v>163</v>
      </c>
      <c r="H977" s="7" t="s">
        <v>2166</v>
      </c>
      <c r="I977" s="7" t="s">
        <v>13</v>
      </c>
      <c r="J977" s="7" t="s">
        <v>3598</v>
      </c>
      <c r="K977" s="7" t="s">
        <v>3599</v>
      </c>
      <c r="L977" s="7" t="s">
        <v>6021</v>
      </c>
      <c r="M977" s="7">
        <v>0</v>
      </c>
      <c r="N977" s="7" t="s">
        <v>5044</v>
      </c>
      <c r="O977" s="7" t="s">
        <v>5044</v>
      </c>
      <c r="P977" s="7">
        <v>0</v>
      </c>
      <c r="Q977" s="7">
        <v>0</v>
      </c>
      <c r="R977" s="7">
        <v>0</v>
      </c>
      <c r="S977" s="7">
        <v>3</v>
      </c>
      <c r="T977" s="7">
        <v>1</v>
      </c>
      <c r="U977" s="7">
        <v>44</v>
      </c>
      <c r="V977" s="7">
        <v>0</v>
      </c>
      <c r="W977" s="7">
        <v>1</v>
      </c>
      <c r="X977" s="7">
        <v>0</v>
      </c>
      <c r="Y977" s="7">
        <v>0</v>
      </c>
      <c r="Z977" s="7">
        <v>0</v>
      </c>
      <c r="AA977" s="7">
        <v>0</v>
      </c>
      <c r="AB977" s="7">
        <v>1</v>
      </c>
      <c r="AC977" s="7">
        <v>1</v>
      </c>
      <c r="AD977" s="7" t="s">
        <v>5044</v>
      </c>
      <c r="AE977" s="7" t="s">
        <v>5044</v>
      </c>
      <c r="AF977" s="7" t="s">
        <v>5044</v>
      </c>
      <c r="AG977" s="7">
        <v>1</v>
      </c>
      <c r="AH977" s="7">
        <v>0</v>
      </c>
      <c r="AI977" s="7">
        <v>0</v>
      </c>
      <c r="AJ977" s="7" t="s">
        <v>5044</v>
      </c>
      <c r="AK977" s="7" t="s">
        <v>5318</v>
      </c>
      <c r="AL977" s="7">
        <v>0</v>
      </c>
      <c r="AM977" s="7">
        <v>0</v>
      </c>
      <c r="AN977" s="7" t="s">
        <v>5318</v>
      </c>
    </row>
    <row r="978" spans="1:40" ht="63" customHeight="1" x14ac:dyDescent="0.2">
      <c r="A978" s="7">
        <v>9802</v>
      </c>
      <c r="B978" s="7" t="s">
        <v>3600</v>
      </c>
      <c r="C978" s="7" t="s">
        <v>3601</v>
      </c>
      <c r="D978" s="7" t="s">
        <v>56</v>
      </c>
      <c r="F978" s="7" t="s">
        <v>118</v>
      </c>
      <c r="G978" s="7" t="s">
        <v>11</v>
      </c>
      <c r="H978" s="7" t="s">
        <v>650</v>
      </c>
      <c r="I978" s="7" t="s">
        <v>13</v>
      </c>
      <c r="J978" s="7" t="s">
        <v>3602</v>
      </c>
      <c r="K978" s="7" t="s">
        <v>3603</v>
      </c>
      <c r="L978" s="7" t="s">
        <v>6022</v>
      </c>
      <c r="M978" s="7">
        <v>0</v>
      </c>
      <c r="N978" s="7" t="s">
        <v>5044</v>
      </c>
      <c r="O978" s="7" t="s">
        <v>5044</v>
      </c>
      <c r="P978" s="7">
        <v>0</v>
      </c>
      <c r="Q978" s="7">
        <v>0</v>
      </c>
      <c r="R978" s="7">
        <v>0</v>
      </c>
      <c r="S978" s="7">
        <v>5</v>
      </c>
      <c r="T978" s="7">
        <v>1</v>
      </c>
      <c r="U978" s="7">
        <v>90</v>
      </c>
      <c r="V978" s="7">
        <v>0</v>
      </c>
      <c r="W978" s="7">
        <v>1</v>
      </c>
      <c r="X978" s="7">
        <v>0</v>
      </c>
      <c r="Y978" s="7">
        <v>0</v>
      </c>
      <c r="Z978" s="7">
        <v>0</v>
      </c>
      <c r="AA978" s="7">
        <v>0</v>
      </c>
      <c r="AB978" s="7">
        <v>1</v>
      </c>
      <c r="AC978" s="7">
        <v>1</v>
      </c>
      <c r="AD978" s="7" t="s">
        <v>5044</v>
      </c>
      <c r="AE978" s="7" t="s">
        <v>5044</v>
      </c>
      <c r="AF978" s="7" t="s">
        <v>5044</v>
      </c>
      <c r="AG978" s="7">
        <v>2</v>
      </c>
      <c r="AH978" s="7">
        <v>3</v>
      </c>
      <c r="AI978" s="7">
        <v>0</v>
      </c>
      <c r="AJ978" s="7" t="s">
        <v>5044</v>
      </c>
      <c r="AK978" s="7" t="s">
        <v>5318</v>
      </c>
      <c r="AL978" s="7">
        <v>0</v>
      </c>
      <c r="AM978" s="7">
        <v>0</v>
      </c>
      <c r="AN978" s="7" t="s">
        <v>5318</v>
      </c>
    </row>
    <row r="979" spans="1:40" ht="63" customHeight="1" x14ac:dyDescent="0.2">
      <c r="A979" s="7">
        <v>9818</v>
      </c>
      <c r="B979" s="7" t="s">
        <v>3604</v>
      </c>
      <c r="C979" s="7" t="s">
        <v>3605</v>
      </c>
      <c r="D979" s="7" t="s">
        <v>74</v>
      </c>
      <c r="F979" s="7" t="s">
        <v>197</v>
      </c>
      <c r="G979" s="7" t="s">
        <v>11</v>
      </c>
      <c r="H979" s="7" t="s">
        <v>2782</v>
      </c>
      <c r="I979" s="7" t="s">
        <v>13</v>
      </c>
      <c r="J979" s="7" t="s">
        <v>3606</v>
      </c>
      <c r="K979" s="7" t="s">
        <v>3607</v>
      </c>
      <c r="L979" s="7" t="s">
        <v>6023</v>
      </c>
      <c r="M979" s="7">
        <v>0</v>
      </c>
      <c r="N979" s="9" t="s">
        <v>5044</v>
      </c>
      <c r="O979" s="9" t="s">
        <v>5044</v>
      </c>
      <c r="P979" s="7">
        <v>0</v>
      </c>
      <c r="Q979" s="7">
        <v>0</v>
      </c>
      <c r="R979" s="7">
        <v>0</v>
      </c>
      <c r="S979" s="7">
        <v>1</v>
      </c>
      <c r="T979" s="7">
        <v>3</v>
      </c>
      <c r="U979" s="7">
        <v>33</v>
      </c>
      <c r="V979" s="7">
        <v>0</v>
      </c>
      <c r="W979" s="7">
        <v>1</v>
      </c>
      <c r="X979" s="7">
        <v>0</v>
      </c>
      <c r="Y979" s="7">
        <v>0</v>
      </c>
      <c r="Z979" s="7">
        <v>0</v>
      </c>
      <c r="AA979" s="7">
        <v>0</v>
      </c>
      <c r="AB979" s="7">
        <v>1</v>
      </c>
      <c r="AC979" s="7">
        <v>0</v>
      </c>
      <c r="AD979" s="7" t="s">
        <v>5044</v>
      </c>
      <c r="AE979" s="7" t="s">
        <v>5044</v>
      </c>
      <c r="AF979" s="7" t="s">
        <v>5044</v>
      </c>
      <c r="AG979" s="7">
        <v>0</v>
      </c>
      <c r="AH979" s="7" t="s">
        <v>5044</v>
      </c>
      <c r="AI979" s="7" t="s">
        <v>5044</v>
      </c>
      <c r="AJ979" s="7" t="s">
        <v>5044</v>
      </c>
      <c r="AK979" s="7" t="s">
        <v>5318</v>
      </c>
      <c r="AL979" s="7">
        <v>1</v>
      </c>
      <c r="AM979" s="7">
        <v>0</v>
      </c>
    </row>
    <row r="980" spans="1:40" ht="63" customHeight="1" x14ac:dyDescent="0.2">
      <c r="A980" s="7">
        <v>9822</v>
      </c>
      <c r="B980" s="7" t="s">
        <v>3608</v>
      </c>
      <c r="C980" s="7" t="s">
        <v>3609</v>
      </c>
      <c r="D980" s="7" t="s">
        <v>46</v>
      </c>
      <c r="F980" s="7" t="s">
        <v>865</v>
      </c>
      <c r="G980" s="7" t="s">
        <v>37</v>
      </c>
      <c r="H980" s="7" t="s">
        <v>882</v>
      </c>
      <c r="I980" s="7" t="s">
        <v>13</v>
      </c>
      <c r="J980" s="7" t="s">
        <v>3610</v>
      </c>
      <c r="K980" s="7" t="s">
        <v>3611</v>
      </c>
      <c r="L980" s="7" t="s">
        <v>6024</v>
      </c>
      <c r="M980" s="7">
        <v>1</v>
      </c>
      <c r="N980" s="7">
        <v>0</v>
      </c>
      <c r="O980" s="7" t="s">
        <v>5044</v>
      </c>
      <c r="P980" s="7">
        <v>0</v>
      </c>
      <c r="Q980" s="7">
        <v>0</v>
      </c>
      <c r="R980" s="7">
        <v>0</v>
      </c>
      <c r="S980" s="7">
        <v>5</v>
      </c>
      <c r="T980" s="7">
        <v>1</v>
      </c>
      <c r="U980" s="7">
        <v>768</v>
      </c>
      <c r="V980" s="7">
        <v>0</v>
      </c>
      <c r="W980" s="7">
        <v>1</v>
      </c>
      <c r="X980" s="7">
        <v>0</v>
      </c>
      <c r="Y980" s="7">
        <v>0</v>
      </c>
      <c r="Z980" s="7">
        <v>0</v>
      </c>
      <c r="AA980" s="7">
        <v>0</v>
      </c>
      <c r="AB980" s="7">
        <v>1</v>
      </c>
      <c r="AC980" s="7" t="s">
        <v>5044</v>
      </c>
      <c r="AD980" s="7" t="s">
        <v>5044</v>
      </c>
      <c r="AE980" s="7" t="s">
        <v>5044</v>
      </c>
      <c r="AF980" s="7" t="s">
        <v>5044</v>
      </c>
      <c r="AG980" s="7" t="s">
        <v>5044</v>
      </c>
      <c r="AH980" s="7" t="s">
        <v>5044</v>
      </c>
      <c r="AI980" s="7" t="s">
        <v>5044</v>
      </c>
      <c r="AJ980" s="7" t="s">
        <v>5044</v>
      </c>
      <c r="AK980" s="7" t="s">
        <v>5318</v>
      </c>
      <c r="AL980" s="7" t="s">
        <v>5044</v>
      </c>
      <c r="AM980" s="7">
        <v>0</v>
      </c>
      <c r="AN980" s="7" t="s">
        <v>5318</v>
      </c>
    </row>
    <row r="981" spans="1:40" ht="63" customHeight="1" x14ac:dyDescent="0.2">
      <c r="A981" s="7">
        <v>9834</v>
      </c>
      <c r="B981" s="7" t="s">
        <v>3612</v>
      </c>
      <c r="C981" s="7" t="s">
        <v>3613</v>
      </c>
      <c r="D981" s="7" t="s">
        <v>16</v>
      </c>
      <c r="F981" s="7" t="s">
        <v>3614</v>
      </c>
      <c r="G981" s="7" t="s">
        <v>92</v>
      </c>
      <c r="H981" s="7" t="s">
        <v>1553</v>
      </c>
      <c r="I981" s="7" t="s">
        <v>13</v>
      </c>
      <c r="J981" s="7" t="s">
        <v>3615</v>
      </c>
      <c r="K981" s="7" t="s">
        <v>3616</v>
      </c>
      <c r="L981" s="11" t="s">
        <v>5044</v>
      </c>
      <c r="M981" s="7">
        <v>0</v>
      </c>
      <c r="N981" s="7" t="s">
        <v>5044</v>
      </c>
      <c r="O981" s="7" t="s">
        <v>5044</v>
      </c>
      <c r="P981" s="7">
        <v>0</v>
      </c>
      <c r="Q981" s="7">
        <v>0</v>
      </c>
      <c r="R981" s="7">
        <v>0</v>
      </c>
      <c r="S981" s="7">
        <v>3</v>
      </c>
      <c r="T981" s="7">
        <v>6</v>
      </c>
      <c r="U981" s="7">
        <v>75</v>
      </c>
      <c r="V981" s="7">
        <v>0</v>
      </c>
      <c r="W981" s="7">
        <v>1</v>
      </c>
      <c r="X981" s="7">
        <v>0</v>
      </c>
      <c r="Y981" s="7">
        <v>0</v>
      </c>
      <c r="Z981" s="7">
        <v>0</v>
      </c>
      <c r="AA981" s="7">
        <v>0</v>
      </c>
      <c r="AB981" s="7">
        <v>1</v>
      </c>
      <c r="AC981" s="7">
        <v>1</v>
      </c>
      <c r="AD981" s="7" t="s">
        <v>5044</v>
      </c>
      <c r="AE981" s="7" t="s">
        <v>5044</v>
      </c>
      <c r="AF981" s="7" t="s">
        <v>5044</v>
      </c>
      <c r="AG981" s="7">
        <v>1</v>
      </c>
      <c r="AH981" s="7">
        <v>0</v>
      </c>
      <c r="AI981" s="7">
        <v>0</v>
      </c>
      <c r="AJ981" s="7" t="s">
        <v>5044</v>
      </c>
      <c r="AK981" s="7" t="s">
        <v>5318</v>
      </c>
      <c r="AL981" s="7">
        <v>1</v>
      </c>
      <c r="AM981" s="7">
        <v>0</v>
      </c>
      <c r="AN981" s="7" t="s">
        <v>5318</v>
      </c>
    </row>
    <row r="982" spans="1:40" ht="63" customHeight="1" x14ac:dyDescent="0.2">
      <c r="A982" s="7">
        <v>9839</v>
      </c>
      <c r="B982" s="23" t="s">
        <v>3617</v>
      </c>
      <c r="C982" s="7" t="s">
        <v>3618</v>
      </c>
      <c r="D982" s="7" t="s">
        <v>25</v>
      </c>
      <c r="F982" s="7" t="s">
        <v>107</v>
      </c>
      <c r="G982" s="7" t="s">
        <v>144</v>
      </c>
      <c r="H982" s="7" t="s">
        <v>650</v>
      </c>
      <c r="I982" s="7" t="s">
        <v>13</v>
      </c>
      <c r="J982" s="7" t="s">
        <v>3619</v>
      </c>
      <c r="K982" s="7" t="s">
        <v>3620</v>
      </c>
      <c r="L982" s="7" t="s">
        <v>6025</v>
      </c>
      <c r="M982" s="7">
        <v>0</v>
      </c>
      <c r="N982" s="7" t="s">
        <v>5044</v>
      </c>
      <c r="O982" s="7" t="s">
        <v>5044</v>
      </c>
      <c r="P982" s="7">
        <v>0</v>
      </c>
      <c r="Q982" s="7">
        <v>0</v>
      </c>
      <c r="R982" s="7">
        <v>0</v>
      </c>
      <c r="S982" s="7">
        <v>5</v>
      </c>
      <c r="T982" s="7">
        <v>1</v>
      </c>
      <c r="U982" s="7">
        <v>50</v>
      </c>
      <c r="V982" s="7">
        <v>0</v>
      </c>
      <c r="W982" s="7">
        <v>1</v>
      </c>
      <c r="X982" s="7">
        <v>0</v>
      </c>
      <c r="Y982" s="7">
        <v>0</v>
      </c>
      <c r="Z982" s="7">
        <v>0</v>
      </c>
      <c r="AA982" s="7">
        <v>0</v>
      </c>
      <c r="AB982" s="7">
        <v>1</v>
      </c>
      <c r="AC982" s="7">
        <v>1</v>
      </c>
      <c r="AD982" s="7" t="s">
        <v>5044</v>
      </c>
      <c r="AE982" s="7" t="s">
        <v>5044</v>
      </c>
      <c r="AF982" s="7" t="s">
        <v>5044</v>
      </c>
      <c r="AG982" s="7">
        <v>2</v>
      </c>
      <c r="AH982" s="7">
        <v>3</v>
      </c>
      <c r="AI982" s="7">
        <v>0</v>
      </c>
      <c r="AJ982" s="7" t="s">
        <v>5044</v>
      </c>
      <c r="AK982" s="7" t="s">
        <v>5318</v>
      </c>
      <c r="AL982" s="7">
        <v>1</v>
      </c>
      <c r="AM982" s="7">
        <v>0</v>
      </c>
      <c r="AN982" s="7" t="s">
        <v>5318</v>
      </c>
    </row>
    <row r="983" spans="1:40" ht="63" customHeight="1" x14ac:dyDescent="0.2">
      <c r="A983" s="7">
        <v>9869</v>
      </c>
      <c r="B983" s="7" t="s">
        <v>3621</v>
      </c>
      <c r="C983" s="7" t="s">
        <v>3622</v>
      </c>
      <c r="D983" s="7" t="s">
        <v>16</v>
      </c>
      <c r="F983" s="7" t="s">
        <v>17</v>
      </c>
      <c r="G983" s="7" t="s">
        <v>18</v>
      </c>
      <c r="H983" s="7" t="s">
        <v>19</v>
      </c>
      <c r="I983" s="7" t="s">
        <v>13</v>
      </c>
      <c r="J983" s="7" t="s">
        <v>3623</v>
      </c>
      <c r="K983" s="7" t="s">
        <v>3624</v>
      </c>
      <c r="L983" s="7" t="s">
        <v>6026</v>
      </c>
      <c r="M983" s="7">
        <v>1</v>
      </c>
      <c r="N983" s="7">
        <v>0</v>
      </c>
      <c r="O983" s="7" t="s">
        <v>5044</v>
      </c>
      <c r="P983" s="7">
        <v>0</v>
      </c>
      <c r="Q983" s="7">
        <v>0</v>
      </c>
      <c r="R983" s="7">
        <v>0</v>
      </c>
      <c r="S983" s="7">
        <v>3</v>
      </c>
      <c r="T983" s="7">
        <v>1</v>
      </c>
      <c r="U983" s="7">
        <v>830</v>
      </c>
      <c r="V983" s="7">
        <v>0</v>
      </c>
      <c r="W983" s="7">
        <v>1</v>
      </c>
      <c r="X983" s="7">
        <v>0</v>
      </c>
      <c r="Y983" s="7">
        <v>0</v>
      </c>
      <c r="Z983" s="7">
        <v>0</v>
      </c>
      <c r="AA983" s="7">
        <v>0</v>
      </c>
      <c r="AB983" s="7">
        <v>1</v>
      </c>
      <c r="AC983" s="7" t="s">
        <v>5044</v>
      </c>
      <c r="AD983" s="7" t="s">
        <v>5044</v>
      </c>
      <c r="AE983" s="7" t="s">
        <v>5044</v>
      </c>
      <c r="AF983" s="7" t="s">
        <v>5044</v>
      </c>
      <c r="AG983" s="7" t="s">
        <v>5044</v>
      </c>
      <c r="AH983" s="7" t="s">
        <v>5044</v>
      </c>
      <c r="AI983" s="7" t="s">
        <v>5044</v>
      </c>
      <c r="AJ983" s="7" t="s">
        <v>5044</v>
      </c>
      <c r="AK983" s="7" t="s">
        <v>5318</v>
      </c>
      <c r="AL983" s="7" t="s">
        <v>5044</v>
      </c>
      <c r="AM983" s="7">
        <v>0</v>
      </c>
      <c r="AN983" s="7" t="s">
        <v>5318</v>
      </c>
    </row>
    <row r="984" spans="1:40" ht="63" customHeight="1" x14ac:dyDescent="0.2">
      <c r="A984" s="7">
        <v>9893</v>
      </c>
      <c r="B984" s="7" t="s">
        <v>3625</v>
      </c>
      <c r="C984" s="7" t="s">
        <v>3626</v>
      </c>
      <c r="D984" s="7" t="s">
        <v>101</v>
      </c>
      <c r="H984" s="7" t="s">
        <v>102</v>
      </c>
      <c r="I984" s="7" t="s">
        <v>13</v>
      </c>
      <c r="J984" s="7" t="s">
        <v>3627</v>
      </c>
      <c r="K984" s="7" t="s">
        <v>3628</v>
      </c>
      <c r="L984" s="11" t="s">
        <v>5044</v>
      </c>
      <c r="M984" s="7">
        <v>0</v>
      </c>
      <c r="N984" s="7" t="s">
        <v>5044</v>
      </c>
      <c r="O984" s="7" t="s">
        <v>5044</v>
      </c>
      <c r="P984" s="7">
        <v>0</v>
      </c>
      <c r="Q984" s="7">
        <v>0</v>
      </c>
      <c r="R984" s="7">
        <v>0</v>
      </c>
      <c r="S984" s="7">
        <v>3</v>
      </c>
      <c r="T984" s="7">
        <v>1</v>
      </c>
      <c r="U984" s="7">
        <v>114</v>
      </c>
      <c r="V984" s="7">
        <v>0</v>
      </c>
      <c r="W984" s="7">
        <v>1</v>
      </c>
      <c r="X984" s="7">
        <v>0</v>
      </c>
      <c r="Y984" s="7">
        <v>0</v>
      </c>
      <c r="Z984" s="7">
        <v>0</v>
      </c>
      <c r="AA984" s="7">
        <v>0</v>
      </c>
      <c r="AB984" s="7">
        <v>1</v>
      </c>
      <c r="AC984" s="7">
        <v>1</v>
      </c>
      <c r="AD984" s="7" t="s">
        <v>5044</v>
      </c>
      <c r="AE984" s="7" t="s">
        <v>5044</v>
      </c>
      <c r="AF984" s="7" t="s">
        <v>5044</v>
      </c>
      <c r="AG984" s="7">
        <v>2</v>
      </c>
      <c r="AH984" s="7">
        <v>3</v>
      </c>
      <c r="AI984" s="7">
        <v>0</v>
      </c>
      <c r="AJ984" s="7" t="s">
        <v>5044</v>
      </c>
      <c r="AK984" s="7" t="s">
        <v>5318</v>
      </c>
      <c r="AL984" s="7">
        <v>1</v>
      </c>
      <c r="AM984" s="7">
        <v>0</v>
      </c>
    </row>
    <row r="985" spans="1:40" ht="63" customHeight="1" x14ac:dyDescent="0.2">
      <c r="A985" s="7">
        <v>9900</v>
      </c>
      <c r="B985" s="7" t="s">
        <v>3629</v>
      </c>
      <c r="C985" s="7" t="s">
        <v>3630</v>
      </c>
      <c r="D985" s="7" t="s">
        <v>101</v>
      </c>
      <c r="F985" s="7" t="s">
        <v>11</v>
      </c>
      <c r="G985" s="7" t="s">
        <v>27</v>
      </c>
      <c r="H985" s="7" t="s">
        <v>362</v>
      </c>
      <c r="I985" s="7" t="s">
        <v>13</v>
      </c>
      <c r="J985" s="7" t="s">
        <v>3631</v>
      </c>
      <c r="K985" s="7" t="s">
        <v>3632</v>
      </c>
      <c r="L985" s="7" t="s">
        <v>6027</v>
      </c>
      <c r="M985" s="7">
        <v>0</v>
      </c>
      <c r="N985" s="7" t="s">
        <v>5044</v>
      </c>
      <c r="O985" s="7" t="s">
        <v>5044</v>
      </c>
      <c r="P985" s="7">
        <v>0</v>
      </c>
      <c r="Q985" s="7">
        <v>0</v>
      </c>
      <c r="R985" s="7">
        <v>0</v>
      </c>
      <c r="S985" s="7">
        <v>1</v>
      </c>
      <c r="T985" s="7">
        <v>1</v>
      </c>
      <c r="U985" s="7">
        <v>565</v>
      </c>
      <c r="V985" s="7">
        <v>0</v>
      </c>
      <c r="W985" s="7">
        <v>1</v>
      </c>
      <c r="X985" s="7">
        <v>0</v>
      </c>
      <c r="Y985" s="7">
        <v>0</v>
      </c>
      <c r="Z985" s="7">
        <v>0</v>
      </c>
      <c r="AA985" s="7">
        <v>0</v>
      </c>
      <c r="AB985" s="7">
        <v>1</v>
      </c>
      <c r="AC985" s="7">
        <v>1</v>
      </c>
      <c r="AD985" s="7" t="s">
        <v>5044</v>
      </c>
      <c r="AE985" s="7" t="s">
        <v>5044</v>
      </c>
      <c r="AF985" s="7" t="s">
        <v>5044</v>
      </c>
      <c r="AG985" s="7">
        <v>1</v>
      </c>
      <c r="AH985" s="7">
        <v>0</v>
      </c>
      <c r="AI985" s="7">
        <v>0</v>
      </c>
      <c r="AJ985" s="7" t="s">
        <v>5044</v>
      </c>
      <c r="AK985" s="7" t="s">
        <v>5318</v>
      </c>
      <c r="AL985" s="7">
        <v>1</v>
      </c>
      <c r="AM985" s="7">
        <v>0</v>
      </c>
      <c r="AN985" s="7" t="s">
        <v>5318</v>
      </c>
    </row>
    <row r="986" spans="1:40" ht="63" customHeight="1" x14ac:dyDescent="0.2">
      <c r="A986" s="7">
        <v>9905</v>
      </c>
      <c r="B986" s="7" t="s">
        <v>3633</v>
      </c>
      <c r="C986" s="7" t="s">
        <v>3634</v>
      </c>
      <c r="D986" s="7" t="s">
        <v>149</v>
      </c>
      <c r="F986" s="7" t="s">
        <v>80</v>
      </c>
      <c r="G986" s="7" t="s">
        <v>47</v>
      </c>
      <c r="H986" s="7" t="s">
        <v>38</v>
      </c>
      <c r="I986" s="7" t="s">
        <v>13</v>
      </c>
      <c r="J986" s="7" t="s">
        <v>3635</v>
      </c>
      <c r="K986" s="7" t="s">
        <v>3636</v>
      </c>
      <c r="L986" s="7" t="s">
        <v>6028</v>
      </c>
      <c r="M986" s="7">
        <v>0</v>
      </c>
      <c r="N986" s="7" t="s">
        <v>5044</v>
      </c>
      <c r="O986" s="7" t="s">
        <v>5044</v>
      </c>
      <c r="P986" s="7">
        <v>0</v>
      </c>
      <c r="Q986" s="7">
        <v>0</v>
      </c>
      <c r="R986" s="7">
        <v>0</v>
      </c>
      <c r="S986" s="7">
        <v>1</v>
      </c>
      <c r="T986" s="7">
        <v>1</v>
      </c>
      <c r="U986" s="7">
        <v>65</v>
      </c>
      <c r="V986" s="7">
        <v>0</v>
      </c>
      <c r="W986" s="7">
        <v>1</v>
      </c>
      <c r="X986" s="7">
        <v>0</v>
      </c>
      <c r="Y986" s="7">
        <v>0</v>
      </c>
      <c r="Z986" s="7">
        <v>0</v>
      </c>
      <c r="AA986" s="7">
        <v>0</v>
      </c>
      <c r="AB986" s="7">
        <v>1</v>
      </c>
      <c r="AC986" s="7">
        <v>1</v>
      </c>
      <c r="AD986" s="7" t="s">
        <v>5044</v>
      </c>
      <c r="AE986" s="7" t="s">
        <v>5044</v>
      </c>
      <c r="AF986" s="7" t="s">
        <v>5044</v>
      </c>
      <c r="AG986" s="7">
        <v>2</v>
      </c>
      <c r="AH986" s="7">
        <v>3</v>
      </c>
      <c r="AI986" s="7">
        <v>0</v>
      </c>
      <c r="AJ986" s="7" t="s">
        <v>5044</v>
      </c>
      <c r="AK986" s="7" t="s">
        <v>5318</v>
      </c>
      <c r="AL986" s="7">
        <v>0</v>
      </c>
      <c r="AM986" s="7">
        <v>0</v>
      </c>
      <c r="AN986" s="7" t="s">
        <v>5318</v>
      </c>
    </row>
    <row r="987" spans="1:40" ht="63" customHeight="1" x14ac:dyDescent="0.2">
      <c r="A987" s="7">
        <v>9938</v>
      </c>
      <c r="B987" s="7" t="s">
        <v>3637</v>
      </c>
      <c r="C987" s="7" t="s">
        <v>3638</v>
      </c>
      <c r="D987" s="7" t="s">
        <v>46</v>
      </c>
      <c r="F987" s="7" t="s">
        <v>47</v>
      </c>
      <c r="G987" s="7" t="s">
        <v>37</v>
      </c>
      <c r="H987" s="7" t="s">
        <v>19</v>
      </c>
      <c r="I987" s="7" t="s">
        <v>13</v>
      </c>
      <c r="J987" s="7" t="s">
        <v>3639</v>
      </c>
      <c r="K987" s="7" t="s">
        <v>3640</v>
      </c>
      <c r="L987" s="7" t="s">
        <v>6029</v>
      </c>
      <c r="M987" s="7">
        <v>1</v>
      </c>
      <c r="N987" s="7">
        <v>0</v>
      </c>
      <c r="O987" s="7" t="s">
        <v>5044</v>
      </c>
      <c r="P987" s="7">
        <v>0</v>
      </c>
      <c r="Q987" s="7">
        <v>0</v>
      </c>
      <c r="R987" s="7">
        <v>0</v>
      </c>
      <c r="S987" s="7">
        <v>1</v>
      </c>
      <c r="T987" s="7">
        <v>4</v>
      </c>
      <c r="U987" s="7">
        <v>286</v>
      </c>
      <c r="V987" s="7">
        <v>0</v>
      </c>
      <c r="W987" s="7">
        <v>1</v>
      </c>
      <c r="X987" s="7">
        <v>0</v>
      </c>
      <c r="Y987" s="7">
        <v>0</v>
      </c>
      <c r="Z987" s="7">
        <v>0</v>
      </c>
      <c r="AA987" s="7">
        <v>0</v>
      </c>
      <c r="AB987" s="7">
        <v>1</v>
      </c>
      <c r="AC987" s="7" t="s">
        <v>5044</v>
      </c>
      <c r="AD987" s="7" t="s">
        <v>5044</v>
      </c>
      <c r="AE987" s="7" t="s">
        <v>5044</v>
      </c>
      <c r="AF987" s="7" t="s">
        <v>5044</v>
      </c>
      <c r="AG987" s="7" t="s">
        <v>5044</v>
      </c>
      <c r="AH987" s="7" t="s">
        <v>5044</v>
      </c>
      <c r="AI987" s="7" t="s">
        <v>5044</v>
      </c>
      <c r="AJ987" s="7" t="s">
        <v>5044</v>
      </c>
      <c r="AK987" s="7" t="s">
        <v>5318</v>
      </c>
      <c r="AL987" s="7" t="s">
        <v>5044</v>
      </c>
      <c r="AM987" s="7">
        <v>0</v>
      </c>
      <c r="AN987" s="7" t="s">
        <v>5318</v>
      </c>
    </row>
    <row r="988" spans="1:40" ht="63" customHeight="1" x14ac:dyDescent="0.2">
      <c r="A988" s="7">
        <v>9962</v>
      </c>
      <c r="B988" s="7" t="s">
        <v>3641</v>
      </c>
      <c r="C988" s="7" t="s">
        <v>3642</v>
      </c>
      <c r="D988" s="7" t="s">
        <v>16</v>
      </c>
      <c r="F988" s="7" t="s">
        <v>136</v>
      </c>
      <c r="G988" s="7" t="s">
        <v>52</v>
      </c>
      <c r="H988" s="7" t="s">
        <v>300</v>
      </c>
      <c r="I988" s="7" t="s">
        <v>13</v>
      </c>
      <c r="J988" s="7" t="s">
        <v>3643</v>
      </c>
      <c r="K988" s="7" t="s">
        <v>3644</v>
      </c>
      <c r="L988" s="7" t="s">
        <v>6030</v>
      </c>
      <c r="M988" s="7">
        <v>0</v>
      </c>
      <c r="N988" s="7" t="s">
        <v>5044</v>
      </c>
      <c r="O988" s="7" t="s">
        <v>5044</v>
      </c>
      <c r="P988" s="7">
        <v>0</v>
      </c>
      <c r="Q988" s="7">
        <v>0</v>
      </c>
      <c r="R988" s="7">
        <v>0</v>
      </c>
      <c r="S988" s="7">
        <v>1</v>
      </c>
      <c r="T988" s="7">
        <v>1</v>
      </c>
      <c r="U988" s="7">
        <v>97</v>
      </c>
      <c r="V988" s="7">
        <v>0</v>
      </c>
      <c r="W988" s="7">
        <v>1</v>
      </c>
      <c r="X988" s="7">
        <v>0</v>
      </c>
      <c r="Y988" s="7">
        <v>0</v>
      </c>
      <c r="Z988" s="7">
        <v>1</v>
      </c>
      <c r="AA988" s="7">
        <v>0</v>
      </c>
      <c r="AB988" s="7">
        <v>1</v>
      </c>
      <c r="AC988" s="7">
        <v>1</v>
      </c>
      <c r="AD988" s="7" t="s">
        <v>5044</v>
      </c>
      <c r="AE988" s="7" t="s">
        <v>5044</v>
      </c>
      <c r="AF988" s="7" t="s">
        <v>5044</v>
      </c>
      <c r="AG988" s="7">
        <v>1</v>
      </c>
      <c r="AH988" s="7">
        <v>0</v>
      </c>
      <c r="AI988" s="7">
        <v>0</v>
      </c>
      <c r="AJ988" s="7">
        <v>0</v>
      </c>
      <c r="AK988" s="7" t="s">
        <v>5318</v>
      </c>
      <c r="AL988" s="7">
        <v>1</v>
      </c>
      <c r="AM988" s="7">
        <v>0</v>
      </c>
      <c r="AN988" s="7" t="s">
        <v>5318</v>
      </c>
    </row>
    <row r="989" spans="1:40" ht="63" customHeight="1" x14ac:dyDescent="0.2">
      <c r="A989" s="7">
        <v>9963</v>
      </c>
      <c r="B989" s="7" t="s">
        <v>3645</v>
      </c>
      <c r="C989" s="7" t="s">
        <v>3646</v>
      </c>
      <c r="D989" s="7" t="s">
        <v>74</v>
      </c>
      <c r="F989" s="7" t="s">
        <v>51</v>
      </c>
      <c r="G989" s="7" t="s">
        <v>37</v>
      </c>
      <c r="H989" s="7" t="s">
        <v>3647</v>
      </c>
      <c r="I989" s="7" t="s">
        <v>13</v>
      </c>
      <c r="J989" s="7" t="s">
        <v>3648</v>
      </c>
      <c r="K989" s="7" t="s">
        <v>3649</v>
      </c>
      <c r="L989" s="11" t="s">
        <v>5044</v>
      </c>
      <c r="M989" s="7">
        <v>0</v>
      </c>
      <c r="N989" s="7" t="s">
        <v>5044</v>
      </c>
      <c r="O989" s="7" t="s">
        <v>5044</v>
      </c>
      <c r="P989" s="7">
        <v>0</v>
      </c>
      <c r="Q989" s="7">
        <v>0</v>
      </c>
      <c r="R989" s="7">
        <v>0</v>
      </c>
      <c r="S989" s="7">
        <v>1</v>
      </c>
      <c r="T989" s="7">
        <v>1</v>
      </c>
      <c r="U989" s="7">
        <v>124</v>
      </c>
      <c r="V989" s="7">
        <v>0</v>
      </c>
      <c r="W989" s="7">
        <v>1</v>
      </c>
      <c r="X989" s="7">
        <v>0</v>
      </c>
      <c r="Y989" s="7">
        <v>0</v>
      </c>
      <c r="Z989" s="7">
        <v>1</v>
      </c>
      <c r="AA989" s="7">
        <v>0</v>
      </c>
      <c r="AB989" s="7">
        <v>1</v>
      </c>
      <c r="AC989" s="7">
        <v>1</v>
      </c>
      <c r="AD989" s="7" t="s">
        <v>5044</v>
      </c>
      <c r="AE989" s="7" t="s">
        <v>5044</v>
      </c>
      <c r="AF989" s="7" t="s">
        <v>5044</v>
      </c>
      <c r="AG989" s="7">
        <v>1</v>
      </c>
      <c r="AH989" s="7">
        <v>0</v>
      </c>
      <c r="AI989" s="7">
        <v>0</v>
      </c>
      <c r="AJ989" s="7">
        <v>0</v>
      </c>
      <c r="AK989" s="7" t="s">
        <v>5318</v>
      </c>
      <c r="AL989" s="7">
        <v>0</v>
      </c>
      <c r="AM989" s="7">
        <v>0</v>
      </c>
    </row>
    <row r="990" spans="1:40" ht="63" customHeight="1" x14ac:dyDescent="0.2">
      <c r="A990" s="7">
        <v>9966</v>
      </c>
      <c r="B990" s="7" t="s">
        <v>3650</v>
      </c>
      <c r="C990" s="7" t="s">
        <v>3651</v>
      </c>
      <c r="D990" s="7" t="s">
        <v>46</v>
      </c>
      <c r="F990" s="7" t="s">
        <v>31</v>
      </c>
      <c r="G990" s="7" t="s">
        <v>144</v>
      </c>
      <c r="H990" s="7" t="s">
        <v>2011</v>
      </c>
      <c r="I990" s="7" t="s">
        <v>13</v>
      </c>
      <c r="J990" s="7" t="s">
        <v>3652</v>
      </c>
      <c r="K990" s="7" t="s">
        <v>3653</v>
      </c>
      <c r="L990" s="7" t="s">
        <v>6031</v>
      </c>
      <c r="M990" s="7">
        <v>0</v>
      </c>
      <c r="N990" s="7" t="s">
        <v>5044</v>
      </c>
      <c r="O990" s="7" t="s">
        <v>5044</v>
      </c>
      <c r="P990" s="7">
        <v>0</v>
      </c>
      <c r="Q990" s="7">
        <v>0</v>
      </c>
      <c r="R990" s="7">
        <v>0</v>
      </c>
      <c r="S990" s="7">
        <v>3</v>
      </c>
      <c r="T990" s="7">
        <v>6</v>
      </c>
      <c r="U990" s="7">
        <v>260</v>
      </c>
      <c r="V990" s="7">
        <v>0</v>
      </c>
      <c r="W990" s="7">
        <v>1</v>
      </c>
      <c r="X990" s="7">
        <v>0</v>
      </c>
      <c r="Y990" s="7">
        <v>0</v>
      </c>
      <c r="Z990" s="7">
        <v>0</v>
      </c>
      <c r="AA990" s="7">
        <v>0</v>
      </c>
      <c r="AB990" s="7">
        <v>1</v>
      </c>
      <c r="AC990" s="7">
        <v>1</v>
      </c>
      <c r="AD990" s="7" t="s">
        <v>5044</v>
      </c>
      <c r="AE990" s="7" t="s">
        <v>5044</v>
      </c>
      <c r="AF990" s="7" t="s">
        <v>5044</v>
      </c>
      <c r="AG990" s="7">
        <v>1</v>
      </c>
      <c r="AH990" s="7">
        <v>0</v>
      </c>
      <c r="AI990" s="7">
        <v>0</v>
      </c>
      <c r="AJ990" s="7" t="s">
        <v>5044</v>
      </c>
      <c r="AK990" s="7" t="s">
        <v>5318</v>
      </c>
      <c r="AL990" s="7">
        <v>0</v>
      </c>
      <c r="AM990" s="7">
        <v>0</v>
      </c>
      <c r="AN990" s="7" t="s">
        <v>5318</v>
      </c>
    </row>
    <row r="991" spans="1:40" ht="63" customHeight="1" x14ac:dyDescent="0.2">
      <c r="A991" s="7">
        <v>9984</v>
      </c>
      <c r="B991" s="7" t="s">
        <v>3654</v>
      </c>
      <c r="C991" s="7" t="s">
        <v>3655</v>
      </c>
      <c r="D991" s="7" t="s">
        <v>74</v>
      </c>
      <c r="F991" s="7" t="s">
        <v>129</v>
      </c>
      <c r="G991" s="7" t="s">
        <v>52</v>
      </c>
      <c r="H991" s="7" t="s">
        <v>183</v>
      </c>
      <c r="I991" s="7" t="s">
        <v>13</v>
      </c>
      <c r="J991" s="7" t="s">
        <v>3656</v>
      </c>
      <c r="K991" s="7" t="s">
        <v>3657</v>
      </c>
      <c r="L991" s="7" t="s">
        <v>6033</v>
      </c>
      <c r="M991" s="7">
        <v>0</v>
      </c>
      <c r="N991" s="7" t="s">
        <v>5044</v>
      </c>
      <c r="O991" s="7" t="s">
        <v>5044</v>
      </c>
      <c r="P991" s="7">
        <v>0</v>
      </c>
      <c r="Q991" s="7">
        <v>0</v>
      </c>
      <c r="R991" s="7">
        <v>0</v>
      </c>
      <c r="S991" s="7">
        <v>1</v>
      </c>
      <c r="T991" s="7">
        <v>1</v>
      </c>
      <c r="U991" s="7">
        <v>2141</v>
      </c>
      <c r="V991" s="7">
        <v>1</v>
      </c>
      <c r="W991" s="7">
        <v>1</v>
      </c>
      <c r="X991" s="7">
        <v>0</v>
      </c>
      <c r="Y991" s="7">
        <v>1</v>
      </c>
      <c r="Z991" s="7">
        <v>1</v>
      </c>
      <c r="AA991" s="7">
        <v>0</v>
      </c>
      <c r="AB991" s="7">
        <v>1</v>
      </c>
      <c r="AC991" s="7">
        <v>1</v>
      </c>
      <c r="AD991" s="7">
        <v>0</v>
      </c>
      <c r="AE991" s="7" t="s">
        <v>5044</v>
      </c>
      <c r="AF991" s="7" t="s">
        <v>5044</v>
      </c>
      <c r="AG991" s="7">
        <v>1</v>
      </c>
      <c r="AH991" s="7">
        <v>0</v>
      </c>
      <c r="AI991" s="7">
        <v>0</v>
      </c>
      <c r="AJ991" s="7">
        <v>0</v>
      </c>
      <c r="AK991" s="7" t="s">
        <v>5318</v>
      </c>
      <c r="AL991" s="7">
        <v>0</v>
      </c>
      <c r="AM991" s="7">
        <v>0</v>
      </c>
      <c r="AN991" s="7" t="s">
        <v>5318</v>
      </c>
    </row>
    <row r="992" spans="1:40" ht="63" customHeight="1" x14ac:dyDescent="0.2">
      <c r="A992" s="7">
        <v>9986</v>
      </c>
      <c r="B992" s="7" t="s">
        <v>3658</v>
      </c>
      <c r="C992" s="7" t="s">
        <v>3659</v>
      </c>
      <c r="D992" s="7" t="s">
        <v>46</v>
      </c>
      <c r="F992" s="7" t="s">
        <v>1015</v>
      </c>
      <c r="H992" s="7" t="s">
        <v>490</v>
      </c>
      <c r="I992" s="7" t="s">
        <v>13</v>
      </c>
      <c r="J992" s="7" t="s">
        <v>3660</v>
      </c>
      <c r="K992" s="7" t="s">
        <v>3661</v>
      </c>
      <c r="L992" s="11" t="s">
        <v>5044</v>
      </c>
      <c r="M992" s="7">
        <v>0</v>
      </c>
      <c r="N992" s="7" t="s">
        <v>5044</v>
      </c>
      <c r="O992" s="7" t="s">
        <v>5044</v>
      </c>
      <c r="P992" s="7">
        <v>0</v>
      </c>
      <c r="Q992" s="7">
        <v>0</v>
      </c>
      <c r="R992" s="7">
        <v>0</v>
      </c>
      <c r="S992" s="7">
        <v>3</v>
      </c>
      <c r="T992" s="7">
        <v>6</v>
      </c>
      <c r="U992" s="7">
        <v>60</v>
      </c>
      <c r="V992" s="7">
        <v>0</v>
      </c>
      <c r="W992" s="7">
        <v>1</v>
      </c>
      <c r="X992" s="7">
        <v>0</v>
      </c>
      <c r="Y992" s="7">
        <v>0</v>
      </c>
      <c r="Z992" s="7">
        <v>0</v>
      </c>
      <c r="AA992" s="7">
        <v>0</v>
      </c>
      <c r="AB992" s="7">
        <v>0</v>
      </c>
      <c r="AC992" s="7">
        <v>1</v>
      </c>
      <c r="AD992" s="7" t="s">
        <v>5044</v>
      </c>
      <c r="AE992" s="7" t="s">
        <v>5044</v>
      </c>
      <c r="AF992" s="7" t="s">
        <v>5044</v>
      </c>
      <c r="AG992" s="7">
        <v>2</v>
      </c>
      <c r="AH992" s="7">
        <v>3</v>
      </c>
      <c r="AI992" s="7">
        <v>0</v>
      </c>
      <c r="AJ992" s="7" t="s">
        <v>5044</v>
      </c>
      <c r="AK992" s="7" t="s">
        <v>6035</v>
      </c>
      <c r="AL992" s="7">
        <v>0</v>
      </c>
      <c r="AM992" s="7">
        <v>0</v>
      </c>
    </row>
    <row r="993" spans="1:40" ht="63" customHeight="1" x14ac:dyDescent="0.2">
      <c r="A993" s="7">
        <v>9993</v>
      </c>
      <c r="B993" s="7" t="s">
        <v>3662</v>
      </c>
      <c r="C993" s="7" t="s">
        <v>3663</v>
      </c>
      <c r="D993" s="7" t="s">
        <v>149</v>
      </c>
      <c r="F993" s="7" t="s">
        <v>92</v>
      </c>
      <c r="G993" s="7" t="s">
        <v>11</v>
      </c>
      <c r="H993" s="7" t="s">
        <v>1125</v>
      </c>
      <c r="I993" s="7" t="s">
        <v>13</v>
      </c>
      <c r="J993" s="7" t="s">
        <v>3664</v>
      </c>
      <c r="K993" s="7" t="s">
        <v>3665</v>
      </c>
      <c r="L993" s="7" t="s">
        <v>6036</v>
      </c>
      <c r="M993" s="7">
        <v>0</v>
      </c>
      <c r="N993" s="7" t="s">
        <v>5044</v>
      </c>
      <c r="O993" s="7" t="s">
        <v>5044</v>
      </c>
      <c r="P993" s="7">
        <v>0</v>
      </c>
      <c r="Q993" s="7">
        <v>0</v>
      </c>
      <c r="R993" s="7">
        <v>0</v>
      </c>
      <c r="S993" s="7">
        <v>1</v>
      </c>
      <c r="T993" s="7">
        <v>6</v>
      </c>
      <c r="U993" s="7">
        <v>114</v>
      </c>
      <c r="V993" s="7">
        <v>0</v>
      </c>
      <c r="W993" s="7">
        <v>1</v>
      </c>
      <c r="X993" s="7">
        <v>0</v>
      </c>
      <c r="Y993" s="7">
        <v>0</v>
      </c>
      <c r="Z993" s="7">
        <v>0</v>
      </c>
      <c r="AA993" s="7">
        <v>0</v>
      </c>
      <c r="AB993" s="7">
        <v>1</v>
      </c>
      <c r="AC993" s="7">
        <v>1</v>
      </c>
      <c r="AD993" s="7" t="s">
        <v>5044</v>
      </c>
      <c r="AE993" s="7" t="s">
        <v>5044</v>
      </c>
      <c r="AF993" s="7" t="s">
        <v>5044</v>
      </c>
      <c r="AG993" s="7">
        <v>2</v>
      </c>
      <c r="AH993" s="7">
        <v>3</v>
      </c>
      <c r="AI993" s="7">
        <v>0</v>
      </c>
      <c r="AJ993" s="7" t="s">
        <v>5044</v>
      </c>
      <c r="AK993" s="7" t="s">
        <v>5318</v>
      </c>
      <c r="AL993" s="7">
        <v>0</v>
      </c>
      <c r="AM993" s="7">
        <v>0</v>
      </c>
      <c r="AN993" s="7" t="s">
        <v>5318</v>
      </c>
    </row>
    <row r="994" spans="1:40" ht="63" customHeight="1" x14ac:dyDescent="0.2">
      <c r="A994" s="7">
        <v>9998</v>
      </c>
      <c r="B994" s="7" t="s">
        <v>3666</v>
      </c>
      <c r="C994" s="7" t="s">
        <v>3667</v>
      </c>
      <c r="D994" s="7" t="s">
        <v>46</v>
      </c>
      <c r="F994" s="7" t="s">
        <v>505</v>
      </c>
      <c r="H994" s="7" t="s">
        <v>490</v>
      </c>
      <c r="I994" s="7" t="s">
        <v>13</v>
      </c>
      <c r="J994" s="7" t="s">
        <v>3668</v>
      </c>
      <c r="K994" s="7" t="s">
        <v>3669</v>
      </c>
      <c r="L994" s="11" t="s">
        <v>5044</v>
      </c>
      <c r="M994" s="7">
        <v>0</v>
      </c>
      <c r="N994" s="7" t="s">
        <v>5044</v>
      </c>
      <c r="O994" s="7" t="s">
        <v>5044</v>
      </c>
      <c r="P994" s="7">
        <v>0</v>
      </c>
      <c r="Q994" s="7">
        <v>0</v>
      </c>
      <c r="R994" s="7">
        <v>0</v>
      </c>
      <c r="S994" s="7">
        <v>3</v>
      </c>
      <c r="T994" s="7">
        <v>5</v>
      </c>
      <c r="U994" s="7">
        <v>392</v>
      </c>
      <c r="V994" s="7">
        <v>0</v>
      </c>
      <c r="W994" s="7">
        <v>1</v>
      </c>
      <c r="X994" s="7">
        <v>0</v>
      </c>
      <c r="Y994" s="7">
        <v>0</v>
      </c>
      <c r="Z994" s="7">
        <v>0</v>
      </c>
      <c r="AA994" s="7">
        <v>0</v>
      </c>
      <c r="AB994" s="7">
        <v>0</v>
      </c>
      <c r="AC994" s="7">
        <v>1</v>
      </c>
      <c r="AD994" s="7" t="s">
        <v>5044</v>
      </c>
      <c r="AE994" s="7" t="s">
        <v>5044</v>
      </c>
      <c r="AF994" s="7" t="s">
        <v>5044</v>
      </c>
      <c r="AG994" s="7">
        <v>1</v>
      </c>
      <c r="AH994" s="7">
        <v>0</v>
      </c>
      <c r="AI994" s="7">
        <v>0</v>
      </c>
      <c r="AJ994" s="7" t="s">
        <v>5044</v>
      </c>
      <c r="AK994" s="7" t="s">
        <v>5318</v>
      </c>
      <c r="AL994" s="7">
        <v>0</v>
      </c>
      <c r="AM994" s="7">
        <v>0</v>
      </c>
      <c r="AN994" s="7" t="s">
        <v>5318</v>
      </c>
    </row>
    <row r="995" spans="1:40" ht="63" customHeight="1" x14ac:dyDescent="0.2">
      <c r="A995" s="7">
        <v>10000</v>
      </c>
      <c r="B995" s="7" t="s">
        <v>3670</v>
      </c>
      <c r="C995" s="7" t="s">
        <v>3671</v>
      </c>
      <c r="D995" s="7" t="s">
        <v>95</v>
      </c>
      <c r="F995" s="7" t="s">
        <v>932</v>
      </c>
      <c r="H995" s="7" t="s">
        <v>490</v>
      </c>
      <c r="I995" s="7" t="s">
        <v>13</v>
      </c>
      <c r="J995" s="7" t="s">
        <v>3672</v>
      </c>
      <c r="K995" s="7" t="s">
        <v>3673</v>
      </c>
      <c r="L995" s="11" t="s">
        <v>5044</v>
      </c>
      <c r="M995" s="7">
        <v>0</v>
      </c>
      <c r="N995" s="7" t="s">
        <v>5044</v>
      </c>
      <c r="O995" s="7" t="s">
        <v>5044</v>
      </c>
      <c r="P995" s="7">
        <v>0</v>
      </c>
      <c r="Q995" s="7">
        <v>0</v>
      </c>
      <c r="R995" s="7">
        <v>0</v>
      </c>
      <c r="S995" s="7">
        <v>3</v>
      </c>
      <c r="T995" s="7">
        <v>6</v>
      </c>
      <c r="U995" s="7">
        <v>110</v>
      </c>
      <c r="V995" s="7">
        <v>0</v>
      </c>
      <c r="W995" s="7">
        <v>1</v>
      </c>
      <c r="X995" s="7">
        <v>0</v>
      </c>
      <c r="Y995" s="7">
        <v>0</v>
      </c>
      <c r="Z995" s="7">
        <v>0</v>
      </c>
      <c r="AA995" s="7">
        <v>0</v>
      </c>
      <c r="AB995" s="7">
        <v>1</v>
      </c>
      <c r="AC995" s="7">
        <v>1</v>
      </c>
      <c r="AD995" s="7" t="s">
        <v>5044</v>
      </c>
      <c r="AE995" s="7" t="s">
        <v>5044</v>
      </c>
      <c r="AF995" s="7" t="s">
        <v>5044</v>
      </c>
      <c r="AG995" s="7">
        <v>2</v>
      </c>
      <c r="AH995" s="7">
        <v>3</v>
      </c>
      <c r="AI995" s="7">
        <v>0</v>
      </c>
      <c r="AJ995" s="7" t="s">
        <v>5044</v>
      </c>
      <c r="AK995" s="7" t="s">
        <v>5318</v>
      </c>
      <c r="AL995" s="7">
        <v>0</v>
      </c>
      <c r="AM995" s="7">
        <v>0</v>
      </c>
      <c r="AN995" s="7" t="s">
        <v>5318</v>
      </c>
    </row>
    <row r="996" spans="1:40" ht="63" customHeight="1" x14ac:dyDescent="0.2">
      <c r="A996" s="7">
        <v>10003</v>
      </c>
      <c r="B996" s="7" t="s">
        <v>3674</v>
      </c>
      <c r="C996" s="7" t="s">
        <v>3675</v>
      </c>
      <c r="D996" s="7" t="s">
        <v>341</v>
      </c>
      <c r="F996" s="7" t="s">
        <v>107</v>
      </c>
      <c r="G996" s="7" t="s">
        <v>27</v>
      </c>
      <c r="H996" s="7" t="s">
        <v>86</v>
      </c>
      <c r="I996" s="7" t="s">
        <v>13</v>
      </c>
      <c r="J996" s="7" t="s">
        <v>3676</v>
      </c>
      <c r="K996" s="7" t="s">
        <v>3677</v>
      </c>
      <c r="L996" s="11" t="s">
        <v>5044</v>
      </c>
      <c r="M996" s="7">
        <v>0</v>
      </c>
      <c r="N996" s="7" t="s">
        <v>5044</v>
      </c>
      <c r="O996" s="7" t="s">
        <v>5044</v>
      </c>
      <c r="P996" s="7">
        <v>0</v>
      </c>
      <c r="Q996" s="7">
        <v>0</v>
      </c>
      <c r="R996" s="7">
        <v>0</v>
      </c>
      <c r="S996" s="7">
        <v>3</v>
      </c>
      <c r="T996" s="7">
        <v>6</v>
      </c>
      <c r="U996" s="7">
        <v>40</v>
      </c>
      <c r="V996" s="7">
        <v>0</v>
      </c>
      <c r="W996" s="7">
        <v>1</v>
      </c>
      <c r="X996" s="7">
        <v>0</v>
      </c>
      <c r="Y996" s="7">
        <v>0</v>
      </c>
      <c r="Z996" s="7">
        <v>0</v>
      </c>
      <c r="AA996" s="7">
        <v>0</v>
      </c>
      <c r="AB996" s="7">
        <v>1</v>
      </c>
      <c r="AC996" s="7">
        <v>1</v>
      </c>
      <c r="AD996" s="7" t="s">
        <v>5044</v>
      </c>
      <c r="AE996" s="7" t="s">
        <v>5044</v>
      </c>
      <c r="AF996" s="7" t="s">
        <v>5044</v>
      </c>
      <c r="AG996" s="7">
        <v>2</v>
      </c>
      <c r="AH996" s="7">
        <v>3</v>
      </c>
      <c r="AI996" s="7">
        <v>0</v>
      </c>
      <c r="AJ996" s="7" t="s">
        <v>5044</v>
      </c>
      <c r="AK996" s="7" t="s">
        <v>5318</v>
      </c>
      <c r="AL996" s="7" t="s">
        <v>5044</v>
      </c>
      <c r="AM996" s="7">
        <v>0</v>
      </c>
      <c r="AN996" s="7" t="s">
        <v>5105</v>
      </c>
    </row>
    <row r="997" spans="1:40" ht="63" customHeight="1" x14ac:dyDescent="0.2">
      <c r="A997" s="7">
        <v>10004</v>
      </c>
      <c r="B997" s="7" t="s">
        <v>3678</v>
      </c>
      <c r="C997" s="7" t="s">
        <v>3679</v>
      </c>
      <c r="D997" s="7" t="s">
        <v>41</v>
      </c>
      <c r="F997" s="7" t="s">
        <v>1267</v>
      </c>
      <c r="H997" s="7" t="s">
        <v>572</v>
      </c>
      <c r="I997" s="7" t="s">
        <v>13</v>
      </c>
      <c r="J997" s="7" t="s">
        <v>3680</v>
      </c>
      <c r="K997" s="7" t="s">
        <v>3681</v>
      </c>
      <c r="L997" s="7" t="s">
        <v>6037</v>
      </c>
      <c r="M997" s="7">
        <v>0</v>
      </c>
      <c r="N997" s="7" t="s">
        <v>5044</v>
      </c>
      <c r="O997" s="7" t="s">
        <v>5044</v>
      </c>
      <c r="P997" s="7">
        <v>0</v>
      </c>
      <c r="Q997" s="7">
        <v>0</v>
      </c>
      <c r="R997" s="7">
        <v>0</v>
      </c>
      <c r="S997" s="7" t="s">
        <v>7673</v>
      </c>
      <c r="T997" s="7">
        <v>6</v>
      </c>
      <c r="U997" s="7">
        <v>64</v>
      </c>
      <c r="V997" s="7">
        <v>1</v>
      </c>
      <c r="W997" s="7">
        <v>0</v>
      </c>
      <c r="X997" s="7">
        <v>0</v>
      </c>
      <c r="Y997" s="7">
        <v>0</v>
      </c>
      <c r="Z997" s="7">
        <v>0</v>
      </c>
      <c r="AA997" s="7">
        <v>0</v>
      </c>
      <c r="AB997" s="7">
        <v>1</v>
      </c>
      <c r="AC997" s="7">
        <v>1</v>
      </c>
      <c r="AD997" s="7">
        <v>2</v>
      </c>
      <c r="AE997" s="7">
        <v>3</v>
      </c>
      <c r="AF997" s="7">
        <v>0</v>
      </c>
      <c r="AG997" s="7" t="s">
        <v>5044</v>
      </c>
      <c r="AH997" s="7" t="s">
        <v>5044</v>
      </c>
      <c r="AI997" s="7" t="s">
        <v>5044</v>
      </c>
      <c r="AJ997" s="7" t="s">
        <v>5044</v>
      </c>
      <c r="AK997" s="7" t="s">
        <v>5318</v>
      </c>
      <c r="AL997" s="7" t="s">
        <v>5044</v>
      </c>
      <c r="AM997" s="7">
        <v>0</v>
      </c>
      <c r="AN997" s="7" t="s">
        <v>5105</v>
      </c>
    </row>
    <row r="998" spans="1:40" ht="63" customHeight="1" x14ac:dyDescent="0.2">
      <c r="A998" s="7">
        <v>10006</v>
      </c>
      <c r="B998" s="7" t="s">
        <v>3682</v>
      </c>
      <c r="C998" s="7" t="s">
        <v>3683</v>
      </c>
      <c r="D998" s="7" t="s">
        <v>22</v>
      </c>
      <c r="F998" s="7" t="s">
        <v>237</v>
      </c>
      <c r="G998" s="7" t="s">
        <v>27</v>
      </c>
      <c r="H998" s="7" t="s">
        <v>1185</v>
      </c>
      <c r="I998" s="7" t="s">
        <v>13</v>
      </c>
      <c r="J998" s="7" t="s">
        <v>3684</v>
      </c>
      <c r="K998" s="7" t="s">
        <v>3685</v>
      </c>
      <c r="L998" s="11" t="s">
        <v>5044</v>
      </c>
      <c r="M998" s="7">
        <v>0</v>
      </c>
      <c r="N998" s="7" t="s">
        <v>5044</v>
      </c>
      <c r="O998" s="7" t="s">
        <v>5044</v>
      </c>
      <c r="P998" s="7">
        <v>0</v>
      </c>
      <c r="Q998" s="7">
        <v>0</v>
      </c>
      <c r="R998" s="7">
        <v>0</v>
      </c>
      <c r="S998" s="7" t="s">
        <v>5357</v>
      </c>
      <c r="T998" s="7">
        <v>6</v>
      </c>
      <c r="U998" s="7">
        <v>54</v>
      </c>
      <c r="V998" s="7">
        <v>0</v>
      </c>
      <c r="W998" s="7">
        <v>1</v>
      </c>
      <c r="X998" s="7">
        <v>0</v>
      </c>
      <c r="Y998" s="7">
        <v>0</v>
      </c>
      <c r="Z998" s="7">
        <v>0</v>
      </c>
      <c r="AA998" s="7">
        <v>0</v>
      </c>
      <c r="AB998" s="7">
        <v>1</v>
      </c>
      <c r="AC998" s="7">
        <v>1</v>
      </c>
      <c r="AD998" s="7" t="s">
        <v>5044</v>
      </c>
      <c r="AE998" s="7" t="s">
        <v>5044</v>
      </c>
      <c r="AF998" s="7" t="s">
        <v>5044</v>
      </c>
      <c r="AG998" s="7">
        <v>1</v>
      </c>
      <c r="AH998" s="7">
        <v>0</v>
      </c>
      <c r="AI998" s="7">
        <v>0</v>
      </c>
      <c r="AJ998" s="7" t="s">
        <v>5044</v>
      </c>
      <c r="AK998" s="7" t="s">
        <v>5318</v>
      </c>
      <c r="AL998" s="7">
        <v>1</v>
      </c>
      <c r="AM998" s="7">
        <v>0</v>
      </c>
      <c r="AN998" s="7" t="s">
        <v>5318</v>
      </c>
    </row>
    <row r="999" spans="1:40" ht="63" customHeight="1" x14ac:dyDescent="0.2">
      <c r="A999" s="7">
        <v>10007</v>
      </c>
      <c r="B999" s="7" t="s">
        <v>3686</v>
      </c>
      <c r="C999" s="7" t="s">
        <v>3687</v>
      </c>
      <c r="D999" s="7" t="s">
        <v>22</v>
      </c>
      <c r="F999" s="7" t="s">
        <v>237</v>
      </c>
      <c r="G999" s="7" t="s">
        <v>144</v>
      </c>
      <c r="H999" s="7" t="s">
        <v>1185</v>
      </c>
      <c r="I999" s="7" t="s">
        <v>13</v>
      </c>
      <c r="J999" s="7" t="s">
        <v>3688</v>
      </c>
      <c r="K999" s="7" t="s">
        <v>3689</v>
      </c>
      <c r="L999" s="11" t="s">
        <v>5044</v>
      </c>
      <c r="M999" s="7">
        <v>0</v>
      </c>
      <c r="N999" s="7" t="s">
        <v>5044</v>
      </c>
      <c r="O999" s="7" t="s">
        <v>5044</v>
      </c>
      <c r="P999" s="7">
        <v>0</v>
      </c>
      <c r="Q999" s="7">
        <v>0</v>
      </c>
      <c r="R999" s="7">
        <v>0</v>
      </c>
      <c r="S999" s="7">
        <v>1</v>
      </c>
      <c r="T999" s="7">
        <v>6</v>
      </c>
      <c r="U999" s="7">
        <v>50</v>
      </c>
      <c r="V999" s="7">
        <v>0</v>
      </c>
      <c r="W999" s="7">
        <v>1</v>
      </c>
      <c r="X999" s="7">
        <v>0</v>
      </c>
      <c r="Y999" s="7">
        <v>0</v>
      </c>
      <c r="Z999" s="7">
        <v>0</v>
      </c>
      <c r="AA999" s="7">
        <v>0</v>
      </c>
      <c r="AB999" s="7">
        <v>1</v>
      </c>
      <c r="AC999" s="7">
        <v>1</v>
      </c>
      <c r="AD999" s="7" t="s">
        <v>5044</v>
      </c>
      <c r="AE999" s="7" t="s">
        <v>5044</v>
      </c>
      <c r="AF999" s="7" t="s">
        <v>5044</v>
      </c>
      <c r="AG999" s="7">
        <v>2</v>
      </c>
      <c r="AH999" s="7">
        <v>2</v>
      </c>
      <c r="AI999" s="7">
        <v>2</v>
      </c>
      <c r="AJ999" s="7" t="s">
        <v>5044</v>
      </c>
      <c r="AK999" s="7" t="s">
        <v>5318</v>
      </c>
      <c r="AL999" s="7">
        <v>1</v>
      </c>
      <c r="AM999" s="7">
        <v>0</v>
      </c>
    </row>
    <row r="1000" spans="1:40" ht="63" customHeight="1" x14ac:dyDescent="0.2">
      <c r="A1000" s="7">
        <v>10014</v>
      </c>
      <c r="B1000" s="7" t="s">
        <v>3690</v>
      </c>
      <c r="C1000" s="7" t="s">
        <v>3691</v>
      </c>
      <c r="D1000" s="7" t="s">
        <v>22</v>
      </c>
      <c r="F1000" s="7" t="s">
        <v>136</v>
      </c>
      <c r="G1000" s="7" t="s">
        <v>52</v>
      </c>
      <c r="H1000" s="7" t="s">
        <v>3692</v>
      </c>
      <c r="I1000" s="7" t="s">
        <v>13</v>
      </c>
      <c r="J1000" s="7" t="s">
        <v>3693</v>
      </c>
      <c r="K1000" s="7" t="s">
        <v>3694</v>
      </c>
      <c r="L1000" s="7" t="s">
        <v>6038</v>
      </c>
      <c r="M1000" s="7">
        <v>0</v>
      </c>
      <c r="N1000" s="7" t="s">
        <v>5044</v>
      </c>
      <c r="O1000" s="7" t="s">
        <v>5044</v>
      </c>
      <c r="P1000" s="7">
        <v>0</v>
      </c>
      <c r="Q1000" s="7">
        <v>0</v>
      </c>
      <c r="R1000" s="7">
        <v>0</v>
      </c>
      <c r="S1000" s="7">
        <v>1</v>
      </c>
      <c r="T1000" s="7">
        <v>6</v>
      </c>
      <c r="U1000" s="7">
        <v>104</v>
      </c>
      <c r="V1000" s="7">
        <v>0</v>
      </c>
      <c r="W1000" s="7">
        <v>1</v>
      </c>
      <c r="X1000" s="7">
        <v>0</v>
      </c>
      <c r="Y1000" s="7">
        <v>0</v>
      </c>
      <c r="Z1000" s="7">
        <v>0</v>
      </c>
      <c r="AA1000" s="7">
        <v>0</v>
      </c>
      <c r="AB1000" s="7">
        <v>1</v>
      </c>
      <c r="AC1000" s="7">
        <v>1</v>
      </c>
      <c r="AD1000" s="7" t="s">
        <v>5044</v>
      </c>
      <c r="AE1000" s="7" t="s">
        <v>5044</v>
      </c>
      <c r="AF1000" s="7" t="s">
        <v>5044</v>
      </c>
      <c r="AG1000" s="7">
        <v>2</v>
      </c>
      <c r="AH1000" s="7">
        <v>3</v>
      </c>
      <c r="AI1000" s="7">
        <v>0</v>
      </c>
      <c r="AJ1000" s="7" t="s">
        <v>5044</v>
      </c>
      <c r="AK1000" s="7" t="s">
        <v>5318</v>
      </c>
      <c r="AL1000" s="7">
        <v>0</v>
      </c>
      <c r="AM1000" s="7">
        <v>0</v>
      </c>
      <c r="AN1000" s="7" t="s">
        <v>5318</v>
      </c>
    </row>
    <row r="1001" spans="1:40" ht="63" customHeight="1" x14ac:dyDescent="0.2">
      <c r="A1001" s="7">
        <v>10040</v>
      </c>
      <c r="B1001" s="7" t="s">
        <v>3700</v>
      </c>
      <c r="C1001" s="7" t="s">
        <v>3701</v>
      </c>
      <c r="D1001" s="7" t="s">
        <v>101</v>
      </c>
      <c r="F1001" s="7" t="s">
        <v>1031</v>
      </c>
      <c r="G1001" s="7" t="s">
        <v>175</v>
      </c>
      <c r="H1001" s="7" t="s">
        <v>596</v>
      </c>
      <c r="I1001" s="7" t="s">
        <v>13</v>
      </c>
      <c r="J1001" s="7" t="s">
        <v>3702</v>
      </c>
      <c r="K1001" s="7" t="s">
        <v>3703</v>
      </c>
      <c r="L1001" s="11" t="s">
        <v>5044</v>
      </c>
      <c r="M1001" s="7">
        <v>0</v>
      </c>
      <c r="N1001" s="7" t="s">
        <v>5044</v>
      </c>
      <c r="O1001" s="7" t="s">
        <v>5044</v>
      </c>
      <c r="P1001" s="7">
        <v>0</v>
      </c>
      <c r="Q1001" s="7">
        <v>0</v>
      </c>
      <c r="R1001" s="7">
        <v>0</v>
      </c>
      <c r="S1001" s="7">
        <v>1</v>
      </c>
      <c r="T1001" s="7">
        <v>4</v>
      </c>
      <c r="U1001" s="7">
        <v>60</v>
      </c>
      <c r="V1001" s="7">
        <v>0</v>
      </c>
      <c r="W1001" s="7">
        <v>1</v>
      </c>
      <c r="X1001" s="7">
        <v>0</v>
      </c>
      <c r="Y1001" s="7">
        <v>0</v>
      </c>
      <c r="Z1001" s="7">
        <v>0</v>
      </c>
      <c r="AA1001" s="7">
        <v>0</v>
      </c>
      <c r="AB1001" s="7">
        <v>1</v>
      </c>
      <c r="AC1001" s="7">
        <v>0</v>
      </c>
      <c r="AD1001" s="7" t="s">
        <v>5044</v>
      </c>
      <c r="AE1001" s="7" t="s">
        <v>5044</v>
      </c>
      <c r="AF1001" s="7" t="s">
        <v>5044</v>
      </c>
      <c r="AG1001" s="7">
        <v>0</v>
      </c>
      <c r="AH1001" s="7" t="s">
        <v>5044</v>
      </c>
      <c r="AI1001" s="7" t="s">
        <v>5044</v>
      </c>
      <c r="AJ1001" s="7" t="s">
        <v>5044</v>
      </c>
      <c r="AK1001" s="7" t="s">
        <v>6039</v>
      </c>
      <c r="AL1001" s="7">
        <v>0</v>
      </c>
      <c r="AM1001" s="7">
        <v>0</v>
      </c>
    </row>
    <row r="1002" spans="1:40" ht="63" customHeight="1" x14ac:dyDescent="0.2">
      <c r="A1002" s="7">
        <v>10042</v>
      </c>
      <c r="B1002" s="7" t="s">
        <v>3704</v>
      </c>
      <c r="C1002" s="7" t="s">
        <v>3705</v>
      </c>
      <c r="D1002" s="7" t="s">
        <v>16</v>
      </c>
      <c r="F1002" s="7" t="s">
        <v>1267</v>
      </c>
      <c r="H1002" s="7" t="s">
        <v>3706</v>
      </c>
      <c r="I1002" s="7" t="s">
        <v>13</v>
      </c>
      <c r="J1002" s="7" t="s">
        <v>3707</v>
      </c>
      <c r="K1002" s="7" t="s">
        <v>3708</v>
      </c>
      <c r="L1002" s="7" t="s">
        <v>6040</v>
      </c>
      <c r="M1002" s="7">
        <v>0</v>
      </c>
      <c r="N1002" s="7" t="s">
        <v>5044</v>
      </c>
      <c r="O1002" s="7" t="s">
        <v>5044</v>
      </c>
      <c r="P1002" s="7">
        <v>0</v>
      </c>
      <c r="Q1002" s="7">
        <v>0</v>
      </c>
      <c r="R1002" s="7">
        <v>0</v>
      </c>
      <c r="S1002" s="7">
        <v>4</v>
      </c>
      <c r="T1002" s="7">
        <v>1</v>
      </c>
      <c r="U1002" s="7">
        <v>70</v>
      </c>
      <c r="V1002" s="7">
        <v>1</v>
      </c>
      <c r="W1002" s="7">
        <v>0</v>
      </c>
      <c r="X1002" s="7">
        <v>0</v>
      </c>
      <c r="Y1002" s="7">
        <v>0</v>
      </c>
      <c r="Z1002" s="7">
        <v>0</v>
      </c>
      <c r="AA1002" s="7">
        <v>0</v>
      </c>
      <c r="AB1002" s="7">
        <v>1</v>
      </c>
      <c r="AC1002" s="7">
        <v>1</v>
      </c>
      <c r="AD1002" s="7">
        <v>1</v>
      </c>
      <c r="AE1002" s="7">
        <v>0</v>
      </c>
      <c r="AF1002" s="7">
        <v>0</v>
      </c>
      <c r="AG1002" s="7" t="s">
        <v>5044</v>
      </c>
      <c r="AH1002" s="7" t="s">
        <v>5044</v>
      </c>
      <c r="AI1002" s="7" t="s">
        <v>5044</v>
      </c>
      <c r="AJ1002" s="7" t="s">
        <v>5044</v>
      </c>
      <c r="AK1002" s="7" t="s">
        <v>5318</v>
      </c>
      <c r="AL1002" s="7">
        <v>0</v>
      </c>
      <c r="AM1002" s="7">
        <v>0</v>
      </c>
      <c r="AN1002" s="7" t="s">
        <v>5318</v>
      </c>
    </row>
    <row r="1003" spans="1:40" ht="63" customHeight="1" x14ac:dyDescent="0.2">
      <c r="A1003" s="7">
        <v>10049</v>
      </c>
      <c r="B1003" s="7" t="s">
        <v>3709</v>
      </c>
      <c r="C1003" s="7" t="s">
        <v>3710</v>
      </c>
      <c r="D1003" s="7" t="s">
        <v>16</v>
      </c>
      <c r="E1003" s="7" t="s">
        <v>3714</v>
      </c>
      <c r="H1003" s="7" t="s">
        <v>3711</v>
      </c>
      <c r="I1003" s="7" t="s">
        <v>13</v>
      </c>
      <c r="J1003" s="7" t="s">
        <v>3712</v>
      </c>
      <c r="K1003" s="7" t="s">
        <v>3713</v>
      </c>
      <c r="L1003" s="7" t="s">
        <v>6041</v>
      </c>
      <c r="M1003" s="7">
        <v>0</v>
      </c>
      <c r="N1003" s="7" t="s">
        <v>5044</v>
      </c>
      <c r="O1003" s="7" t="s">
        <v>5044</v>
      </c>
      <c r="P1003" s="7">
        <v>1</v>
      </c>
      <c r="Q1003" s="7">
        <v>0</v>
      </c>
      <c r="R1003" s="7">
        <v>0</v>
      </c>
      <c r="S1003" s="7" t="s">
        <v>7670</v>
      </c>
      <c r="T1003" s="7">
        <v>1</v>
      </c>
      <c r="U1003" s="7">
        <v>36</v>
      </c>
      <c r="V1003" s="7">
        <v>0</v>
      </c>
      <c r="W1003" s="7">
        <v>1</v>
      </c>
      <c r="X1003" s="7">
        <v>0</v>
      </c>
      <c r="Y1003" s="7">
        <v>0</v>
      </c>
      <c r="Z1003" s="7">
        <v>0</v>
      </c>
      <c r="AA1003" s="7">
        <v>0</v>
      </c>
      <c r="AB1003" s="7">
        <v>1</v>
      </c>
      <c r="AC1003" s="7">
        <v>1</v>
      </c>
      <c r="AD1003" s="7" t="s">
        <v>5044</v>
      </c>
      <c r="AE1003" s="7" t="s">
        <v>5044</v>
      </c>
      <c r="AF1003" s="7" t="s">
        <v>5044</v>
      </c>
      <c r="AG1003" s="7">
        <v>1</v>
      </c>
      <c r="AH1003" s="7">
        <v>0</v>
      </c>
      <c r="AI1003" s="7">
        <v>0</v>
      </c>
      <c r="AJ1003" s="7" t="s">
        <v>5044</v>
      </c>
      <c r="AK1003" s="7" t="s">
        <v>5318</v>
      </c>
      <c r="AL1003" s="7">
        <v>0</v>
      </c>
      <c r="AM1003" s="7">
        <v>0</v>
      </c>
      <c r="AN1003" s="7" t="s">
        <v>5318</v>
      </c>
    </row>
    <row r="1004" spans="1:40" ht="63" customHeight="1" x14ac:dyDescent="0.2">
      <c r="A1004" s="7">
        <v>10068</v>
      </c>
      <c r="B1004" s="7" t="s">
        <v>3715</v>
      </c>
      <c r="C1004" s="7" t="s">
        <v>3716</v>
      </c>
      <c r="D1004" s="7" t="s">
        <v>46</v>
      </c>
      <c r="F1004" s="7" t="s">
        <v>865</v>
      </c>
      <c r="G1004" s="7" t="s">
        <v>17</v>
      </c>
      <c r="H1004" s="7" t="s">
        <v>1185</v>
      </c>
      <c r="I1004" s="7" t="s">
        <v>13</v>
      </c>
      <c r="J1004" s="7" t="s">
        <v>3717</v>
      </c>
      <c r="K1004" s="7" t="s">
        <v>3718</v>
      </c>
      <c r="L1004" s="11" t="s">
        <v>5044</v>
      </c>
      <c r="M1004" s="7">
        <v>0</v>
      </c>
      <c r="N1004" s="7" t="s">
        <v>5044</v>
      </c>
      <c r="O1004" s="7" t="s">
        <v>5044</v>
      </c>
      <c r="P1004" s="7">
        <v>0</v>
      </c>
      <c r="Q1004" s="7">
        <v>0</v>
      </c>
      <c r="R1004" s="7">
        <v>0</v>
      </c>
      <c r="S1004" s="7">
        <v>1</v>
      </c>
      <c r="T1004" s="7">
        <v>1</v>
      </c>
      <c r="U1004" s="7">
        <v>147</v>
      </c>
      <c r="V1004" s="7">
        <v>0</v>
      </c>
      <c r="W1004" s="7">
        <v>1</v>
      </c>
      <c r="X1004" s="7">
        <v>0</v>
      </c>
      <c r="Y1004" s="7">
        <v>0</v>
      </c>
      <c r="Z1004" s="7">
        <v>0</v>
      </c>
      <c r="AA1004" s="7">
        <v>0</v>
      </c>
      <c r="AB1004" s="7">
        <v>1</v>
      </c>
      <c r="AC1004" s="7">
        <v>1</v>
      </c>
      <c r="AD1004" s="7" t="s">
        <v>5044</v>
      </c>
      <c r="AE1004" s="7" t="s">
        <v>5044</v>
      </c>
      <c r="AF1004" s="7" t="s">
        <v>5044</v>
      </c>
      <c r="AG1004" s="7">
        <v>2</v>
      </c>
      <c r="AH1004" s="7">
        <v>3</v>
      </c>
      <c r="AI1004" s="7">
        <v>0</v>
      </c>
      <c r="AJ1004" s="7" t="s">
        <v>5044</v>
      </c>
      <c r="AK1004" s="7" t="s">
        <v>5318</v>
      </c>
      <c r="AL1004" s="7" t="s">
        <v>5044</v>
      </c>
      <c r="AM1004" s="7">
        <v>0</v>
      </c>
      <c r="AN1004" s="7" t="s">
        <v>5105</v>
      </c>
    </row>
    <row r="1005" spans="1:40" ht="63" customHeight="1" x14ac:dyDescent="0.2">
      <c r="A1005" s="7">
        <v>10070</v>
      </c>
      <c r="B1005" s="7" t="s">
        <v>3719</v>
      </c>
      <c r="C1005" s="7" t="s">
        <v>3720</v>
      </c>
      <c r="D1005" s="7" t="s">
        <v>74</v>
      </c>
      <c r="F1005" s="7" t="s">
        <v>2183</v>
      </c>
      <c r="G1005" s="7" t="s">
        <v>37</v>
      </c>
      <c r="H1005" s="7" t="s">
        <v>730</v>
      </c>
      <c r="I1005" s="7" t="s">
        <v>13</v>
      </c>
      <c r="J1005" s="7" t="s">
        <v>3721</v>
      </c>
      <c r="K1005" s="7" t="s">
        <v>3722</v>
      </c>
      <c r="L1005" s="11" t="s">
        <v>5044</v>
      </c>
      <c r="M1005" s="7">
        <v>0</v>
      </c>
      <c r="N1005" s="7" t="s">
        <v>5044</v>
      </c>
      <c r="O1005" s="7" t="s">
        <v>5044</v>
      </c>
      <c r="P1005" s="7">
        <v>0</v>
      </c>
      <c r="Q1005" s="7">
        <v>0</v>
      </c>
      <c r="R1005" s="7">
        <v>0</v>
      </c>
      <c r="S1005" s="7">
        <v>1</v>
      </c>
      <c r="T1005" s="7">
        <v>2</v>
      </c>
      <c r="U1005" s="7">
        <v>101</v>
      </c>
      <c r="V1005" s="7">
        <v>0</v>
      </c>
      <c r="W1005" s="7">
        <v>1</v>
      </c>
      <c r="X1005" s="7">
        <v>0</v>
      </c>
      <c r="Y1005" s="7">
        <v>0</v>
      </c>
      <c r="Z1005" s="7">
        <v>0</v>
      </c>
      <c r="AA1005" s="7">
        <v>0</v>
      </c>
      <c r="AB1005" s="7">
        <v>1</v>
      </c>
      <c r="AC1005" s="7">
        <v>0</v>
      </c>
      <c r="AD1005" s="7" t="s">
        <v>5044</v>
      </c>
      <c r="AE1005" s="7" t="s">
        <v>5044</v>
      </c>
      <c r="AF1005" s="7" t="s">
        <v>5044</v>
      </c>
      <c r="AG1005" s="7">
        <v>0</v>
      </c>
      <c r="AH1005" s="7" t="s">
        <v>5044</v>
      </c>
      <c r="AI1005" s="7" t="s">
        <v>5044</v>
      </c>
      <c r="AJ1005" s="7" t="s">
        <v>5044</v>
      </c>
      <c r="AK1005" s="7" t="s">
        <v>6042</v>
      </c>
      <c r="AL1005" s="7">
        <v>1</v>
      </c>
      <c r="AM1005" s="7">
        <v>0</v>
      </c>
    </row>
    <row r="1006" spans="1:40" ht="63" customHeight="1" x14ac:dyDescent="0.2">
      <c r="A1006" s="7">
        <v>10082</v>
      </c>
      <c r="B1006" s="7" t="s">
        <v>3723</v>
      </c>
      <c r="C1006" s="7" t="s">
        <v>3724</v>
      </c>
      <c r="D1006" s="7" t="s">
        <v>30</v>
      </c>
      <c r="F1006" s="7" t="s">
        <v>953</v>
      </c>
      <c r="G1006" s="7" t="s">
        <v>52</v>
      </c>
      <c r="H1006" s="7" t="s">
        <v>43</v>
      </c>
      <c r="I1006" s="7" t="s">
        <v>13</v>
      </c>
      <c r="J1006" s="7" t="s">
        <v>3725</v>
      </c>
      <c r="K1006" s="7" t="s">
        <v>3726</v>
      </c>
      <c r="L1006" s="7" t="s">
        <v>6043</v>
      </c>
      <c r="M1006" s="7">
        <v>0</v>
      </c>
      <c r="N1006" s="7" t="s">
        <v>5044</v>
      </c>
      <c r="O1006" s="7" t="s">
        <v>5044</v>
      </c>
      <c r="P1006" s="7">
        <v>0</v>
      </c>
      <c r="Q1006" s="7">
        <v>0</v>
      </c>
      <c r="R1006" s="7">
        <v>0</v>
      </c>
      <c r="S1006" s="7" t="s">
        <v>5708</v>
      </c>
      <c r="T1006" s="7">
        <v>1</v>
      </c>
      <c r="U1006" s="7">
        <v>54</v>
      </c>
      <c r="V1006" s="7">
        <v>0</v>
      </c>
      <c r="W1006" s="7">
        <v>1</v>
      </c>
      <c r="X1006" s="7">
        <v>0</v>
      </c>
      <c r="Y1006" s="7">
        <v>0</v>
      </c>
      <c r="Z1006" s="7">
        <v>0</v>
      </c>
      <c r="AA1006" s="7">
        <v>0</v>
      </c>
      <c r="AB1006" s="7">
        <v>1</v>
      </c>
      <c r="AC1006" s="7">
        <v>1</v>
      </c>
      <c r="AD1006" s="7" t="s">
        <v>5044</v>
      </c>
      <c r="AE1006" s="7" t="s">
        <v>5044</v>
      </c>
      <c r="AF1006" s="7" t="s">
        <v>5044</v>
      </c>
      <c r="AG1006" s="7">
        <v>2</v>
      </c>
      <c r="AH1006" s="7">
        <v>3</v>
      </c>
      <c r="AI1006" s="7">
        <v>0</v>
      </c>
      <c r="AJ1006" s="7" t="s">
        <v>5044</v>
      </c>
      <c r="AK1006" s="7" t="s">
        <v>5318</v>
      </c>
      <c r="AL1006" s="7" t="s">
        <v>5044</v>
      </c>
      <c r="AM1006" s="7">
        <v>0</v>
      </c>
    </row>
    <row r="1007" spans="1:40" ht="63" customHeight="1" x14ac:dyDescent="0.2">
      <c r="A1007" s="7">
        <v>10098</v>
      </c>
      <c r="B1007" s="7" t="s">
        <v>3727</v>
      </c>
      <c r="C1007" s="7" t="s">
        <v>3728</v>
      </c>
      <c r="D1007" s="7" t="s">
        <v>22</v>
      </c>
      <c r="F1007" s="7" t="s">
        <v>416</v>
      </c>
      <c r="G1007" s="7" t="s">
        <v>48</v>
      </c>
      <c r="H1007" s="7" t="s">
        <v>123</v>
      </c>
      <c r="I1007" s="7" t="s">
        <v>13</v>
      </c>
      <c r="J1007" s="7" t="s">
        <v>3729</v>
      </c>
      <c r="K1007" s="7" t="s">
        <v>3730</v>
      </c>
      <c r="L1007" s="7" t="s">
        <v>6044</v>
      </c>
      <c r="M1007" s="7">
        <v>0</v>
      </c>
      <c r="N1007" s="7" t="s">
        <v>5044</v>
      </c>
      <c r="O1007" s="7" t="s">
        <v>5044</v>
      </c>
      <c r="P1007" s="7">
        <v>0</v>
      </c>
      <c r="Q1007" s="7">
        <v>0</v>
      </c>
      <c r="R1007" s="7">
        <v>0</v>
      </c>
      <c r="S1007" s="7">
        <v>1</v>
      </c>
      <c r="T1007" s="7">
        <v>5</v>
      </c>
      <c r="U1007" s="7">
        <v>86</v>
      </c>
      <c r="V1007" s="7">
        <v>0</v>
      </c>
      <c r="W1007" s="7">
        <v>1</v>
      </c>
      <c r="X1007" s="7">
        <v>0</v>
      </c>
      <c r="Y1007" s="7">
        <v>0</v>
      </c>
      <c r="Z1007" s="7">
        <v>0</v>
      </c>
      <c r="AA1007" s="7">
        <v>0</v>
      </c>
      <c r="AB1007" s="7">
        <v>1</v>
      </c>
      <c r="AC1007" s="7">
        <v>1</v>
      </c>
      <c r="AD1007" s="7" t="s">
        <v>5044</v>
      </c>
      <c r="AE1007" s="7" t="s">
        <v>5044</v>
      </c>
      <c r="AF1007" s="7" t="s">
        <v>5044</v>
      </c>
      <c r="AG1007" s="7">
        <v>2</v>
      </c>
      <c r="AH1007" s="7">
        <v>3</v>
      </c>
      <c r="AI1007" s="7">
        <v>0</v>
      </c>
      <c r="AJ1007" s="7" t="s">
        <v>5044</v>
      </c>
      <c r="AK1007" s="7" t="s">
        <v>5318</v>
      </c>
      <c r="AL1007" s="7">
        <v>1</v>
      </c>
      <c r="AM1007" s="7">
        <v>0</v>
      </c>
      <c r="AN1007" s="7" t="s">
        <v>5318</v>
      </c>
    </row>
    <row r="1008" spans="1:40" ht="63" customHeight="1" x14ac:dyDescent="0.2">
      <c r="A1008" s="7">
        <v>10101</v>
      </c>
      <c r="B1008" s="7" t="s">
        <v>3731</v>
      </c>
      <c r="C1008" s="7" t="s">
        <v>3732</v>
      </c>
      <c r="D1008" s="7" t="s">
        <v>41</v>
      </c>
      <c r="F1008" s="7" t="s">
        <v>312</v>
      </c>
      <c r="G1008" s="7" t="s">
        <v>175</v>
      </c>
      <c r="H1008" s="7" t="s">
        <v>38</v>
      </c>
      <c r="I1008" s="7" t="s">
        <v>13</v>
      </c>
      <c r="J1008" s="7" t="s">
        <v>3733</v>
      </c>
      <c r="K1008" s="7" t="s">
        <v>3734</v>
      </c>
      <c r="L1008" s="7" t="s">
        <v>6045</v>
      </c>
      <c r="M1008" s="7">
        <v>0</v>
      </c>
      <c r="N1008" s="7" t="s">
        <v>5044</v>
      </c>
      <c r="O1008" s="7" t="s">
        <v>5044</v>
      </c>
      <c r="P1008" s="7">
        <v>0</v>
      </c>
      <c r="Q1008" s="7">
        <v>0</v>
      </c>
      <c r="R1008" s="7">
        <v>0</v>
      </c>
      <c r="S1008" s="7">
        <v>1</v>
      </c>
      <c r="T1008" s="7">
        <v>5</v>
      </c>
      <c r="U1008" s="7">
        <v>170</v>
      </c>
      <c r="V1008" s="7">
        <v>0</v>
      </c>
      <c r="W1008" s="7">
        <v>1</v>
      </c>
      <c r="X1008" s="7">
        <v>0</v>
      </c>
      <c r="Y1008" s="7">
        <v>0</v>
      </c>
      <c r="Z1008" s="7">
        <v>1</v>
      </c>
      <c r="AA1008" s="7">
        <v>0</v>
      </c>
      <c r="AB1008" s="7">
        <v>1</v>
      </c>
      <c r="AC1008" s="7">
        <v>1</v>
      </c>
      <c r="AD1008" s="7" t="s">
        <v>5044</v>
      </c>
      <c r="AE1008" s="7" t="s">
        <v>5044</v>
      </c>
      <c r="AF1008" s="7" t="s">
        <v>5044</v>
      </c>
      <c r="AG1008" s="7">
        <v>2</v>
      </c>
      <c r="AH1008" s="7">
        <v>3</v>
      </c>
      <c r="AI1008" s="7">
        <v>0</v>
      </c>
      <c r="AJ1008" s="7">
        <v>0</v>
      </c>
      <c r="AK1008" s="7">
        <v>1</v>
      </c>
      <c r="AL1008" s="7">
        <v>1</v>
      </c>
      <c r="AM1008" s="7">
        <v>0</v>
      </c>
      <c r="AN1008" s="7" t="s">
        <v>5318</v>
      </c>
    </row>
    <row r="1009" spans="1:40" ht="63" customHeight="1" x14ac:dyDescent="0.2">
      <c r="A1009" s="7">
        <v>10106</v>
      </c>
      <c r="B1009" s="7" t="s">
        <v>3735</v>
      </c>
      <c r="C1009" s="7" t="s">
        <v>3736</v>
      </c>
      <c r="D1009" s="7" t="s">
        <v>101</v>
      </c>
      <c r="F1009" s="7" t="s">
        <v>3737</v>
      </c>
      <c r="H1009" s="7" t="s">
        <v>3422</v>
      </c>
      <c r="I1009" s="7" t="s">
        <v>13</v>
      </c>
      <c r="J1009" s="7" t="s">
        <v>3738</v>
      </c>
      <c r="K1009" s="7" t="s">
        <v>3739</v>
      </c>
      <c r="L1009" s="7" t="s">
        <v>6046</v>
      </c>
      <c r="M1009" s="7">
        <v>0</v>
      </c>
      <c r="N1009" s="7" t="s">
        <v>5044</v>
      </c>
      <c r="O1009" s="7" t="s">
        <v>5044</v>
      </c>
      <c r="P1009" s="7">
        <v>0</v>
      </c>
      <c r="Q1009" s="7">
        <v>0</v>
      </c>
      <c r="R1009" s="7">
        <v>0</v>
      </c>
      <c r="S1009" s="7">
        <v>1</v>
      </c>
      <c r="T1009" s="7">
        <v>1</v>
      </c>
      <c r="U1009" s="7">
        <v>40</v>
      </c>
      <c r="V1009" s="7">
        <v>1</v>
      </c>
      <c r="W1009" s="7">
        <v>0</v>
      </c>
      <c r="X1009" s="7">
        <v>0</v>
      </c>
      <c r="Y1009" s="7">
        <v>0</v>
      </c>
      <c r="Z1009" s="7">
        <v>0</v>
      </c>
      <c r="AA1009" s="7">
        <v>0</v>
      </c>
      <c r="AB1009" s="7">
        <v>1</v>
      </c>
      <c r="AC1009" s="7">
        <v>1</v>
      </c>
      <c r="AD1009" s="7">
        <v>2</v>
      </c>
      <c r="AE1009" s="7">
        <v>3</v>
      </c>
      <c r="AF1009" s="7">
        <v>0</v>
      </c>
      <c r="AG1009" s="7" t="s">
        <v>5044</v>
      </c>
      <c r="AH1009" s="7" t="s">
        <v>5044</v>
      </c>
      <c r="AI1009" s="7" t="s">
        <v>5044</v>
      </c>
      <c r="AJ1009" s="7" t="s">
        <v>5044</v>
      </c>
      <c r="AK1009" s="7" t="s">
        <v>5318</v>
      </c>
      <c r="AL1009" s="7">
        <v>1</v>
      </c>
      <c r="AM1009" s="7">
        <v>0</v>
      </c>
    </row>
    <row r="1010" spans="1:40" ht="63" customHeight="1" x14ac:dyDescent="0.2">
      <c r="A1010" s="7">
        <v>10110</v>
      </c>
      <c r="B1010" s="7" t="s">
        <v>3740</v>
      </c>
      <c r="C1010" s="7" t="s">
        <v>3741</v>
      </c>
      <c r="D1010" s="7" t="s">
        <v>41</v>
      </c>
      <c r="E1010" s="7" t="s">
        <v>3714</v>
      </c>
      <c r="F1010" s="7" t="s">
        <v>3442</v>
      </c>
      <c r="G1010" s="7" t="s">
        <v>47</v>
      </c>
      <c r="H1010" s="7" t="s">
        <v>1083</v>
      </c>
      <c r="I1010" s="7" t="s">
        <v>13</v>
      </c>
      <c r="J1010" s="7" t="s">
        <v>3742</v>
      </c>
      <c r="K1010" s="7" t="s">
        <v>3743</v>
      </c>
      <c r="L1010" s="7" t="s">
        <v>6047</v>
      </c>
      <c r="M1010" s="7">
        <v>0</v>
      </c>
      <c r="N1010" s="7" t="s">
        <v>5044</v>
      </c>
      <c r="O1010" s="7" t="s">
        <v>5044</v>
      </c>
      <c r="P1010" s="7">
        <v>1</v>
      </c>
      <c r="Q1010" s="7">
        <v>0</v>
      </c>
      <c r="R1010" s="7">
        <v>0</v>
      </c>
      <c r="S1010" s="7">
        <v>9</v>
      </c>
      <c r="T1010" s="7">
        <v>5</v>
      </c>
      <c r="U1010" s="7">
        <v>146</v>
      </c>
      <c r="V1010" s="7">
        <v>0</v>
      </c>
      <c r="W1010" s="7">
        <v>1</v>
      </c>
      <c r="X1010" s="7">
        <v>0</v>
      </c>
      <c r="Y1010" s="7">
        <v>0</v>
      </c>
      <c r="Z1010" s="7">
        <v>1</v>
      </c>
      <c r="AA1010" s="7">
        <v>0</v>
      </c>
      <c r="AB1010" s="7">
        <v>1</v>
      </c>
      <c r="AC1010" s="7">
        <v>1</v>
      </c>
      <c r="AD1010" s="7" t="s">
        <v>5044</v>
      </c>
      <c r="AE1010" s="7" t="s">
        <v>5044</v>
      </c>
      <c r="AF1010" s="7" t="s">
        <v>5044</v>
      </c>
      <c r="AG1010" s="7">
        <v>2</v>
      </c>
      <c r="AH1010" s="7">
        <v>3</v>
      </c>
      <c r="AI1010" s="7">
        <v>0</v>
      </c>
      <c r="AJ1010" s="7">
        <v>0</v>
      </c>
      <c r="AK1010" s="7">
        <v>1</v>
      </c>
      <c r="AL1010" s="7">
        <v>0</v>
      </c>
      <c r="AM1010" s="7">
        <v>0</v>
      </c>
      <c r="AN1010" s="7" t="s">
        <v>6290</v>
      </c>
    </row>
    <row r="1011" spans="1:40" ht="63" customHeight="1" x14ac:dyDescent="0.2">
      <c r="A1011" s="7">
        <v>10136</v>
      </c>
      <c r="B1011" s="7" t="s">
        <v>3744</v>
      </c>
      <c r="C1011" s="7" t="s">
        <v>3745</v>
      </c>
      <c r="D1011" s="7" t="s">
        <v>101</v>
      </c>
      <c r="F1011" s="7" t="s">
        <v>489</v>
      </c>
      <c r="G1011" s="7" t="s">
        <v>11</v>
      </c>
      <c r="H1011" s="7" t="s">
        <v>12</v>
      </c>
      <c r="I1011" s="7" t="s">
        <v>13</v>
      </c>
      <c r="J1011" s="7" t="s">
        <v>3746</v>
      </c>
      <c r="K1011" s="7" t="s">
        <v>3747</v>
      </c>
      <c r="L1011" s="7" t="s">
        <v>5086</v>
      </c>
      <c r="M1011" s="7">
        <v>0</v>
      </c>
      <c r="N1011" s="7" t="s">
        <v>5044</v>
      </c>
      <c r="O1011" s="7" t="s">
        <v>5044</v>
      </c>
      <c r="P1011" s="7">
        <v>0</v>
      </c>
      <c r="Q1011" s="7">
        <v>0</v>
      </c>
      <c r="R1011" s="7">
        <v>0</v>
      </c>
      <c r="S1011" s="7">
        <v>3</v>
      </c>
      <c r="T1011" s="7">
        <v>1</v>
      </c>
      <c r="U1011" s="7">
        <v>820</v>
      </c>
      <c r="V1011" s="7">
        <v>0</v>
      </c>
      <c r="W1011" s="7">
        <v>1</v>
      </c>
      <c r="X1011" s="7">
        <v>0</v>
      </c>
      <c r="Y1011" s="7">
        <v>0</v>
      </c>
      <c r="Z1011" s="7">
        <v>0</v>
      </c>
      <c r="AA1011" s="7">
        <v>0</v>
      </c>
      <c r="AB1011" s="7">
        <v>1</v>
      </c>
      <c r="AC1011" s="7">
        <v>1</v>
      </c>
      <c r="AD1011" s="7" t="s">
        <v>5044</v>
      </c>
      <c r="AE1011" s="7" t="s">
        <v>5044</v>
      </c>
      <c r="AF1011" s="7" t="s">
        <v>5044</v>
      </c>
      <c r="AG1011" s="7">
        <v>1</v>
      </c>
      <c r="AH1011" s="7">
        <v>0</v>
      </c>
      <c r="AI1011" s="7">
        <v>0</v>
      </c>
      <c r="AJ1011" s="7" t="s">
        <v>5044</v>
      </c>
      <c r="AK1011" s="7" t="s">
        <v>5318</v>
      </c>
      <c r="AL1011" s="7">
        <v>1</v>
      </c>
      <c r="AM1011" s="7">
        <v>0</v>
      </c>
      <c r="AN1011" s="7" t="s">
        <v>5217</v>
      </c>
    </row>
    <row r="1012" spans="1:40" ht="63" customHeight="1" x14ac:dyDescent="0.2">
      <c r="A1012" s="7">
        <v>10140</v>
      </c>
      <c r="B1012" s="7" t="s">
        <v>3748</v>
      </c>
      <c r="C1012" s="7" t="s">
        <v>3749</v>
      </c>
      <c r="D1012" s="7" t="s">
        <v>101</v>
      </c>
      <c r="F1012" s="7" t="s">
        <v>37</v>
      </c>
      <c r="G1012" s="7" t="s">
        <v>52</v>
      </c>
      <c r="H1012" s="7" t="s">
        <v>273</v>
      </c>
      <c r="I1012" s="7" t="s">
        <v>13</v>
      </c>
      <c r="J1012" s="7" t="s">
        <v>3750</v>
      </c>
      <c r="K1012" s="7" t="s">
        <v>3751</v>
      </c>
      <c r="L1012" s="7" t="s">
        <v>6048</v>
      </c>
      <c r="M1012" s="7">
        <v>0</v>
      </c>
      <c r="N1012" s="7" t="s">
        <v>5044</v>
      </c>
      <c r="O1012" s="7" t="s">
        <v>5044</v>
      </c>
      <c r="P1012" s="7">
        <v>1</v>
      </c>
      <c r="Q1012" s="7">
        <v>0</v>
      </c>
      <c r="R1012" s="7">
        <v>0</v>
      </c>
      <c r="S1012" s="7" t="s">
        <v>5357</v>
      </c>
      <c r="T1012" s="7">
        <v>1</v>
      </c>
      <c r="U1012" s="7">
        <v>136</v>
      </c>
      <c r="V1012" s="7">
        <v>0</v>
      </c>
      <c r="W1012" s="7">
        <v>1</v>
      </c>
      <c r="X1012" s="7">
        <v>0</v>
      </c>
      <c r="Y1012" s="7">
        <v>0</v>
      </c>
      <c r="Z1012" s="7">
        <v>0</v>
      </c>
      <c r="AA1012" s="7">
        <v>0</v>
      </c>
      <c r="AB1012" s="7">
        <v>1</v>
      </c>
      <c r="AC1012" s="7">
        <v>1</v>
      </c>
      <c r="AD1012" s="7" t="s">
        <v>5044</v>
      </c>
      <c r="AE1012" s="7" t="s">
        <v>5044</v>
      </c>
      <c r="AF1012" s="7" t="s">
        <v>5044</v>
      </c>
      <c r="AG1012" s="7">
        <v>1</v>
      </c>
      <c r="AH1012" s="7">
        <v>0</v>
      </c>
      <c r="AI1012" s="7">
        <v>0</v>
      </c>
      <c r="AJ1012" s="7" t="s">
        <v>5044</v>
      </c>
      <c r="AK1012" s="7" t="s">
        <v>5318</v>
      </c>
      <c r="AL1012" s="7">
        <v>1</v>
      </c>
      <c r="AM1012" s="7">
        <v>0</v>
      </c>
      <c r="AN1012" s="7" t="s">
        <v>5318</v>
      </c>
    </row>
    <row r="1013" spans="1:40" ht="63" customHeight="1" x14ac:dyDescent="0.2">
      <c r="A1013" s="7">
        <v>10172</v>
      </c>
      <c r="B1013" s="7" t="s">
        <v>3752</v>
      </c>
      <c r="C1013" s="7" t="s">
        <v>3753</v>
      </c>
      <c r="D1013" s="7" t="s">
        <v>74</v>
      </c>
      <c r="F1013" s="7" t="s">
        <v>293</v>
      </c>
      <c r="G1013" s="7" t="s">
        <v>48</v>
      </c>
      <c r="H1013" s="7" t="s">
        <v>283</v>
      </c>
      <c r="I1013" s="7" t="s">
        <v>13</v>
      </c>
      <c r="J1013" s="7" t="s">
        <v>3754</v>
      </c>
      <c r="K1013" s="7" t="s">
        <v>3755</v>
      </c>
      <c r="L1013" s="7" t="s">
        <v>6049</v>
      </c>
      <c r="M1013" s="7">
        <v>0</v>
      </c>
      <c r="N1013" s="7" t="s">
        <v>5044</v>
      </c>
      <c r="O1013" s="7" t="s">
        <v>5044</v>
      </c>
      <c r="P1013" s="7">
        <v>0</v>
      </c>
      <c r="Q1013" s="7">
        <v>0</v>
      </c>
      <c r="R1013" s="7">
        <v>0</v>
      </c>
      <c r="S1013" s="7">
        <v>1</v>
      </c>
      <c r="T1013" s="7">
        <v>1</v>
      </c>
      <c r="U1013" s="7">
        <v>66</v>
      </c>
      <c r="V1013" s="7">
        <v>0</v>
      </c>
      <c r="W1013" s="7">
        <v>1</v>
      </c>
      <c r="X1013" s="7">
        <v>0</v>
      </c>
      <c r="Y1013" s="7">
        <v>0</v>
      </c>
      <c r="Z1013" s="7">
        <v>0</v>
      </c>
      <c r="AA1013" s="7">
        <v>0</v>
      </c>
      <c r="AB1013" s="7">
        <v>1</v>
      </c>
      <c r="AC1013" s="7">
        <v>1</v>
      </c>
      <c r="AD1013" s="7" t="s">
        <v>5044</v>
      </c>
      <c r="AE1013" s="7" t="s">
        <v>5044</v>
      </c>
      <c r="AF1013" s="7" t="s">
        <v>5044</v>
      </c>
      <c r="AG1013" s="7">
        <v>2</v>
      </c>
      <c r="AH1013" s="7">
        <v>3</v>
      </c>
      <c r="AI1013" s="7">
        <v>0</v>
      </c>
      <c r="AJ1013" s="7" t="s">
        <v>5044</v>
      </c>
      <c r="AK1013" s="7" t="s">
        <v>5318</v>
      </c>
      <c r="AL1013" s="7">
        <v>1</v>
      </c>
      <c r="AM1013" s="7">
        <v>0</v>
      </c>
      <c r="AN1013" s="7" t="s">
        <v>5318</v>
      </c>
    </row>
    <row r="1014" spans="1:40" ht="63" customHeight="1" x14ac:dyDescent="0.2">
      <c r="A1014" s="7">
        <v>10173</v>
      </c>
      <c r="B1014" s="7" t="s">
        <v>3756</v>
      </c>
      <c r="C1014" s="7" t="s">
        <v>3757</v>
      </c>
      <c r="D1014" s="7" t="s">
        <v>56</v>
      </c>
      <c r="F1014" s="7" t="s">
        <v>587</v>
      </c>
      <c r="G1014" s="7" t="s">
        <v>47</v>
      </c>
      <c r="H1014" s="7" t="s">
        <v>290</v>
      </c>
      <c r="I1014" s="7" t="s">
        <v>13</v>
      </c>
      <c r="J1014" s="7" t="s">
        <v>3758</v>
      </c>
      <c r="K1014" s="7" t="s">
        <v>3759</v>
      </c>
      <c r="L1014" s="7" t="s">
        <v>6050</v>
      </c>
      <c r="M1014" s="7">
        <v>0</v>
      </c>
      <c r="N1014" s="7" t="s">
        <v>5044</v>
      </c>
      <c r="O1014" s="7" t="s">
        <v>5044</v>
      </c>
      <c r="P1014" s="7">
        <v>1</v>
      </c>
      <c r="Q1014" s="7">
        <v>0</v>
      </c>
      <c r="R1014" s="7">
        <v>0</v>
      </c>
      <c r="S1014" s="7">
        <v>1</v>
      </c>
      <c r="T1014" s="7">
        <v>1</v>
      </c>
      <c r="U1014" s="7">
        <v>48</v>
      </c>
      <c r="V1014" s="7">
        <v>0</v>
      </c>
      <c r="W1014" s="7">
        <v>1</v>
      </c>
      <c r="X1014" s="7">
        <v>0</v>
      </c>
      <c r="Y1014" s="7">
        <v>0</v>
      </c>
      <c r="Z1014" s="7">
        <v>0</v>
      </c>
      <c r="AA1014" s="7">
        <v>0</v>
      </c>
      <c r="AB1014" s="7">
        <v>1</v>
      </c>
      <c r="AC1014" s="7">
        <v>1</v>
      </c>
      <c r="AD1014" s="7" t="s">
        <v>5044</v>
      </c>
      <c r="AE1014" s="7" t="s">
        <v>5044</v>
      </c>
      <c r="AF1014" s="7" t="s">
        <v>5044</v>
      </c>
      <c r="AG1014" s="7">
        <v>2</v>
      </c>
      <c r="AH1014" s="7">
        <v>2</v>
      </c>
      <c r="AI1014" s="7">
        <v>2</v>
      </c>
      <c r="AJ1014" s="7" t="s">
        <v>5044</v>
      </c>
      <c r="AK1014" s="7" t="s">
        <v>5318</v>
      </c>
      <c r="AL1014" s="7">
        <v>0</v>
      </c>
      <c r="AM1014" s="7">
        <v>0</v>
      </c>
    </row>
    <row r="1015" spans="1:40" ht="63" customHeight="1" x14ac:dyDescent="0.2">
      <c r="A1015" s="7">
        <v>10181</v>
      </c>
      <c r="B1015" s="7" t="s">
        <v>3760</v>
      </c>
      <c r="C1015" s="7" t="s">
        <v>3761</v>
      </c>
      <c r="D1015" s="7" t="s">
        <v>30</v>
      </c>
      <c r="F1015" s="7" t="s">
        <v>289</v>
      </c>
      <c r="G1015" s="7" t="s">
        <v>144</v>
      </c>
      <c r="H1015" s="7" t="s">
        <v>540</v>
      </c>
      <c r="I1015" s="7" t="s">
        <v>13</v>
      </c>
      <c r="J1015" s="7" t="s">
        <v>3762</v>
      </c>
      <c r="K1015" s="7" t="s">
        <v>3763</v>
      </c>
      <c r="L1015" s="11" t="s">
        <v>5044</v>
      </c>
      <c r="M1015" s="7">
        <v>0</v>
      </c>
      <c r="N1015" s="7" t="s">
        <v>5044</v>
      </c>
      <c r="O1015" s="7" t="s">
        <v>5044</v>
      </c>
      <c r="P1015" s="7">
        <v>0</v>
      </c>
      <c r="Q1015" s="7">
        <v>0</v>
      </c>
      <c r="R1015" s="7">
        <v>0</v>
      </c>
      <c r="S1015" s="7">
        <v>3</v>
      </c>
      <c r="T1015" s="7">
        <v>1</v>
      </c>
      <c r="U1015" s="7">
        <v>49</v>
      </c>
      <c r="V1015" s="7">
        <v>0</v>
      </c>
      <c r="W1015" s="7">
        <v>1</v>
      </c>
      <c r="X1015" s="7">
        <v>0</v>
      </c>
      <c r="Y1015" s="7">
        <v>0</v>
      </c>
      <c r="Z1015" s="7">
        <v>0</v>
      </c>
      <c r="AA1015" s="7">
        <v>0</v>
      </c>
      <c r="AB1015" s="7">
        <v>1</v>
      </c>
      <c r="AC1015" s="7">
        <v>1</v>
      </c>
      <c r="AD1015" s="7" t="s">
        <v>5044</v>
      </c>
      <c r="AE1015" s="7" t="s">
        <v>5044</v>
      </c>
      <c r="AF1015" s="7" t="s">
        <v>5044</v>
      </c>
      <c r="AG1015" s="7">
        <v>2</v>
      </c>
      <c r="AH1015" s="7">
        <v>3</v>
      </c>
      <c r="AI1015" s="7">
        <v>0</v>
      </c>
      <c r="AJ1015" s="7" t="s">
        <v>5044</v>
      </c>
      <c r="AK1015" s="7" t="s">
        <v>5318</v>
      </c>
      <c r="AL1015" s="7">
        <v>0</v>
      </c>
      <c r="AM1015" s="7">
        <v>0</v>
      </c>
      <c r="AN1015" s="7" t="s">
        <v>5318</v>
      </c>
    </row>
    <row r="1016" spans="1:40" ht="63" customHeight="1" x14ac:dyDescent="0.2">
      <c r="A1016" s="7">
        <v>10190</v>
      </c>
      <c r="B1016" s="7" t="s">
        <v>3764</v>
      </c>
      <c r="C1016" s="7" t="s">
        <v>3765</v>
      </c>
      <c r="D1016" s="7" t="s">
        <v>16</v>
      </c>
      <c r="F1016" s="7" t="s">
        <v>532</v>
      </c>
      <c r="G1016" s="7" t="s">
        <v>11</v>
      </c>
      <c r="H1016" s="7" t="s">
        <v>43</v>
      </c>
      <c r="I1016" s="7" t="s">
        <v>13</v>
      </c>
      <c r="J1016" s="7" t="s">
        <v>3766</v>
      </c>
      <c r="K1016" s="7" t="s">
        <v>3767</v>
      </c>
      <c r="L1016" s="7" t="s">
        <v>6052</v>
      </c>
      <c r="M1016" s="7">
        <v>0</v>
      </c>
      <c r="N1016" s="7" t="s">
        <v>5044</v>
      </c>
      <c r="O1016" s="7" t="s">
        <v>5044</v>
      </c>
      <c r="P1016" s="7">
        <v>0</v>
      </c>
      <c r="Q1016" s="7">
        <v>0</v>
      </c>
      <c r="R1016" s="7">
        <v>0</v>
      </c>
      <c r="S1016" s="7">
        <v>1</v>
      </c>
      <c r="T1016" s="7">
        <v>1</v>
      </c>
      <c r="U1016" s="7">
        <v>89</v>
      </c>
      <c r="V1016" s="7">
        <v>0</v>
      </c>
      <c r="W1016" s="7">
        <v>1</v>
      </c>
      <c r="X1016" s="7">
        <v>0</v>
      </c>
      <c r="Y1016" s="7">
        <v>0</v>
      </c>
      <c r="Z1016" s="7">
        <v>0</v>
      </c>
      <c r="AA1016" s="7">
        <v>0</v>
      </c>
      <c r="AB1016" s="7">
        <v>1</v>
      </c>
      <c r="AC1016" s="7">
        <v>1</v>
      </c>
      <c r="AD1016" s="7" t="s">
        <v>5044</v>
      </c>
      <c r="AE1016" s="7" t="s">
        <v>5044</v>
      </c>
      <c r="AF1016" s="7" t="s">
        <v>5044</v>
      </c>
      <c r="AG1016" s="7">
        <v>2</v>
      </c>
      <c r="AH1016" s="7">
        <v>2</v>
      </c>
      <c r="AI1016" s="7">
        <v>1</v>
      </c>
      <c r="AJ1016" s="7" t="s">
        <v>5044</v>
      </c>
      <c r="AK1016" s="7" t="s">
        <v>5318</v>
      </c>
      <c r="AL1016" s="7">
        <v>0</v>
      </c>
      <c r="AM1016" s="7">
        <v>0</v>
      </c>
      <c r="AN1016" s="7" t="s">
        <v>5318</v>
      </c>
    </row>
    <row r="1017" spans="1:40" ht="63" customHeight="1" x14ac:dyDescent="0.2">
      <c r="A1017" s="7">
        <v>10199</v>
      </c>
      <c r="B1017" s="7" t="s">
        <v>3768</v>
      </c>
      <c r="C1017" s="7" t="s">
        <v>3769</v>
      </c>
      <c r="D1017" s="7" t="s">
        <v>16</v>
      </c>
      <c r="H1017" s="7" t="s">
        <v>140</v>
      </c>
      <c r="I1017" s="7" t="s">
        <v>13</v>
      </c>
      <c r="J1017" s="7" t="s">
        <v>3770</v>
      </c>
      <c r="K1017" s="7" t="s">
        <v>3771</v>
      </c>
      <c r="L1017" s="7" t="s">
        <v>6053</v>
      </c>
      <c r="M1017" s="7">
        <v>0</v>
      </c>
      <c r="N1017" s="7" t="s">
        <v>5044</v>
      </c>
      <c r="O1017" s="7" t="s">
        <v>5044</v>
      </c>
      <c r="P1017" s="7">
        <v>1</v>
      </c>
      <c r="Q1017" s="7">
        <v>0</v>
      </c>
      <c r="R1017" s="7">
        <v>0</v>
      </c>
      <c r="S1017" s="7">
        <v>9</v>
      </c>
      <c r="T1017" s="7">
        <v>2</v>
      </c>
      <c r="U1017" s="7">
        <v>81</v>
      </c>
      <c r="V1017" s="7">
        <v>0</v>
      </c>
      <c r="W1017" s="7">
        <v>1</v>
      </c>
      <c r="X1017" s="7">
        <v>0</v>
      </c>
      <c r="Y1017" s="7">
        <v>0</v>
      </c>
      <c r="Z1017" s="7">
        <v>1</v>
      </c>
      <c r="AA1017" s="7">
        <v>0</v>
      </c>
      <c r="AB1017" s="7">
        <v>1</v>
      </c>
      <c r="AC1017" s="7">
        <v>1</v>
      </c>
      <c r="AD1017" s="7" t="s">
        <v>5044</v>
      </c>
      <c r="AE1017" s="7" t="s">
        <v>5044</v>
      </c>
      <c r="AF1017" s="7" t="s">
        <v>5044</v>
      </c>
      <c r="AG1017" s="7">
        <v>2</v>
      </c>
      <c r="AH1017" s="7">
        <v>3</v>
      </c>
      <c r="AI1017" s="7">
        <v>0</v>
      </c>
      <c r="AJ1017" s="7">
        <v>0</v>
      </c>
      <c r="AK1017" s="7">
        <v>1</v>
      </c>
      <c r="AL1017" s="7">
        <v>1</v>
      </c>
      <c r="AM1017" s="7">
        <v>0</v>
      </c>
      <c r="AN1017" s="7" t="s">
        <v>6290</v>
      </c>
    </row>
    <row r="1018" spans="1:40" ht="63" customHeight="1" x14ac:dyDescent="0.2">
      <c r="A1018" s="7">
        <v>10203</v>
      </c>
      <c r="B1018" s="7" t="s">
        <v>3772</v>
      </c>
      <c r="C1018" s="7" t="s">
        <v>3773</v>
      </c>
      <c r="D1018" s="7" t="s">
        <v>101</v>
      </c>
      <c r="F1018" s="7" t="s">
        <v>3774</v>
      </c>
      <c r="H1018" s="7" t="s">
        <v>775</v>
      </c>
      <c r="I1018" s="7" t="s">
        <v>13</v>
      </c>
      <c r="J1018" s="7" t="s">
        <v>3775</v>
      </c>
      <c r="K1018" s="7" t="s">
        <v>3776</v>
      </c>
      <c r="L1018" s="11" t="s">
        <v>5044</v>
      </c>
      <c r="M1018" s="7">
        <v>0</v>
      </c>
      <c r="N1018" s="7" t="s">
        <v>5044</v>
      </c>
      <c r="O1018" s="7" t="s">
        <v>5044</v>
      </c>
      <c r="P1018" s="7">
        <v>0</v>
      </c>
      <c r="Q1018" s="7">
        <v>0</v>
      </c>
      <c r="R1018" s="7">
        <v>0</v>
      </c>
      <c r="S1018" s="7">
        <v>5</v>
      </c>
      <c r="T1018" s="7">
        <v>1</v>
      </c>
      <c r="U1018" s="7">
        <v>165</v>
      </c>
      <c r="V1018" s="7">
        <v>0</v>
      </c>
      <c r="W1018" s="7">
        <v>1</v>
      </c>
      <c r="X1018" s="7">
        <v>0</v>
      </c>
      <c r="Y1018" s="7">
        <v>0</v>
      </c>
      <c r="Z1018" s="7">
        <v>0</v>
      </c>
      <c r="AA1018" s="7">
        <v>0</v>
      </c>
      <c r="AB1018" s="7">
        <v>1</v>
      </c>
      <c r="AC1018" s="7">
        <v>1</v>
      </c>
      <c r="AD1018" s="7" t="s">
        <v>5044</v>
      </c>
      <c r="AE1018" s="7" t="s">
        <v>5044</v>
      </c>
      <c r="AF1018" s="7" t="s">
        <v>5044</v>
      </c>
      <c r="AG1018" s="7">
        <v>1</v>
      </c>
      <c r="AH1018" s="7">
        <v>0</v>
      </c>
      <c r="AI1018" s="7">
        <v>0</v>
      </c>
      <c r="AJ1018" s="7" t="s">
        <v>5044</v>
      </c>
      <c r="AK1018" s="7" t="s">
        <v>5318</v>
      </c>
      <c r="AL1018" s="7">
        <v>0</v>
      </c>
      <c r="AM1018" s="7">
        <v>0</v>
      </c>
    </row>
    <row r="1019" spans="1:40" ht="63" customHeight="1" x14ac:dyDescent="0.2">
      <c r="A1019" s="7">
        <v>10230</v>
      </c>
      <c r="B1019" s="7" t="s">
        <v>3781</v>
      </c>
      <c r="C1019" s="7" t="s">
        <v>3782</v>
      </c>
      <c r="D1019" s="7" t="s">
        <v>16</v>
      </c>
      <c r="E1019" s="7" t="s">
        <v>305</v>
      </c>
      <c r="F1019" s="7" t="s">
        <v>379</v>
      </c>
      <c r="H1019" s="7" t="s">
        <v>1463</v>
      </c>
      <c r="I1019" s="7" t="s">
        <v>13</v>
      </c>
      <c r="J1019" s="7" t="s">
        <v>3783</v>
      </c>
      <c r="K1019" s="7" t="s">
        <v>3784</v>
      </c>
      <c r="L1019" s="7" t="s">
        <v>6056</v>
      </c>
      <c r="M1019" s="7">
        <v>1</v>
      </c>
      <c r="N1019" s="7">
        <v>0</v>
      </c>
      <c r="O1019" s="7" t="s">
        <v>5044</v>
      </c>
      <c r="P1019" s="7">
        <v>0</v>
      </c>
      <c r="Q1019" s="7">
        <v>0</v>
      </c>
      <c r="R1019" s="7">
        <v>0</v>
      </c>
      <c r="S1019" s="7" t="s">
        <v>6057</v>
      </c>
      <c r="T1019" s="7">
        <v>2</v>
      </c>
      <c r="U1019" s="7">
        <v>300</v>
      </c>
      <c r="V1019" s="7">
        <v>0</v>
      </c>
      <c r="W1019" s="7">
        <v>1</v>
      </c>
      <c r="X1019" s="7">
        <v>0</v>
      </c>
      <c r="Y1019" s="7">
        <v>0</v>
      </c>
      <c r="Z1019" s="7">
        <v>0</v>
      </c>
      <c r="AA1019" s="7">
        <v>0</v>
      </c>
      <c r="AB1019" s="7">
        <v>1</v>
      </c>
      <c r="AC1019" s="7" t="s">
        <v>5044</v>
      </c>
      <c r="AD1019" s="7" t="s">
        <v>5044</v>
      </c>
      <c r="AE1019" s="7" t="s">
        <v>5044</v>
      </c>
      <c r="AF1019" s="7" t="s">
        <v>5044</v>
      </c>
      <c r="AG1019" s="7" t="s">
        <v>5044</v>
      </c>
      <c r="AH1019" s="7" t="s">
        <v>5044</v>
      </c>
      <c r="AI1019" s="7" t="s">
        <v>5044</v>
      </c>
      <c r="AJ1019" s="7" t="s">
        <v>5044</v>
      </c>
      <c r="AK1019" s="7" t="s">
        <v>5318</v>
      </c>
      <c r="AL1019" s="7" t="s">
        <v>5044</v>
      </c>
      <c r="AM1019" s="7">
        <v>0</v>
      </c>
      <c r="AN1019" s="7" t="s">
        <v>5318</v>
      </c>
    </row>
    <row r="1020" spans="1:40" ht="63" customHeight="1" x14ac:dyDescent="0.2">
      <c r="A1020" s="7">
        <v>10240</v>
      </c>
      <c r="B1020" s="7" t="s">
        <v>3785</v>
      </c>
      <c r="C1020" s="7" t="s">
        <v>3786</v>
      </c>
      <c r="D1020" s="7" t="s">
        <v>56</v>
      </c>
      <c r="F1020" s="7" t="s">
        <v>118</v>
      </c>
      <c r="G1020" s="7" t="s">
        <v>47</v>
      </c>
      <c r="H1020" s="7" t="s">
        <v>157</v>
      </c>
      <c r="I1020" s="7" t="s">
        <v>13</v>
      </c>
      <c r="J1020" s="7" t="s">
        <v>3787</v>
      </c>
      <c r="K1020" s="7" t="s">
        <v>3788</v>
      </c>
      <c r="L1020" s="7" t="s">
        <v>6058</v>
      </c>
      <c r="M1020" s="7">
        <v>0</v>
      </c>
      <c r="N1020" s="7" t="s">
        <v>5044</v>
      </c>
      <c r="O1020" s="7" t="s">
        <v>5044</v>
      </c>
      <c r="P1020" s="7">
        <v>0</v>
      </c>
      <c r="Q1020" s="7">
        <v>0</v>
      </c>
      <c r="R1020" s="7">
        <v>0</v>
      </c>
      <c r="S1020" s="7">
        <v>5</v>
      </c>
      <c r="T1020" s="7">
        <v>1</v>
      </c>
      <c r="U1020" s="7">
        <v>60</v>
      </c>
      <c r="V1020" s="7">
        <v>0</v>
      </c>
      <c r="W1020" s="7">
        <v>1</v>
      </c>
      <c r="X1020" s="7">
        <v>0</v>
      </c>
      <c r="Y1020" s="7">
        <v>0</v>
      </c>
      <c r="Z1020" s="7">
        <v>0</v>
      </c>
      <c r="AA1020" s="7">
        <v>0</v>
      </c>
      <c r="AB1020" s="7">
        <v>1</v>
      </c>
      <c r="AC1020" s="7">
        <v>1</v>
      </c>
      <c r="AD1020" s="7" t="s">
        <v>5044</v>
      </c>
      <c r="AE1020" s="7" t="s">
        <v>5044</v>
      </c>
      <c r="AF1020" s="7" t="s">
        <v>5044</v>
      </c>
      <c r="AG1020" s="7">
        <v>2</v>
      </c>
      <c r="AH1020" s="7">
        <v>2</v>
      </c>
      <c r="AI1020" s="7">
        <v>2</v>
      </c>
      <c r="AJ1020" s="7" t="s">
        <v>5044</v>
      </c>
      <c r="AK1020" s="7" t="s">
        <v>6059</v>
      </c>
      <c r="AL1020" s="7">
        <v>0</v>
      </c>
      <c r="AM1020" s="7">
        <v>0</v>
      </c>
    </row>
    <row r="1021" spans="1:40" ht="63" customHeight="1" x14ac:dyDescent="0.2">
      <c r="A1021" s="7">
        <v>10241</v>
      </c>
      <c r="B1021" s="7" t="s">
        <v>3789</v>
      </c>
      <c r="C1021" s="7" t="s">
        <v>3790</v>
      </c>
      <c r="D1021" s="7" t="s">
        <v>41</v>
      </c>
      <c r="F1021" s="7" t="s">
        <v>477</v>
      </c>
      <c r="G1021" s="7" t="s">
        <v>52</v>
      </c>
      <c r="H1021" s="7" t="s">
        <v>1377</v>
      </c>
      <c r="I1021" s="7" t="s">
        <v>13</v>
      </c>
      <c r="J1021" s="7" t="s">
        <v>3791</v>
      </c>
      <c r="K1021" s="7" t="s">
        <v>3792</v>
      </c>
      <c r="L1021" s="7" t="s">
        <v>6060</v>
      </c>
      <c r="M1021" s="7">
        <v>0</v>
      </c>
      <c r="N1021" s="7" t="s">
        <v>5044</v>
      </c>
      <c r="O1021" s="7" t="s">
        <v>5044</v>
      </c>
      <c r="P1021" s="7">
        <v>0</v>
      </c>
      <c r="Q1021" s="7">
        <v>0</v>
      </c>
      <c r="R1021" s="7">
        <v>0</v>
      </c>
      <c r="S1021" s="7">
        <v>5</v>
      </c>
      <c r="T1021" s="7">
        <v>1</v>
      </c>
      <c r="U1021" s="7">
        <v>209</v>
      </c>
      <c r="V1021" s="7">
        <v>1</v>
      </c>
      <c r="W1021" s="7">
        <v>0</v>
      </c>
      <c r="X1021" s="7">
        <v>0</v>
      </c>
      <c r="Y1021" s="7">
        <v>0</v>
      </c>
      <c r="Z1021" s="7">
        <v>0</v>
      </c>
      <c r="AA1021" s="7">
        <v>0</v>
      </c>
      <c r="AB1021" s="7">
        <v>1</v>
      </c>
      <c r="AC1021" s="7">
        <v>1</v>
      </c>
      <c r="AD1021" s="7">
        <v>2</v>
      </c>
      <c r="AE1021" s="7">
        <v>1</v>
      </c>
      <c r="AF1021" s="7">
        <v>2</v>
      </c>
      <c r="AG1021" s="7" t="s">
        <v>5044</v>
      </c>
      <c r="AH1021" s="7" t="s">
        <v>5044</v>
      </c>
      <c r="AI1021" s="7" t="s">
        <v>5044</v>
      </c>
      <c r="AJ1021" s="7" t="s">
        <v>5044</v>
      </c>
      <c r="AK1021" s="7" t="s">
        <v>6061</v>
      </c>
      <c r="AL1021" s="7">
        <v>0</v>
      </c>
      <c r="AM1021" s="7">
        <v>0</v>
      </c>
    </row>
    <row r="1022" spans="1:40" ht="63" customHeight="1" x14ac:dyDescent="0.2">
      <c r="A1022" s="7">
        <v>10253</v>
      </c>
      <c r="B1022" s="23" t="s">
        <v>3793</v>
      </c>
      <c r="C1022" s="7" t="s">
        <v>3794</v>
      </c>
      <c r="D1022" s="7" t="s">
        <v>41</v>
      </c>
      <c r="F1022" s="7" t="s">
        <v>3795</v>
      </c>
      <c r="G1022" s="7" t="s">
        <v>11</v>
      </c>
      <c r="H1022" s="7" t="s">
        <v>71</v>
      </c>
      <c r="I1022" s="7" t="s">
        <v>13</v>
      </c>
      <c r="J1022" s="7" t="s">
        <v>3796</v>
      </c>
      <c r="K1022" s="7" t="s">
        <v>3797</v>
      </c>
      <c r="L1022" s="7" t="s">
        <v>6032</v>
      </c>
      <c r="M1022" s="7">
        <v>0</v>
      </c>
      <c r="N1022" s="7" t="s">
        <v>5044</v>
      </c>
      <c r="O1022" s="7" t="s">
        <v>5044</v>
      </c>
      <c r="P1022" s="7">
        <v>0</v>
      </c>
      <c r="Q1022" s="7">
        <v>0</v>
      </c>
      <c r="R1022" s="7">
        <v>0</v>
      </c>
      <c r="S1022" s="7">
        <v>9</v>
      </c>
      <c r="T1022" s="7">
        <v>1</v>
      </c>
      <c r="U1022" s="7">
        <v>401</v>
      </c>
      <c r="V1022" s="7">
        <v>1</v>
      </c>
      <c r="W1022" s="7">
        <v>0</v>
      </c>
      <c r="X1022" s="7">
        <v>0</v>
      </c>
      <c r="Y1022" s="7">
        <v>0</v>
      </c>
      <c r="Z1022" s="7">
        <v>0</v>
      </c>
      <c r="AA1022" s="7">
        <v>0</v>
      </c>
      <c r="AB1022" s="7">
        <v>1</v>
      </c>
      <c r="AC1022" s="7">
        <v>1</v>
      </c>
      <c r="AD1022" s="7">
        <v>2</v>
      </c>
      <c r="AE1022" s="7">
        <v>3</v>
      </c>
      <c r="AF1022" s="7">
        <v>0</v>
      </c>
      <c r="AG1022" s="23" t="s">
        <v>5044</v>
      </c>
      <c r="AH1022" s="23" t="s">
        <v>5044</v>
      </c>
      <c r="AI1022" s="23" t="s">
        <v>5044</v>
      </c>
      <c r="AJ1022" s="7" t="s">
        <v>5044</v>
      </c>
      <c r="AK1022" s="7" t="s">
        <v>5318</v>
      </c>
      <c r="AL1022" s="7">
        <v>0</v>
      </c>
      <c r="AM1022" s="7">
        <v>0</v>
      </c>
    </row>
    <row r="1023" spans="1:40" ht="63" customHeight="1" x14ac:dyDescent="0.2">
      <c r="A1023" s="7">
        <v>10260</v>
      </c>
      <c r="B1023" s="7" t="s">
        <v>3798</v>
      </c>
      <c r="C1023" s="7" t="s">
        <v>3799</v>
      </c>
      <c r="D1023" s="7" t="s">
        <v>41</v>
      </c>
      <c r="F1023" s="7" t="s">
        <v>791</v>
      </c>
      <c r="H1023" s="7" t="s">
        <v>75</v>
      </c>
      <c r="I1023" s="7" t="s">
        <v>13</v>
      </c>
      <c r="J1023" s="7" t="s">
        <v>3800</v>
      </c>
      <c r="K1023" s="7" t="s">
        <v>3801</v>
      </c>
      <c r="L1023" s="7" t="s">
        <v>6063</v>
      </c>
      <c r="M1023" s="7">
        <v>0</v>
      </c>
      <c r="N1023" s="7" t="s">
        <v>5044</v>
      </c>
      <c r="O1023" s="7" t="s">
        <v>5044</v>
      </c>
      <c r="P1023" s="7">
        <v>0</v>
      </c>
      <c r="Q1023" s="7">
        <v>0</v>
      </c>
      <c r="R1023" s="7">
        <v>0</v>
      </c>
      <c r="S1023" s="7">
        <v>1</v>
      </c>
      <c r="T1023" s="7">
        <v>5</v>
      </c>
      <c r="U1023" s="7">
        <v>127</v>
      </c>
      <c r="V1023" s="7">
        <v>0</v>
      </c>
      <c r="W1023" s="7">
        <v>1</v>
      </c>
      <c r="X1023" s="7">
        <v>0</v>
      </c>
      <c r="Y1023" s="7">
        <v>0</v>
      </c>
      <c r="Z1023" s="7">
        <v>0</v>
      </c>
      <c r="AA1023" s="7">
        <v>0</v>
      </c>
      <c r="AB1023" s="7">
        <v>1</v>
      </c>
      <c r="AC1023" s="7">
        <v>1</v>
      </c>
      <c r="AD1023" s="7" t="s">
        <v>5044</v>
      </c>
      <c r="AE1023" s="7" t="s">
        <v>5044</v>
      </c>
      <c r="AF1023" s="7" t="s">
        <v>5044</v>
      </c>
      <c r="AG1023" s="7">
        <v>2</v>
      </c>
      <c r="AH1023" s="7">
        <v>1</v>
      </c>
      <c r="AI1023" s="7">
        <v>1</v>
      </c>
      <c r="AJ1023" s="7" t="s">
        <v>5044</v>
      </c>
      <c r="AK1023" s="7" t="s">
        <v>6064</v>
      </c>
      <c r="AL1023" s="7">
        <v>0</v>
      </c>
      <c r="AM1023" s="7">
        <v>0</v>
      </c>
      <c r="AN1023" s="7" t="s">
        <v>5318</v>
      </c>
    </row>
    <row r="1024" spans="1:40" ht="63" customHeight="1" x14ac:dyDescent="0.2">
      <c r="A1024" s="7">
        <v>10283</v>
      </c>
      <c r="B1024" s="7" t="s">
        <v>3802</v>
      </c>
      <c r="C1024" s="7" t="s">
        <v>3803</v>
      </c>
      <c r="D1024" s="7" t="s">
        <v>41</v>
      </c>
      <c r="F1024" s="7" t="s">
        <v>335</v>
      </c>
      <c r="G1024" s="7" t="s">
        <v>52</v>
      </c>
      <c r="H1024" s="7" t="s">
        <v>43</v>
      </c>
      <c r="I1024" s="7" t="s">
        <v>13</v>
      </c>
      <c r="J1024" s="7" t="s">
        <v>3804</v>
      </c>
      <c r="K1024" s="7" t="s">
        <v>3805</v>
      </c>
      <c r="L1024" s="7" t="s">
        <v>6065</v>
      </c>
      <c r="M1024" s="7">
        <v>0</v>
      </c>
      <c r="N1024" s="7" t="s">
        <v>5044</v>
      </c>
      <c r="O1024" s="7" t="s">
        <v>5044</v>
      </c>
      <c r="P1024" s="7">
        <v>1</v>
      </c>
      <c r="Q1024" s="7">
        <v>0</v>
      </c>
      <c r="R1024" s="7">
        <v>0</v>
      </c>
      <c r="S1024" s="7">
        <v>1</v>
      </c>
      <c r="T1024" s="7">
        <v>1</v>
      </c>
      <c r="U1024" s="7">
        <v>132</v>
      </c>
      <c r="V1024" s="7">
        <v>0</v>
      </c>
      <c r="W1024" s="7">
        <v>1</v>
      </c>
      <c r="X1024" s="7">
        <v>0</v>
      </c>
      <c r="Y1024" s="7">
        <v>0</v>
      </c>
      <c r="Z1024" s="7">
        <v>0</v>
      </c>
      <c r="AA1024" s="7">
        <v>0</v>
      </c>
      <c r="AB1024" s="7">
        <v>1</v>
      </c>
      <c r="AC1024" s="7">
        <v>1</v>
      </c>
      <c r="AD1024" s="7" t="s">
        <v>5044</v>
      </c>
      <c r="AE1024" s="7" t="s">
        <v>5044</v>
      </c>
      <c r="AF1024" s="7" t="s">
        <v>5044</v>
      </c>
      <c r="AG1024" s="7">
        <v>2</v>
      </c>
      <c r="AH1024" s="7">
        <v>3</v>
      </c>
      <c r="AI1024" s="7">
        <v>0</v>
      </c>
      <c r="AJ1024" s="7" t="s">
        <v>5044</v>
      </c>
      <c r="AK1024" s="7" t="s">
        <v>6066</v>
      </c>
      <c r="AL1024" s="7" t="s">
        <v>5044</v>
      </c>
      <c r="AM1024" s="7">
        <v>0</v>
      </c>
      <c r="AN1024" s="7" t="s">
        <v>6067</v>
      </c>
    </row>
    <row r="1025" spans="1:40" ht="63" customHeight="1" x14ac:dyDescent="0.2">
      <c r="A1025" s="7">
        <v>10316</v>
      </c>
      <c r="B1025" s="7" t="s">
        <v>3806</v>
      </c>
      <c r="C1025" s="7" t="s">
        <v>3807</v>
      </c>
      <c r="D1025" s="7" t="s">
        <v>95</v>
      </c>
      <c r="F1025" s="7" t="s">
        <v>1028</v>
      </c>
      <c r="G1025" s="7" t="s">
        <v>144</v>
      </c>
      <c r="H1025" s="7" t="s">
        <v>43</v>
      </c>
      <c r="I1025" s="7" t="s">
        <v>13</v>
      </c>
      <c r="J1025" s="7" t="s">
        <v>3808</v>
      </c>
      <c r="K1025" s="7" t="s">
        <v>3809</v>
      </c>
      <c r="L1025" s="7" t="s">
        <v>5205</v>
      </c>
      <c r="M1025" s="7">
        <v>0</v>
      </c>
      <c r="N1025" s="9" t="s">
        <v>5044</v>
      </c>
      <c r="O1025" s="9" t="s">
        <v>5044</v>
      </c>
      <c r="P1025" s="7">
        <v>0</v>
      </c>
      <c r="Q1025" s="7">
        <v>0</v>
      </c>
      <c r="R1025" s="7">
        <v>0</v>
      </c>
      <c r="S1025" s="7">
        <v>1</v>
      </c>
      <c r="T1025" s="7">
        <v>1</v>
      </c>
      <c r="U1025" s="7">
        <v>494</v>
      </c>
      <c r="V1025" s="7">
        <v>0</v>
      </c>
      <c r="W1025" s="7">
        <v>1</v>
      </c>
      <c r="X1025" s="7">
        <v>0</v>
      </c>
      <c r="Y1025" s="7">
        <v>0</v>
      </c>
      <c r="Z1025" s="7">
        <v>0</v>
      </c>
      <c r="AA1025" s="7">
        <v>0</v>
      </c>
      <c r="AB1025" s="7">
        <v>1</v>
      </c>
      <c r="AC1025" s="7">
        <v>1</v>
      </c>
      <c r="AD1025" s="7" t="s">
        <v>5044</v>
      </c>
      <c r="AE1025" s="7" t="s">
        <v>5044</v>
      </c>
      <c r="AF1025" s="7" t="s">
        <v>5044</v>
      </c>
      <c r="AG1025" s="7">
        <v>2</v>
      </c>
      <c r="AH1025" s="7">
        <v>3</v>
      </c>
      <c r="AI1025" s="7">
        <v>0</v>
      </c>
      <c r="AJ1025" s="7" t="s">
        <v>5044</v>
      </c>
      <c r="AK1025" s="7">
        <v>1</v>
      </c>
      <c r="AL1025" s="7">
        <v>0</v>
      </c>
      <c r="AM1025" s="7">
        <v>0</v>
      </c>
    </row>
    <row r="1026" spans="1:40" ht="63" customHeight="1" x14ac:dyDescent="0.2">
      <c r="A1026" s="7">
        <v>10322</v>
      </c>
      <c r="B1026" s="7" t="s">
        <v>3810</v>
      </c>
      <c r="C1026" s="7" t="s">
        <v>3811</v>
      </c>
      <c r="D1026" s="7" t="s">
        <v>25</v>
      </c>
      <c r="F1026" s="7" t="s">
        <v>3812</v>
      </c>
      <c r="G1026" s="7" t="s">
        <v>37</v>
      </c>
      <c r="H1026" s="7" t="s">
        <v>43</v>
      </c>
      <c r="I1026" s="7" t="s">
        <v>13</v>
      </c>
      <c r="J1026" s="7" t="s">
        <v>3813</v>
      </c>
      <c r="K1026" s="7" t="s">
        <v>3814</v>
      </c>
      <c r="L1026" s="7" t="s">
        <v>5044</v>
      </c>
      <c r="M1026" s="7">
        <v>0</v>
      </c>
      <c r="N1026" s="9" t="s">
        <v>5044</v>
      </c>
      <c r="O1026" s="9" t="s">
        <v>5044</v>
      </c>
      <c r="P1026" s="7">
        <v>0</v>
      </c>
      <c r="Q1026" s="7">
        <v>0</v>
      </c>
      <c r="R1026" s="7">
        <v>0</v>
      </c>
      <c r="S1026" s="7">
        <v>1</v>
      </c>
      <c r="T1026" s="7">
        <v>1</v>
      </c>
      <c r="U1026" s="7">
        <v>100</v>
      </c>
      <c r="V1026" s="7">
        <v>0</v>
      </c>
      <c r="W1026" s="7">
        <v>1</v>
      </c>
      <c r="X1026" s="7">
        <v>0</v>
      </c>
      <c r="Y1026" s="7">
        <v>0</v>
      </c>
      <c r="Z1026" s="7">
        <v>0</v>
      </c>
      <c r="AA1026" s="7">
        <v>0</v>
      </c>
      <c r="AB1026" s="7">
        <v>1</v>
      </c>
      <c r="AC1026" s="7">
        <v>1</v>
      </c>
      <c r="AD1026" s="7" t="s">
        <v>5044</v>
      </c>
      <c r="AE1026" s="7" t="s">
        <v>5044</v>
      </c>
      <c r="AF1026" s="7" t="s">
        <v>5044</v>
      </c>
      <c r="AG1026" s="7">
        <v>2</v>
      </c>
      <c r="AH1026" s="7">
        <v>2</v>
      </c>
      <c r="AI1026" s="7">
        <v>2</v>
      </c>
      <c r="AJ1026" s="7" t="s">
        <v>5044</v>
      </c>
      <c r="AK1026" s="7" t="s">
        <v>5206</v>
      </c>
      <c r="AL1026" s="7">
        <v>1</v>
      </c>
      <c r="AM1026" s="7">
        <v>0</v>
      </c>
    </row>
    <row r="1027" spans="1:40" ht="63" customHeight="1" x14ac:dyDescent="0.2">
      <c r="A1027" s="7">
        <v>10323</v>
      </c>
      <c r="B1027" s="7" t="s">
        <v>3815</v>
      </c>
      <c r="C1027" s="7" t="s">
        <v>3816</v>
      </c>
      <c r="D1027" s="7" t="s">
        <v>74</v>
      </c>
      <c r="F1027" s="7" t="s">
        <v>1206</v>
      </c>
      <c r="H1027" s="7" t="s">
        <v>3501</v>
      </c>
      <c r="I1027" s="7" t="s">
        <v>13</v>
      </c>
      <c r="J1027" s="7" t="s">
        <v>3817</v>
      </c>
      <c r="K1027" s="7" t="s">
        <v>3818</v>
      </c>
      <c r="L1027" s="7" t="s">
        <v>5208</v>
      </c>
      <c r="M1027" s="7">
        <v>0</v>
      </c>
      <c r="N1027" s="9" t="s">
        <v>5044</v>
      </c>
      <c r="O1027" s="9" t="s">
        <v>5044</v>
      </c>
      <c r="P1027" s="7">
        <v>1</v>
      </c>
      <c r="Q1027" s="7">
        <v>0</v>
      </c>
      <c r="R1027" s="7">
        <v>0</v>
      </c>
      <c r="S1027" s="7" t="s">
        <v>5207</v>
      </c>
      <c r="T1027" s="7">
        <v>3</v>
      </c>
      <c r="U1027" s="7">
        <v>34</v>
      </c>
      <c r="V1027" s="7">
        <v>0</v>
      </c>
      <c r="W1027" s="7">
        <v>1</v>
      </c>
      <c r="X1027" s="7">
        <v>0</v>
      </c>
      <c r="Y1027" s="7">
        <v>0</v>
      </c>
      <c r="Z1027" s="7">
        <v>0</v>
      </c>
      <c r="AA1027" s="7">
        <v>0</v>
      </c>
      <c r="AB1027" s="7">
        <v>1</v>
      </c>
      <c r="AC1027" s="7">
        <v>0</v>
      </c>
      <c r="AD1027" s="7" t="s">
        <v>5044</v>
      </c>
      <c r="AE1027" s="7" t="s">
        <v>5044</v>
      </c>
      <c r="AF1027" s="7" t="s">
        <v>5044</v>
      </c>
      <c r="AG1027" s="7">
        <v>0</v>
      </c>
      <c r="AH1027" s="7" t="s">
        <v>5044</v>
      </c>
      <c r="AI1027" s="7" t="s">
        <v>5044</v>
      </c>
      <c r="AJ1027" s="7" t="s">
        <v>5044</v>
      </c>
      <c r="AL1027" s="7">
        <v>0</v>
      </c>
      <c r="AM1027" s="7">
        <v>0</v>
      </c>
      <c r="AN1027" s="7" t="s">
        <v>5209</v>
      </c>
    </row>
    <row r="1028" spans="1:40" ht="63" customHeight="1" x14ac:dyDescent="0.2">
      <c r="A1028" s="7">
        <v>10340</v>
      </c>
      <c r="B1028" s="7" t="s">
        <v>3819</v>
      </c>
      <c r="C1028" s="7" t="s">
        <v>3820</v>
      </c>
      <c r="D1028" s="7" t="s">
        <v>74</v>
      </c>
      <c r="F1028" s="7" t="s">
        <v>31</v>
      </c>
      <c r="G1028" s="7" t="s">
        <v>18</v>
      </c>
      <c r="H1028" s="7" t="s">
        <v>365</v>
      </c>
      <c r="I1028" s="7" t="s">
        <v>13</v>
      </c>
      <c r="J1028" s="7" t="s">
        <v>3821</v>
      </c>
      <c r="K1028" s="7" t="s">
        <v>3822</v>
      </c>
      <c r="L1028" s="7" t="s">
        <v>5210</v>
      </c>
      <c r="M1028" s="7">
        <v>0</v>
      </c>
      <c r="N1028" s="9" t="s">
        <v>5044</v>
      </c>
      <c r="O1028" s="9" t="s">
        <v>5044</v>
      </c>
      <c r="P1028" s="7">
        <v>0</v>
      </c>
      <c r="Q1028" s="7">
        <v>0</v>
      </c>
      <c r="R1028" s="7">
        <v>0</v>
      </c>
      <c r="S1028" s="7">
        <v>9</v>
      </c>
      <c r="T1028" s="7">
        <v>4</v>
      </c>
      <c r="U1028" s="7">
        <v>108</v>
      </c>
      <c r="V1028" s="7">
        <v>0</v>
      </c>
      <c r="W1028" s="7">
        <v>1</v>
      </c>
      <c r="X1028" s="7">
        <v>0</v>
      </c>
      <c r="Y1028" s="7">
        <v>0</v>
      </c>
      <c r="Z1028" s="7">
        <v>0</v>
      </c>
      <c r="AA1028" s="7">
        <v>0</v>
      </c>
      <c r="AB1028" s="7">
        <v>1</v>
      </c>
      <c r="AC1028" s="7">
        <v>1</v>
      </c>
      <c r="AD1028" s="7" t="s">
        <v>5044</v>
      </c>
      <c r="AE1028" s="7" t="s">
        <v>5044</v>
      </c>
      <c r="AF1028" s="7" t="s">
        <v>5044</v>
      </c>
      <c r="AG1028" s="7">
        <v>2</v>
      </c>
      <c r="AH1028" s="7">
        <v>1</v>
      </c>
      <c r="AI1028" s="7">
        <v>1</v>
      </c>
      <c r="AJ1028" s="7" t="s">
        <v>5044</v>
      </c>
      <c r="AL1028" s="7">
        <v>0</v>
      </c>
      <c r="AM1028" s="7">
        <v>0</v>
      </c>
    </row>
    <row r="1029" spans="1:40" ht="63" customHeight="1" x14ac:dyDescent="0.2">
      <c r="A1029" s="7">
        <v>10345</v>
      </c>
      <c r="B1029" s="7" t="s">
        <v>3823</v>
      </c>
      <c r="C1029" s="7" t="s">
        <v>3824</v>
      </c>
      <c r="D1029" s="7" t="s">
        <v>74</v>
      </c>
      <c r="F1029" s="7" t="s">
        <v>11</v>
      </c>
      <c r="G1029" s="7" t="s">
        <v>27</v>
      </c>
      <c r="H1029" s="7" t="s">
        <v>3825</v>
      </c>
      <c r="I1029" s="7" t="s">
        <v>13</v>
      </c>
      <c r="J1029" s="7" t="s">
        <v>3826</v>
      </c>
      <c r="K1029" s="7" t="s">
        <v>3827</v>
      </c>
      <c r="L1029" s="7" t="s">
        <v>5211</v>
      </c>
      <c r="M1029" s="7">
        <v>0</v>
      </c>
      <c r="N1029" s="9" t="s">
        <v>5044</v>
      </c>
      <c r="O1029" s="9" t="s">
        <v>5044</v>
      </c>
      <c r="P1029" s="7">
        <v>0</v>
      </c>
      <c r="Q1029" s="7">
        <v>0</v>
      </c>
      <c r="R1029" s="7">
        <v>0</v>
      </c>
      <c r="S1029" s="7" t="s">
        <v>6057</v>
      </c>
      <c r="T1029" s="7">
        <v>1</v>
      </c>
      <c r="U1029" s="7">
        <v>355</v>
      </c>
      <c r="V1029" s="7">
        <v>0</v>
      </c>
      <c r="W1029" s="7">
        <v>1</v>
      </c>
      <c r="X1029" s="7">
        <v>0</v>
      </c>
      <c r="Y1029" s="7">
        <v>0</v>
      </c>
      <c r="Z1029" s="7">
        <v>0</v>
      </c>
      <c r="AA1029" s="7">
        <v>0</v>
      </c>
      <c r="AB1029" s="7">
        <v>1</v>
      </c>
      <c r="AC1029" s="7">
        <v>1</v>
      </c>
      <c r="AD1029" s="7" t="s">
        <v>5044</v>
      </c>
      <c r="AE1029" s="7" t="s">
        <v>5044</v>
      </c>
      <c r="AF1029" s="7" t="s">
        <v>5044</v>
      </c>
      <c r="AG1029" s="7">
        <v>2</v>
      </c>
      <c r="AH1029" s="7">
        <v>3</v>
      </c>
      <c r="AI1029" s="7">
        <v>0</v>
      </c>
      <c r="AJ1029" s="7" t="s">
        <v>5044</v>
      </c>
      <c r="AK1029" s="7">
        <v>1</v>
      </c>
      <c r="AL1029" s="7">
        <v>1</v>
      </c>
      <c r="AM1029" s="7">
        <v>0</v>
      </c>
    </row>
    <row r="1030" spans="1:40" ht="63" customHeight="1" x14ac:dyDescent="0.2">
      <c r="A1030" s="7">
        <v>10352</v>
      </c>
      <c r="B1030" s="7" t="s">
        <v>3828</v>
      </c>
      <c r="C1030" s="7" t="s">
        <v>3829</v>
      </c>
      <c r="D1030" s="7" t="s">
        <v>56</v>
      </c>
      <c r="F1030" s="7" t="s">
        <v>325</v>
      </c>
      <c r="G1030" s="7" t="s">
        <v>17</v>
      </c>
      <c r="H1030" s="7" t="s">
        <v>238</v>
      </c>
      <c r="I1030" s="7" t="s">
        <v>13</v>
      </c>
      <c r="J1030" s="7" t="s">
        <v>3830</v>
      </c>
      <c r="K1030" s="7" t="s">
        <v>3831</v>
      </c>
      <c r="L1030" s="7" t="s">
        <v>5044</v>
      </c>
      <c r="M1030" s="7">
        <v>0</v>
      </c>
      <c r="N1030" s="9" t="s">
        <v>5044</v>
      </c>
      <c r="O1030" s="9" t="s">
        <v>5044</v>
      </c>
      <c r="P1030" s="7">
        <v>0</v>
      </c>
      <c r="Q1030" s="7">
        <v>0</v>
      </c>
      <c r="R1030" s="7">
        <v>0</v>
      </c>
      <c r="S1030" s="7">
        <v>3</v>
      </c>
      <c r="T1030" s="7">
        <v>1</v>
      </c>
      <c r="U1030" s="7">
        <v>73</v>
      </c>
      <c r="V1030" s="7">
        <v>0</v>
      </c>
      <c r="W1030" s="7">
        <v>1</v>
      </c>
      <c r="X1030" s="7">
        <v>0</v>
      </c>
      <c r="Y1030" s="7">
        <v>0</v>
      </c>
      <c r="Z1030" s="7">
        <v>0</v>
      </c>
      <c r="AA1030" s="7">
        <v>0</v>
      </c>
      <c r="AB1030" s="7">
        <v>1</v>
      </c>
      <c r="AC1030" s="7">
        <v>1</v>
      </c>
      <c r="AD1030" s="7" t="s">
        <v>5044</v>
      </c>
      <c r="AE1030" s="7" t="s">
        <v>5044</v>
      </c>
      <c r="AF1030" s="7" t="s">
        <v>5044</v>
      </c>
      <c r="AG1030" s="7">
        <v>2</v>
      </c>
      <c r="AH1030" s="7">
        <v>3</v>
      </c>
      <c r="AI1030" s="7">
        <v>0</v>
      </c>
      <c r="AJ1030" s="7" t="s">
        <v>5044</v>
      </c>
      <c r="AK1030" s="7">
        <v>1</v>
      </c>
      <c r="AL1030" s="7" t="s">
        <v>5041</v>
      </c>
      <c r="AM1030" s="7">
        <v>0</v>
      </c>
      <c r="AN1030" s="7" t="s">
        <v>5105</v>
      </c>
    </row>
    <row r="1031" spans="1:40" ht="63" customHeight="1" x14ac:dyDescent="0.2">
      <c r="A1031" s="7">
        <v>10354</v>
      </c>
      <c r="B1031" s="7" t="s">
        <v>3832</v>
      </c>
      <c r="C1031" s="7" t="s">
        <v>3833</v>
      </c>
      <c r="D1031" s="7" t="s">
        <v>46</v>
      </c>
      <c r="F1031" s="7" t="s">
        <v>216</v>
      </c>
      <c r="G1031" s="7" t="s">
        <v>32</v>
      </c>
      <c r="H1031" s="7" t="s">
        <v>3834</v>
      </c>
      <c r="I1031" s="7" t="s">
        <v>13</v>
      </c>
      <c r="J1031" s="7" t="s">
        <v>3835</v>
      </c>
      <c r="K1031" s="7" t="s">
        <v>3836</v>
      </c>
      <c r="L1031" s="7" t="s">
        <v>5212</v>
      </c>
      <c r="M1031" s="7">
        <v>0</v>
      </c>
      <c r="N1031" s="9" t="s">
        <v>5044</v>
      </c>
      <c r="O1031" s="9" t="s">
        <v>5044</v>
      </c>
      <c r="P1031" s="7">
        <v>0</v>
      </c>
      <c r="Q1031" s="7">
        <v>0</v>
      </c>
      <c r="R1031" s="7">
        <v>0</v>
      </c>
      <c r="S1031" s="7">
        <v>1</v>
      </c>
      <c r="T1031" s="7">
        <v>1</v>
      </c>
      <c r="U1031" s="7">
        <v>141</v>
      </c>
      <c r="V1031" s="7">
        <v>0</v>
      </c>
      <c r="W1031" s="7">
        <v>1</v>
      </c>
      <c r="X1031" s="7">
        <v>0</v>
      </c>
      <c r="Y1031" s="7">
        <v>0</v>
      </c>
      <c r="Z1031" s="7">
        <v>0</v>
      </c>
      <c r="AA1031" s="7">
        <v>0</v>
      </c>
      <c r="AB1031" s="7">
        <v>1</v>
      </c>
      <c r="AC1031" s="7">
        <v>1</v>
      </c>
      <c r="AD1031" s="7" t="s">
        <v>5044</v>
      </c>
      <c r="AE1031" s="7" t="s">
        <v>5044</v>
      </c>
      <c r="AF1031" s="7" t="s">
        <v>5044</v>
      </c>
      <c r="AG1031" s="7">
        <v>2</v>
      </c>
      <c r="AH1031" s="7">
        <v>2</v>
      </c>
      <c r="AI1031" s="7">
        <v>2</v>
      </c>
      <c r="AJ1031" s="7" t="s">
        <v>5044</v>
      </c>
      <c r="AL1031" s="7">
        <v>0</v>
      </c>
      <c r="AM1031" s="7">
        <v>0</v>
      </c>
    </row>
    <row r="1032" spans="1:40" ht="63" customHeight="1" x14ac:dyDescent="0.2">
      <c r="A1032" s="7">
        <v>10363</v>
      </c>
      <c r="B1032" s="7" t="s">
        <v>3837</v>
      </c>
      <c r="C1032" s="7" t="s">
        <v>3838</v>
      </c>
      <c r="D1032" s="7" t="s">
        <v>22</v>
      </c>
      <c r="F1032" s="7" t="s">
        <v>114</v>
      </c>
      <c r="G1032" s="7" t="s">
        <v>48</v>
      </c>
      <c r="H1032" s="7" t="s">
        <v>102</v>
      </c>
      <c r="I1032" s="7" t="s">
        <v>13</v>
      </c>
      <c r="J1032" s="7" t="s">
        <v>3839</v>
      </c>
      <c r="K1032" s="7" t="s">
        <v>3840</v>
      </c>
      <c r="L1032" s="7" t="s">
        <v>5044</v>
      </c>
      <c r="M1032" s="7">
        <v>0</v>
      </c>
      <c r="N1032" s="9" t="s">
        <v>5044</v>
      </c>
      <c r="O1032" s="9" t="s">
        <v>5044</v>
      </c>
      <c r="P1032" s="7">
        <v>0</v>
      </c>
      <c r="Q1032" s="7">
        <v>0</v>
      </c>
      <c r="R1032" s="7">
        <v>0</v>
      </c>
      <c r="S1032" s="7">
        <v>3</v>
      </c>
      <c r="T1032" s="7">
        <v>1</v>
      </c>
      <c r="U1032" s="7">
        <v>95</v>
      </c>
      <c r="V1032" s="7">
        <v>0</v>
      </c>
      <c r="W1032" s="7">
        <v>1</v>
      </c>
      <c r="X1032" s="7">
        <v>0</v>
      </c>
      <c r="Y1032" s="7">
        <v>0</v>
      </c>
      <c r="Z1032" s="7">
        <v>0</v>
      </c>
      <c r="AA1032" s="7">
        <v>0</v>
      </c>
      <c r="AB1032" s="7">
        <v>1</v>
      </c>
      <c r="AC1032" s="7">
        <v>1</v>
      </c>
      <c r="AD1032" s="7" t="s">
        <v>5044</v>
      </c>
      <c r="AE1032" s="7" t="s">
        <v>5044</v>
      </c>
      <c r="AF1032" s="7" t="s">
        <v>5044</v>
      </c>
      <c r="AG1032" s="7">
        <v>1</v>
      </c>
      <c r="AH1032" s="7">
        <v>0</v>
      </c>
      <c r="AI1032" s="7">
        <v>0</v>
      </c>
      <c r="AJ1032" s="7" t="s">
        <v>5044</v>
      </c>
      <c r="AK1032" s="7" t="s">
        <v>5213</v>
      </c>
      <c r="AL1032" s="7">
        <v>0</v>
      </c>
      <c r="AM1032" s="7">
        <v>0</v>
      </c>
    </row>
    <row r="1033" spans="1:40" ht="63" customHeight="1" x14ac:dyDescent="0.2">
      <c r="A1033" s="7">
        <v>10427</v>
      </c>
      <c r="B1033" s="7" t="s">
        <v>3845</v>
      </c>
      <c r="C1033" s="7" t="s">
        <v>3846</v>
      </c>
      <c r="D1033" s="7" t="s">
        <v>74</v>
      </c>
      <c r="F1033" s="7" t="s">
        <v>3847</v>
      </c>
      <c r="G1033" s="7" t="s">
        <v>3848</v>
      </c>
      <c r="H1033" s="7" t="s">
        <v>180</v>
      </c>
      <c r="I1033" s="7" t="s">
        <v>13</v>
      </c>
      <c r="J1033" s="7" t="s">
        <v>3849</v>
      </c>
      <c r="K1033" s="7" t="s">
        <v>3850</v>
      </c>
      <c r="L1033" s="7" t="s">
        <v>5216</v>
      </c>
      <c r="M1033" s="7">
        <v>0</v>
      </c>
      <c r="N1033" s="9" t="s">
        <v>5044</v>
      </c>
      <c r="O1033" s="9" t="s">
        <v>5044</v>
      </c>
      <c r="P1033" s="7">
        <v>0</v>
      </c>
      <c r="Q1033" s="7">
        <v>0</v>
      </c>
      <c r="R1033" s="7">
        <v>0</v>
      </c>
      <c r="S1033" s="7">
        <v>1</v>
      </c>
      <c r="T1033" s="7">
        <v>1</v>
      </c>
      <c r="U1033" s="7">
        <v>1066</v>
      </c>
      <c r="V1033" s="7">
        <v>0</v>
      </c>
      <c r="W1033" s="7">
        <v>1</v>
      </c>
      <c r="X1033" s="7">
        <v>0</v>
      </c>
      <c r="Y1033" s="7">
        <v>0</v>
      </c>
      <c r="Z1033" s="7">
        <v>1</v>
      </c>
      <c r="AA1033" s="7">
        <v>0</v>
      </c>
      <c r="AB1033" s="7">
        <v>1</v>
      </c>
      <c r="AC1033" s="7">
        <v>1</v>
      </c>
      <c r="AD1033" s="7" t="s">
        <v>5044</v>
      </c>
      <c r="AE1033" s="7" t="s">
        <v>5044</v>
      </c>
      <c r="AF1033" s="7" t="s">
        <v>5044</v>
      </c>
      <c r="AG1033" s="7">
        <v>2</v>
      </c>
      <c r="AH1033" s="7">
        <v>3</v>
      </c>
      <c r="AI1033" s="7">
        <v>0</v>
      </c>
      <c r="AJ1033" s="7">
        <v>0</v>
      </c>
      <c r="AK1033" s="7" t="s">
        <v>6503</v>
      </c>
      <c r="AL1033" s="7">
        <v>1</v>
      </c>
      <c r="AM1033" s="7">
        <v>0</v>
      </c>
      <c r="AN1033" s="7" t="s">
        <v>5217</v>
      </c>
    </row>
    <row r="1034" spans="1:40" ht="63" customHeight="1" x14ac:dyDescent="0.2">
      <c r="A1034" s="7">
        <v>10436</v>
      </c>
      <c r="B1034" s="7" t="s">
        <v>3851</v>
      </c>
      <c r="C1034" s="7" t="s">
        <v>3852</v>
      </c>
      <c r="D1034" s="7" t="s">
        <v>22</v>
      </c>
      <c r="F1034" s="7" t="s">
        <v>543</v>
      </c>
      <c r="G1034" s="7" t="s">
        <v>52</v>
      </c>
      <c r="H1034" s="7" t="s">
        <v>71</v>
      </c>
      <c r="I1034" s="7" t="s">
        <v>13</v>
      </c>
      <c r="J1034" s="7" t="s">
        <v>3853</v>
      </c>
      <c r="K1034" s="7" t="s">
        <v>3854</v>
      </c>
      <c r="L1034" s="7" t="s">
        <v>5218</v>
      </c>
      <c r="M1034" s="7">
        <v>0</v>
      </c>
      <c r="N1034" s="9" t="s">
        <v>5044</v>
      </c>
      <c r="O1034" s="9" t="s">
        <v>5044</v>
      </c>
      <c r="P1034" s="7">
        <v>0</v>
      </c>
      <c r="Q1034" s="7">
        <v>0</v>
      </c>
      <c r="R1034" s="7">
        <v>0</v>
      </c>
      <c r="S1034" s="7">
        <v>1</v>
      </c>
      <c r="T1034" s="7">
        <v>3</v>
      </c>
      <c r="U1034" s="7">
        <v>201</v>
      </c>
      <c r="V1034" s="7">
        <v>1</v>
      </c>
      <c r="W1034" s="7">
        <v>1</v>
      </c>
      <c r="X1034" s="7">
        <v>0</v>
      </c>
      <c r="Y1034" s="7">
        <v>0</v>
      </c>
      <c r="Z1034" s="7">
        <v>0</v>
      </c>
      <c r="AA1034" s="7">
        <v>0</v>
      </c>
      <c r="AB1034" s="7">
        <v>1</v>
      </c>
      <c r="AC1034" s="7">
        <v>1</v>
      </c>
      <c r="AD1034" s="7">
        <v>0</v>
      </c>
      <c r="AE1034" s="7" t="s">
        <v>5044</v>
      </c>
      <c r="AF1034" s="7" t="s">
        <v>5044</v>
      </c>
      <c r="AG1034" s="7">
        <v>2</v>
      </c>
      <c r="AH1034" s="7">
        <v>2</v>
      </c>
      <c r="AI1034" s="7">
        <v>2</v>
      </c>
      <c r="AJ1034" s="7" t="s">
        <v>5044</v>
      </c>
      <c r="AK1034" s="7" t="s">
        <v>5219</v>
      </c>
      <c r="AL1034" s="7">
        <v>1</v>
      </c>
      <c r="AM1034" s="7">
        <v>0</v>
      </c>
      <c r="AN1034" s="7" t="s">
        <v>5217</v>
      </c>
    </row>
    <row r="1035" spans="1:40" ht="63" customHeight="1" x14ac:dyDescent="0.2">
      <c r="A1035" s="7">
        <v>10446</v>
      </c>
      <c r="B1035" s="7" t="s">
        <v>3859</v>
      </c>
      <c r="C1035" s="7" t="s">
        <v>3860</v>
      </c>
      <c r="D1035" s="7" t="s">
        <v>16</v>
      </c>
      <c r="F1035" s="7" t="s">
        <v>48</v>
      </c>
      <c r="G1035" s="7" t="s">
        <v>27</v>
      </c>
      <c r="H1035" s="7" t="s">
        <v>3861</v>
      </c>
      <c r="I1035" s="7" t="s">
        <v>13</v>
      </c>
      <c r="J1035" s="7" t="s">
        <v>3862</v>
      </c>
      <c r="K1035" s="7" t="s">
        <v>3863</v>
      </c>
      <c r="L1035" s="7" t="s">
        <v>5234</v>
      </c>
      <c r="M1035" s="7">
        <v>0</v>
      </c>
      <c r="N1035" s="9" t="s">
        <v>5044</v>
      </c>
      <c r="O1035" s="9" t="s">
        <v>5044</v>
      </c>
      <c r="P1035" s="7">
        <v>0</v>
      </c>
      <c r="Q1035" s="7">
        <v>0</v>
      </c>
      <c r="R1035" s="7">
        <v>0</v>
      </c>
      <c r="S1035" s="7" t="s">
        <v>5170</v>
      </c>
      <c r="T1035" s="7">
        <v>1</v>
      </c>
      <c r="U1035" s="7">
        <v>142</v>
      </c>
      <c r="V1035" s="7">
        <v>0</v>
      </c>
      <c r="W1035" s="7">
        <v>1</v>
      </c>
      <c r="X1035" s="7">
        <v>0</v>
      </c>
      <c r="Y1035" s="7">
        <v>0</v>
      </c>
      <c r="Z1035" s="7">
        <v>0</v>
      </c>
      <c r="AA1035" s="7">
        <v>0</v>
      </c>
      <c r="AB1035" s="7">
        <v>1</v>
      </c>
      <c r="AC1035" s="7">
        <v>1</v>
      </c>
      <c r="AD1035" s="7" t="s">
        <v>5044</v>
      </c>
      <c r="AE1035" s="7" t="s">
        <v>5044</v>
      </c>
      <c r="AF1035" s="7" t="s">
        <v>5044</v>
      </c>
      <c r="AG1035" s="7">
        <v>1</v>
      </c>
      <c r="AH1035" s="7">
        <v>0</v>
      </c>
      <c r="AI1035" s="7">
        <v>0</v>
      </c>
      <c r="AJ1035" s="7" t="s">
        <v>5044</v>
      </c>
      <c r="AL1035" s="7">
        <v>0</v>
      </c>
      <c r="AM1035" s="7">
        <v>0</v>
      </c>
    </row>
    <row r="1036" spans="1:40" ht="63" customHeight="1" x14ac:dyDescent="0.2">
      <c r="A1036" s="7">
        <v>10451</v>
      </c>
      <c r="B1036" s="7" t="s">
        <v>3864</v>
      </c>
      <c r="C1036" s="7" t="s">
        <v>3865</v>
      </c>
      <c r="D1036" s="7" t="s">
        <v>41</v>
      </c>
      <c r="F1036" s="7" t="s">
        <v>107</v>
      </c>
      <c r="G1036" s="7" t="s">
        <v>52</v>
      </c>
      <c r="H1036" s="7" t="s">
        <v>656</v>
      </c>
      <c r="I1036" s="7" t="s">
        <v>13</v>
      </c>
      <c r="J1036" s="7" t="s">
        <v>3866</v>
      </c>
      <c r="K1036" s="7" t="s">
        <v>3867</v>
      </c>
      <c r="L1036" s="7" t="s">
        <v>5235</v>
      </c>
      <c r="M1036" s="7">
        <v>0</v>
      </c>
      <c r="N1036" s="9" t="s">
        <v>5044</v>
      </c>
      <c r="O1036" s="9" t="s">
        <v>5044</v>
      </c>
      <c r="P1036" s="7">
        <v>0</v>
      </c>
      <c r="Q1036" s="7">
        <v>0</v>
      </c>
      <c r="R1036" s="7">
        <v>0</v>
      </c>
      <c r="S1036" s="7">
        <v>1</v>
      </c>
      <c r="T1036" s="7">
        <v>3</v>
      </c>
      <c r="U1036" s="7">
        <v>176</v>
      </c>
      <c r="V1036" s="7">
        <v>0</v>
      </c>
      <c r="W1036" s="7">
        <v>1</v>
      </c>
      <c r="X1036" s="7">
        <v>0</v>
      </c>
      <c r="Y1036" s="7">
        <v>0</v>
      </c>
      <c r="Z1036" s="7">
        <v>0</v>
      </c>
      <c r="AA1036" s="7">
        <v>0</v>
      </c>
      <c r="AB1036" s="7">
        <v>1</v>
      </c>
      <c r="AC1036" s="7">
        <v>1</v>
      </c>
      <c r="AD1036" s="7" t="s">
        <v>5044</v>
      </c>
      <c r="AE1036" s="7" t="s">
        <v>5044</v>
      </c>
      <c r="AF1036" s="7" t="s">
        <v>5044</v>
      </c>
      <c r="AG1036" s="7">
        <v>2</v>
      </c>
      <c r="AH1036" s="7">
        <v>3</v>
      </c>
      <c r="AI1036" s="7">
        <v>0</v>
      </c>
      <c r="AJ1036" s="7" t="s">
        <v>5044</v>
      </c>
      <c r="AL1036" s="7" t="s">
        <v>5044</v>
      </c>
      <c r="AM1036" s="7">
        <v>0</v>
      </c>
      <c r="AN1036" s="7" t="s">
        <v>5105</v>
      </c>
    </row>
    <row r="1037" spans="1:40" ht="63" customHeight="1" x14ac:dyDescent="0.2">
      <c r="A1037" s="7">
        <v>10460</v>
      </c>
      <c r="B1037" s="7" t="s">
        <v>3868</v>
      </c>
      <c r="C1037" s="7" t="s">
        <v>3869</v>
      </c>
      <c r="D1037" s="7" t="s">
        <v>101</v>
      </c>
      <c r="F1037" s="7" t="s">
        <v>932</v>
      </c>
      <c r="G1037" s="7" t="s">
        <v>47</v>
      </c>
      <c r="H1037" s="7" t="s">
        <v>38</v>
      </c>
      <c r="I1037" s="7" t="s">
        <v>13</v>
      </c>
      <c r="J1037" s="7" t="s">
        <v>3870</v>
      </c>
      <c r="K1037" s="7" t="s">
        <v>3871</v>
      </c>
      <c r="L1037" s="7" t="s">
        <v>5236</v>
      </c>
      <c r="M1037" s="7">
        <v>0</v>
      </c>
      <c r="N1037" s="9" t="s">
        <v>5044</v>
      </c>
      <c r="O1037" s="9" t="s">
        <v>5044</v>
      </c>
      <c r="P1037" s="7">
        <v>0</v>
      </c>
      <c r="Q1037" s="7">
        <v>0</v>
      </c>
      <c r="R1037" s="7">
        <v>0</v>
      </c>
      <c r="S1037" s="7">
        <v>1</v>
      </c>
      <c r="T1037" s="7">
        <v>1</v>
      </c>
      <c r="U1037" s="7">
        <v>212</v>
      </c>
      <c r="V1037" s="7">
        <v>0</v>
      </c>
      <c r="W1037" s="7">
        <v>1</v>
      </c>
      <c r="X1037" s="7">
        <v>0</v>
      </c>
      <c r="Y1037" s="7">
        <v>0</v>
      </c>
      <c r="Z1037" s="7">
        <v>0</v>
      </c>
      <c r="AA1037" s="7">
        <v>0</v>
      </c>
      <c r="AB1037" s="7">
        <v>1</v>
      </c>
      <c r="AC1037" s="7">
        <v>1</v>
      </c>
      <c r="AD1037" s="7" t="s">
        <v>5044</v>
      </c>
      <c r="AE1037" s="7" t="s">
        <v>5044</v>
      </c>
      <c r="AF1037" s="7" t="s">
        <v>5044</v>
      </c>
      <c r="AG1037" s="7">
        <v>2</v>
      </c>
      <c r="AH1037" s="7">
        <v>2</v>
      </c>
      <c r="AI1037" s="7">
        <v>2</v>
      </c>
      <c r="AJ1037" s="7" t="s">
        <v>5044</v>
      </c>
      <c r="AL1037" s="7">
        <v>0</v>
      </c>
      <c r="AM1037" s="7">
        <v>0</v>
      </c>
    </row>
    <row r="1038" spans="1:40" ht="63" customHeight="1" x14ac:dyDescent="0.2">
      <c r="A1038" s="7">
        <v>10465</v>
      </c>
      <c r="B1038" s="7" t="s">
        <v>3872</v>
      </c>
      <c r="C1038" s="7" t="s">
        <v>3873</v>
      </c>
      <c r="D1038" s="7" t="s">
        <v>149</v>
      </c>
      <c r="F1038" s="7" t="s">
        <v>98</v>
      </c>
      <c r="G1038" s="7" t="s">
        <v>32</v>
      </c>
      <c r="H1038" s="7" t="s">
        <v>3874</v>
      </c>
      <c r="I1038" s="7" t="s">
        <v>13</v>
      </c>
      <c r="J1038" s="7" t="s">
        <v>3875</v>
      </c>
      <c r="K1038" s="7" t="s">
        <v>3876</v>
      </c>
      <c r="L1038" s="7" t="s">
        <v>5044</v>
      </c>
      <c r="M1038" s="7">
        <v>0</v>
      </c>
      <c r="N1038" s="9" t="s">
        <v>5044</v>
      </c>
      <c r="O1038" s="9" t="s">
        <v>5044</v>
      </c>
      <c r="P1038" s="7">
        <v>0</v>
      </c>
      <c r="Q1038" s="7">
        <v>0</v>
      </c>
      <c r="R1038" s="7">
        <v>0</v>
      </c>
      <c r="S1038" s="7">
        <v>3</v>
      </c>
      <c r="T1038" s="7">
        <v>1</v>
      </c>
      <c r="U1038" s="7">
        <v>215</v>
      </c>
      <c r="V1038" s="7">
        <v>1</v>
      </c>
      <c r="W1038" s="7">
        <v>0</v>
      </c>
      <c r="X1038" s="7">
        <v>0</v>
      </c>
      <c r="Y1038" s="7">
        <v>0</v>
      </c>
      <c r="Z1038" s="7">
        <v>0</v>
      </c>
      <c r="AA1038" s="7">
        <v>0</v>
      </c>
      <c r="AB1038" s="7">
        <v>1</v>
      </c>
      <c r="AC1038" s="7">
        <v>1</v>
      </c>
      <c r="AD1038" s="7">
        <v>1</v>
      </c>
      <c r="AE1038" s="7">
        <v>0</v>
      </c>
      <c r="AF1038" s="7">
        <v>0</v>
      </c>
      <c r="AG1038" s="7" t="s">
        <v>5044</v>
      </c>
      <c r="AH1038" s="7" t="s">
        <v>5044</v>
      </c>
      <c r="AI1038" s="7" t="s">
        <v>5044</v>
      </c>
      <c r="AJ1038" s="7" t="s">
        <v>5044</v>
      </c>
      <c r="AL1038" s="7">
        <v>0</v>
      </c>
      <c r="AM1038" s="7">
        <v>0</v>
      </c>
    </row>
    <row r="1039" spans="1:40" ht="63" customHeight="1" x14ac:dyDescent="0.2">
      <c r="A1039" s="7">
        <v>10468</v>
      </c>
      <c r="B1039" s="7" t="s">
        <v>3877</v>
      </c>
      <c r="C1039" s="7" t="s">
        <v>3878</v>
      </c>
      <c r="D1039" s="7" t="s">
        <v>101</v>
      </c>
      <c r="F1039" s="7" t="s">
        <v>197</v>
      </c>
      <c r="G1039" s="7" t="s">
        <v>52</v>
      </c>
      <c r="H1039" s="7" t="s">
        <v>160</v>
      </c>
      <c r="I1039" s="7" t="s">
        <v>13</v>
      </c>
      <c r="J1039" s="7" t="s">
        <v>3879</v>
      </c>
      <c r="K1039" s="7" t="s">
        <v>3880</v>
      </c>
      <c r="L1039" s="8" t="s">
        <v>5237</v>
      </c>
      <c r="M1039" s="7">
        <v>0</v>
      </c>
      <c r="N1039" s="9" t="s">
        <v>5044</v>
      </c>
      <c r="O1039" s="9" t="s">
        <v>5044</v>
      </c>
      <c r="P1039" s="7">
        <v>0</v>
      </c>
      <c r="Q1039" s="7">
        <v>0</v>
      </c>
      <c r="R1039" s="7">
        <v>0</v>
      </c>
      <c r="S1039" s="7">
        <v>1</v>
      </c>
      <c r="T1039" s="7">
        <v>1</v>
      </c>
      <c r="U1039" s="7">
        <v>252</v>
      </c>
      <c r="V1039" s="7">
        <v>0</v>
      </c>
      <c r="W1039" s="7">
        <v>1</v>
      </c>
      <c r="X1039" s="7">
        <v>0</v>
      </c>
      <c r="Y1039" s="7">
        <v>0</v>
      </c>
      <c r="Z1039" s="7">
        <v>0</v>
      </c>
      <c r="AA1039" s="7">
        <v>0</v>
      </c>
      <c r="AB1039" s="7">
        <v>1</v>
      </c>
      <c r="AC1039" s="7">
        <v>1</v>
      </c>
      <c r="AD1039" s="7" t="s">
        <v>5044</v>
      </c>
      <c r="AE1039" s="7" t="s">
        <v>5044</v>
      </c>
      <c r="AF1039" s="7" t="s">
        <v>5044</v>
      </c>
      <c r="AG1039" s="7">
        <v>1</v>
      </c>
      <c r="AH1039" s="7">
        <v>0</v>
      </c>
      <c r="AI1039" s="7">
        <v>0</v>
      </c>
      <c r="AJ1039" s="7" t="s">
        <v>5044</v>
      </c>
      <c r="AL1039" s="7">
        <v>0</v>
      </c>
      <c r="AM1039" s="7">
        <v>0</v>
      </c>
    </row>
    <row r="1040" spans="1:40" ht="63" customHeight="1" x14ac:dyDescent="0.2">
      <c r="A1040" s="7">
        <v>10470</v>
      </c>
      <c r="B1040" s="7" t="s">
        <v>3881</v>
      </c>
      <c r="C1040" s="7" t="s">
        <v>3882</v>
      </c>
      <c r="D1040" s="7" t="s">
        <v>16</v>
      </c>
      <c r="F1040" s="7" t="s">
        <v>237</v>
      </c>
      <c r="G1040" s="7" t="s">
        <v>168</v>
      </c>
      <c r="H1040" s="7" t="s">
        <v>198</v>
      </c>
      <c r="I1040" s="7" t="s">
        <v>13</v>
      </c>
      <c r="J1040" s="7" t="s">
        <v>3883</v>
      </c>
      <c r="K1040" s="7" t="s">
        <v>3884</v>
      </c>
      <c r="L1040" s="7" t="s">
        <v>5328</v>
      </c>
      <c r="M1040" s="7">
        <v>0</v>
      </c>
      <c r="N1040" s="9" t="s">
        <v>5044</v>
      </c>
      <c r="O1040" s="9" t="s">
        <v>5044</v>
      </c>
      <c r="P1040" s="7">
        <v>0</v>
      </c>
      <c r="Q1040" s="7">
        <v>0</v>
      </c>
      <c r="R1040" s="7">
        <v>0</v>
      </c>
      <c r="S1040" s="7">
        <v>11</v>
      </c>
      <c r="T1040" s="7">
        <v>3</v>
      </c>
      <c r="U1040" s="7">
        <v>40</v>
      </c>
      <c r="V1040" s="7">
        <v>0</v>
      </c>
      <c r="W1040" s="7">
        <v>1</v>
      </c>
      <c r="X1040" s="7">
        <v>0</v>
      </c>
      <c r="Y1040" s="7">
        <v>0</v>
      </c>
      <c r="Z1040" s="7">
        <v>0</v>
      </c>
      <c r="AA1040" s="7">
        <v>0</v>
      </c>
      <c r="AB1040" s="7">
        <v>1</v>
      </c>
      <c r="AC1040" s="7">
        <v>0</v>
      </c>
      <c r="AD1040" s="7" t="s">
        <v>5044</v>
      </c>
      <c r="AE1040" s="7" t="s">
        <v>5044</v>
      </c>
      <c r="AF1040" s="7" t="s">
        <v>5044</v>
      </c>
      <c r="AG1040" s="7">
        <v>0</v>
      </c>
      <c r="AH1040" s="7" t="s">
        <v>5044</v>
      </c>
      <c r="AI1040" s="7" t="s">
        <v>5044</v>
      </c>
      <c r="AJ1040" s="7" t="s">
        <v>5044</v>
      </c>
      <c r="AL1040" s="7">
        <v>1</v>
      </c>
      <c r="AM1040" s="7">
        <v>0</v>
      </c>
    </row>
    <row r="1041" spans="1:39" ht="63" customHeight="1" x14ac:dyDescent="0.2">
      <c r="A1041" s="7">
        <v>10479</v>
      </c>
      <c r="B1041" s="7" t="s">
        <v>3885</v>
      </c>
      <c r="C1041" s="7" t="s">
        <v>3886</v>
      </c>
      <c r="D1041" s="7" t="s">
        <v>22</v>
      </c>
      <c r="F1041" s="7" t="s">
        <v>154</v>
      </c>
      <c r="G1041" s="7" t="s">
        <v>175</v>
      </c>
      <c r="H1041" s="7" t="s">
        <v>38</v>
      </c>
      <c r="I1041" s="7" t="s">
        <v>13</v>
      </c>
      <c r="J1041" s="7" t="s">
        <v>3887</v>
      </c>
      <c r="K1041" s="7" t="s">
        <v>3888</v>
      </c>
      <c r="L1041" s="7" t="s">
        <v>5238</v>
      </c>
      <c r="M1041" s="7">
        <v>0</v>
      </c>
      <c r="N1041" s="9" t="s">
        <v>5044</v>
      </c>
      <c r="O1041" s="9" t="s">
        <v>5044</v>
      </c>
      <c r="P1041" s="7">
        <v>0</v>
      </c>
      <c r="Q1041" s="7">
        <v>0</v>
      </c>
      <c r="R1041" s="7">
        <v>0</v>
      </c>
      <c r="S1041" s="7">
        <v>1</v>
      </c>
      <c r="T1041" s="7">
        <v>1</v>
      </c>
      <c r="U1041" s="7">
        <v>2000</v>
      </c>
      <c r="V1041" s="7">
        <v>0</v>
      </c>
      <c r="W1041" s="7">
        <v>1</v>
      </c>
      <c r="X1041" s="7">
        <v>0</v>
      </c>
      <c r="Y1041" s="7">
        <v>0</v>
      </c>
      <c r="Z1041" s="7">
        <v>0</v>
      </c>
      <c r="AA1041" s="7">
        <v>0</v>
      </c>
      <c r="AB1041" s="7">
        <v>1</v>
      </c>
      <c r="AC1041" s="7">
        <v>0</v>
      </c>
      <c r="AD1041" s="7" t="s">
        <v>5044</v>
      </c>
      <c r="AE1041" s="7" t="s">
        <v>5044</v>
      </c>
      <c r="AF1041" s="7" t="s">
        <v>5044</v>
      </c>
      <c r="AG1041" s="7">
        <v>0</v>
      </c>
      <c r="AH1041" s="7" t="s">
        <v>5044</v>
      </c>
      <c r="AI1041" s="7" t="s">
        <v>5044</v>
      </c>
      <c r="AJ1041" s="7" t="s">
        <v>5044</v>
      </c>
      <c r="AL1041" s="7">
        <v>0</v>
      </c>
      <c r="AM1041" s="7">
        <v>0</v>
      </c>
    </row>
    <row r="1042" spans="1:39" ht="63" customHeight="1" x14ac:dyDescent="0.2">
      <c r="A1042" s="7">
        <v>10483</v>
      </c>
      <c r="B1042" s="7" t="s">
        <v>3889</v>
      </c>
      <c r="C1042" s="7" t="s">
        <v>3890</v>
      </c>
      <c r="D1042" s="7" t="s">
        <v>16</v>
      </c>
      <c r="F1042" s="7" t="s">
        <v>587</v>
      </c>
      <c r="G1042" s="7" t="s">
        <v>144</v>
      </c>
      <c r="H1042" s="7" t="s">
        <v>102</v>
      </c>
      <c r="I1042" s="7" t="s">
        <v>13</v>
      </c>
      <c r="J1042" s="7" t="s">
        <v>3891</v>
      </c>
      <c r="K1042" s="7" t="s">
        <v>3892</v>
      </c>
      <c r="L1042" s="7" t="s">
        <v>5239</v>
      </c>
      <c r="M1042" s="7">
        <v>0</v>
      </c>
      <c r="N1042" s="9" t="s">
        <v>5044</v>
      </c>
      <c r="O1042" s="9" t="s">
        <v>5044</v>
      </c>
      <c r="P1042" s="7">
        <v>0</v>
      </c>
      <c r="Q1042" s="7">
        <v>0</v>
      </c>
      <c r="R1042" s="7">
        <v>0</v>
      </c>
      <c r="S1042" s="7">
        <v>3</v>
      </c>
      <c r="T1042" s="7">
        <v>1</v>
      </c>
      <c r="U1042" s="7">
        <v>689</v>
      </c>
      <c r="V1042" s="7">
        <v>0</v>
      </c>
      <c r="W1042" s="7">
        <v>1</v>
      </c>
      <c r="X1042" s="7">
        <v>0</v>
      </c>
      <c r="Y1042" s="7">
        <v>0</v>
      </c>
      <c r="Z1042" s="7">
        <v>0</v>
      </c>
      <c r="AA1042" s="7">
        <v>0</v>
      </c>
      <c r="AB1042" s="7">
        <v>1</v>
      </c>
      <c r="AC1042" s="7">
        <v>1</v>
      </c>
      <c r="AD1042" s="7" t="s">
        <v>5044</v>
      </c>
      <c r="AE1042" s="7" t="s">
        <v>5044</v>
      </c>
      <c r="AF1042" s="7" t="s">
        <v>5044</v>
      </c>
      <c r="AG1042" s="7">
        <v>1</v>
      </c>
      <c r="AH1042" s="7">
        <v>0</v>
      </c>
      <c r="AI1042" s="7">
        <v>0</v>
      </c>
      <c r="AJ1042" s="7" t="s">
        <v>5044</v>
      </c>
      <c r="AL1042" s="7">
        <v>0</v>
      </c>
      <c r="AM1042" s="7">
        <v>0</v>
      </c>
    </row>
    <row r="1043" spans="1:39" ht="63" customHeight="1" x14ac:dyDescent="0.2">
      <c r="A1043" s="7">
        <v>10488</v>
      </c>
      <c r="B1043" s="7" t="s">
        <v>3893</v>
      </c>
      <c r="C1043" s="7" t="s">
        <v>3894</v>
      </c>
      <c r="D1043" s="7" t="s">
        <v>95</v>
      </c>
      <c r="F1043" s="7" t="s">
        <v>322</v>
      </c>
      <c r="G1043" s="7" t="s">
        <v>18</v>
      </c>
      <c r="H1043" s="7" t="s">
        <v>89</v>
      </c>
      <c r="I1043" s="7" t="s">
        <v>13</v>
      </c>
      <c r="J1043" s="7" t="s">
        <v>3895</v>
      </c>
      <c r="K1043" s="7" t="s">
        <v>3896</v>
      </c>
      <c r="L1043" s="7" t="s">
        <v>5240</v>
      </c>
      <c r="M1043" s="7">
        <v>0</v>
      </c>
      <c r="N1043" s="9" t="s">
        <v>5044</v>
      </c>
      <c r="O1043" s="9" t="s">
        <v>5044</v>
      </c>
      <c r="P1043" s="7">
        <v>0</v>
      </c>
      <c r="Q1043" s="7">
        <v>0</v>
      </c>
      <c r="R1043" s="7">
        <v>0</v>
      </c>
      <c r="S1043" s="7">
        <v>9</v>
      </c>
      <c r="T1043" s="7">
        <v>1</v>
      </c>
      <c r="U1043" s="7">
        <v>180</v>
      </c>
      <c r="V1043" s="7">
        <v>0</v>
      </c>
      <c r="W1043" s="7">
        <v>1</v>
      </c>
      <c r="X1043" s="7">
        <v>0</v>
      </c>
      <c r="Y1043" s="7">
        <v>0</v>
      </c>
      <c r="Z1043" s="7">
        <v>0</v>
      </c>
      <c r="AA1043" s="7">
        <v>0</v>
      </c>
      <c r="AB1043" s="7">
        <v>1</v>
      </c>
      <c r="AC1043" s="7">
        <v>1</v>
      </c>
      <c r="AD1043" s="7" t="s">
        <v>5044</v>
      </c>
      <c r="AE1043" s="7" t="s">
        <v>5044</v>
      </c>
      <c r="AF1043" s="7" t="s">
        <v>5044</v>
      </c>
      <c r="AG1043" s="7">
        <v>2</v>
      </c>
      <c r="AH1043" s="7">
        <v>3</v>
      </c>
      <c r="AI1043" s="7">
        <v>0</v>
      </c>
      <c r="AJ1043" s="7" t="s">
        <v>5044</v>
      </c>
      <c r="AK1043" s="7">
        <v>1</v>
      </c>
      <c r="AM1043" s="7">
        <v>0</v>
      </c>
    </row>
    <row r="1044" spans="1:39" ht="63" customHeight="1" x14ac:dyDescent="0.2">
      <c r="A1044" s="7">
        <v>10489</v>
      </c>
      <c r="B1044" s="7" t="s">
        <v>3897</v>
      </c>
      <c r="C1044" s="7" t="s">
        <v>3898</v>
      </c>
      <c r="D1044" s="7" t="s">
        <v>46</v>
      </c>
      <c r="E1044" s="7" t="s">
        <v>305</v>
      </c>
      <c r="F1044" s="7" t="s">
        <v>51</v>
      </c>
      <c r="G1044" s="7" t="s">
        <v>52</v>
      </c>
      <c r="H1044" s="7" t="s">
        <v>53</v>
      </c>
      <c r="I1044" s="7" t="s">
        <v>13</v>
      </c>
      <c r="J1044" s="7" t="s">
        <v>3899</v>
      </c>
      <c r="K1044" s="7" t="s">
        <v>3900</v>
      </c>
      <c r="L1044" s="7" t="s">
        <v>5241</v>
      </c>
      <c r="M1044" s="7">
        <v>1</v>
      </c>
      <c r="N1044" s="7">
        <v>0</v>
      </c>
      <c r="O1044" s="9" t="s">
        <v>5044</v>
      </c>
      <c r="P1044" s="7">
        <v>0</v>
      </c>
      <c r="Q1044" s="7">
        <v>0</v>
      </c>
      <c r="R1044" s="7">
        <v>0</v>
      </c>
      <c r="S1044" s="7">
        <v>9</v>
      </c>
      <c r="T1044" s="7">
        <v>1</v>
      </c>
      <c r="U1044" s="7">
        <v>153</v>
      </c>
      <c r="V1044" s="7">
        <v>1</v>
      </c>
      <c r="W1044" s="7">
        <v>0</v>
      </c>
      <c r="X1044" s="7">
        <v>0</v>
      </c>
      <c r="Y1044" s="7">
        <v>0</v>
      </c>
      <c r="Z1044" s="7">
        <v>0</v>
      </c>
      <c r="AA1044" s="7">
        <v>0</v>
      </c>
      <c r="AB1044" s="7">
        <v>1</v>
      </c>
      <c r="AC1044" s="7" t="s">
        <v>5044</v>
      </c>
      <c r="AD1044" s="7" t="s">
        <v>5044</v>
      </c>
      <c r="AE1044" s="7" t="s">
        <v>5044</v>
      </c>
      <c r="AF1044" s="7" t="s">
        <v>5044</v>
      </c>
      <c r="AG1044" s="7" t="s">
        <v>5044</v>
      </c>
      <c r="AH1044" s="7" t="s">
        <v>5044</v>
      </c>
      <c r="AI1044" s="7" t="s">
        <v>5044</v>
      </c>
      <c r="AJ1044" s="7" t="s">
        <v>5044</v>
      </c>
      <c r="AL1044" s="7" t="s">
        <v>5041</v>
      </c>
      <c r="AM1044" s="7">
        <v>0</v>
      </c>
    </row>
    <row r="1045" spans="1:39" ht="63" customHeight="1" x14ac:dyDescent="0.2">
      <c r="A1045" s="7">
        <v>10494</v>
      </c>
      <c r="B1045" s="7" t="s">
        <v>3901</v>
      </c>
      <c r="C1045" s="7" t="s">
        <v>3902</v>
      </c>
      <c r="D1045" s="7" t="s">
        <v>41</v>
      </c>
      <c r="E1045" s="7" t="s">
        <v>3905</v>
      </c>
      <c r="F1045" s="7" t="s">
        <v>65</v>
      </c>
      <c r="G1045" s="7" t="s">
        <v>52</v>
      </c>
      <c r="H1045" s="7" t="s">
        <v>53</v>
      </c>
      <c r="I1045" s="7" t="s">
        <v>13</v>
      </c>
      <c r="J1045" s="7" t="s">
        <v>3903</v>
      </c>
      <c r="K1045" s="7" t="s">
        <v>3904</v>
      </c>
      <c r="L1045" s="8" t="s">
        <v>5242</v>
      </c>
      <c r="M1045" s="7">
        <v>1</v>
      </c>
      <c r="N1045" s="7">
        <v>0</v>
      </c>
      <c r="O1045" s="9" t="s">
        <v>5044</v>
      </c>
      <c r="P1045" s="7">
        <v>0</v>
      </c>
      <c r="Q1045" s="7">
        <v>0</v>
      </c>
      <c r="R1045" s="7">
        <v>0</v>
      </c>
      <c r="S1045" s="7">
        <v>13</v>
      </c>
      <c r="T1045" s="7">
        <v>1</v>
      </c>
      <c r="U1045" s="7">
        <v>3000</v>
      </c>
      <c r="V1045" s="7">
        <v>0</v>
      </c>
      <c r="W1045" s="7">
        <v>1</v>
      </c>
      <c r="X1045" s="7">
        <v>0</v>
      </c>
      <c r="Y1045" s="7">
        <v>0</v>
      </c>
      <c r="Z1045" s="7">
        <v>0</v>
      </c>
      <c r="AA1045" s="7">
        <v>0</v>
      </c>
      <c r="AB1045" s="7">
        <v>1</v>
      </c>
      <c r="AC1045" s="7" t="s">
        <v>5044</v>
      </c>
      <c r="AD1045" s="7" t="s">
        <v>5044</v>
      </c>
      <c r="AE1045" s="7" t="s">
        <v>5044</v>
      </c>
      <c r="AF1045" s="7" t="s">
        <v>5044</v>
      </c>
      <c r="AG1045" s="7" t="s">
        <v>5044</v>
      </c>
      <c r="AH1045" s="7" t="s">
        <v>5044</v>
      </c>
      <c r="AI1045" s="7" t="s">
        <v>5044</v>
      </c>
      <c r="AJ1045" s="7" t="s">
        <v>5044</v>
      </c>
      <c r="AL1045" s="7" t="s">
        <v>5044</v>
      </c>
      <c r="AM1045" s="7">
        <v>0</v>
      </c>
    </row>
    <row r="1046" spans="1:39" ht="63" customHeight="1" x14ac:dyDescent="0.2">
      <c r="A1046" s="7">
        <v>10516</v>
      </c>
      <c r="B1046" s="7" t="s">
        <v>3906</v>
      </c>
      <c r="C1046" s="7" t="s">
        <v>3907</v>
      </c>
      <c r="D1046" s="7" t="s">
        <v>41</v>
      </c>
      <c r="F1046" s="7" t="s">
        <v>114</v>
      </c>
      <c r="G1046" s="7" t="s">
        <v>144</v>
      </c>
      <c r="H1046" s="7" t="s">
        <v>3908</v>
      </c>
      <c r="I1046" s="7" t="s">
        <v>13</v>
      </c>
      <c r="J1046" s="7" t="s">
        <v>3909</v>
      </c>
      <c r="K1046" s="7" t="s">
        <v>3910</v>
      </c>
      <c r="L1046" s="7" t="s">
        <v>5044</v>
      </c>
      <c r="M1046" s="7">
        <v>0</v>
      </c>
      <c r="N1046" s="9" t="s">
        <v>5044</v>
      </c>
      <c r="O1046" s="9" t="s">
        <v>5044</v>
      </c>
      <c r="P1046" s="7">
        <v>0</v>
      </c>
      <c r="Q1046" s="7">
        <v>0</v>
      </c>
      <c r="R1046" s="7">
        <v>0</v>
      </c>
      <c r="S1046" s="20" t="s">
        <v>5207</v>
      </c>
      <c r="T1046" s="7">
        <v>3</v>
      </c>
      <c r="U1046" s="7">
        <v>64</v>
      </c>
      <c r="V1046" s="7">
        <v>1</v>
      </c>
      <c r="W1046" s="7">
        <v>0</v>
      </c>
      <c r="X1046" s="7">
        <v>0</v>
      </c>
      <c r="Y1046" s="7">
        <v>0</v>
      </c>
      <c r="Z1046" s="7">
        <v>0</v>
      </c>
      <c r="AA1046" s="7">
        <v>0</v>
      </c>
      <c r="AB1046" s="7">
        <v>1</v>
      </c>
      <c r="AC1046" s="7">
        <v>0</v>
      </c>
      <c r="AD1046" s="7">
        <v>0</v>
      </c>
      <c r="AE1046" s="7" t="s">
        <v>5044</v>
      </c>
      <c r="AF1046" s="7" t="s">
        <v>5044</v>
      </c>
      <c r="AG1046" s="7" t="s">
        <v>5044</v>
      </c>
      <c r="AH1046" s="7" t="s">
        <v>5044</v>
      </c>
      <c r="AI1046" s="7" t="s">
        <v>5044</v>
      </c>
      <c r="AJ1046" s="7" t="s">
        <v>5044</v>
      </c>
      <c r="AL1046" s="7">
        <v>1</v>
      </c>
      <c r="AM1046" s="7">
        <v>0</v>
      </c>
    </row>
    <row r="1047" spans="1:39" ht="63" customHeight="1" x14ac:dyDescent="0.2">
      <c r="A1047" s="7">
        <v>10522</v>
      </c>
      <c r="B1047" s="7" t="s">
        <v>3911</v>
      </c>
      <c r="C1047" s="7" t="s">
        <v>3912</v>
      </c>
      <c r="D1047" s="7" t="s">
        <v>35</v>
      </c>
      <c r="F1047" s="7" t="s">
        <v>3913</v>
      </c>
      <c r="G1047" s="7" t="s">
        <v>32</v>
      </c>
      <c r="H1047" s="7" t="s">
        <v>43</v>
      </c>
      <c r="I1047" s="7" t="s">
        <v>13</v>
      </c>
      <c r="J1047" s="7" t="s">
        <v>3914</v>
      </c>
      <c r="K1047" s="7" t="s">
        <v>3915</v>
      </c>
      <c r="L1047" s="7" t="s">
        <v>5243</v>
      </c>
      <c r="M1047" s="7">
        <v>0</v>
      </c>
      <c r="N1047" s="9" t="s">
        <v>5044</v>
      </c>
      <c r="O1047" s="9" t="s">
        <v>5044</v>
      </c>
      <c r="P1047" s="7">
        <v>0</v>
      </c>
      <c r="Q1047" s="7">
        <v>0</v>
      </c>
      <c r="R1047" s="7">
        <v>0</v>
      </c>
      <c r="S1047" s="7">
        <v>1</v>
      </c>
      <c r="T1047" s="7">
        <v>1</v>
      </c>
      <c r="U1047" s="7">
        <v>310</v>
      </c>
      <c r="V1047" s="7">
        <v>0</v>
      </c>
      <c r="W1047" s="7">
        <v>1</v>
      </c>
      <c r="X1047" s="7">
        <v>0</v>
      </c>
      <c r="Y1047" s="7">
        <v>0</v>
      </c>
      <c r="Z1047" s="7">
        <v>0</v>
      </c>
      <c r="AA1047" s="7">
        <v>0</v>
      </c>
      <c r="AB1047" s="7">
        <v>1</v>
      </c>
      <c r="AC1047" s="7">
        <v>1</v>
      </c>
      <c r="AD1047" s="7" t="s">
        <v>5044</v>
      </c>
      <c r="AE1047" s="7" t="s">
        <v>5044</v>
      </c>
      <c r="AF1047" s="7" t="s">
        <v>5044</v>
      </c>
      <c r="AG1047" s="7">
        <v>2</v>
      </c>
      <c r="AH1047" s="7">
        <v>3</v>
      </c>
      <c r="AI1047" s="7">
        <v>0</v>
      </c>
      <c r="AJ1047" s="7" t="s">
        <v>5044</v>
      </c>
      <c r="AL1047" s="7">
        <v>0</v>
      </c>
      <c r="AM1047" s="7">
        <v>0</v>
      </c>
    </row>
    <row r="1048" spans="1:39" ht="63" customHeight="1" x14ac:dyDescent="0.2">
      <c r="A1048" s="7">
        <v>10530</v>
      </c>
      <c r="B1048" s="7" t="s">
        <v>3916</v>
      </c>
      <c r="C1048" s="7" t="s">
        <v>3917</v>
      </c>
      <c r="D1048" s="7" t="s">
        <v>46</v>
      </c>
      <c r="F1048" s="7" t="s">
        <v>372</v>
      </c>
      <c r="G1048" s="7" t="s">
        <v>144</v>
      </c>
      <c r="H1048" s="7" t="s">
        <v>3918</v>
      </c>
      <c r="I1048" s="7" t="s">
        <v>13</v>
      </c>
      <c r="J1048" s="7" t="s">
        <v>3919</v>
      </c>
      <c r="K1048" s="7" t="s">
        <v>3920</v>
      </c>
      <c r="L1048" s="7" t="s">
        <v>5329</v>
      </c>
      <c r="M1048" s="7">
        <v>0</v>
      </c>
      <c r="N1048" s="9" t="s">
        <v>5044</v>
      </c>
      <c r="O1048" s="9" t="s">
        <v>5044</v>
      </c>
      <c r="P1048" s="7">
        <v>1</v>
      </c>
      <c r="Q1048" s="7">
        <v>0</v>
      </c>
      <c r="R1048" s="7">
        <v>0</v>
      </c>
      <c r="S1048" s="7">
        <v>1</v>
      </c>
      <c r="T1048" s="7">
        <v>3</v>
      </c>
      <c r="U1048" s="7">
        <v>36</v>
      </c>
      <c r="V1048" s="7">
        <v>0</v>
      </c>
      <c r="W1048" s="7">
        <v>1</v>
      </c>
      <c r="X1048" s="7">
        <v>0</v>
      </c>
      <c r="Y1048" s="7">
        <v>0</v>
      </c>
      <c r="Z1048" s="7">
        <v>0</v>
      </c>
      <c r="AA1048" s="7">
        <v>0</v>
      </c>
      <c r="AB1048" s="7">
        <v>1</v>
      </c>
      <c r="AC1048" s="7">
        <v>1</v>
      </c>
      <c r="AD1048" s="7" t="s">
        <v>5044</v>
      </c>
      <c r="AE1048" s="7" t="s">
        <v>5044</v>
      </c>
      <c r="AF1048" s="7" t="s">
        <v>5044</v>
      </c>
      <c r="AG1048" s="7">
        <v>2</v>
      </c>
      <c r="AH1048" s="7">
        <v>1</v>
      </c>
      <c r="AI1048" s="7">
        <v>4</v>
      </c>
      <c r="AJ1048" s="7" t="s">
        <v>5044</v>
      </c>
      <c r="AL1048" s="7" t="s">
        <v>5044</v>
      </c>
      <c r="AM1048" s="7">
        <v>0</v>
      </c>
    </row>
    <row r="1049" spans="1:39" ht="63" customHeight="1" x14ac:dyDescent="0.2">
      <c r="A1049" s="7">
        <v>10540</v>
      </c>
      <c r="B1049" s="7" t="s">
        <v>3921</v>
      </c>
      <c r="C1049" s="7" t="s">
        <v>3922</v>
      </c>
      <c r="D1049" s="7" t="s">
        <v>101</v>
      </c>
      <c r="E1049" s="7" t="s">
        <v>305</v>
      </c>
      <c r="F1049" s="7" t="s">
        <v>48</v>
      </c>
      <c r="G1049" s="7" t="s">
        <v>48</v>
      </c>
      <c r="H1049" s="7" t="s">
        <v>19</v>
      </c>
      <c r="I1049" s="7" t="s">
        <v>13</v>
      </c>
      <c r="J1049" s="7" t="s">
        <v>3923</v>
      </c>
      <c r="K1049" s="7" t="s">
        <v>3924</v>
      </c>
      <c r="L1049" s="7" t="s">
        <v>5331</v>
      </c>
      <c r="M1049" s="7">
        <v>1</v>
      </c>
      <c r="N1049" s="7">
        <v>0</v>
      </c>
      <c r="O1049" s="9" t="s">
        <v>5044</v>
      </c>
      <c r="P1049" s="7">
        <v>0</v>
      </c>
      <c r="Q1049" s="7">
        <v>0</v>
      </c>
      <c r="R1049" s="7">
        <v>0</v>
      </c>
      <c r="S1049" s="7" t="s">
        <v>5330</v>
      </c>
      <c r="T1049" s="7">
        <v>2</v>
      </c>
      <c r="U1049" s="7">
        <v>120</v>
      </c>
      <c r="V1049" s="7">
        <v>0</v>
      </c>
      <c r="W1049" s="7">
        <v>1</v>
      </c>
      <c r="X1049" s="7">
        <v>0</v>
      </c>
      <c r="Y1049" s="7">
        <v>0</v>
      </c>
      <c r="Z1049" s="7">
        <v>0</v>
      </c>
      <c r="AA1049" s="7">
        <v>0</v>
      </c>
      <c r="AB1049" s="7">
        <v>1</v>
      </c>
      <c r="AC1049" s="7" t="s">
        <v>5044</v>
      </c>
      <c r="AD1049" s="7" t="s">
        <v>5044</v>
      </c>
      <c r="AE1049" s="7" t="s">
        <v>5044</v>
      </c>
      <c r="AF1049" s="7" t="s">
        <v>5044</v>
      </c>
      <c r="AG1049" s="7" t="s">
        <v>5044</v>
      </c>
      <c r="AH1049" s="7" t="s">
        <v>5044</v>
      </c>
      <c r="AI1049" s="7" t="s">
        <v>5044</v>
      </c>
      <c r="AJ1049" s="7" t="s">
        <v>5044</v>
      </c>
      <c r="AL1049" s="7" t="s">
        <v>5041</v>
      </c>
      <c r="AM1049" s="7">
        <v>0</v>
      </c>
    </row>
    <row r="1050" spans="1:39" ht="63" customHeight="1" x14ac:dyDescent="0.2">
      <c r="A1050" s="7">
        <v>10541</v>
      </c>
      <c r="B1050" s="7" t="s">
        <v>3925</v>
      </c>
      <c r="C1050" s="7" t="s">
        <v>3926</v>
      </c>
      <c r="D1050" s="7" t="s">
        <v>101</v>
      </c>
      <c r="F1050" s="7" t="s">
        <v>37</v>
      </c>
      <c r="G1050" s="7" t="s">
        <v>32</v>
      </c>
      <c r="H1050" s="7" t="s">
        <v>3927</v>
      </c>
      <c r="I1050" s="7" t="s">
        <v>13</v>
      </c>
      <c r="J1050" s="7" t="s">
        <v>3928</v>
      </c>
      <c r="K1050" s="7" t="s">
        <v>3929</v>
      </c>
      <c r="L1050" s="7" t="s">
        <v>5332</v>
      </c>
      <c r="M1050" s="7">
        <v>0</v>
      </c>
      <c r="N1050" s="9" t="s">
        <v>5044</v>
      </c>
      <c r="O1050" s="9" t="s">
        <v>5044</v>
      </c>
      <c r="P1050" s="7">
        <v>0</v>
      </c>
      <c r="Q1050" s="7">
        <v>0</v>
      </c>
      <c r="R1050" s="7">
        <v>0</v>
      </c>
      <c r="S1050" s="7">
        <v>1</v>
      </c>
      <c r="T1050" s="7">
        <v>4</v>
      </c>
      <c r="U1050" s="7">
        <v>208</v>
      </c>
      <c r="V1050" s="7">
        <v>0</v>
      </c>
      <c r="W1050" s="7">
        <v>1</v>
      </c>
      <c r="X1050" s="7">
        <v>0</v>
      </c>
      <c r="Y1050" s="7">
        <v>0</v>
      </c>
      <c r="Z1050" s="7">
        <v>0</v>
      </c>
      <c r="AA1050" s="7">
        <v>0</v>
      </c>
      <c r="AB1050" s="7">
        <v>1</v>
      </c>
      <c r="AC1050" s="7">
        <v>1</v>
      </c>
      <c r="AD1050" s="7" t="s">
        <v>5044</v>
      </c>
      <c r="AE1050" s="7" t="s">
        <v>5044</v>
      </c>
      <c r="AF1050" s="7" t="s">
        <v>5044</v>
      </c>
      <c r="AG1050" s="7">
        <v>2</v>
      </c>
      <c r="AH1050" s="7">
        <v>3</v>
      </c>
      <c r="AI1050" s="7">
        <v>0</v>
      </c>
      <c r="AJ1050" s="7" t="s">
        <v>5044</v>
      </c>
      <c r="AL1050" s="7" t="s">
        <v>5041</v>
      </c>
      <c r="AM1050" s="7">
        <v>0</v>
      </c>
    </row>
    <row r="1051" spans="1:39" ht="63" customHeight="1" x14ac:dyDescent="0.2">
      <c r="A1051" s="7">
        <v>10544</v>
      </c>
      <c r="B1051" s="7" t="s">
        <v>3930</v>
      </c>
      <c r="C1051" s="7" t="s">
        <v>3931</v>
      </c>
      <c r="D1051" s="7" t="s">
        <v>95</v>
      </c>
      <c r="F1051" s="7" t="s">
        <v>338</v>
      </c>
      <c r="G1051" s="7" t="s">
        <v>18</v>
      </c>
      <c r="H1051" s="7" t="s">
        <v>2612</v>
      </c>
      <c r="I1051" s="7" t="s">
        <v>13</v>
      </c>
      <c r="J1051" s="7" t="s">
        <v>3932</v>
      </c>
      <c r="K1051" s="7" t="s">
        <v>3933</v>
      </c>
      <c r="L1051" s="7" t="s">
        <v>5333</v>
      </c>
      <c r="M1051" s="7">
        <v>0</v>
      </c>
      <c r="N1051" s="9" t="s">
        <v>5044</v>
      </c>
      <c r="O1051" s="7">
        <v>0</v>
      </c>
      <c r="P1051" s="7">
        <v>0</v>
      </c>
      <c r="Q1051" s="7">
        <v>0</v>
      </c>
      <c r="R1051" s="7">
        <v>0</v>
      </c>
      <c r="S1051" s="7">
        <v>13</v>
      </c>
      <c r="T1051" s="7">
        <v>2</v>
      </c>
      <c r="U1051" s="7">
        <v>288</v>
      </c>
      <c r="V1051" s="7">
        <v>0</v>
      </c>
      <c r="W1051" s="7">
        <v>1</v>
      </c>
      <c r="X1051" s="7">
        <v>0</v>
      </c>
      <c r="Y1051" s="7">
        <v>0</v>
      </c>
      <c r="Z1051" s="7">
        <v>0</v>
      </c>
      <c r="AA1051" s="7">
        <v>0</v>
      </c>
      <c r="AB1051" s="7">
        <v>1</v>
      </c>
      <c r="AC1051" s="7">
        <v>1</v>
      </c>
      <c r="AD1051" s="7" t="s">
        <v>5044</v>
      </c>
      <c r="AE1051" s="7" t="s">
        <v>5044</v>
      </c>
      <c r="AF1051" s="7" t="s">
        <v>5044</v>
      </c>
      <c r="AG1051" s="7">
        <v>2</v>
      </c>
      <c r="AH1051" s="7">
        <v>3</v>
      </c>
      <c r="AI1051" s="7">
        <v>0</v>
      </c>
      <c r="AJ1051" s="7" t="s">
        <v>5044</v>
      </c>
      <c r="AL1051" s="7">
        <v>1</v>
      </c>
      <c r="AM1051" s="7">
        <v>0</v>
      </c>
    </row>
    <row r="1052" spans="1:39" ht="63" customHeight="1" x14ac:dyDescent="0.2">
      <c r="A1052" s="7">
        <v>10556</v>
      </c>
      <c r="B1052" s="7" t="s">
        <v>3934</v>
      </c>
      <c r="C1052" s="7" t="s">
        <v>3935</v>
      </c>
      <c r="D1052" s="7" t="s">
        <v>16</v>
      </c>
      <c r="F1052" s="7" t="s">
        <v>280</v>
      </c>
      <c r="G1052" s="7" t="s">
        <v>144</v>
      </c>
      <c r="H1052" s="7" t="s">
        <v>1043</v>
      </c>
      <c r="I1052" s="7" t="s">
        <v>13</v>
      </c>
      <c r="J1052" s="7" t="s">
        <v>3936</v>
      </c>
      <c r="K1052" s="7" t="s">
        <v>3937</v>
      </c>
      <c r="L1052" s="7" t="s">
        <v>5334</v>
      </c>
      <c r="M1052" s="7">
        <v>0</v>
      </c>
      <c r="N1052" s="9" t="s">
        <v>5044</v>
      </c>
      <c r="O1052" s="9" t="s">
        <v>5044</v>
      </c>
      <c r="P1052" s="7">
        <v>0</v>
      </c>
      <c r="Q1052" s="7">
        <v>0</v>
      </c>
      <c r="R1052" s="7">
        <v>0</v>
      </c>
      <c r="S1052" s="7">
        <v>3</v>
      </c>
      <c r="T1052" s="7">
        <v>4</v>
      </c>
      <c r="U1052" s="7">
        <v>150</v>
      </c>
      <c r="V1052" s="7">
        <v>0</v>
      </c>
      <c r="W1052" s="7">
        <v>1</v>
      </c>
      <c r="X1052" s="7">
        <v>0</v>
      </c>
      <c r="Y1052" s="7">
        <v>0</v>
      </c>
      <c r="Z1052" s="7">
        <v>0</v>
      </c>
      <c r="AA1052" s="7">
        <v>0</v>
      </c>
      <c r="AB1052" s="7">
        <v>1</v>
      </c>
      <c r="AC1052" s="7">
        <v>1</v>
      </c>
      <c r="AD1052" s="7" t="s">
        <v>5044</v>
      </c>
      <c r="AE1052" s="7" t="s">
        <v>5044</v>
      </c>
      <c r="AF1052" s="7" t="s">
        <v>5044</v>
      </c>
      <c r="AG1052" s="7">
        <v>1</v>
      </c>
      <c r="AH1052" s="7">
        <v>0</v>
      </c>
      <c r="AI1052" s="7">
        <v>0</v>
      </c>
      <c r="AJ1052" s="7" t="s">
        <v>5044</v>
      </c>
      <c r="AL1052" s="7">
        <v>1</v>
      </c>
      <c r="AM1052" s="7">
        <v>0</v>
      </c>
    </row>
    <row r="1053" spans="1:39" ht="63" customHeight="1" x14ac:dyDescent="0.2">
      <c r="A1053" s="7">
        <v>10566</v>
      </c>
      <c r="B1053" s="7" t="s">
        <v>3938</v>
      </c>
      <c r="C1053" s="7" t="s">
        <v>3939</v>
      </c>
      <c r="D1053" s="7" t="s">
        <v>341</v>
      </c>
      <c r="F1053" s="7" t="s">
        <v>869</v>
      </c>
      <c r="G1053" s="7" t="s">
        <v>37</v>
      </c>
      <c r="H1053" s="7" t="s">
        <v>43</v>
      </c>
      <c r="I1053" s="7" t="s">
        <v>13</v>
      </c>
      <c r="J1053" s="7" t="s">
        <v>3940</v>
      </c>
      <c r="K1053" s="7" t="s">
        <v>3941</v>
      </c>
      <c r="L1053" s="7" t="s">
        <v>5335</v>
      </c>
      <c r="M1053" s="7">
        <v>0</v>
      </c>
      <c r="N1053" s="9" t="s">
        <v>5044</v>
      </c>
      <c r="O1053" s="9" t="s">
        <v>5044</v>
      </c>
      <c r="P1053" s="7">
        <v>0</v>
      </c>
      <c r="Q1053" s="7">
        <v>0</v>
      </c>
      <c r="R1053" s="7">
        <v>0</v>
      </c>
      <c r="S1053" s="7">
        <v>5</v>
      </c>
      <c r="T1053" s="7">
        <v>1</v>
      </c>
      <c r="U1053" s="7">
        <v>52</v>
      </c>
      <c r="V1053" s="7">
        <v>0</v>
      </c>
      <c r="W1053" s="7">
        <v>1</v>
      </c>
      <c r="X1053" s="7">
        <v>0</v>
      </c>
      <c r="Y1053" s="7">
        <v>0</v>
      </c>
      <c r="Z1053" s="7">
        <v>0</v>
      </c>
      <c r="AA1053" s="7">
        <v>0</v>
      </c>
      <c r="AB1053" s="7">
        <v>1</v>
      </c>
      <c r="AC1053" s="7">
        <v>1</v>
      </c>
      <c r="AD1053" s="7" t="s">
        <v>5044</v>
      </c>
      <c r="AE1053" s="7" t="s">
        <v>5044</v>
      </c>
      <c r="AF1053" s="7" t="s">
        <v>5044</v>
      </c>
      <c r="AG1053" s="7">
        <v>2</v>
      </c>
      <c r="AH1053" s="7">
        <v>3</v>
      </c>
      <c r="AI1053" s="7">
        <v>0</v>
      </c>
      <c r="AJ1053" s="7" t="s">
        <v>5044</v>
      </c>
      <c r="AL1053" s="7">
        <v>0</v>
      </c>
      <c r="AM1053" s="7">
        <v>0</v>
      </c>
    </row>
    <row r="1054" spans="1:39" ht="63" customHeight="1" x14ac:dyDescent="0.2">
      <c r="A1054" s="7">
        <v>10571</v>
      </c>
      <c r="B1054" s="7" t="s">
        <v>3942</v>
      </c>
      <c r="C1054" s="7" t="s">
        <v>3943</v>
      </c>
      <c r="D1054" s="7" t="s">
        <v>30</v>
      </c>
      <c r="F1054" s="7" t="s">
        <v>2974</v>
      </c>
      <c r="G1054" s="7" t="s">
        <v>37</v>
      </c>
      <c r="H1054" s="7" t="s">
        <v>679</v>
      </c>
      <c r="I1054" s="7" t="s">
        <v>13</v>
      </c>
      <c r="J1054" s="7" t="s">
        <v>3944</v>
      </c>
      <c r="K1054" s="7" t="s">
        <v>3945</v>
      </c>
      <c r="L1054" s="7" t="s">
        <v>5044</v>
      </c>
      <c r="M1054" s="7">
        <v>0</v>
      </c>
      <c r="N1054" s="9" t="s">
        <v>5044</v>
      </c>
      <c r="O1054" s="9" t="s">
        <v>5044</v>
      </c>
      <c r="P1054" s="7">
        <v>0</v>
      </c>
      <c r="Q1054" s="7">
        <v>0</v>
      </c>
      <c r="R1054" s="7">
        <v>0</v>
      </c>
      <c r="S1054" s="7">
        <v>3</v>
      </c>
      <c r="T1054" s="7">
        <v>1</v>
      </c>
      <c r="U1054" s="7">
        <v>132</v>
      </c>
      <c r="V1054" s="7">
        <v>1</v>
      </c>
      <c r="W1054" s="7">
        <v>0</v>
      </c>
      <c r="X1054" s="7">
        <v>0</v>
      </c>
      <c r="Y1054" s="7">
        <v>0</v>
      </c>
      <c r="Z1054" s="7">
        <v>0</v>
      </c>
      <c r="AA1054" s="7">
        <v>0</v>
      </c>
      <c r="AB1054" s="7">
        <v>1</v>
      </c>
      <c r="AC1054" s="7">
        <v>0</v>
      </c>
      <c r="AD1054" s="7">
        <v>0</v>
      </c>
      <c r="AE1054" s="7" t="s">
        <v>5044</v>
      </c>
      <c r="AF1054" s="7" t="s">
        <v>5044</v>
      </c>
      <c r="AG1054" s="7" t="s">
        <v>5044</v>
      </c>
      <c r="AH1054" s="7" t="s">
        <v>5044</v>
      </c>
      <c r="AI1054" s="7" t="s">
        <v>5044</v>
      </c>
      <c r="AJ1054" s="7" t="s">
        <v>5044</v>
      </c>
      <c r="AL1054" s="7">
        <v>0</v>
      </c>
      <c r="AM1054" s="7">
        <v>0</v>
      </c>
    </row>
    <row r="1055" spans="1:39" ht="63" customHeight="1" x14ac:dyDescent="0.2">
      <c r="A1055" s="7">
        <v>10575</v>
      </c>
      <c r="B1055" s="7" t="s">
        <v>3946</v>
      </c>
      <c r="C1055" s="7" t="s">
        <v>3947</v>
      </c>
      <c r="D1055" s="7" t="s">
        <v>95</v>
      </c>
      <c r="F1055" s="7" t="s">
        <v>1028</v>
      </c>
      <c r="G1055" s="7" t="s">
        <v>32</v>
      </c>
      <c r="H1055" s="7" t="s">
        <v>43</v>
      </c>
      <c r="I1055" s="7" t="s">
        <v>13</v>
      </c>
      <c r="J1055" s="7" t="s">
        <v>3948</v>
      </c>
      <c r="K1055" s="7" t="s">
        <v>3949</v>
      </c>
      <c r="L1055" s="7" t="s">
        <v>5336</v>
      </c>
      <c r="M1055" s="7">
        <v>0</v>
      </c>
      <c r="N1055" s="9" t="s">
        <v>5044</v>
      </c>
      <c r="O1055" s="9" t="s">
        <v>5044</v>
      </c>
      <c r="P1055" s="7">
        <v>0</v>
      </c>
      <c r="Q1055" s="7">
        <v>0</v>
      </c>
      <c r="R1055" s="7">
        <v>0</v>
      </c>
      <c r="S1055" s="7">
        <v>11</v>
      </c>
      <c r="T1055" s="7">
        <v>1</v>
      </c>
      <c r="U1055" s="7">
        <v>127</v>
      </c>
      <c r="V1055" s="7">
        <v>1</v>
      </c>
      <c r="W1055" s="7">
        <v>0</v>
      </c>
      <c r="X1055" s="7">
        <v>0</v>
      </c>
      <c r="Y1055" s="7">
        <v>0</v>
      </c>
      <c r="Z1055" s="7">
        <v>1</v>
      </c>
      <c r="AA1055" s="7">
        <v>0</v>
      </c>
      <c r="AB1055" s="7">
        <v>1</v>
      </c>
      <c r="AC1055" s="7">
        <v>1</v>
      </c>
      <c r="AD1055" s="7">
        <v>1</v>
      </c>
      <c r="AE1055" s="7">
        <v>0</v>
      </c>
      <c r="AF1055" s="7">
        <v>0</v>
      </c>
      <c r="AG1055" s="7" t="s">
        <v>5044</v>
      </c>
      <c r="AH1055" s="7" t="s">
        <v>5044</v>
      </c>
      <c r="AI1055" s="7" t="s">
        <v>5044</v>
      </c>
      <c r="AJ1055" s="7">
        <v>0</v>
      </c>
      <c r="AL1055" s="7">
        <v>1</v>
      </c>
      <c r="AM1055" s="7">
        <v>0</v>
      </c>
    </row>
    <row r="1056" spans="1:39" ht="63" customHeight="1" x14ac:dyDescent="0.2">
      <c r="A1056" s="7">
        <v>10588</v>
      </c>
      <c r="B1056" s="7" t="s">
        <v>3950</v>
      </c>
      <c r="C1056" s="7" t="s">
        <v>3951</v>
      </c>
      <c r="D1056" s="7" t="s">
        <v>149</v>
      </c>
      <c r="F1056" s="7" t="s">
        <v>194</v>
      </c>
      <c r="G1056" s="7" t="s">
        <v>144</v>
      </c>
      <c r="H1056" s="7" t="s">
        <v>3952</v>
      </c>
      <c r="I1056" s="7" t="s">
        <v>13</v>
      </c>
      <c r="J1056" s="7" t="s">
        <v>3953</v>
      </c>
      <c r="K1056" s="7" t="s">
        <v>3954</v>
      </c>
      <c r="L1056" s="7" t="s">
        <v>5044</v>
      </c>
      <c r="M1056" s="7">
        <v>0</v>
      </c>
      <c r="N1056" s="9" t="s">
        <v>5044</v>
      </c>
      <c r="O1056" s="9" t="s">
        <v>5044</v>
      </c>
      <c r="P1056" s="7">
        <v>0</v>
      </c>
      <c r="Q1056" s="7">
        <v>0</v>
      </c>
      <c r="R1056" s="7">
        <v>0</v>
      </c>
      <c r="S1056" s="7">
        <v>3</v>
      </c>
      <c r="T1056" s="7">
        <v>1</v>
      </c>
      <c r="U1056" s="7">
        <v>62</v>
      </c>
      <c r="V1056" s="7">
        <v>0</v>
      </c>
      <c r="W1056" s="7">
        <v>1</v>
      </c>
      <c r="X1056" s="7">
        <v>0</v>
      </c>
      <c r="Y1056" s="7">
        <v>0</v>
      </c>
      <c r="Z1056" s="7">
        <v>0</v>
      </c>
      <c r="AA1056" s="7">
        <v>0</v>
      </c>
      <c r="AB1056" s="7">
        <v>1</v>
      </c>
      <c r="AC1056" s="7">
        <v>1</v>
      </c>
      <c r="AD1056" s="7" t="s">
        <v>5044</v>
      </c>
      <c r="AE1056" s="7" t="s">
        <v>5044</v>
      </c>
      <c r="AF1056" s="7" t="s">
        <v>5044</v>
      </c>
      <c r="AG1056" s="7">
        <v>2</v>
      </c>
      <c r="AH1056" s="7">
        <v>3</v>
      </c>
      <c r="AI1056" s="7">
        <v>0</v>
      </c>
      <c r="AJ1056" s="7" t="s">
        <v>5044</v>
      </c>
      <c r="AL1056" s="7">
        <v>1</v>
      </c>
      <c r="AM1056" s="7">
        <v>0</v>
      </c>
    </row>
    <row r="1057" spans="1:39" ht="63" customHeight="1" x14ac:dyDescent="0.2">
      <c r="A1057" s="7">
        <v>10591</v>
      </c>
      <c r="B1057" s="7" t="s">
        <v>3955</v>
      </c>
      <c r="C1057" s="7" t="s">
        <v>3956</v>
      </c>
      <c r="D1057" s="7" t="s">
        <v>16</v>
      </c>
      <c r="F1057" s="7" t="s">
        <v>587</v>
      </c>
      <c r="G1057" s="7" t="s">
        <v>47</v>
      </c>
      <c r="H1057" s="7" t="s">
        <v>329</v>
      </c>
      <c r="I1057" s="7" t="s">
        <v>437</v>
      </c>
      <c r="J1057" s="7" t="s">
        <v>3957</v>
      </c>
      <c r="K1057" s="7" t="s">
        <v>3958</v>
      </c>
      <c r="L1057" s="7" t="s">
        <v>5337</v>
      </c>
      <c r="M1057" s="7">
        <v>0</v>
      </c>
      <c r="N1057" s="9" t="s">
        <v>5044</v>
      </c>
      <c r="O1057" s="9" t="s">
        <v>5044</v>
      </c>
      <c r="P1057" s="7">
        <v>0</v>
      </c>
      <c r="Q1057" s="7">
        <v>0</v>
      </c>
      <c r="R1057" s="7">
        <v>0</v>
      </c>
      <c r="S1057" s="7">
        <v>13</v>
      </c>
      <c r="T1057" s="7">
        <v>4</v>
      </c>
      <c r="U1057" s="7">
        <v>166</v>
      </c>
      <c r="V1057" s="7">
        <v>0</v>
      </c>
      <c r="W1057" s="7">
        <v>1</v>
      </c>
      <c r="X1057" s="7">
        <v>0</v>
      </c>
      <c r="Y1057" s="7">
        <v>0</v>
      </c>
      <c r="Z1057" s="7">
        <v>0</v>
      </c>
      <c r="AA1057" s="7">
        <v>0</v>
      </c>
      <c r="AB1057" s="7">
        <v>1</v>
      </c>
      <c r="AC1057" s="7">
        <v>1</v>
      </c>
      <c r="AD1057" s="7" t="s">
        <v>5044</v>
      </c>
      <c r="AE1057" s="7" t="s">
        <v>5044</v>
      </c>
      <c r="AF1057" s="7" t="s">
        <v>5044</v>
      </c>
      <c r="AG1057" s="7">
        <v>2</v>
      </c>
      <c r="AH1057" s="7">
        <v>3</v>
      </c>
      <c r="AI1057" s="7">
        <v>0</v>
      </c>
      <c r="AJ1057" s="7" t="s">
        <v>5044</v>
      </c>
      <c r="AL1057" s="7">
        <v>1</v>
      </c>
      <c r="AM1057" s="7">
        <v>0</v>
      </c>
    </row>
    <row r="1058" spans="1:39" ht="63" customHeight="1" x14ac:dyDescent="0.2">
      <c r="A1058" s="7">
        <v>10593</v>
      </c>
      <c r="B1058" s="7" t="s">
        <v>3959</v>
      </c>
      <c r="C1058" s="7" t="s">
        <v>3960</v>
      </c>
      <c r="D1058" s="7" t="s">
        <v>16</v>
      </c>
      <c r="E1058" s="7" t="s">
        <v>305</v>
      </c>
      <c r="F1058" s="7" t="s">
        <v>17</v>
      </c>
      <c r="H1058" s="7" t="s">
        <v>130</v>
      </c>
      <c r="I1058" s="7" t="s">
        <v>13</v>
      </c>
      <c r="J1058" s="7" t="s">
        <v>3961</v>
      </c>
      <c r="K1058" s="7" t="s">
        <v>3962</v>
      </c>
      <c r="L1058" s="7" t="s">
        <v>5338</v>
      </c>
      <c r="M1058" s="7">
        <v>1</v>
      </c>
      <c r="N1058" s="7">
        <v>0</v>
      </c>
      <c r="O1058" s="9" t="s">
        <v>5044</v>
      </c>
      <c r="P1058" s="7">
        <v>0</v>
      </c>
      <c r="Q1058" s="7">
        <v>0</v>
      </c>
      <c r="R1058" s="7">
        <v>0</v>
      </c>
      <c r="S1058" s="7">
        <v>1</v>
      </c>
      <c r="T1058" s="7">
        <v>4</v>
      </c>
      <c r="U1058" s="7">
        <v>250</v>
      </c>
      <c r="V1058" s="7">
        <v>0</v>
      </c>
      <c r="W1058" s="7">
        <v>1</v>
      </c>
      <c r="X1058" s="7">
        <v>0</v>
      </c>
      <c r="Y1058" s="7">
        <v>0</v>
      </c>
      <c r="Z1058" s="7">
        <v>0</v>
      </c>
      <c r="AA1058" s="7">
        <v>0</v>
      </c>
      <c r="AB1058" s="7">
        <v>1</v>
      </c>
      <c r="AC1058" s="7" t="s">
        <v>5044</v>
      </c>
      <c r="AD1058" s="7" t="s">
        <v>5044</v>
      </c>
      <c r="AE1058" s="7" t="s">
        <v>5044</v>
      </c>
      <c r="AF1058" s="7" t="s">
        <v>5044</v>
      </c>
      <c r="AG1058" s="7" t="s">
        <v>5044</v>
      </c>
      <c r="AH1058" s="7" t="s">
        <v>5044</v>
      </c>
      <c r="AI1058" s="7" t="s">
        <v>5044</v>
      </c>
      <c r="AJ1058" s="7" t="s">
        <v>5044</v>
      </c>
      <c r="AL1058" s="7" t="s">
        <v>5041</v>
      </c>
      <c r="AM1058" s="7">
        <v>0</v>
      </c>
    </row>
    <row r="1059" spans="1:39" ht="63" customHeight="1" x14ac:dyDescent="0.2">
      <c r="A1059" s="7">
        <v>10595</v>
      </c>
      <c r="B1059" s="7" t="s">
        <v>3963</v>
      </c>
      <c r="C1059" s="7" t="s">
        <v>3964</v>
      </c>
      <c r="D1059" s="7" t="s">
        <v>16</v>
      </c>
      <c r="F1059" s="7" t="s">
        <v>186</v>
      </c>
      <c r="G1059" s="7" t="s">
        <v>32</v>
      </c>
      <c r="H1059" s="7" t="s">
        <v>43</v>
      </c>
      <c r="I1059" s="7" t="s">
        <v>13</v>
      </c>
      <c r="J1059" s="7" t="s">
        <v>3965</v>
      </c>
      <c r="K1059" s="7" t="s">
        <v>3966</v>
      </c>
      <c r="L1059" s="7" t="s">
        <v>5339</v>
      </c>
      <c r="M1059" s="7">
        <v>0</v>
      </c>
      <c r="N1059" s="9" t="s">
        <v>5044</v>
      </c>
      <c r="O1059" s="9" t="s">
        <v>5044</v>
      </c>
      <c r="P1059" s="7">
        <v>0</v>
      </c>
      <c r="Q1059" s="7">
        <v>0</v>
      </c>
      <c r="R1059" s="7">
        <v>0</v>
      </c>
      <c r="S1059" s="7">
        <v>1</v>
      </c>
      <c r="T1059" s="7">
        <v>4</v>
      </c>
      <c r="U1059" s="7">
        <v>312</v>
      </c>
      <c r="V1059" s="7">
        <v>1</v>
      </c>
      <c r="W1059" s="7">
        <v>0</v>
      </c>
      <c r="X1059" s="7">
        <v>0</v>
      </c>
      <c r="Y1059" s="7">
        <v>0</v>
      </c>
      <c r="Z1059" s="7">
        <v>1</v>
      </c>
      <c r="AA1059" s="7">
        <v>0</v>
      </c>
      <c r="AB1059" s="7">
        <v>1</v>
      </c>
      <c r="AC1059" s="7">
        <v>1</v>
      </c>
      <c r="AD1059" s="7">
        <v>1</v>
      </c>
      <c r="AE1059" s="7">
        <v>0</v>
      </c>
      <c r="AF1059" s="7">
        <v>0</v>
      </c>
      <c r="AG1059" s="7" t="s">
        <v>5044</v>
      </c>
      <c r="AH1059" s="7" t="s">
        <v>5044</v>
      </c>
      <c r="AI1059" s="7" t="s">
        <v>5044</v>
      </c>
      <c r="AJ1059" s="7">
        <v>0</v>
      </c>
      <c r="AL1059" s="7">
        <v>0</v>
      </c>
      <c r="AM1059" s="7">
        <v>0</v>
      </c>
    </row>
    <row r="1060" spans="1:39" ht="63" customHeight="1" x14ac:dyDescent="0.2">
      <c r="A1060" s="7">
        <v>10596</v>
      </c>
      <c r="B1060" s="7" t="s">
        <v>3967</v>
      </c>
      <c r="C1060" s="7" t="s">
        <v>3968</v>
      </c>
      <c r="D1060" s="7" t="s">
        <v>101</v>
      </c>
      <c r="F1060" s="7" t="s">
        <v>144</v>
      </c>
      <c r="G1060" s="7" t="s">
        <v>32</v>
      </c>
      <c r="H1060" s="7" t="s">
        <v>3969</v>
      </c>
      <c r="I1060" s="7" t="s">
        <v>13</v>
      </c>
      <c r="J1060" s="7" t="s">
        <v>3970</v>
      </c>
      <c r="K1060" s="7" t="s">
        <v>3971</v>
      </c>
      <c r="L1060" s="7" t="s">
        <v>5340</v>
      </c>
      <c r="M1060" s="7">
        <v>0</v>
      </c>
      <c r="N1060" s="9" t="s">
        <v>5044</v>
      </c>
      <c r="O1060" s="9" t="s">
        <v>5044</v>
      </c>
      <c r="P1060" s="7">
        <v>0</v>
      </c>
      <c r="Q1060" s="7">
        <v>0</v>
      </c>
      <c r="R1060" s="7">
        <v>0</v>
      </c>
      <c r="S1060" s="7">
        <v>1</v>
      </c>
      <c r="T1060" s="7">
        <v>4</v>
      </c>
      <c r="U1060" s="7">
        <v>144</v>
      </c>
      <c r="V1060" s="7">
        <v>1</v>
      </c>
      <c r="W1060" s="7">
        <v>1</v>
      </c>
      <c r="X1060" s="7">
        <v>0</v>
      </c>
      <c r="Y1060" s="7">
        <v>0</v>
      </c>
      <c r="Z1060" s="7">
        <v>0</v>
      </c>
      <c r="AA1060" s="7">
        <v>0</v>
      </c>
      <c r="AB1060" s="7">
        <v>1</v>
      </c>
      <c r="AC1060" s="7">
        <v>1</v>
      </c>
      <c r="AD1060" s="7">
        <v>2</v>
      </c>
      <c r="AE1060" s="7">
        <v>3</v>
      </c>
      <c r="AF1060" s="7">
        <v>0</v>
      </c>
      <c r="AG1060" s="7">
        <v>2</v>
      </c>
      <c r="AH1060" s="7">
        <v>3</v>
      </c>
      <c r="AI1060" s="7">
        <v>0</v>
      </c>
      <c r="AJ1060" s="7" t="s">
        <v>5044</v>
      </c>
      <c r="AL1060" s="7">
        <v>1</v>
      </c>
      <c r="AM1060" s="7">
        <v>0</v>
      </c>
    </row>
    <row r="1061" spans="1:39" ht="63" customHeight="1" x14ac:dyDescent="0.2">
      <c r="A1061" s="7">
        <v>10605</v>
      </c>
      <c r="B1061" s="7" t="s">
        <v>3972</v>
      </c>
      <c r="C1061" s="7" t="s">
        <v>3973</v>
      </c>
      <c r="D1061" s="7" t="s">
        <v>16</v>
      </c>
      <c r="F1061" s="7" t="s">
        <v>3974</v>
      </c>
      <c r="G1061" s="7" t="s">
        <v>11</v>
      </c>
      <c r="H1061" s="7" t="s">
        <v>436</v>
      </c>
      <c r="I1061" s="7" t="s">
        <v>13</v>
      </c>
      <c r="J1061" s="7" t="s">
        <v>3975</v>
      </c>
      <c r="K1061" s="7" t="s">
        <v>3976</v>
      </c>
      <c r="L1061" s="7" t="s">
        <v>5341</v>
      </c>
      <c r="M1061" s="7">
        <v>0</v>
      </c>
      <c r="N1061" s="9" t="s">
        <v>5044</v>
      </c>
      <c r="O1061" s="9" t="s">
        <v>5044</v>
      </c>
      <c r="P1061" s="7">
        <v>0</v>
      </c>
      <c r="Q1061" s="7">
        <v>0</v>
      </c>
      <c r="R1061" s="7">
        <v>0</v>
      </c>
      <c r="S1061" s="7" t="s">
        <v>5170</v>
      </c>
      <c r="T1061" s="7">
        <v>1</v>
      </c>
      <c r="U1061" s="7">
        <v>63</v>
      </c>
      <c r="V1061" s="7">
        <v>0</v>
      </c>
      <c r="W1061" s="7">
        <v>1</v>
      </c>
      <c r="X1061" s="7">
        <v>0</v>
      </c>
      <c r="Y1061" s="7">
        <v>0</v>
      </c>
      <c r="Z1061" s="7">
        <v>0</v>
      </c>
      <c r="AA1061" s="7">
        <v>0</v>
      </c>
      <c r="AB1061" s="7">
        <v>1</v>
      </c>
      <c r="AC1061" s="7">
        <v>0</v>
      </c>
      <c r="AD1061" s="7" t="s">
        <v>5044</v>
      </c>
      <c r="AE1061" s="7" t="s">
        <v>5044</v>
      </c>
      <c r="AF1061" s="7" t="s">
        <v>5044</v>
      </c>
      <c r="AG1061" s="7">
        <v>0</v>
      </c>
      <c r="AH1061" s="7" t="s">
        <v>5044</v>
      </c>
      <c r="AI1061" s="7" t="s">
        <v>5044</v>
      </c>
      <c r="AJ1061" s="7" t="s">
        <v>5044</v>
      </c>
      <c r="AL1061" s="7">
        <v>1</v>
      </c>
      <c r="AM1061" s="7">
        <v>0</v>
      </c>
    </row>
    <row r="1062" spans="1:39" ht="63" customHeight="1" x14ac:dyDescent="0.2">
      <c r="A1062" s="7">
        <v>10612</v>
      </c>
      <c r="B1062" s="7" t="s">
        <v>3977</v>
      </c>
      <c r="C1062" s="7" t="s">
        <v>3978</v>
      </c>
      <c r="D1062" s="7" t="s">
        <v>22</v>
      </c>
      <c r="F1062" s="7" t="s">
        <v>767</v>
      </c>
      <c r="G1062" s="7" t="s">
        <v>11</v>
      </c>
      <c r="H1062" s="7" t="s">
        <v>3979</v>
      </c>
      <c r="I1062" s="7" t="s">
        <v>13</v>
      </c>
      <c r="J1062" s="7" t="s">
        <v>3980</v>
      </c>
      <c r="K1062" s="7" t="s">
        <v>3981</v>
      </c>
      <c r="L1062" s="7" t="s">
        <v>5342</v>
      </c>
      <c r="M1062" s="7">
        <v>0</v>
      </c>
      <c r="N1062" s="9" t="s">
        <v>5044</v>
      </c>
      <c r="O1062" s="9" t="s">
        <v>5044</v>
      </c>
      <c r="P1062" s="7">
        <v>0</v>
      </c>
      <c r="Q1062" s="7">
        <v>0</v>
      </c>
      <c r="R1062" s="7">
        <v>0</v>
      </c>
      <c r="S1062" s="7">
        <v>7</v>
      </c>
      <c r="T1062" s="7">
        <v>1</v>
      </c>
      <c r="U1062" s="7">
        <v>474</v>
      </c>
      <c r="V1062" s="7">
        <v>0</v>
      </c>
      <c r="W1062" s="7">
        <v>1</v>
      </c>
      <c r="X1062" s="7">
        <v>0</v>
      </c>
      <c r="Y1062" s="7">
        <v>0</v>
      </c>
      <c r="Z1062" s="7">
        <v>0</v>
      </c>
      <c r="AA1062" s="7">
        <v>0</v>
      </c>
      <c r="AB1062" s="7">
        <v>1</v>
      </c>
      <c r="AC1062" s="7">
        <v>1</v>
      </c>
      <c r="AD1062" s="7" t="s">
        <v>5044</v>
      </c>
      <c r="AE1062" s="7" t="s">
        <v>5044</v>
      </c>
      <c r="AF1062" s="7" t="s">
        <v>5044</v>
      </c>
      <c r="AG1062" s="7">
        <v>1</v>
      </c>
      <c r="AH1062" s="7">
        <v>0</v>
      </c>
      <c r="AI1062" s="7">
        <v>0</v>
      </c>
      <c r="AJ1062" s="7" t="s">
        <v>5044</v>
      </c>
      <c r="AL1062" s="7">
        <v>0</v>
      </c>
      <c r="AM1062" s="7">
        <v>0</v>
      </c>
    </row>
    <row r="1063" spans="1:39" ht="63" customHeight="1" x14ac:dyDescent="0.2">
      <c r="A1063" s="7">
        <v>10624</v>
      </c>
      <c r="B1063" s="7" t="s">
        <v>3982</v>
      </c>
      <c r="C1063" s="7" t="s">
        <v>3983</v>
      </c>
      <c r="D1063" s="7" t="s">
        <v>46</v>
      </c>
      <c r="F1063" s="7" t="s">
        <v>521</v>
      </c>
      <c r="G1063" s="7" t="s">
        <v>18</v>
      </c>
      <c r="H1063" s="7" t="s">
        <v>307</v>
      </c>
      <c r="I1063" s="7" t="s">
        <v>13</v>
      </c>
      <c r="J1063" s="7" t="s">
        <v>3984</v>
      </c>
      <c r="K1063" s="7" t="s">
        <v>3985</v>
      </c>
      <c r="L1063" s="7" t="s">
        <v>5044</v>
      </c>
      <c r="M1063" s="7">
        <v>0</v>
      </c>
      <c r="N1063" s="9" t="s">
        <v>5044</v>
      </c>
      <c r="O1063" s="9" t="s">
        <v>5044</v>
      </c>
      <c r="P1063" s="7">
        <v>0</v>
      </c>
      <c r="Q1063" s="7">
        <v>0</v>
      </c>
      <c r="R1063" s="7">
        <v>0</v>
      </c>
      <c r="S1063" s="7">
        <v>3</v>
      </c>
      <c r="T1063" s="7">
        <v>1</v>
      </c>
      <c r="U1063" s="7">
        <v>297</v>
      </c>
      <c r="V1063" s="7">
        <v>0</v>
      </c>
      <c r="W1063" s="7">
        <v>1</v>
      </c>
      <c r="X1063" s="7">
        <v>0</v>
      </c>
      <c r="Y1063" s="7">
        <v>0</v>
      </c>
      <c r="Z1063" s="7">
        <v>0</v>
      </c>
      <c r="AA1063" s="7">
        <v>0</v>
      </c>
      <c r="AB1063" s="7">
        <v>1</v>
      </c>
      <c r="AC1063" s="7">
        <v>1</v>
      </c>
      <c r="AD1063" s="7" t="s">
        <v>5044</v>
      </c>
      <c r="AE1063" s="7" t="s">
        <v>5044</v>
      </c>
      <c r="AF1063" s="7" t="s">
        <v>5044</v>
      </c>
      <c r="AG1063" s="7">
        <v>2</v>
      </c>
      <c r="AH1063" s="7">
        <v>3</v>
      </c>
      <c r="AI1063" s="7">
        <v>0</v>
      </c>
      <c r="AJ1063" s="7" t="s">
        <v>5044</v>
      </c>
      <c r="AL1063" s="7" t="s">
        <v>5044</v>
      </c>
      <c r="AM1063" s="7">
        <v>0</v>
      </c>
    </row>
    <row r="1064" spans="1:39" ht="63" customHeight="1" x14ac:dyDescent="0.2">
      <c r="A1064" s="7">
        <v>10627</v>
      </c>
      <c r="B1064" s="7" t="s">
        <v>3986</v>
      </c>
      <c r="C1064" s="7" t="s">
        <v>3987</v>
      </c>
      <c r="D1064" s="7" t="s">
        <v>41</v>
      </c>
      <c r="F1064" s="7" t="s">
        <v>335</v>
      </c>
      <c r="G1064" s="7" t="s">
        <v>11</v>
      </c>
      <c r="H1064" s="7" t="s">
        <v>43</v>
      </c>
      <c r="I1064" s="7" t="s">
        <v>13</v>
      </c>
      <c r="J1064" s="7" t="s">
        <v>3988</v>
      </c>
      <c r="K1064" s="7" t="s">
        <v>3989</v>
      </c>
      <c r="L1064" s="7" t="s">
        <v>5343</v>
      </c>
      <c r="M1064" s="7">
        <v>0</v>
      </c>
      <c r="N1064" s="9" t="s">
        <v>5044</v>
      </c>
      <c r="O1064" s="9" t="s">
        <v>5044</v>
      </c>
      <c r="P1064" s="7">
        <v>0</v>
      </c>
      <c r="Q1064" s="7">
        <v>0</v>
      </c>
      <c r="R1064" s="7">
        <v>0</v>
      </c>
      <c r="S1064" s="7">
        <v>2</v>
      </c>
      <c r="T1064" s="7">
        <v>1</v>
      </c>
      <c r="U1064" s="7">
        <v>46</v>
      </c>
      <c r="V1064" s="7">
        <v>0</v>
      </c>
      <c r="W1064" s="7">
        <v>1</v>
      </c>
      <c r="X1064" s="7">
        <v>0</v>
      </c>
      <c r="Y1064" s="7">
        <v>0</v>
      </c>
      <c r="Z1064" s="7">
        <v>1</v>
      </c>
      <c r="AA1064" s="7">
        <v>0</v>
      </c>
      <c r="AB1064" s="7">
        <v>1</v>
      </c>
      <c r="AC1064" s="7">
        <v>1</v>
      </c>
      <c r="AD1064" s="7" t="s">
        <v>5044</v>
      </c>
      <c r="AE1064" s="7" t="s">
        <v>5044</v>
      </c>
      <c r="AF1064" s="7" t="s">
        <v>5044</v>
      </c>
      <c r="AG1064" s="7">
        <v>2</v>
      </c>
      <c r="AH1064" s="7">
        <v>2</v>
      </c>
      <c r="AI1064" s="7">
        <v>2</v>
      </c>
      <c r="AJ1064" s="7">
        <v>0</v>
      </c>
      <c r="AL1064" s="7">
        <v>1</v>
      </c>
      <c r="AM1064" s="7">
        <v>0</v>
      </c>
    </row>
    <row r="1065" spans="1:39" ht="63" customHeight="1" x14ac:dyDescent="0.2">
      <c r="A1065" s="7">
        <v>10633</v>
      </c>
      <c r="B1065" s="7" t="s">
        <v>3990</v>
      </c>
      <c r="C1065" s="7" t="s">
        <v>3991</v>
      </c>
      <c r="D1065" s="7" t="s">
        <v>22</v>
      </c>
      <c r="F1065" s="7" t="s">
        <v>118</v>
      </c>
      <c r="G1065" s="7" t="s">
        <v>11</v>
      </c>
      <c r="H1065" s="7" t="s">
        <v>3992</v>
      </c>
      <c r="I1065" s="7" t="s">
        <v>13</v>
      </c>
      <c r="J1065" s="7" t="s">
        <v>3993</v>
      </c>
      <c r="L1065" s="11" t="s">
        <v>5044</v>
      </c>
      <c r="M1065" s="7">
        <v>0</v>
      </c>
      <c r="N1065" s="9" t="s">
        <v>5044</v>
      </c>
      <c r="O1065" s="9" t="s">
        <v>5044</v>
      </c>
      <c r="P1065" s="7">
        <v>0</v>
      </c>
      <c r="Q1065" s="7">
        <v>0</v>
      </c>
      <c r="R1065" s="7">
        <v>0</v>
      </c>
      <c r="S1065" s="7">
        <v>10</v>
      </c>
      <c r="T1065" s="7">
        <v>1</v>
      </c>
      <c r="U1065" s="7">
        <v>80</v>
      </c>
      <c r="V1065" s="7">
        <v>1</v>
      </c>
      <c r="W1065" s="7">
        <v>0</v>
      </c>
      <c r="X1065" s="7">
        <v>0</v>
      </c>
      <c r="Y1065" s="7">
        <v>0</v>
      </c>
      <c r="Z1065" s="7">
        <v>0</v>
      </c>
      <c r="AA1065" s="7">
        <v>0</v>
      </c>
      <c r="AB1065" s="7">
        <v>1</v>
      </c>
      <c r="AC1065" s="7">
        <v>1</v>
      </c>
      <c r="AD1065" s="7">
        <v>2</v>
      </c>
      <c r="AE1065" s="7">
        <v>3</v>
      </c>
      <c r="AF1065" s="7">
        <v>0</v>
      </c>
      <c r="AG1065" s="7" t="s">
        <v>5044</v>
      </c>
      <c r="AH1065" s="7" t="s">
        <v>5044</v>
      </c>
      <c r="AI1065" s="7" t="s">
        <v>5044</v>
      </c>
      <c r="AJ1065" s="7" t="s">
        <v>5044</v>
      </c>
      <c r="AL1065" s="7">
        <v>1</v>
      </c>
      <c r="AM1065" s="7">
        <v>0</v>
      </c>
    </row>
    <row r="1066" spans="1:39" ht="63" customHeight="1" x14ac:dyDescent="0.2">
      <c r="A1066" s="7">
        <v>10641</v>
      </c>
      <c r="B1066" s="7" t="s">
        <v>3999</v>
      </c>
      <c r="C1066" s="7" t="s">
        <v>4000</v>
      </c>
      <c r="D1066" s="7" t="s">
        <v>46</v>
      </c>
      <c r="F1066" s="7" t="s">
        <v>168</v>
      </c>
      <c r="G1066" s="7" t="s">
        <v>48</v>
      </c>
      <c r="H1066" s="7" t="s">
        <v>160</v>
      </c>
      <c r="I1066" s="7" t="s">
        <v>13</v>
      </c>
      <c r="J1066" s="7" t="s">
        <v>4001</v>
      </c>
      <c r="K1066" s="7" t="s">
        <v>4002</v>
      </c>
      <c r="L1066" s="7" t="s">
        <v>5344</v>
      </c>
      <c r="M1066" s="7">
        <v>0</v>
      </c>
      <c r="N1066" s="9" t="s">
        <v>5044</v>
      </c>
      <c r="O1066" s="9" t="s">
        <v>5044</v>
      </c>
      <c r="P1066" s="7">
        <v>0</v>
      </c>
      <c r="Q1066" s="7">
        <v>0</v>
      </c>
      <c r="R1066" s="7">
        <v>0</v>
      </c>
      <c r="S1066" s="7">
        <v>1</v>
      </c>
      <c r="T1066" s="7">
        <v>1</v>
      </c>
      <c r="U1066" s="7">
        <v>88</v>
      </c>
      <c r="V1066" s="7">
        <v>0</v>
      </c>
      <c r="W1066" s="7">
        <v>1</v>
      </c>
      <c r="X1066" s="7">
        <v>0</v>
      </c>
      <c r="Y1066" s="7">
        <v>0</v>
      </c>
      <c r="Z1066" s="7">
        <v>0</v>
      </c>
      <c r="AA1066" s="7">
        <v>0</v>
      </c>
      <c r="AB1066" s="7">
        <v>1</v>
      </c>
      <c r="AC1066" s="7">
        <v>1</v>
      </c>
      <c r="AD1066" s="7" t="s">
        <v>5044</v>
      </c>
      <c r="AE1066" s="7" t="s">
        <v>5044</v>
      </c>
      <c r="AF1066" s="7" t="s">
        <v>5044</v>
      </c>
      <c r="AG1066" s="7">
        <v>2</v>
      </c>
      <c r="AH1066" s="7">
        <v>3</v>
      </c>
      <c r="AI1066" s="7">
        <v>0</v>
      </c>
      <c r="AJ1066" s="7" t="s">
        <v>5044</v>
      </c>
      <c r="AL1066" s="7">
        <v>0</v>
      </c>
      <c r="AM1066" s="7">
        <v>0</v>
      </c>
    </row>
    <row r="1067" spans="1:39" ht="63" customHeight="1" x14ac:dyDescent="0.2">
      <c r="A1067" s="7">
        <v>10654</v>
      </c>
      <c r="B1067" s="7" t="s">
        <v>4003</v>
      </c>
      <c r="C1067" s="7" t="s">
        <v>4004</v>
      </c>
      <c r="D1067" s="7" t="s">
        <v>41</v>
      </c>
      <c r="E1067" s="7" t="s">
        <v>305</v>
      </c>
      <c r="F1067" s="7" t="s">
        <v>107</v>
      </c>
      <c r="G1067" s="7" t="s">
        <v>52</v>
      </c>
      <c r="H1067" s="7" t="s">
        <v>656</v>
      </c>
      <c r="I1067" s="7" t="s">
        <v>13</v>
      </c>
      <c r="J1067" s="7" t="s">
        <v>4005</v>
      </c>
      <c r="K1067" s="7" t="s">
        <v>4006</v>
      </c>
      <c r="L1067" s="7" t="s">
        <v>5346</v>
      </c>
      <c r="M1067" s="7">
        <v>1</v>
      </c>
      <c r="N1067" s="7">
        <v>0</v>
      </c>
      <c r="O1067" s="9" t="s">
        <v>5044</v>
      </c>
      <c r="P1067" s="7">
        <v>0</v>
      </c>
      <c r="Q1067" s="7">
        <v>0</v>
      </c>
      <c r="R1067" s="7">
        <v>0</v>
      </c>
      <c r="S1067" s="7">
        <v>1</v>
      </c>
      <c r="T1067" s="7">
        <v>1</v>
      </c>
      <c r="U1067" s="7">
        <v>50</v>
      </c>
      <c r="V1067" s="7">
        <v>0</v>
      </c>
      <c r="W1067" s="7">
        <v>1</v>
      </c>
      <c r="X1067" s="7">
        <v>0</v>
      </c>
      <c r="Y1067" s="7">
        <v>0</v>
      </c>
      <c r="Z1067" s="7">
        <v>1</v>
      </c>
      <c r="AA1067" s="7">
        <v>0</v>
      </c>
      <c r="AB1067" s="7">
        <v>1</v>
      </c>
      <c r="AC1067" s="7" t="s">
        <v>5044</v>
      </c>
      <c r="AD1067" s="7" t="s">
        <v>5044</v>
      </c>
      <c r="AE1067" s="7" t="s">
        <v>5044</v>
      </c>
      <c r="AF1067" s="7" t="s">
        <v>5044</v>
      </c>
      <c r="AG1067" s="7" t="s">
        <v>5044</v>
      </c>
      <c r="AH1067" s="7" t="s">
        <v>5044</v>
      </c>
      <c r="AI1067" s="7" t="s">
        <v>5044</v>
      </c>
      <c r="AJ1067" s="7" t="s">
        <v>5044</v>
      </c>
      <c r="AL1067" s="7" t="s">
        <v>5041</v>
      </c>
      <c r="AM1067" s="7">
        <v>0</v>
      </c>
    </row>
    <row r="1068" spans="1:39" ht="63" customHeight="1" x14ac:dyDescent="0.2">
      <c r="A1068" s="7">
        <v>10679</v>
      </c>
      <c r="B1068" s="7" t="s">
        <v>4007</v>
      </c>
      <c r="C1068" s="7" t="s">
        <v>4008</v>
      </c>
      <c r="D1068" s="7" t="s">
        <v>41</v>
      </c>
      <c r="E1068" s="7" t="s">
        <v>305</v>
      </c>
      <c r="F1068" s="7" t="s">
        <v>92</v>
      </c>
      <c r="G1068" s="7" t="s">
        <v>175</v>
      </c>
      <c r="H1068" s="7" t="s">
        <v>19</v>
      </c>
      <c r="I1068" s="7" t="s">
        <v>13</v>
      </c>
      <c r="J1068" s="7" t="s">
        <v>4009</v>
      </c>
      <c r="K1068" s="7" t="s">
        <v>4010</v>
      </c>
      <c r="L1068" s="7" t="s">
        <v>5347</v>
      </c>
      <c r="M1068" s="7">
        <v>1</v>
      </c>
      <c r="N1068" s="7">
        <v>0</v>
      </c>
      <c r="O1068" s="9" t="s">
        <v>5044</v>
      </c>
      <c r="P1068" s="7">
        <v>0</v>
      </c>
      <c r="Q1068" s="7">
        <v>0</v>
      </c>
      <c r="R1068" s="7">
        <v>0</v>
      </c>
      <c r="S1068" s="7">
        <v>1</v>
      </c>
      <c r="T1068" s="7">
        <v>1</v>
      </c>
      <c r="U1068" s="7">
        <v>210</v>
      </c>
      <c r="V1068" s="7">
        <v>0</v>
      </c>
      <c r="W1068" s="7">
        <v>1</v>
      </c>
      <c r="X1068" s="7">
        <v>0</v>
      </c>
      <c r="Y1068" s="7">
        <v>0</v>
      </c>
      <c r="Z1068" s="7">
        <v>0</v>
      </c>
      <c r="AA1068" s="7">
        <v>0</v>
      </c>
      <c r="AB1068" s="7">
        <v>1</v>
      </c>
      <c r="AC1068" s="7" t="s">
        <v>5044</v>
      </c>
      <c r="AD1068" s="7" t="s">
        <v>5044</v>
      </c>
      <c r="AE1068" s="7" t="s">
        <v>5044</v>
      </c>
      <c r="AF1068" s="7" t="s">
        <v>5044</v>
      </c>
      <c r="AG1068" s="7" t="s">
        <v>5044</v>
      </c>
      <c r="AH1068" s="7" t="s">
        <v>5044</v>
      </c>
      <c r="AI1068" s="7" t="s">
        <v>5044</v>
      </c>
      <c r="AJ1068" s="7" t="s">
        <v>5044</v>
      </c>
      <c r="AL1068" s="7" t="s">
        <v>5041</v>
      </c>
      <c r="AM1068" s="7">
        <v>0</v>
      </c>
    </row>
    <row r="1069" spans="1:39" ht="63" customHeight="1" x14ac:dyDescent="0.2">
      <c r="A1069" s="7">
        <v>10682</v>
      </c>
      <c r="B1069" s="7" t="s">
        <v>4011</v>
      </c>
      <c r="C1069" s="7" t="s">
        <v>4012</v>
      </c>
      <c r="D1069" s="7" t="s">
        <v>74</v>
      </c>
      <c r="E1069" s="7" t="s">
        <v>305</v>
      </c>
      <c r="H1069" s="7" t="s">
        <v>4013</v>
      </c>
      <c r="I1069" s="7" t="s">
        <v>13</v>
      </c>
      <c r="J1069" s="7" t="s">
        <v>4014</v>
      </c>
      <c r="K1069" s="7" t="s">
        <v>4015</v>
      </c>
      <c r="L1069" s="7" t="s">
        <v>5348</v>
      </c>
      <c r="M1069" s="7">
        <v>1</v>
      </c>
      <c r="N1069" s="7">
        <v>0</v>
      </c>
      <c r="O1069" s="9" t="s">
        <v>5044</v>
      </c>
      <c r="P1069" s="7">
        <v>0</v>
      </c>
      <c r="Q1069" s="7">
        <v>0</v>
      </c>
      <c r="R1069" s="7">
        <v>0</v>
      </c>
      <c r="S1069" s="7">
        <v>1</v>
      </c>
      <c r="T1069" s="7">
        <v>1</v>
      </c>
      <c r="U1069" s="7">
        <v>60</v>
      </c>
      <c r="V1069" s="7">
        <v>0</v>
      </c>
      <c r="W1069" s="7">
        <v>1</v>
      </c>
      <c r="X1069" s="7">
        <v>0</v>
      </c>
      <c r="Y1069" s="7">
        <v>0</v>
      </c>
      <c r="Z1069" s="7">
        <v>0</v>
      </c>
      <c r="AA1069" s="7">
        <v>0</v>
      </c>
      <c r="AB1069" s="7">
        <v>1</v>
      </c>
      <c r="AC1069" s="7" t="s">
        <v>5044</v>
      </c>
      <c r="AD1069" s="7" t="s">
        <v>5044</v>
      </c>
      <c r="AE1069" s="7" t="s">
        <v>5044</v>
      </c>
      <c r="AF1069" s="7" t="s">
        <v>5044</v>
      </c>
      <c r="AG1069" s="7" t="s">
        <v>5044</v>
      </c>
      <c r="AH1069" s="7" t="s">
        <v>5044</v>
      </c>
      <c r="AI1069" s="7" t="s">
        <v>5044</v>
      </c>
      <c r="AJ1069" s="7" t="s">
        <v>5044</v>
      </c>
      <c r="AL1069" s="7" t="s">
        <v>5041</v>
      </c>
      <c r="AM1069" s="7">
        <v>0</v>
      </c>
    </row>
    <row r="1070" spans="1:39" ht="63" customHeight="1" x14ac:dyDescent="0.2">
      <c r="A1070" s="7">
        <v>10688</v>
      </c>
      <c r="B1070" s="7" t="s">
        <v>4016</v>
      </c>
      <c r="C1070" s="7" t="s">
        <v>4017</v>
      </c>
      <c r="D1070" s="7" t="s">
        <v>95</v>
      </c>
      <c r="E1070" s="7" t="s">
        <v>4020</v>
      </c>
      <c r="F1070" s="7" t="s">
        <v>260</v>
      </c>
      <c r="G1070" s="7" t="s">
        <v>52</v>
      </c>
      <c r="H1070" s="7" t="s">
        <v>38</v>
      </c>
      <c r="I1070" s="7" t="s">
        <v>13</v>
      </c>
      <c r="J1070" s="7" t="s">
        <v>4018</v>
      </c>
      <c r="K1070" s="7" t="s">
        <v>4019</v>
      </c>
      <c r="L1070" s="7" t="s">
        <v>5349</v>
      </c>
      <c r="M1070" s="7">
        <v>0</v>
      </c>
      <c r="N1070" s="9" t="s">
        <v>5044</v>
      </c>
      <c r="O1070" s="9" t="s">
        <v>5044</v>
      </c>
      <c r="P1070" s="7">
        <v>1</v>
      </c>
      <c r="Q1070" s="7">
        <v>0</v>
      </c>
      <c r="R1070" s="7">
        <v>0</v>
      </c>
      <c r="S1070" s="7">
        <v>1</v>
      </c>
      <c r="T1070" s="7">
        <v>1</v>
      </c>
      <c r="U1070" s="7">
        <v>62</v>
      </c>
      <c r="V1070" s="7">
        <v>0</v>
      </c>
      <c r="W1070" s="7">
        <v>1</v>
      </c>
      <c r="X1070" s="7">
        <v>0</v>
      </c>
      <c r="Y1070" s="7">
        <v>0</v>
      </c>
      <c r="Z1070" s="7">
        <v>0</v>
      </c>
      <c r="AA1070" s="7">
        <v>0</v>
      </c>
      <c r="AB1070" s="7">
        <v>1</v>
      </c>
      <c r="AC1070" s="7">
        <v>0</v>
      </c>
      <c r="AD1070" s="7" t="s">
        <v>5044</v>
      </c>
      <c r="AE1070" s="7" t="s">
        <v>5044</v>
      </c>
      <c r="AF1070" s="7" t="s">
        <v>5044</v>
      </c>
      <c r="AG1070" s="7">
        <v>0</v>
      </c>
      <c r="AH1070" s="7" t="s">
        <v>5044</v>
      </c>
      <c r="AI1070" s="7" t="s">
        <v>5044</v>
      </c>
      <c r="AJ1070" s="7" t="s">
        <v>5044</v>
      </c>
      <c r="AL1070" s="7" t="s">
        <v>5044</v>
      </c>
      <c r="AM1070" s="7">
        <v>0</v>
      </c>
    </row>
    <row r="1071" spans="1:39" ht="63" customHeight="1" x14ac:dyDescent="0.2">
      <c r="A1071" s="7">
        <v>10704</v>
      </c>
      <c r="B1071" s="7" t="s">
        <v>4021</v>
      </c>
      <c r="C1071" s="7" t="s">
        <v>4022</v>
      </c>
      <c r="D1071" s="7" t="s">
        <v>149</v>
      </c>
      <c r="E1071" s="7" t="s">
        <v>305</v>
      </c>
      <c r="F1071" s="7" t="s">
        <v>293</v>
      </c>
      <c r="G1071" s="7" t="s">
        <v>52</v>
      </c>
      <c r="H1071" s="7" t="s">
        <v>119</v>
      </c>
      <c r="I1071" s="7" t="s">
        <v>13</v>
      </c>
      <c r="J1071" s="7" t="s">
        <v>4023</v>
      </c>
      <c r="K1071" s="7" t="s">
        <v>4024</v>
      </c>
      <c r="L1071" s="7" t="s">
        <v>5350</v>
      </c>
      <c r="M1071" s="7">
        <v>1</v>
      </c>
      <c r="N1071" s="7">
        <v>0</v>
      </c>
      <c r="O1071" s="9" t="s">
        <v>5044</v>
      </c>
      <c r="P1071" s="7">
        <v>0</v>
      </c>
      <c r="Q1071" s="7">
        <v>0</v>
      </c>
      <c r="R1071" s="7">
        <v>0</v>
      </c>
      <c r="S1071" s="7">
        <v>1</v>
      </c>
      <c r="T1071" s="7">
        <v>1</v>
      </c>
      <c r="U1071" s="7">
        <v>290</v>
      </c>
      <c r="V1071" s="7">
        <v>0</v>
      </c>
      <c r="W1071" s="7">
        <v>1</v>
      </c>
      <c r="X1071" s="7">
        <v>0</v>
      </c>
      <c r="Y1071" s="7">
        <v>0</v>
      </c>
      <c r="Z1071" s="7">
        <v>0</v>
      </c>
      <c r="AA1071" s="7">
        <v>0</v>
      </c>
      <c r="AB1071" s="7">
        <v>1</v>
      </c>
      <c r="AC1071" s="7" t="s">
        <v>5044</v>
      </c>
      <c r="AD1071" s="7" t="s">
        <v>5044</v>
      </c>
      <c r="AE1071" s="7" t="s">
        <v>5044</v>
      </c>
      <c r="AF1071" s="7" t="s">
        <v>5044</v>
      </c>
      <c r="AG1071" s="7" t="s">
        <v>5044</v>
      </c>
      <c r="AH1071" s="7" t="s">
        <v>5044</v>
      </c>
      <c r="AI1071" s="7" t="s">
        <v>5044</v>
      </c>
      <c r="AJ1071" s="7" t="s">
        <v>5044</v>
      </c>
      <c r="AL1071" s="7" t="s">
        <v>5041</v>
      </c>
      <c r="AM1071" s="7">
        <v>0</v>
      </c>
    </row>
    <row r="1072" spans="1:39" ht="63" customHeight="1" x14ac:dyDescent="0.2">
      <c r="A1072" s="7">
        <v>10711</v>
      </c>
      <c r="B1072" s="7" t="s">
        <v>4025</v>
      </c>
      <c r="C1072" s="7" t="s">
        <v>4026</v>
      </c>
      <c r="D1072" s="7" t="s">
        <v>56</v>
      </c>
      <c r="F1072" s="7" t="s">
        <v>4027</v>
      </c>
      <c r="G1072" s="7" t="s">
        <v>52</v>
      </c>
      <c r="H1072" s="7" t="s">
        <v>730</v>
      </c>
      <c r="I1072" s="7" t="s">
        <v>13</v>
      </c>
      <c r="J1072" s="7" t="s">
        <v>4028</v>
      </c>
      <c r="K1072" s="7" t="s">
        <v>4029</v>
      </c>
      <c r="L1072" s="7" t="s">
        <v>5351</v>
      </c>
      <c r="M1072" s="7">
        <v>0</v>
      </c>
      <c r="N1072" s="9" t="s">
        <v>5044</v>
      </c>
      <c r="O1072" s="9" t="s">
        <v>5044</v>
      </c>
      <c r="P1072" s="7">
        <v>0</v>
      </c>
      <c r="Q1072" s="7">
        <v>0</v>
      </c>
      <c r="R1072" s="7">
        <v>0</v>
      </c>
      <c r="S1072" s="7">
        <v>3</v>
      </c>
      <c r="T1072" s="7">
        <v>1</v>
      </c>
      <c r="U1072" s="7">
        <v>121</v>
      </c>
      <c r="V1072" s="7">
        <v>0</v>
      </c>
      <c r="W1072" s="7">
        <v>1</v>
      </c>
      <c r="X1072" s="7">
        <v>0</v>
      </c>
      <c r="Y1072" s="7">
        <v>0</v>
      </c>
      <c r="Z1072" s="7">
        <v>0</v>
      </c>
      <c r="AA1072" s="7">
        <v>0</v>
      </c>
      <c r="AB1072" s="7">
        <v>1</v>
      </c>
      <c r="AC1072" s="7">
        <v>1</v>
      </c>
      <c r="AD1072" s="7" t="s">
        <v>5044</v>
      </c>
      <c r="AE1072" s="7" t="s">
        <v>5044</v>
      </c>
      <c r="AF1072" s="7" t="s">
        <v>5044</v>
      </c>
      <c r="AG1072" s="7">
        <v>2</v>
      </c>
      <c r="AH1072" s="7">
        <v>3</v>
      </c>
      <c r="AI1072" s="7">
        <v>0</v>
      </c>
      <c r="AJ1072" s="7" t="s">
        <v>5044</v>
      </c>
      <c r="AL1072" s="7">
        <v>1</v>
      </c>
      <c r="AM1072" s="7">
        <v>0</v>
      </c>
    </row>
    <row r="1073" spans="1:39" ht="63" customHeight="1" x14ac:dyDescent="0.2">
      <c r="A1073" s="7">
        <v>10724</v>
      </c>
      <c r="B1073" s="7" t="s">
        <v>4035</v>
      </c>
      <c r="C1073" s="7" t="s">
        <v>4036</v>
      </c>
      <c r="D1073" s="7" t="s">
        <v>41</v>
      </c>
      <c r="F1073" s="7" t="s">
        <v>42</v>
      </c>
      <c r="G1073" s="7" t="s">
        <v>18</v>
      </c>
      <c r="H1073" s="7" t="s">
        <v>43</v>
      </c>
      <c r="I1073" s="7" t="s">
        <v>13</v>
      </c>
      <c r="J1073" s="7" t="s">
        <v>4037</v>
      </c>
      <c r="K1073" s="7" t="s">
        <v>4038</v>
      </c>
      <c r="L1073" s="7" t="s">
        <v>5352</v>
      </c>
      <c r="M1073" s="7">
        <v>0</v>
      </c>
      <c r="N1073" s="9" t="s">
        <v>5044</v>
      </c>
      <c r="O1073" s="9" t="s">
        <v>5044</v>
      </c>
      <c r="P1073" s="7">
        <v>0</v>
      </c>
      <c r="Q1073" s="7">
        <v>0</v>
      </c>
      <c r="R1073" s="7">
        <v>0</v>
      </c>
      <c r="S1073" s="7">
        <v>1</v>
      </c>
      <c r="T1073" s="7">
        <v>1</v>
      </c>
      <c r="U1073" s="7">
        <v>209</v>
      </c>
      <c r="V1073" s="7">
        <v>0</v>
      </c>
      <c r="W1073" s="7">
        <v>1</v>
      </c>
      <c r="X1073" s="7">
        <v>0</v>
      </c>
      <c r="Y1073" s="7">
        <v>0</v>
      </c>
      <c r="Z1073" s="7">
        <v>1</v>
      </c>
      <c r="AA1073" s="7">
        <v>0</v>
      </c>
      <c r="AB1073" s="7">
        <v>1</v>
      </c>
      <c r="AC1073" s="7">
        <v>1</v>
      </c>
      <c r="AD1073" s="7" t="s">
        <v>5044</v>
      </c>
      <c r="AE1073" s="7" t="s">
        <v>5044</v>
      </c>
      <c r="AF1073" s="7" t="s">
        <v>5044</v>
      </c>
      <c r="AG1073" s="7">
        <v>1</v>
      </c>
      <c r="AH1073" s="7">
        <v>0</v>
      </c>
      <c r="AI1073" s="7">
        <v>0</v>
      </c>
      <c r="AJ1073" s="7">
        <v>0</v>
      </c>
      <c r="AL1073" s="7">
        <v>0</v>
      </c>
      <c r="AM1073" s="7">
        <v>0</v>
      </c>
    </row>
    <row r="1074" spans="1:39" ht="63" customHeight="1" x14ac:dyDescent="0.2">
      <c r="A1074" s="7">
        <v>10733</v>
      </c>
      <c r="B1074" s="7" t="s">
        <v>4039</v>
      </c>
      <c r="C1074" s="7" t="s">
        <v>4040</v>
      </c>
      <c r="D1074" s="7" t="s">
        <v>41</v>
      </c>
      <c r="F1074" s="7" t="s">
        <v>703</v>
      </c>
      <c r="G1074" s="7" t="s">
        <v>47</v>
      </c>
      <c r="H1074" s="7" t="s">
        <v>160</v>
      </c>
      <c r="I1074" s="7" t="s">
        <v>13</v>
      </c>
      <c r="J1074" s="7" t="s">
        <v>4041</v>
      </c>
      <c r="K1074" s="7" t="s">
        <v>4042</v>
      </c>
      <c r="L1074" s="7" t="s">
        <v>5353</v>
      </c>
      <c r="M1074" s="7">
        <v>0</v>
      </c>
      <c r="N1074" s="9" t="s">
        <v>5044</v>
      </c>
      <c r="O1074" s="9" t="s">
        <v>5044</v>
      </c>
      <c r="P1074" s="7">
        <v>1</v>
      </c>
      <c r="Q1074" s="7">
        <v>0</v>
      </c>
      <c r="R1074" s="7">
        <v>0</v>
      </c>
      <c r="S1074" s="7">
        <v>1</v>
      </c>
      <c r="T1074" s="7">
        <v>1</v>
      </c>
      <c r="U1074" s="7">
        <v>22</v>
      </c>
      <c r="V1074" s="7">
        <v>0</v>
      </c>
      <c r="W1074" s="7">
        <v>1</v>
      </c>
      <c r="X1074" s="7">
        <v>0</v>
      </c>
      <c r="Y1074" s="7">
        <v>0</v>
      </c>
      <c r="Z1074" s="7">
        <v>0</v>
      </c>
      <c r="AA1074" s="7">
        <v>0</v>
      </c>
      <c r="AB1074" s="7">
        <v>1</v>
      </c>
      <c r="AC1074" s="7">
        <v>1</v>
      </c>
      <c r="AD1074" s="7" t="s">
        <v>5044</v>
      </c>
      <c r="AE1074" s="7" t="s">
        <v>5044</v>
      </c>
      <c r="AF1074" s="7" t="s">
        <v>5044</v>
      </c>
      <c r="AG1074" s="7">
        <v>1</v>
      </c>
      <c r="AH1074" s="7">
        <v>0</v>
      </c>
      <c r="AI1074" s="7">
        <v>0</v>
      </c>
      <c r="AJ1074" s="7" t="s">
        <v>5044</v>
      </c>
      <c r="AL1074" s="7">
        <v>0</v>
      </c>
      <c r="AM1074" s="7">
        <v>0</v>
      </c>
    </row>
    <row r="1075" spans="1:39" ht="63" customHeight="1" x14ac:dyDescent="0.2">
      <c r="A1075" s="7">
        <v>10734</v>
      </c>
      <c r="B1075" s="7" t="s">
        <v>4043</v>
      </c>
      <c r="C1075" s="7" t="s">
        <v>4044</v>
      </c>
      <c r="D1075" s="7" t="s">
        <v>41</v>
      </c>
      <c r="F1075" s="7" t="s">
        <v>26</v>
      </c>
      <c r="G1075" s="7" t="s">
        <v>47</v>
      </c>
      <c r="H1075" s="7" t="s">
        <v>1334</v>
      </c>
      <c r="I1075" s="7" t="s">
        <v>13</v>
      </c>
      <c r="J1075" s="7" t="s">
        <v>4045</v>
      </c>
      <c r="K1075" s="7" t="s">
        <v>4046</v>
      </c>
      <c r="L1075" s="7" t="s">
        <v>5354</v>
      </c>
      <c r="M1075" s="7">
        <v>0</v>
      </c>
      <c r="N1075" s="9" t="s">
        <v>5044</v>
      </c>
      <c r="O1075" s="9" t="s">
        <v>5044</v>
      </c>
      <c r="P1075" s="7">
        <v>0</v>
      </c>
      <c r="Q1075" s="7">
        <v>0</v>
      </c>
      <c r="R1075" s="7">
        <v>0</v>
      </c>
      <c r="S1075" s="7">
        <v>9</v>
      </c>
      <c r="T1075" s="7">
        <v>5</v>
      </c>
      <c r="U1075" s="7">
        <v>306</v>
      </c>
      <c r="V1075" s="7">
        <v>0</v>
      </c>
      <c r="W1075" s="7">
        <v>1</v>
      </c>
      <c r="X1075" s="7">
        <v>0</v>
      </c>
      <c r="Y1075" s="7">
        <v>0</v>
      </c>
      <c r="Z1075" s="7">
        <v>0</v>
      </c>
      <c r="AA1075" s="7">
        <v>0</v>
      </c>
      <c r="AB1075" s="7">
        <v>1</v>
      </c>
      <c r="AC1075" s="7">
        <v>1</v>
      </c>
      <c r="AD1075" s="7" t="s">
        <v>5044</v>
      </c>
      <c r="AE1075" s="7" t="s">
        <v>5044</v>
      </c>
      <c r="AF1075" s="7" t="s">
        <v>5044</v>
      </c>
      <c r="AG1075" s="7">
        <v>1</v>
      </c>
      <c r="AH1075" s="7">
        <v>0</v>
      </c>
      <c r="AI1075" s="7">
        <v>0</v>
      </c>
      <c r="AJ1075" s="7" t="s">
        <v>5044</v>
      </c>
      <c r="AL1075" s="7">
        <v>0</v>
      </c>
      <c r="AM1075" s="7">
        <v>0</v>
      </c>
    </row>
    <row r="1076" spans="1:39" ht="63" customHeight="1" x14ac:dyDescent="0.2">
      <c r="A1076" s="7">
        <v>10735</v>
      </c>
      <c r="B1076" s="7" t="s">
        <v>4047</v>
      </c>
      <c r="C1076" s="7" t="s">
        <v>4048</v>
      </c>
      <c r="D1076" s="7" t="s">
        <v>22</v>
      </c>
      <c r="F1076" s="7" t="s">
        <v>2608</v>
      </c>
      <c r="G1076" s="7" t="s">
        <v>27</v>
      </c>
      <c r="H1076" s="7" t="s">
        <v>2453</v>
      </c>
      <c r="I1076" s="7" t="s">
        <v>13</v>
      </c>
      <c r="J1076" s="7" t="s">
        <v>4049</v>
      </c>
      <c r="K1076" s="7" t="s">
        <v>4050</v>
      </c>
      <c r="L1076" s="7" t="s">
        <v>5355</v>
      </c>
      <c r="M1076" s="7">
        <v>0</v>
      </c>
      <c r="N1076" s="9" t="s">
        <v>5044</v>
      </c>
      <c r="O1076" s="9" t="s">
        <v>5044</v>
      </c>
      <c r="P1076" s="7">
        <v>0</v>
      </c>
      <c r="Q1076" s="7">
        <v>0</v>
      </c>
      <c r="R1076" s="7">
        <v>0</v>
      </c>
      <c r="S1076" s="7">
        <v>9</v>
      </c>
      <c r="T1076" s="7">
        <v>2</v>
      </c>
      <c r="U1076" s="7">
        <v>50</v>
      </c>
      <c r="V1076" s="7">
        <v>0</v>
      </c>
      <c r="W1076" s="7">
        <v>1</v>
      </c>
      <c r="X1076" s="7">
        <v>0</v>
      </c>
      <c r="Y1076" s="7">
        <v>0</v>
      </c>
      <c r="Z1076" s="7">
        <v>0</v>
      </c>
      <c r="AA1076" s="7">
        <v>0</v>
      </c>
      <c r="AB1076" s="7">
        <v>1</v>
      </c>
      <c r="AC1076" s="7">
        <v>0</v>
      </c>
      <c r="AD1076" s="7" t="s">
        <v>5044</v>
      </c>
      <c r="AE1076" s="7" t="s">
        <v>5044</v>
      </c>
      <c r="AF1076" s="7" t="s">
        <v>5044</v>
      </c>
      <c r="AG1076" s="7">
        <v>0</v>
      </c>
      <c r="AH1076" s="7" t="s">
        <v>5044</v>
      </c>
      <c r="AI1076" s="7" t="s">
        <v>5044</v>
      </c>
      <c r="AJ1076" s="7" t="s">
        <v>5044</v>
      </c>
      <c r="AL1076" s="7">
        <v>0</v>
      </c>
      <c r="AM1076" s="7">
        <v>0</v>
      </c>
    </row>
    <row r="1077" spans="1:39" ht="63" customHeight="1" x14ac:dyDescent="0.2">
      <c r="A1077" s="7">
        <v>10756</v>
      </c>
      <c r="B1077" s="7" t="s">
        <v>4051</v>
      </c>
      <c r="C1077" s="7" t="s">
        <v>4052</v>
      </c>
      <c r="D1077" s="7" t="s">
        <v>56</v>
      </c>
      <c r="F1077" s="7" t="s">
        <v>587</v>
      </c>
      <c r="G1077" s="7" t="s">
        <v>27</v>
      </c>
      <c r="H1077" s="7" t="s">
        <v>28</v>
      </c>
      <c r="I1077" s="7" t="s">
        <v>13</v>
      </c>
      <c r="J1077" s="7" t="s">
        <v>4053</v>
      </c>
      <c r="K1077" s="7" t="s">
        <v>4054</v>
      </c>
      <c r="L1077" s="7" t="s">
        <v>5356</v>
      </c>
      <c r="M1077" s="7">
        <v>0</v>
      </c>
      <c r="N1077" s="9" t="s">
        <v>5044</v>
      </c>
      <c r="O1077" s="9" t="s">
        <v>5044</v>
      </c>
      <c r="P1077" s="7">
        <v>0</v>
      </c>
      <c r="Q1077" s="7">
        <v>0</v>
      </c>
      <c r="R1077" s="7">
        <v>0</v>
      </c>
      <c r="S1077" s="7">
        <v>1</v>
      </c>
      <c r="T1077" s="7">
        <v>3</v>
      </c>
      <c r="U1077" s="7">
        <v>68</v>
      </c>
      <c r="V1077" s="7">
        <v>0</v>
      </c>
      <c r="W1077" s="7">
        <v>1</v>
      </c>
      <c r="X1077" s="7">
        <v>0</v>
      </c>
      <c r="Y1077" s="7">
        <v>0</v>
      </c>
      <c r="Z1077" s="7">
        <v>0</v>
      </c>
      <c r="AA1077" s="7">
        <v>0</v>
      </c>
      <c r="AB1077" s="7">
        <v>1</v>
      </c>
      <c r="AC1077" s="7">
        <v>0</v>
      </c>
      <c r="AD1077" s="7" t="s">
        <v>5044</v>
      </c>
      <c r="AE1077" s="7" t="s">
        <v>5044</v>
      </c>
      <c r="AF1077" s="7" t="s">
        <v>5044</v>
      </c>
      <c r="AG1077" s="7">
        <v>0</v>
      </c>
      <c r="AH1077" s="7" t="s">
        <v>5044</v>
      </c>
      <c r="AI1077" s="7" t="s">
        <v>5044</v>
      </c>
      <c r="AJ1077" s="7" t="s">
        <v>5044</v>
      </c>
      <c r="AL1077" s="7">
        <v>1</v>
      </c>
      <c r="AM1077" s="7">
        <v>0</v>
      </c>
    </row>
    <row r="1078" spans="1:39" ht="63" customHeight="1" x14ac:dyDescent="0.2">
      <c r="A1078" s="7">
        <v>10788</v>
      </c>
      <c r="B1078" s="7" t="s">
        <v>4055</v>
      </c>
      <c r="C1078" s="7" t="s">
        <v>4056</v>
      </c>
      <c r="D1078" s="7" t="s">
        <v>101</v>
      </c>
      <c r="F1078" s="7" t="s">
        <v>568</v>
      </c>
      <c r="G1078" s="7" t="s">
        <v>27</v>
      </c>
      <c r="H1078" s="7" t="s">
        <v>217</v>
      </c>
      <c r="I1078" s="7" t="s">
        <v>13</v>
      </c>
      <c r="J1078" s="7" t="s">
        <v>4057</v>
      </c>
      <c r="K1078" s="7" t="s">
        <v>4058</v>
      </c>
      <c r="L1078" s="7" t="s">
        <v>5358</v>
      </c>
      <c r="M1078" s="7">
        <v>0</v>
      </c>
      <c r="N1078" s="9" t="s">
        <v>5044</v>
      </c>
      <c r="O1078" s="9" t="s">
        <v>5044</v>
      </c>
      <c r="P1078" s="7">
        <v>0</v>
      </c>
      <c r="Q1078" s="7">
        <v>0</v>
      </c>
      <c r="R1078" s="7">
        <v>0</v>
      </c>
      <c r="S1078" s="7" t="s">
        <v>5357</v>
      </c>
      <c r="T1078" s="7">
        <v>1</v>
      </c>
      <c r="U1078" s="7">
        <v>100</v>
      </c>
      <c r="V1078" s="7">
        <v>0</v>
      </c>
      <c r="W1078" s="7">
        <v>1</v>
      </c>
      <c r="X1078" s="7">
        <v>0</v>
      </c>
      <c r="Y1078" s="7">
        <v>0</v>
      </c>
      <c r="Z1078" s="7">
        <v>0</v>
      </c>
      <c r="AA1078" s="7">
        <v>0</v>
      </c>
      <c r="AB1078" s="7">
        <v>0</v>
      </c>
      <c r="AC1078" s="7">
        <v>1</v>
      </c>
      <c r="AD1078" s="7" t="s">
        <v>5044</v>
      </c>
      <c r="AE1078" s="7" t="s">
        <v>5044</v>
      </c>
      <c r="AF1078" s="7" t="s">
        <v>5044</v>
      </c>
      <c r="AG1078" s="7">
        <v>2</v>
      </c>
      <c r="AH1078" s="7">
        <v>3</v>
      </c>
      <c r="AI1078" s="7">
        <v>0</v>
      </c>
      <c r="AJ1078" s="7" t="s">
        <v>5044</v>
      </c>
      <c r="AL1078" s="7">
        <v>1</v>
      </c>
      <c r="AM1078" s="7">
        <v>0</v>
      </c>
    </row>
    <row r="1079" spans="1:39" ht="63" customHeight="1" x14ac:dyDescent="0.2">
      <c r="A1079" s="7">
        <v>10798</v>
      </c>
      <c r="B1079" s="7" t="s">
        <v>4059</v>
      </c>
      <c r="C1079" s="7" t="s">
        <v>4060</v>
      </c>
      <c r="D1079" s="7" t="s">
        <v>101</v>
      </c>
      <c r="F1079" s="7" t="s">
        <v>299</v>
      </c>
      <c r="G1079" s="7" t="s">
        <v>52</v>
      </c>
      <c r="H1079" s="7" t="s">
        <v>4061</v>
      </c>
      <c r="I1079" s="7" t="s">
        <v>13</v>
      </c>
      <c r="J1079" s="7" t="s">
        <v>4062</v>
      </c>
      <c r="K1079" s="7" t="s">
        <v>4063</v>
      </c>
      <c r="L1079" s="11" t="s">
        <v>5044</v>
      </c>
      <c r="M1079" s="7">
        <v>0</v>
      </c>
      <c r="N1079" s="9" t="s">
        <v>5044</v>
      </c>
      <c r="O1079" s="9" t="s">
        <v>5044</v>
      </c>
      <c r="P1079" s="7">
        <v>0</v>
      </c>
      <c r="Q1079" s="7">
        <v>0</v>
      </c>
      <c r="R1079" s="7">
        <v>0</v>
      </c>
      <c r="S1079" s="7">
        <v>1</v>
      </c>
      <c r="T1079" s="7">
        <v>1</v>
      </c>
      <c r="U1079" s="7">
        <v>64</v>
      </c>
      <c r="V1079" s="7">
        <v>0</v>
      </c>
      <c r="W1079" s="7">
        <v>1</v>
      </c>
      <c r="X1079" s="7">
        <v>0</v>
      </c>
      <c r="Y1079" s="7">
        <v>0</v>
      </c>
      <c r="Z1079" s="7">
        <v>0</v>
      </c>
      <c r="AA1079" s="7">
        <v>0</v>
      </c>
      <c r="AB1079" s="7">
        <v>1</v>
      </c>
      <c r="AC1079" s="7">
        <v>0</v>
      </c>
      <c r="AD1079" s="7" t="s">
        <v>5044</v>
      </c>
      <c r="AE1079" s="7" t="s">
        <v>5044</v>
      </c>
      <c r="AF1079" s="7" t="s">
        <v>5044</v>
      </c>
      <c r="AG1079" s="7">
        <v>0</v>
      </c>
      <c r="AH1079" s="7" t="s">
        <v>5044</v>
      </c>
      <c r="AI1079" s="7" t="s">
        <v>5044</v>
      </c>
      <c r="AJ1079" s="7" t="s">
        <v>5044</v>
      </c>
      <c r="AL1079" s="7" t="s">
        <v>5044</v>
      </c>
      <c r="AM1079" s="7">
        <v>0</v>
      </c>
    </row>
    <row r="1080" spans="1:39" ht="63" customHeight="1" x14ac:dyDescent="0.2">
      <c r="A1080" s="7">
        <v>10802</v>
      </c>
      <c r="B1080" s="7" t="s">
        <v>4064</v>
      </c>
      <c r="C1080" s="7" t="s">
        <v>4065</v>
      </c>
      <c r="D1080" s="7" t="s">
        <v>101</v>
      </c>
      <c r="E1080" s="7" t="s">
        <v>305</v>
      </c>
      <c r="F1080" s="7" t="s">
        <v>48</v>
      </c>
      <c r="G1080" s="7" t="s">
        <v>17</v>
      </c>
      <c r="H1080" s="7" t="s">
        <v>19</v>
      </c>
      <c r="I1080" s="7" t="s">
        <v>13</v>
      </c>
      <c r="J1080" s="7" t="s">
        <v>4066</v>
      </c>
      <c r="K1080" s="7" t="s">
        <v>4067</v>
      </c>
      <c r="L1080" s="7" t="s">
        <v>5359</v>
      </c>
      <c r="M1080" s="7">
        <v>1</v>
      </c>
      <c r="N1080" s="7">
        <v>0</v>
      </c>
      <c r="O1080" s="9" t="s">
        <v>5044</v>
      </c>
      <c r="P1080" s="7">
        <v>0</v>
      </c>
      <c r="Q1080" s="7">
        <v>0</v>
      </c>
      <c r="R1080" s="7">
        <v>0</v>
      </c>
      <c r="S1080" s="7">
        <v>9</v>
      </c>
      <c r="T1080" s="7">
        <v>1</v>
      </c>
      <c r="U1080" s="7">
        <v>160</v>
      </c>
      <c r="V1080" s="7">
        <v>0</v>
      </c>
      <c r="W1080" s="7">
        <v>1</v>
      </c>
      <c r="X1080" s="7">
        <v>0</v>
      </c>
      <c r="Y1080" s="7">
        <v>0</v>
      </c>
      <c r="Z1080" s="7">
        <v>0</v>
      </c>
      <c r="AA1080" s="7">
        <v>0</v>
      </c>
      <c r="AB1080" s="7">
        <v>1</v>
      </c>
      <c r="AC1080" s="7" t="s">
        <v>5044</v>
      </c>
      <c r="AD1080" s="7" t="s">
        <v>5044</v>
      </c>
      <c r="AE1080" s="7" t="s">
        <v>5044</v>
      </c>
      <c r="AF1080" s="7" t="s">
        <v>5044</v>
      </c>
      <c r="AG1080" s="7" t="s">
        <v>5044</v>
      </c>
      <c r="AH1080" s="7" t="s">
        <v>5044</v>
      </c>
      <c r="AI1080" s="7" t="s">
        <v>5044</v>
      </c>
      <c r="AJ1080" s="7" t="s">
        <v>5044</v>
      </c>
      <c r="AL1080" s="7" t="s">
        <v>5044</v>
      </c>
      <c r="AM1080" s="7">
        <v>0</v>
      </c>
    </row>
    <row r="1081" spans="1:39" ht="63" customHeight="1" x14ac:dyDescent="0.2">
      <c r="A1081" s="7">
        <v>10821</v>
      </c>
      <c r="B1081" s="7" t="s">
        <v>4068</v>
      </c>
      <c r="C1081" s="7" t="s">
        <v>4069</v>
      </c>
      <c r="D1081" s="7" t="s">
        <v>41</v>
      </c>
      <c r="F1081" s="7" t="s">
        <v>3312</v>
      </c>
      <c r="G1081" s="7" t="s">
        <v>18</v>
      </c>
      <c r="H1081" s="7" t="s">
        <v>390</v>
      </c>
      <c r="I1081" s="7" t="s">
        <v>13</v>
      </c>
      <c r="J1081" s="7" t="s">
        <v>4070</v>
      </c>
      <c r="K1081" s="7" t="s">
        <v>4071</v>
      </c>
      <c r="L1081" s="7" t="s">
        <v>5360</v>
      </c>
      <c r="M1081" s="7">
        <v>0</v>
      </c>
      <c r="N1081" s="9" t="s">
        <v>5044</v>
      </c>
      <c r="O1081" s="9" t="s">
        <v>5044</v>
      </c>
      <c r="P1081" s="7">
        <v>0</v>
      </c>
      <c r="Q1081" s="7">
        <v>0</v>
      </c>
      <c r="R1081" s="7">
        <v>0</v>
      </c>
      <c r="S1081" s="7">
        <v>5</v>
      </c>
      <c r="T1081" s="7">
        <v>2</v>
      </c>
      <c r="U1081" s="7">
        <v>100</v>
      </c>
      <c r="V1081" s="7">
        <v>0</v>
      </c>
      <c r="W1081" s="7">
        <v>1</v>
      </c>
      <c r="X1081" s="7">
        <v>0</v>
      </c>
      <c r="Y1081" s="7">
        <v>0</v>
      </c>
      <c r="Z1081" s="7">
        <v>0</v>
      </c>
      <c r="AA1081" s="7">
        <v>0</v>
      </c>
      <c r="AB1081" s="7">
        <v>1</v>
      </c>
      <c r="AC1081" s="7">
        <v>1</v>
      </c>
      <c r="AD1081" s="7" t="s">
        <v>5044</v>
      </c>
      <c r="AE1081" s="7" t="s">
        <v>5044</v>
      </c>
      <c r="AF1081" s="7" t="s">
        <v>5044</v>
      </c>
      <c r="AG1081" s="7">
        <v>2</v>
      </c>
      <c r="AH1081" s="7">
        <v>1</v>
      </c>
      <c r="AI1081" s="7">
        <v>2</v>
      </c>
      <c r="AJ1081" s="7" t="s">
        <v>5044</v>
      </c>
      <c r="AL1081" s="7">
        <v>0</v>
      </c>
      <c r="AM1081" s="7">
        <v>0</v>
      </c>
    </row>
    <row r="1082" spans="1:39" ht="63" customHeight="1" x14ac:dyDescent="0.2">
      <c r="A1082" s="7">
        <v>10849</v>
      </c>
      <c r="B1082" s="7" t="s">
        <v>4072</v>
      </c>
      <c r="C1082" s="7" t="s">
        <v>4073</v>
      </c>
      <c r="D1082" s="7" t="s">
        <v>35</v>
      </c>
      <c r="F1082" s="7" t="s">
        <v>4074</v>
      </c>
      <c r="G1082" s="7" t="s">
        <v>52</v>
      </c>
      <c r="H1082" s="7" t="s">
        <v>307</v>
      </c>
      <c r="I1082" s="7" t="s">
        <v>386</v>
      </c>
      <c r="J1082" s="7" t="s">
        <v>4075</v>
      </c>
      <c r="K1082" s="7" t="s">
        <v>4076</v>
      </c>
      <c r="L1082" s="7" t="s">
        <v>5044</v>
      </c>
      <c r="M1082" s="7">
        <v>0</v>
      </c>
      <c r="N1082" s="9" t="s">
        <v>5044</v>
      </c>
      <c r="O1082" s="9" t="s">
        <v>5044</v>
      </c>
      <c r="P1082" s="7">
        <v>0</v>
      </c>
      <c r="Q1082" s="7">
        <v>0</v>
      </c>
      <c r="R1082" s="7">
        <v>0</v>
      </c>
      <c r="S1082" s="7">
        <v>3</v>
      </c>
      <c r="T1082" s="7">
        <v>1</v>
      </c>
      <c r="U1082" s="7">
        <v>150</v>
      </c>
      <c r="V1082" s="7">
        <v>0</v>
      </c>
      <c r="W1082" s="7">
        <v>1</v>
      </c>
      <c r="X1082" s="7">
        <v>0</v>
      </c>
      <c r="Y1082" s="7">
        <v>0</v>
      </c>
      <c r="Z1082" s="7">
        <v>0</v>
      </c>
      <c r="AA1082" s="7">
        <v>0</v>
      </c>
      <c r="AB1082" s="7">
        <v>1</v>
      </c>
      <c r="AC1082" s="7">
        <v>1</v>
      </c>
      <c r="AD1082" s="7" t="s">
        <v>5044</v>
      </c>
      <c r="AE1082" s="7" t="s">
        <v>5044</v>
      </c>
      <c r="AF1082" s="7" t="s">
        <v>5044</v>
      </c>
      <c r="AG1082" s="7">
        <v>2</v>
      </c>
      <c r="AH1082" s="7">
        <v>3</v>
      </c>
      <c r="AI1082" s="7">
        <v>0</v>
      </c>
      <c r="AJ1082" s="7" t="s">
        <v>5044</v>
      </c>
      <c r="AK1082" s="7" t="s">
        <v>5361</v>
      </c>
      <c r="AL1082" s="7">
        <v>0</v>
      </c>
      <c r="AM1082" s="7">
        <v>0</v>
      </c>
    </row>
    <row r="1083" spans="1:39" ht="63" customHeight="1" x14ac:dyDescent="0.2">
      <c r="A1083" s="7">
        <v>10854</v>
      </c>
      <c r="B1083" s="7" t="s">
        <v>4077</v>
      </c>
      <c r="C1083" s="7" t="s">
        <v>4078</v>
      </c>
      <c r="D1083" s="7" t="s">
        <v>16</v>
      </c>
      <c r="F1083" s="7" t="s">
        <v>543</v>
      </c>
      <c r="G1083" s="7" t="s">
        <v>32</v>
      </c>
      <c r="H1083" s="7" t="s">
        <v>1377</v>
      </c>
      <c r="I1083" s="7" t="s">
        <v>13</v>
      </c>
      <c r="J1083" s="7" t="s">
        <v>4079</v>
      </c>
      <c r="K1083" s="7" t="s">
        <v>4080</v>
      </c>
      <c r="L1083" s="7" t="s">
        <v>5362</v>
      </c>
      <c r="M1083" s="7">
        <v>0</v>
      </c>
      <c r="N1083" s="9" t="s">
        <v>5044</v>
      </c>
      <c r="O1083" s="9" t="s">
        <v>5044</v>
      </c>
      <c r="P1083" s="7">
        <v>0</v>
      </c>
      <c r="Q1083" s="7">
        <v>0</v>
      </c>
      <c r="R1083" s="7">
        <v>0</v>
      </c>
      <c r="S1083" s="7">
        <v>5</v>
      </c>
      <c r="T1083" s="7">
        <v>1</v>
      </c>
      <c r="U1083" s="7">
        <v>88</v>
      </c>
      <c r="V1083" s="7">
        <v>1</v>
      </c>
      <c r="W1083" s="7">
        <v>1</v>
      </c>
      <c r="X1083" s="7">
        <v>0</v>
      </c>
      <c r="Y1083" s="7">
        <v>0</v>
      </c>
      <c r="Z1083" s="7">
        <v>0</v>
      </c>
      <c r="AA1083" s="7">
        <v>0</v>
      </c>
      <c r="AB1083" s="7">
        <v>1</v>
      </c>
      <c r="AC1083" s="7">
        <v>1</v>
      </c>
      <c r="AD1083" s="7">
        <v>2</v>
      </c>
      <c r="AE1083" s="7">
        <v>2</v>
      </c>
      <c r="AF1083" s="7">
        <v>2</v>
      </c>
      <c r="AG1083" s="7">
        <v>2</v>
      </c>
      <c r="AH1083" s="7">
        <v>2</v>
      </c>
      <c r="AI1083" s="7">
        <v>2</v>
      </c>
      <c r="AJ1083" s="7" t="s">
        <v>5044</v>
      </c>
      <c r="AL1083" s="7">
        <v>1</v>
      </c>
      <c r="AM1083" s="7">
        <v>0</v>
      </c>
    </row>
    <row r="1084" spans="1:39" ht="63" customHeight="1" x14ac:dyDescent="0.2">
      <c r="A1084" s="7">
        <v>10855</v>
      </c>
      <c r="B1084" s="7" t="s">
        <v>4081</v>
      </c>
      <c r="C1084" s="7" t="s">
        <v>4082</v>
      </c>
      <c r="D1084" s="7" t="s">
        <v>25</v>
      </c>
      <c r="E1084" s="7" t="s">
        <v>305</v>
      </c>
      <c r="F1084" s="7" t="s">
        <v>299</v>
      </c>
      <c r="G1084" s="7" t="s">
        <v>52</v>
      </c>
      <c r="H1084" s="7" t="s">
        <v>119</v>
      </c>
      <c r="I1084" s="7" t="s">
        <v>13</v>
      </c>
      <c r="J1084" s="7" t="s">
        <v>4083</v>
      </c>
      <c r="K1084" s="7" t="s">
        <v>4084</v>
      </c>
      <c r="L1084" s="7" t="s">
        <v>5363</v>
      </c>
      <c r="M1084" s="7">
        <v>1</v>
      </c>
      <c r="N1084" s="7">
        <v>0</v>
      </c>
      <c r="O1084" s="9" t="s">
        <v>5044</v>
      </c>
      <c r="P1084" s="7">
        <v>0</v>
      </c>
      <c r="Q1084" s="7">
        <v>0</v>
      </c>
      <c r="R1084" s="7">
        <v>0</v>
      </c>
      <c r="S1084" s="7">
        <v>1</v>
      </c>
      <c r="T1084" s="7">
        <v>1</v>
      </c>
      <c r="U1084" s="7">
        <v>400</v>
      </c>
      <c r="V1084" s="7">
        <v>1</v>
      </c>
      <c r="W1084" s="7">
        <v>1</v>
      </c>
      <c r="X1084" s="7">
        <v>0</v>
      </c>
      <c r="Y1084" s="7">
        <v>0</v>
      </c>
      <c r="Z1084" s="7">
        <v>0</v>
      </c>
      <c r="AA1084" s="7">
        <v>0</v>
      </c>
      <c r="AB1084" s="7">
        <v>1</v>
      </c>
      <c r="AC1084" s="7" t="s">
        <v>5044</v>
      </c>
      <c r="AD1084" s="7" t="s">
        <v>5044</v>
      </c>
      <c r="AE1084" s="7" t="s">
        <v>5044</v>
      </c>
      <c r="AF1084" s="7" t="s">
        <v>5044</v>
      </c>
      <c r="AG1084" s="7" t="s">
        <v>5044</v>
      </c>
      <c r="AH1084" s="7" t="s">
        <v>5044</v>
      </c>
      <c r="AI1084" s="7" t="s">
        <v>5044</v>
      </c>
      <c r="AJ1084" s="7" t="s">
        <v>5044</v>
      </c>
      <c r="AL1084" s="7" t="s">
        <v>5041</v>
      </c>
      <c r="AM1084" s="7">
        <v>0</v>
      </c>
    </row>
    <row r="1085" spans="1:39" ht="63" customHeight="1" x14ac:dyDescent="0.2">
      <c r="A1085" s="7">
        <v>10870</v>
      </c>
      <c r="B1085" s="7" t="s">
        <v>4085</v>
      </c>
      <c r="C1085" s="7" t="s">
        <v>4086</v>
      </c>
      <c r="D1085" s="7" t="s">
        <v>101</v>
      </c>
      <c r="F1085" s="7" t="s">
        <v>2755</v>
      </c>
      <c r="H1085" s="7" t="s">
        <v>490</v>
      </c>
      <c r="I1085" s="7" t="s">
        <v>13</v>
      </c>
      <c r="J1085" s="7" t="s">
        <v>4087</v>
      </c>
      <c r="K1085" s="7" t="s">
        <v>4088</v>
      </c>
      <c r="L1085" s="7" t="s">
        <v>5364</v>
      </c>
      <c r="M1085" s="7">
        <v>0</v>
      </c>
      <c r="N1085" s="9" t="s">
        <v>5044</v>
      </c>
      <c r="O1085" s="9" t="s">
        <v>5044</v>
      </c>
      <c r="P1085" s="7">
        <v>0</v>
      </c>
      <c r="Q1085" s="7">
        <v>0</v>
      </c>
      <c r="R1085" s="7">
        <v>0</v>
      </c>
      <c r="S1085" s="7">
        <v>3</v>
      </c>
      <c r="T1085" s="7">
        <v>2</v>
      </c>
      <c r="U1085" s="7">
        <v>50</v>
      </c>
      <c r="V1085" s="7">
        <v>0</v>
      </c>
      <c r="W1085" s="7">
        <v>1</v>
      </c>
      <c r="X1085" s="7">
        <v>0</v>
      </c>
      <c r="Y1085" s="7">
        <v>0</v>
      </c>
      <c r="Z1085" s="7">
        <v>0</v>
      </c>
      <c r="AA1085" s="7">
        <v>0</v>
      </c>
      <c r="AB1085" s="7">
        <v>1</v>
      </c>
      <c r="AC1085" s="7">
        <v>1</v>
      </c>
      <c r="AD1085" s="7" t="s">
        <v>5044</v>
      </c>
      <c r="AE1085" s="7" t="s">
        <v>5044</v>
      </c>
      <c r="AF1085" s="7" t="s">
        <v>5044</v>
      </c>
      <c r="AG1085" s="7">
        <v>1</v>
      </c>
      <c r="AH1085" s="7">
        <v>0</v>
      </c>
      <c r="AI1085" s="7">
        <v>0</v>
      </c>
      <c r="AJ1085" s="7" t="s">
        <v>5044</v>
      </c>
      <c r="AL1085" s="7">
        <v>0</v>
      </c>
      <c r="AM1085" s="7">
        <v>0</v>
      </c>
    </row>
    <row r="1086" spans="1:39" ht="63" customHeight="1" x14ac:dyDescent="0.2">
      <c r="A1086" s="7">
        <v>10887</v>
      </c>
      <c r="B1086" s="7" t="s">
        <v>4089</v>
      </c>
      <c r="C1086" s="7" t="s">
        <v>4090</v>
      </c>
      <c r="D1086" s="7" t="s">
        <v>22</v>
      </c>
      <c r="F1086" s="7" t="s">
        <v>114</v>
      </c>
      <c r="G1086" s="7" t="s">
        <v>27</v>
      </c>
      <c r="H1086" s="7" t="s">
        <v>102</v>
      </c>
      <c r="I1086" s="7" t="s">
        <v>13</v>
      </c>
      <c r="J1086" s="7" t="s">
        <v>4091</v>
      </c>
      <c r="K1086" s="7" t="s">
        <v>4092</v>
      </c>
      <c r="L1086" s="7" t="s">
        <v>5044</v>
      </c>
      <c r="M1086" s="7">
        <v>0</v>
      </c>
      <c r="N1086" s="9" t="s">
        <v>5044</v>
      </c>
      <c r="O1086" s="9" t="s">
        <v>5044</v>
      </c>
      <c r="P1086" s="7">
        <v>0</v>
      </c>
      <c r="Q1086" s="7">
        <v>0</v>
      </c>
      <c r="R1086" s="7">
        <v>0</v>
      </c>
      <c r="S1086" s="7">
        <v>3</v>
      </c>
      <c r="T1086" s="7">
        <v>4</v>
      </c>
      <c r="U1086" s="7">
        <v>160</v>
      </c>
      <c r="V1086" s="7">
        <v>0</v>
      </c>
      <c r="W1086" s="7">
        <v>1</v>
      </c>
      <c r="X1086" s="7">
        <v>0</v>
      </c>
      <c r="Y1086" s="7">
        <v>0</v>
      </c>
      <c r="Z1086" s="7">
        <v>0</v>
      </c>
      <c r="AA1086" s="7">
        <v>0</v>
      </c>
      <c r="AB1086" s="7">
        <v>1</v>
      </c>
      <c r="AC1086" s="7">
        <v>0</v>
      </c>
      <c r="AD1086" s="7" t="s">
        <v>5044</v>
      </c>
      <c r="AE1086" s="7" t="s">
        <v>5044</v>
      </c>
      <c r="AF1086" s="7" t="s">
        <v>5044</v>
      </c>
      <c r="AG1086" s="7">
        <v>0</v>
      </c>
      <c r="AH1086" s="7" t="s">
        <v>5044</v>
      </c>
      <c r="AI1086" s="7" t="s">
        <v>5044</v>
      </c>
      <c r="AJ1086" s="7" t="s">
        <v>5044</v>
      </c>
      <c r="AL1086" s="7">
        <v>1</v>
      </c>
      <c r="AM1086" s="7">
        <v>0</v>
      </c>
    </row>
    <row r="1087" spans="1:39" ht="63" customHeight="1" x14ac:dyDescent="0.2">
      <c r="A1087" s="7">
        <v>10915</v>
      </c>
      <c r="B1087" s="7" t="s">
        <v>4093</v>
      </c>
      <c r="C1087" s="7" t="s">
        <v>4094</v>
      </c>
      <c r="D1087" s="7" t="s">
        <v>375</v>
      </c>
      <c r="F1087" s="7" t="s">
        <v>1082</v>
      </c>
      <c r="G1087" s="7" t="s">
        <v>18</v>
      </c>
      <c r="H1087" s="7" t="s">
        <v>490</v>
      </c>
      <c r="I1087" s="7" t="s">
        <v>13</v>
      </c>
      <c r="J1087" s="7" t="s">
        <v>4095</v>
      </c>
      <c r="K1087" s="7" t="s">
        <v>4096</v>
      </c>
      <c r="L1087" s="7" t="s">
        <v>5044</v>
      </c>
      <c r="M1087" s="7">
        <v>0</v>
      </c>
      <c r="N1087" s="9" t="s">
        <v>5044</v>
      </c>
      <c r="O1087" s="9" t="s">
        <v>5044</v>
      </c>
      <c r="P1087" s="7">
        <v>0</v>
      </c>
      <c r="Q1087" s="7">
        <v>0</v>
      </c>
      <c r="R1087" s="7">
        <v>0</v>
      </c>
      <c r="S1087" s="7">
        <v>3</v>
      </c>
      <c r="T1087" s="7">
        <v>4</v>
      </c>
      <c r="U1087" s="7">
        <v>61</v>
      </c>
      <c r="V1087" s="7">
        <v>0</v>
      </c>
      <c r="W1087" s="7">
        <v>1</v>
      </c>
      <c r="X1087" s="7">
        <v>0</v>
      </c>
      <c r="Y1087" s="7">
        <v>0</v>
      </c>
      <c r="Z1087" s="7">
        <v>0</v>
      </c>
      <c r="AA1087" s="7">
        <v>0</v>
      </c>
      <c r="AB1087" s="7">
        <v>1</v>
      </c>
      <c r="AC1087" s="7">
        <v>1</v>
      </c>
      <c r="AD1087" s="7" t="s">
        <v>5044</v>
      </c>
      <c r="AE1087" s="7" t="s">
        <v>5044</v>
      </c>
      <c r="AF1087" s="7" t="s">
        <v>5044</v>
      </c>
      <c r="AG1087" s="7">
        <v>2</v>
      </c>
      <c r="AH1087" s="7">
        <v>3</v>
      </c>
      <c r="AI1087" s="7">
        <v>0</v>
      </c>
      <c r="AJ1087" s="7" t="s">
        <v>5044</v>
      </c>
      <c r="AK1087" s="7">
        <v>1</v>
      </c>
      <c r="AL1087" s="7">
        <v>1</v>
      </c>
      <c r="AM1087" s="7">
        <v>0</v>
      </c>
    </row>
    <row r="1088" spans="1:39" ht="63" customHeight="1" x14ac:dyDescent="0.2">
      <c r="A1088" s="7">
        <v>10916</v>
      </c>
      <c r="B1088" s="7" t="s">
        <v>4097</v>
      </c>
      <c r="C1088" s="7" t="s">
        <v>4098</v>
      </c>
      <c r="D1088" s="7" t="s">
        <v>22</v>
      </c>
      <c r="F1088" s="7" t="s">
        <v>83</v>
      </c>
      <c r="G1088" s="7" t="s">
        <v>92</v>
      </c>
      <c r="H1088" s="7" t="s">
        <v>160</v>
      </c>
      <c r="I1088" s="7" t="s">
        <v>13</v>
      </c>
      <c r="J1088" s="7" t="s">
        <v>4099</v>
      </c>
      <c r="K1088" s="7" t="s">
        <v>4100</v>
      </c>
      <c r="L1088" s="7" t="s">
        <v>5365</v>
      </c>
      <c r="M1088" s="7">
        <v>0</v>
      </c>
      <c r="N1088" s="9" t="s">
        <v>5044</v>
      </c>
      <c r="O1088" s="9" t="s">
        <v>5044</v>
      </c>
      <c r="P1088" s="7">
        <v>0</v>
      </c>
      <c r="Q1088" s="7">
        <v>0</v>
      </c>
      <c r="R1088" s="7">
        <v>0</v>
      </c>
      <c r="S1088" s="7">
        <v>5</v>
      </c>
      <c r="T1088" s="7">
        <v>4</v>
      </c>
      <c r="U1088" s="7">
        <v>40</v>
      </c>
      <c r="V1088" s="7">
        <v>0</v>
      </c>
      <c r="W1088" s="7">
        <v>1</v>
      </c>
      <c r="X1088" s="7">
        <v>0</v>
      </c>
      <c r="Y1088" s="7">
        <v>0</v>
      </c>
      <c r="Z1088" s="7">
        <v>0</v>
      </c>
      <c r="AA1088" s="7">
        <v>0</v>
      </c>
      <c r="AB1088" s="7">
        <v>1</v>
      </c>
      <c r="AC1088" s="7">
        <v>1</v>
      </c>
      <c r="AD1088" s="7" t="s">
        <v>5044</v>
      </c>
      <c r="AE1088" s="7" t="s">
        <v>5044</v>
      </c>
      <c r="AF1088" s="7" t="s">
        <v>5044</v>
      </c>
      <c r="AG1088" s="7">
        <v>2</v>
      </c>
      <c r="AH1088" s="7">
        <v>1</v>
      </c>
      <c r="AI1088" s="7">
        <v>2</v>
      </c>
      <c r="AJ1088" s="7" t="s">
        <v>5044</v>
      </c>
      <c r="AL1088" s="7">
        <v>1</v>
      </c>
      <c r="AM1088" s="7">
        <v>0</v>
      </c>
    </row>
    <row r="1089" spans="1:39" ht="63" customHeight="1" x14ac:dyDescent="0.2">
      <c r="A1089" s="7">
        <v>10922</v>
      </c>
      <c r="B1089" s="7" t="s">
        <v>4101</v>
      </c>
      <c r="C1089" s="7" t="s">
        <v>4102</v>
      </c>
      <c r="D1089" s="7" t="s">
        <v>101</v>
      </c>
      <c r="E1089" s="7" t="s">
        <v>4105</v>
      </c>
      <c r="F1089" s="7" t="s">
        <v>58</v>
      </c>
      <c r="G1089" s="7" t="s">
        <v>48</v>
      </c>
      <c r="H1089" s="7" t="s">
        <v>286</v>
      </c>
      <c r="I1089" s="7" t="s">
        <v>13</v>
      </c>
      <c r="J1089" s="7" t="s">
        <v>4103</v>
      </c>
      <c r="K1089" s="7" t="s">
        <v>4104</v>
      </c>
      <c r="L1089" s="7" t="s">
        <v>5366</v>
      </c>
      <c r="M1089" s="7">
        <v>0</v>
      </c>
      <c r="N1089" s="9" t="s">
        <v>5044</v>
      </c>
      <c r="O1089" s="9" t="s">
        <v>5044</v>
      </c>
      <c r="P1089" s="7">
        <v>0</v>
      </c>
      <c r="Q1089" s="7">
        <v>0</v>
      </c>
      <c r="R1089" s="7">
        <v>0</v>
      </c>
      <c r="S1089" s="7" t="s">
        <v>5357</v>
      </c>
      <c r="T1089" s="7">
        <v>4</v>
      </c>
      <c r="U1089" s="7">
        <v>60</v>
      </c>
      <c r="V1089" s="7">
        <v>0</v>
      </c>
      <c r="W1089" s="7">
        <v>1</v>
      </c>
      <c r="X1089" s="7">
        <v>0</v>
      </c>
      <c r="Y1089" s="7">
        <v>0</v>
      </c>
      <c r="Z1089" s="7">
        <v>0</v>
      </c>
      <c r="AA1089" s="7">
        <v>0</v>
      </c>
      <c r="AB1089" s="7">
        <v>1</v>
      </c>
      <c r="AC1089" s="7">
        <v>0</v>
      </c>
      <c r="AD1089" s="7" t="s">
        <v>5044</v>
      </c>
      <c r="AE1089" s="7" t="s">
        <v>5044</v>
      </c>
      <c r="AF1089" s="7" t="s">
        <v>5044</v>
      </c>
      <c r="AG1089" s="7">
        <v>0</v>
      </c>
      <c r="AH1089" s="7" t="s">
        <v>5044</v>
      </c>
      <c r="AI1089" s="7" t="s">
        <v>5044</v>
      </c>
      <c r="AJ1089" s="7" t="s">
        <v>5044</v>
      </c>
      <c r="AL1089" s="7">
        <v>0</v>
      </c>
      <c r="AM1089" s="7">
        <v>0</v>
      </c>
    </row>
    <row r="1090" spans="1:39" ht="63" customHeight="1" x14ac:dyDescent="0.2">
      <c r="A1090" s="7">
        <v>10954</v>
      </c>
      <c r="B1090" s="7" t="s">
        <v>4106</v>
      </c>
      <c r="C1090" s="7" t="s">
        <v>4107</v>
      </c>
      <c r="D1090" s="7" t="s">
        <v>41</v>
      </c>
      <c r="F1090" s="7" t="s">
        <v>51</v>
      </c>
      <c r="G1090" s="7" t="s">
        <v>32</v>
      </c>
      <c r="H1090" s="7" t="s">
        <v>613</v>
      </c>
      <c r="I1090" s="7" t="s">
        <v>13</v>
      </c>
      <c r="J1090" s="7" t="s">
        <v>4108</v>
      </c>
      <c r="K1090" s="7" t="s">
        <v>4109</v>
      </c>
      <c r="L1090" s="7" t="s">
        <v>5367</v>
      </c>
      <c r="M1090" s="7">
        <v>0</v>
      </c>
      <c r="N1090" s="9" t="s">
        <v>5044</v>
      </c>
      <c r="O1090" s="9" t="s">
        <v>5044</v>
      </c>
      <c r="P1090" s="7">
        <v>0</v>
      </c>
      <c r="Q1090" s="7">
        <v>0</v>
      </c>
      <c r="R1090" s="7">
        <v>0</v>
      </c>
      <c r="S1090" s="7" t="s">
        <v>5357</v>
      </c>
      <c r="T1090" s="7">
        <v>4</v>
      </c>
      <c r="U1090" s="7">
        <v>160</v>
      </c>
      <c r="V1090" s="7">
        <v>0</v>
      </c>
      <c r="W1090" s="7">
        <v>1</v>
      </c>
      <c r="X1090" s="7">
        <v>0</v>
      </c>
      <c r="Y1090" s="7">
        <v>0</v>
      </c>
      <c r="Z1090" s="7">
        <v>0</v>
      </c>
      <c r="AA1090" s="7">
        <v>0</v>
      </c>
      <c r="AB1090" s="7">
        <v>0</v>
      </c>
      <c r="AC1090" s="7">
        <v>1</v>
      </c>
      <c r="AD1090" s="7" t="s">
        <v>5044</v>
      </c>
      <c r="AE1090" s="7" t="s">
        <v>5044</v>
      </c>
      <c r="AF1090" s="7" t="s">
        <v>5044</v>
      </c>
      <c r="AG1090" s="7">
        <v>2</v>
      </c>
      <c r="AH1090" s="7">
        <v>3</v>
      </c>
      <c r="AI1090" s="7">
        <v>0</v>
      </c>
      <c r="AJ1090" s="7" t="s">
        <v>5044</v>
      </c>
      <c r="AL1090" s="7" t="s">
        <v>5044</v>
      </c>
      <c r="AM1090" s="7">
        <v>0</v>
      </c>
    </row>
    <row r="1091" spans="1:39" ht="63" customHeight="1" x14ac:dyDescent="0.2">
      <c r="A1091" s="7">
        <v>10980</v>
      </c>
      <c r="B1091" s="7" t="s">
        <v>4110</v>
      </c>
      <c r="C1091" s="7" t="s">
        <v>4111</v>
      </c>
      <c r="D1091" s="7" t="s">
        <v>22</v>
      </c>
      <c r="F1091" s="7" t="s">
        <v>389</v>
      </c>
      <c r="G1091" s="7" t="s">
        <v>144</v>
      </c>
      <c r="H1091" s="7" t="s">
        <v>679</v>
      </c>
      <c r="I1091" s="7" t="s">
        <v>13</v>
      </c>
      <c r="J1091" s="7" t="s">
        <v>4112</v>
      </c>
      <c r="K1091" s="7" t="s">
        <v>4113</v>
      </c>
      <c r="L1091" s="7" t="s">
        <v>5044</v>
      </c>
      <c r="M1091" s="7">
        <v>0</v>
      </c>
      <c r="N1091" s="9" t="s">
        <v>5044</v>
      </c>
      <c r="O1091" s="9" t="s">
        <v>5044</v>
      </c>
      <c r="P1091" s="7">
        <v>0</v>
      </c>
      <c r="Q1091" s="7">
        <v>0</v>
      </c>
      <c r="R1091" s="7">
        <v>0</v>
      </c>
      <c r="S1091" s="7">
        <v>3</v>
      </c>
      <c r="T1091" s="7">
        <v>2</v>
      </c>
      <c r="U1091" s="7">
        <v>189</v>
      </c>
      <c r="V1091" s="7">
        <v>1</v>
      </c>
      <c r="W1091" s="7">
        <v>0</v>
      </c>
      <c r="X1091" s="7">
        <v>0</v>
      </c>
      <c r="Y1091" s="7">
        <v>0</v>
      </c>
      <c r="Z1091" s="7">
        <v>0</v>
      </c>
      <c r="AA1091" s="7">
        <v>0</v>
      </c>
      <c r="AB1091" s="7">
        <v>1</v>
      </c>
      <c r="AC1091" s="7">
        <v>1</v>
      </c>
      <c r="AD1091" s="7">
        <v>2</v>
      </c>
      <c r="AE1091" s="7">
        <v>2</v>
      </c>
      <c r="AF1091" s="7">
        <v>2</v>
      </c>
      <c r="AG1091" s="7" t="s">
        <v>5044</v>
      </c>
      <c r="AH1091" s="7" t="s">
        <v>5044</v>
      </c>
      <c r="AI1091" s="7" t="s">
        <v>5044</v>
      </c>
      <c r="AJ1091" s="7" t="s">
        <v>5044</v>
      </c>
      <c r="AL1091" s="7">
        <v>1</v>
      </c>
      <c r="AM1091" s="7">
        <v>0</v>
      </c>
    </row>
    <row r="1092" spans="1:39" ht="63" customHeight="1" x14ac:dyDescent="0.2">
      <c r="A1092" s="7">
        <v>11000</v>
      </c>
      <c r="B1092" s="7" t="s">
        <v>4114</v>
      </c>
      <c r="C1092" s="7" t="s">
        <v>4115</v>
      </c>
      <c r="D1092" s="7" t="s">
        <v>16</v>
      </c>
      <c r="F1092" s="7" t="s">
        <v>746</v>
      </c>
      <c r="G1092" s="7" t="s">
        <v>37</v>
      </c>
      <c r="H1092" s="7" t="s">
        <v>4116</v>
      </c>
      <c r="I1092" s="7" t="s">
        <v>13</v>
      </c>
      <c r="J1092" s="7" t="s">
        <v>4117</v>
      </c>
      <c r="K1092" s="7" t="s">
        <v>4118</v>
      </c>
      <c r="L1092" s="7" t="s">
        <v>5368</v>
      </c>
      <c r="M1092" s="7">
        <v>0</v>
      </c>
      <c r="N1092" s="9" t="s">
        <v>5044</v>
      </c>
      <c r="O1092" s="9" t="s">
        <v>5044</v>
      </c>
      <c r="P1092" s="7">
        <v>0</v>
      </c>
      <c r="Q1092" s="7">
        <v>0</v>
      </c>
      <c r="R1092" s="7">
        <v>0</v>
      </c>
      <c r="S1092" s="7">
        <v>1</v>
      </c>
      <c r="T1092" s="7">
        <v>4</v>
      </c>
      <c r="U1092" s="7">
        <v>106</v>
      </c>
      <c r="V1092" s="7">
        <v>0</v>
      </c>
      <c r="W1092" s="7">
        <v>1</v>
      </c>
      <c r="X1092" s="7">
        <v>0</v>
      </c>
      <c r="Y1092" s="7">
        <v>0</v>
      </c>
      <c r="Z1092" s="7">
        <v>0</v>
      </c>
      <c r="AA1092" s="7">
        <v>0</v>
      </c>
      <c r="AB1092" s="7">
        <v>1</v>
      </c>
      <c r="AC1092" s="7">
        <v>0</v>
      </c>
      <c r="AD1092" s="7" t="s">
        <v>5044</v>
      </c>
      <c r="AE1092" s="7" t="s">
        <v>5044</v>
      </c>
      <c r="AF1092" s="7" t="s">
        <v>5044</v>
      </c>
      <c r="AG1092" s="7">
        <v>0</v>
      </c>
      <c r="AH1092" s="7" t="s">
        <v>5044</v>
      </c>
      <c r="AI1092" s="7" t="s">
        <v>5044</v>
      </c>
      <c r="AJ1092" s="7" t="s">
        <v>5044</v>
      </c>
      <c r="AL1092" s="7">
        <v>1</v>
      </c>
      <c r="AM1092" s="7">
        <v>0</v>
      </c>
    </row>
    <row r="1093" spans="1:39" ht="63" customHeight="1" x14ac:dyDescent="0.2">
      <c r="A1093" s="7">
        <v>11019</v>
      </c>
      <c r="B1093" s="7" t="s">
        <v>4119</v>
      </c>
      <c r="C1093" s="7" t="s">
        <v>4120</v>
      </c>
      <c r="D1093" s="7" t="s">
        <v>16</v>
      </c>
      <c r="F1093" s="7" t="s">
        <v>3196</v>
      </c>
      <c r="G1093" s="7" t="s">
        <v>144</v>
      </c>
      <c r="H1093" s="7" t="s">
        <v>740</v>
      </c>
      <c r="I1093" s="7" t="s">
        <v>13</v>
      </c>
      <c r="J1093" s="7" t="s">
        <v>4121</v>
      </c>
      <c r="K1093" s="7" t="s">
        <v>4122</v>
      </c>
      <c r="L1093" s="7" t="s">
        <v>5369</v>
      </c>
      <c r="M1093" s="7">
        <v>0</v>
      </c>
      <c r="N1093" s="9" t="s">
        <v>5044</v>
      </c>
      <c r="O1093" s="9" t="s">
        <v>5044</v>
      </c>
      <c r="P1093" s="7">
        <v>0</v>
      </c>
      <c r="Q1093" s="7">
        <v>0</v>
      </c>
      <c r="R1093" s="7">
        <v>0</v>
      </c>
      <c r="S1093" s="7">
        <v>1</v>
      </c>
      <c r="T1093" s="7">
        <v>4</v>
      </c>
      <c r="U1093" s="7">
        <v>600</v>
      </c>
      <c r="V1093" s="7">
        <v>0</v>
      </c>
      <c r="W1093" s="7">
        <v>1</v>
      </c>
      <c r="X1093" s="7">
        <v>0</v>
      </c>
      <c r="Y1093" s="7">
        <v>0</v>
      </c>
      <c r="Z1093" s="7">
        <v>0</v>
      </c>
      <c r="AA1093" s="7">
        <v>0</v>
      </c>
      <c r="AB1093" s="7">
        <v>1</v>
      </c>
      <c r="AC1093" s="7">
        <v>1</v>
      </c>
      <c r="AD1093" s="7" t="s">
        <v>5044</v>
      </c>
      <c r="AE1093" s="7" t="s">
        <v>5044</v>
      </c>
      <c r="AF1093" s="7" t="s">
        <v>5044</v>
      </c>
      <c r="AG1093" s="7">
        <v>1</v>
      </c>
      <c r="AH1093" s="7">
        <v>0</v>
      </c>
      <c r="AI1093" s="7">
        <v>0</v>
      </c>
      <c r="AJ1093" s="7" t="s">
        <v>5044</v>
      </c>
      <c r="AL1093" s="7">
        <v>0</v>
      </c>
      <c r="AM1093" s="7">
        <v>0</v>
      </c>
    </row>
    <row r="1094" spans="1:39" ht="63" customHeight="1" x14ac:dyDescent="0.2">
      <c r="A1094" s="7">
        <v>11024</v>
      </c>
      <c r="B1094" s="7" t="s">
        <v>4123</v>
      </c>
      <c r="C1094" s="7" t="s">
        <v>4124</v>
      </c>
      <c r="D1094" s="7" t="s">
        <v>25</v>
      </c>
      <c r="F1094" s="7" t="s">
        <v>399</v>
      </c>
      <c r="G1094" s="7" t="s">
        <v>32</v>
      </c>
      <c r="H1094" s="7" t="s">
        <v>12</v>
      </c>
      <c r="I1094" s="7" t="s">
        <v>13</v>
      </c>
      <c r="J1094" s="7" t="s">
        <v>4125</v>
      </c>
      <c r="K1094" s="7" t="s">
        <v>4126</v>
      </c>
      <c r="L1094" s="7" t="s">
        <v>5370</v>
      </c>
      <c r="M1094" s="7">
        <v>0</v>
      </c>
      <c r="N1094" s="9" t="s">
        <v>5044</v>
      </c>
      <c r="O1094" s="9" t="s">
        <v>5044</v>
      </c>
      <c r="P1094" s="7">
        <v>0</v>
      </c>
      <c r="Q1094" s="7">
        <v>0</v>
      </c>
      <c r="R1094" s="7">
        <v>0</v>
      </c>
      <c r="S1094" s="7">
        <v>3</v>
      </c>
      <c r="T1094" s="7">
        <v>4</v>
      </c>
      <c r="U1094" s="7">
        <v>160</v>
      </c>
      <c r="V1094" s="7">
        <v>0</v>
      </c>
      <c r="W1094" s="7">
        <v>1</v>
      </c>
      <c r="X1094" s="7">
        <v>0</v>
      </c>
      <c r="Y1094" s="7">
        <v>0</v>
      </c>
      <c r="Z1094" s="7">
        <v>0</v>
      </c>
      <c r="AA1094" s="7">
        <v>0</v>
      </c>
      <c r="AB1094" s="7">
        <v>1</v>
      </c>
      <c r="AC1094" s="7">
        <v>1</v>
      </c>
      <c r="AD1094" s="7" t="s">
        <v>5044</v>
      </c>
      <c r="AE1094" s="7" t="s">
        <v>5044</v>
      </c>
      <c r="AF1094" s="7" t="s">
        <v>5044</v>
      </c>
      <c r="AG1094" s="7">
        <v>2</v>
      </c>
      <c r="AH1094" s="7">
        <v>3</v>
      </c>
      <c r="AI1094" s="7">
        <v>0</v>
      </c>
      <c r="AJ1094" s="7" t="s">
        <v>5044</v>
      </c>
      <c r="AL1094" s="7">
        <v>1</v>
      </c>
      <c r="AM1094" s="7">
        <v>0</v>
      </c>
    </row>
    <row r="1095" spans="1:39" ht="63" customHeight="1" x14ac:dyDescent="0.2">
      <c r="A1095" s="7">
        <v>11025</v>
      </c>
      <c r="B1095" s="7" t="s">
        <v>4127</v>
      </c>
      <c r="C1095" s="7" t="s">
        <v>4128</v>
      </c>
      <c r="D1095" s="7" t="s">
        <v>95</v>
      </c>
      <c r="F1095" s="7" t="s">
        <v>356</v>
      </c>
      <c r="G1095" s="7" t="s">
        <v>32</v>
      </c>
      <c r="H1095" s="7" t="s">
        <v>160</v>
      </c>
      <c r="I1095" s="7" t="s">
        <v>13</v>
      </c>
      <c r="J1095" s="7" t="s">
        <v>4129</v>
      </c>
      <c r="K1095" s="7" t="s">
        <v>4130</v>
      </c>
      <c r="L1095" s="7" t="s">
        <v>5371</v>
      </c>
      <c r="M1095" s="7">
        <v>0</v>
      </c>
      <c r="N1095" s="9" t="s">
        <v>5044</v>
      </c>
      <c r="O1095" s="9" t="s">
        <v>5044</v>
      </c>
      <c r="P1095" s="7">
        <v>0</v>
      </c>
      <c r="Q1095" s="7">
        <v>0</v>
      </c>
      <c r="R1095" s="7">
        <v>0</v>
      </c>
      <c r="S1095" s="7">
        <v>1</v>
      </c>
      <c r="T1095" s="7">
        <v>4</v>
      </c>
      <c r="U1095" s="7">
        <v>107</v>
      </c>
      <c r="V1095" s="7">
        <v>0</v>
      </c>
      <c r="W1095" s="7">
        <v>1</v>
      </c>
      <c r="X1095" s="7">
        <v>0</v>
      </c>
      <c r="Y1095" s="7">
        <v>0</v>
      </c>
      <c r="Z1095" s="7">
        <v>0</v>
      </c>
      <c r="AA1095" s="7">
        <v>0</v>
      </c>
      <c r="AB1095" s="7">
        <v>1</v>
      </c>
      <c r="AC1095" s="7">
        <v>1</v>
      </c>
      <c r="AD1095" s="7" t="s">
        <v>5044</v>
      </c>
      <c r="AE1095" s="7" t="s">
        <v>5044</v>
      </c>
      <c r="AF1095" s="7" t="s">
        <v>5044</v>
      </c>
      <c r="AG1095" s="7">
        <v>2</v>
      </c>
      <c r="AH1095" s="7">
        <v>2</v>
      </c>
      <c r="AI1095" s="7">
        <v>2</v>
      </c>
      <c r="AJ1095" s="7" t="s">
        <v>5044</v>
      </c>
      <c r="AL1095" s="7">
        <v>1</v>
      </c>
      <c r="AM1095" s="7">
        <v>0</v>
      </c>
    </row>
    <row r="1096" spans="1:39" ht="63" customHeight="1" x14ac:dyDescent="0.2">
      <c r="A1096" s="7">
        <v>11035</v>
      </c>
      <c r="B1096" s="7" t="s">
        <v>4131</v>
      </c>
      <c r="C1096" s="7" t="s">
        <v>4132</v>
      </c>
      <c r="D1096" s="7" t="s">
        <v>41</v>
      </c>
      <c r="F1096" s="7" t="s">
        <v>220</v>
      </c>
      <c r="G1096" s="7" t="s">
        <v>52</v>
      </c>
      <c r="H1096" s="7" t="s">
        <v>3547</v>
      </c>
      <c r="I1096" s="7" t="s">
        <v>13</v>
      </c>
      <c r="J1096" s="7" t="s">
        <v>4133</v>
      </c>
      <c r="K1096" s="7" t="s">
        <v>4134</v>
      </c>
      <c r="L1096" s="7" t="s">
        <v>5372</v>
      </c>
      <c r="M1096" s="7">
        <v>0</v>
      </c>
      <c r="N1096" s="9" t="s">
        <v>5044</v>
      </c>
      <c r="O1096" s="9" t="s">
        <v>5044</v>
      </c>
      <c r="P1096" s="7">
        <v>0</v>
      </c>
      <c r="Q1096" s="7">
        <v>0</v>
      </c>
      <c r="R1096" s="7">
        <v>0</v>
      </c>
      <c r="S1096" s="7">
        <v>1</v>
      </c>
      <c r="T1096" s="7">
        <v>4</v>
      </c>
      <c r="U1096" s="7">
        <v>266</v>
      </c>
      <c r="V1096" s="7">
        <v>0</v>
      </c>
      <c r="W1096" s="7">
        <v>1</v>
      </c>
      <c r="X1096" s="7">
        <v>0</v>
      </c>
      <c r="Y1096" s="7">
        <v>0</v>
      </c>
      <c r="Z1096" s="7">
        <v>0</v>
      </c>
      <c r="AA1096" s="7">
        <v>0</v>
      </c>
      <c r="AB1096" s="7">
        <v>1</v>
      </c>
      <c r="AC1096" s="7">
        <v>1</v>
      </c>
      <c r="AD1096" s="7" t="s">
        <v>5044</v>
      </c>
      <c r="AE1096" s="7" t="s">
        <v>5044</v>
      </c>
      <c r="AF1096" s="7" t="s">
        <v>5044</v>
      </c>
      <c r="AG1096" s="7">
        <v>2</v>
      </c>
      <c r="AH1096" s="7">
        <v>3</v>
      </c>
      <c r="AI1096" s="7">
        <v>0</v>
      </c>
      <c r="AJ1096" s="7" t="s">
        <v>5044</v>
      </c>
      <c r="AL1096" s="7">
        <v>0</v>
      </c>
      <c r="AM1096" s="7">
        <v>0</v>
      </c>
    </row>
    <row r="1097" spans="1:39" ht="63" customHeight="1" x14ac:dyDescent="0.2">
      <c r="A1097" s="7">
        <v>11036</v>
      </c>
      <c r="B1097" s="7" t="s">
        <v>4135</v>
      </c>
      <c r="C1097" s="7" t="s">
        <v>4136</v>
      </c>
      <c r="D1097" s="7" t="s">
        <v>101</v>
      </c>
      <c r="F1097" s="7" t="s">
        <v>568</v>
      </c>
      <c r="G1097" s="7" t="s">
        <v>18</v>
      </c>
      <c r="H1097" s="7" t="s">
        <v>217</v>
      </c>
      <c r="I1097" s="7" t="s">
        <v>13</v>
      </c>
      <c r="J1097" s="7" t="s">
        <v>4137</v>
      </c>
      <c r="K1097" s="7" t="s">
        <v>4138</v>
      </c>
      <c r="L1097" s="7" t="s">
        <v>5373</v>
      </c>
      <c r="M1097" s="7">
        <v>0</v>
      </c>
      <c r="N1097" s="9" t="s">
        <v>5044</v>
      </c>
      <c r="O1097" s="9" t="s">
        <v>5044</v>
      </c>
      <c r="P1097" s="7">
        <v>0</v>
      </c>
      <c r="Q1097" s="7">
        <v>0</v>
      </c>
      <c r="R1097" s="7">
        <v>0</v>
      </c>
      <c r="S1097" s="7">
        <v>1</v>
      </c>
      <c r="T1097" s="7">
        <v>4</v>
      </c>
      <c r="U1097" s="7">
        <v>266</v>
      </c>
      <c r="V1097" s="7">
        <v>0</v>
      </c>
      <c r="W1097" s="7">
        <v>1</v>
      </c>
      <c r="X1097" s="7">
        <v>0</v>
      </c>
      <c r="Y1097" s="7">
        <v>0</v>
      </c>
      <c r="Z1097" s="7">
        <v>0</v>
      </c>
      <c r="AA1097" s="7">
        <v>0</v>
      </c>
      <c r="AB1097" s="7">
        <v>1</v>
      </c>
      <c r="AC1097" s="7">
        <v>1</v>
      </c>
      <c r="AD1097" s="7" t="s">
        <v>5044</v>
      </c>
      <c r="AE1097" s="7" t="s">
        <v>5044</v>
      </c>
      <c r="AF1097" s="7" t="s">
        <v>5044</v>
      </c>
      <c r="AG1097" s="7">
        <v>2</v>
      </c>
      <c r="AH1097" s="7">
        <v>3</v>
      </c>
      <c r="AI1097" s="7">
        <v>0</v>
      </c>
      <c r="AJ1097" s="7" t="s">
        <v>5044</v>
      </c>
      <c r="AL1097" s="7">
        <v>1</v>
      </c>
      <c r="AM1097" s="7">
        <v>0</v>
      </c>
    </row>
    <row r="1098" spans="1:39" ht="63" customHeight="1" x14ac:dyDescent="0.2">
      <c r="A1098" s="7">
        <v>11056</v>
      </c>
      <c r="B1098" s="7" t="s">
        <v>4139</v>
      </c>
      <c r="C1098" s="7" t="s">
        <v>4140</v>
      </c>
      <c r="D1098" s="7" t="s">
        <v>101</v>
      </c>
      <c r="E1098" s="7" t="s">
        <v>305</v>
      </c>
      <c r="F1098" s="7" t="s">
        <v>107</v>
      </c>
      <c r="G1098" s="7" t="s">
        <v>52</v>
      </c>
      <c r="H1098" s="7" t="s">
        <v>53</v>
      </c>
      <c r="I1098" s="7" t="s">
        <v>13</v>
      </c>
      <c r="J1098" s="7" t="s">
        <v>4141</v>
      </c>
      <c r="K1098" s="7" t="s">
        <v>4142</v>
      </c>
      <c r="L1098" s="7" t="s">
        <v>5374</v>
      </c>
      <c r="M1098" s="7">
        <v>1</v>
      </c>
      <c r="N1098" s="7">
        <v>0</v>
      </c>
      <c r="O1098" s="9" t="s">
        <v>5044</v>
      </c>
      <c r="P1098" s="7">
        <v>0</v>
      </c>
      <c r="Q1098" s="7">
        <v>0</v>
      </c>
      <c r="R1098" s="7">
        <v>0</v>
      </c>
      <c r="S1098" s="7">
        <v>1</v>
      </c>
      <c r="T1098" s="7">
        <v>4</v>
      </c>
      <c r="U1098" s="7">
        <v>210</v>
      </c>
      <c r="V1098" s="7">
        <v>0</v>
      </c>
      <c r="W1098" s="7">
        <v>1</v>
      </c>
      <c r="X1098" s="7">
        <v>0</v>
      </c>
      <c r="Y1098" s="7">
        <v>0</v>
      </c>
      <c r="Z1098" s="7">
        <v>0</v>
      </c>
      <c r="AA1098" s="7">
        <v>0</v>
      </c>
      <c r="AB1098" s="7">
        <v>1</v>
      </c>
      <c r="AC1098" s="7" t="s">
        <v>5044</v>
      </c>
      <c r="AD1098" s="7" t="s">
        <v>5044</v>
      </c>
      <c r="AE1098" s="7" t="s">
        <v>5044</v>
      </c>
      <c r="AF1098" s="7" t="s">
        <v>5044</v>
      </c>
      <c r="AG1098" s="7" t="s">
        <v>5044</v>
      </c>
      <c r="AH1098" s="7" t="s">
        <v>5044</v>
      </c>
      <c r="AI1098" s="7" t="s">
        <v>5044</v>
      </c>
      <c r="AJ1098" s="7" t="s">
        <v>5044</v>
      </c>
      <c r="AL1098" s="7" t="s">
        <v>5041</v>
      </c>
      <c r="AM1098" s="7">
        <v>0</v>
      </c>
    </row>
    <row r="1099" spans="1:39" ht="63" customHeight="1" x14ac:dyDescent="0.2">
      <c r="A1099" s="7">
        <v>11059</v>
      </c>
      <c r="B1099" s="7" t="s">
        <v>4147</v>
      </c>
      <c r="C1099" s="7" t="s">
        <v>4148</v>
      </c>
      <c r="D1099" s="7" t="s">
        <v>16</v>
      </c>
      <c r="F1099" s="7" t="s">
        <v>11</v>
      </c>
      <c r="G1099" s="7" t="s">
        <v>47</v>
      </c>
      <c r="H1099" s="7" t="s">
        <v>140</v>
      </c>
      <c r="I1099" s="7" t="s">
        <v>13</v>
      </c>
      <c r="J1099" s="7" t="s">
        <v>4149</v>
      </c>
      <c r="K1099" s="7" t="s">
        <v>4150</v>
      </c>
      <c r="L1099" s="7" t="s">
        <v>5376</v>
      </c>
      <c r="M1099" s="7">
        <v>0</v>
      </c>
      <c r="N1099" s="9" t="s">
        <v>5044</v>
      </c>
      <c r="O1099" s="9" t="s">
        <v>5044</v>
      </c>
      <c r="P1099" s="7">
        <v>0</v>
      </c>
      <c r="Q1099" s="7">
        <v>0</v>
      </c>
      <c r="R1099" s="7">
        <v>0</v>
      </c>
      <c r="S1099" s="7">
        <v>5</v>
      </c>
      <c r="T1099" s="7">
        <v>2</v>
      </c>
      <c r="U1099" s="7">
        <v>336</v>
      </c>
      <c r="V1099" s="7">
        <v>0</v>
      </c>
      <c r="W1099" s="7">
        <v>1</v>
      </c>
      <c r="X1099" s="7">
        <v>0</v>
      </c>
      <c r="Y1099" s="7">
        <v>0</v>
      </c>
      <c r="Z1099" s="7">
        <v>0</v>
      </c>
      <c r="AA1099" s="7">
        <v>0</v>
      </c>
      <c r="AB1099" s="7">
        <v>1</v>
      </c>
      <c r="AC1099" s="7">
        <v>1</v>
      </c>
      <c r="AD1099" s="7" t="s">
        <v>5044</v>
      </c>
      <c r="AE1099" s="7" t="s">
        <v>5044</v>
      </c>
      <c r="AF1099" s="7" t="s">
        <v>5044</v>
      </c>
      <c r="AG1099" s="7">
        <v>2</v>
      </c>
      <c r="AH1099" s="7">
        <v>3</v>
      </c>
      <c r="AI1099" s="7">
        <v>0</v>
      </c>
      <c r="AJ1099" s="7" t="s">
        <v>5044</v>
      </c>
      <c r="AL1099" s="7">
        <v>1</v>
      </c>
      <c r="AM1099" s="7">
        <v>0</v>
      </c>
    </row>
    <row r="1100" spans="1:39" ht="63" customHeight="1" x14ac:dyDescent="0.2">
      <c r="A1100" s="7">
        <v>11063</v>
      </c>
      <c r="B1100" s="7" t="s">
        <v>4151</v>
      </c>
      <c r="C1100" s="7" t="s">
        <v>4152</v>
      </c>
      <c r="D1100" s="7" t="s">
        <v>35</v>
      </c>
      <c r="F1100" s="7" t="s">
        <v>746</v>
      </c>
      <c r="G1100" s="7" t="s">
        <v>48</v>
      </c>
      <c r="H1100" s="7" t="s">
        <v>270</v>
      </c>
      <c r="I1100" s="7" t="s">
        <v>13</v>
      </c>
      <c r="J1100" s="7" t="s">
        <v>4153</v>
      </c>
      <c r="K1100" s="7" t="s">
        <v>4154</v>
      </c>
      <c r="L1100" s="7" t="s">
        <v>5044</v>
      </c>
      <c r="M1100" s="7">
        <v>0</v>
      </c>
      <c r="N1100" s="9" t="s">
        <v>5044</v>
      </c>
      <c r="O1100" s="9" t="s">
        <v>5044</v>
      </c>
      <c r="P1100" s="7">
        <v>0</v>
      </c>
      <c r="Q1100" s="7">
        <v>0</v>
      </c>
      <c r="R1100" s="7">
        <v>0</v>
      </c>
      <c r="S1100" s="7">
        <v>1</v>
      </c>
      <c r="T1100" s="7">
        <v>4</v>
      </c>
      <c r="U1100" s="7">
        <v>88</v>
      </c>
      <c r="V1100" s="7">
        <v>1</v>
      </c>
      <c r="W1100" s="7">
        <v>0</v>
      </c>
      <c r="X1100" s="7">
        <v>0</v>
      </c>
      <c r="Y1100" s="7">
        <v>0</v>
      </c>
      <c r="Z1100" s="7">
        <v>0</v>
      </c>
      <c r="AA1100" s="7">
        <v>0</v>
      </c>
      <c r="AB1100" s="7">
        <v>0</v>
      </c>
      <c r="AC1100" s="7">
        <v>1</v>
      </c>
      <c r="AD1100" s="7">
        <v>1</v>
      </c>
      <c r="AE1100" s="7">
        <v>0</v>
      </c>
      <c r="AF1100" s="7">
        <v>0</v>
      </c>
      <c r="AG1100" s="7" t="s">
        <v>5044</v>
      </c>
      <c r="AH1100" s="7" t="s">
        <v>5044</v>
      </c>
      <c r="AI1100" s="7" t="s">
        <v>5044</v>
      </c>
      <c r="AJ1100" s="7" t="s">
        <v>5044</v>
      </c>
      <c r="AL1100" s="7">
        <v>1</v>
      </c>
      <c r="AM1100" s="7">
        <v>0</v>
      </c>
    </row>
    <row r="1101" spans="1:39" ht="63" customHeight="1" x14ac:dyDescent="0.2">
      <c r="A1101" s="7">
        <v>11088</v>
      </c>
      <c r="B1101" s="7" t="s">
        <v>4155</v>
      </c>
      <c r="C1101" s="7" t="s">
        <v>4156</v>
      </c>
      <c r="D1101" s="7" t="s">
        <v>30</v>
      </c>
      <c r="F1101" s="7" t="s">
        <v>697</v>
      </c>
      <c r="G1101" s="7" t="s">
        <v>175</v>
      </c>
      <c r="H1101" s="7" t="s">
        <v>698</v>
      </c>
      <c r="I1101" s="7" t="s">
        <v>13</v>
      </c>
      <c r="J1101" s="7" t="s">
        <v>4157</v>
      </c>
      <c r="K1101" s="7" t="s">
        <v>4158</v>
      </c>
      <c r="L1101" s="11" t="s">
        <v>5044</v>
      </c>
      <c r="M1101" s="7">
        <v>0</v>
      </c>
      <c r="N1101" s="9" t="s">
        <v>5044</v>
      </c>
      <c r="O1101" s="9" t="s">
        <v>5044</v>
      </c>
      <c r="P1101" s="7">
        <v>0</v>
      </c>
      <c r="Q1101" s="7">
        <v>0</v>
      </c>
      <c r="R1101" s="7">
        <v>0</v>
      </c>
      <c r="S1101" s="7">
        <v>9</v>
      </c>
      <c r="T1101" s="7">
        <v>1</v>
      </c>
      <c r="U1101" s="7">
        <v>60</v>
      </c>
      <c r="V1101" s="7">
        <v>0</v>
      </c>
      <c r="W1101" s="7">
        <v>1</v>
      </c>
      <c r="X1101" s="7">
        <v>0</v>
      </c>
      <c r="Y1101" s="7">
        <v>0</v>
      </c>
      <c r="Z1101" s="7">
        <v>0</v>
      </c>
      <c r="AA1101" s="7">
        <v>0</v>
      </c>
      <c r="AB1101" s="7">
        <v>1</v>
      </c>
      <c r="AC1101" s="7">
        <v>1</v>
      </c>
      <c r="AD1101" s="7" t="s">
        <v>5044</v>
      </c>
      <c r="AE1101" s="7" t="s">
        <v>5044</v>
      </c>
      <c r="AF1101" s="7" t="s">
        <v>5044</v>
      </c>
      <c r="AG1101" s="7">
        <v>1</v>
      </c>
      <c r="AH1101" s="7">
        <v>0</v>
      </c>
      <c r="AI1101" s="7">
        <v>0</v>
      </c>
      <c r="AJ1101" s="7" t="s">
        <v>5044</v>
      </c>
      <c r="AL1101" s="7">
        <v>0</v>
      </c>
      <c r="AM1101" s="7">
        <v>0</v>
      </c>
    </row>
    <row r="1102" spans="1:39" ht="63" customHeight="1" x14ac:dyDescent="0.2">
      <c r="A1102" s="7">
        <v>11089</v>
      </c>
      <c r="B1102" s="7" t="s">
        <v>4159</v>
      </c>
      <c r="C1102" s="7" t="s">
        <v>4160</v>
      </c>
      <c r="D1102" s="7" t="s">
        <v>16</v>
      </c>
      <c r="F1102" s="7" t="s">
        <v>587</v>
      </c>
      <c r="G1102" s="7" t="s">
        <v>144</v>
      </c>
      <c r="H1102" s="7" t="s">
        <v>329</v>
      </c>
      <c r="I1102" s="7" t="s">
        <v>437</v>
      </c>
      <c r="J1102" s="7" t="s">
        <v>4161</v>
      </c>
      <c r="K1102" s="7" t="s">
        <v>4162</v>
      </c>
      <c r="L1102" s="7" t="s">
        <v>5378</v>
      </c>
      <c r="M1102" s="7">
        <v>0</v>
      </c>
      <c r="N1102" s="9" t="s">
        <v>5044</v>
      </c>
      <c r="O1102" s="9" t="s">
        <v>5044</v>
      </c>
      <c r="P1102" s="7">
        <v>0</v>
      </c>
      <c r="Q1102" s="7">
        <v>0</v>
      </c>
      <c r="R1102" s="7">
        <v>0</v>
      </c>
      <c r="S1102" s="7" t="s">
        <v>5377</v>
      </c>
      <c r="T1102" s="7">
        <v>4</v>
      </c>
      <c r="U1102" s="7">
        <v>68</v>
      </c>
      <c r="V1102" s="7">
        <v>0</v>
      </c>
      <c r="W1102" s="7">
        <v>1</v>
      </c>
      <c r="X1102" s="7">
        <v>0</v>
      </c>
      <c r="Y1102" s="7">
        <v>0</v>
      </c>
      <c r="Z1102" s="7">
        <v>0</v>
      </c>
      <c r="AA1102" s="7">
        <v>0</v>
      </c>
      <c r="AB1102" s="7">
        <v>1</v>
      </c>
      <c r="AC1102" s="7">
        <v>1</v>
      </c>
      <c r="AD1102" s="7" t="s">
        <v>5044</v>
      </c>
      <c r="AE1102" s="7" t="s">
        <v>5044</v>
      </c>
      <c r="AF1102" s="7" t="s">
        <v>5044</v>
      </c>
      <c r="AG1102" s="7">
        <v>1</v>
      </c>
      <c r="AH1102" s="7">
        <v>0</v>
      </c>
      <c r="AI1102" s="7">
        <v>0</v>
      </c>
      <c r="AJ1102" s="7" t="s">
        <v>5044</v>
      </c>
      <c r="AL1102" s="7">
        <v>1</v>
      </c>
      <c r="AM1102" s="7">
        <v>0</v>
      </c>
    </row>
    <row r="1103" spans="1:39" ht="63" customHeight="1" x14ac:dyDescent="0.2">
      <c r="A1103" s="7">
        <v>11092</v>
      </c>
      <c r="B1103" s="7" t="s">
        <v>4163</v>
      </c>
      <c r="C1103" s="7" t="s">
        <v>4164</v>
      </c>
      <c r="D1103" s="7" t="s">
        <v>149</v>
      </c>
      <c r="F1103" s="7" t="s">
        <v>220</v>
      </c>
      <c r="G1103" s="7" t="s">
        <v>11</v>
      </c>
      <c r="H1103" s="7" t="s">
        <v>270</v>
      </c>
      <c r="I1103" s="7" t="s">
        <v>13</v>
      </c>
      <c r="J1103" s="7" t="s">
        <v>4165</v>
      </c>
      <c r="K1103" s="7" t="s">
        <v>4166</v>
      </c>
      <c r="L1103" s="7" t="s">
        <v>5044</v>
      </c>
      <c r="M1103" s="7">
        <v>0</v>
      </c>
      <c r="N1103" s="9" t="s">
        <v>5044</v>
      </c>
      <c r="O1103" s="9" t="s">
        <v>5044</v>
      </c>
      <c r="P1103" s="7">
        <v>0</v>
      </c>
      <c r="Q1103" s="7">
        <v>0</v>
      </c>
      <c r="R1103" s="7">
        <v>0</v>
      </c>
      <c r="S1103" s="7">
        <v>1</v>
      </c>
      <c r="T1103" s="7">
        <v>4</v>
      </c>
      <c r="U1103" s="7">
        <v>700</v>
      </c>
      <c r="V1103" s="7">
        <v>1</v>
      </c>
      <c r="W1103" s="7">
        <v>0</v>
      </c>
      <c r="X1103" s="7">
        <v>0</v>
      </c>
      <c r="Y1103" s="7">
        <v>0</v>
      </c>
      <c r="Z1103" s="7">
        <v>0</v>
      </c>
      <c r="AA1103" s="7">
        <v>0</v>
      </c>
      <c r="AB1103" s="7">
        <v>1</v>
      </c>
      <c r="AC1103" s="7">
        <v>1</v>
      </c>
      <c r="AD1103" s="7">
        <v>2</v>
      </c>
      <c r="AE1103" s="7">
        <v>2</v>
      </c>
      <c r="AF1103" s="7">
        <v>2</v>
      </c>
      <c r="AG1103" s="7" t="s">
        <v>5044</v>
      </c>
      <c r="AH1103" s="7" t="s">
        <v>5044</v>
      </c>
      <c r="AI1103" s="7" t="s">
        <v>5044</v>
      </c>
      <c r="AJ1103" s="7" t="s">
        <v>5044</v>
      </c>
      <c r="AL1103" s="7">
        <v>0</v>
      </c>
      <c r="AM1103" s="7">
        <v>0</v>
      </c>
    </row>
    <row r="1104" spans="1:39" ht="63" customHeight="1" x14ac:dyDescent="0.2">
      <c r="A1104" s="7">
        <v>11107</v>
      </c>
      <c r="B1104" s="7" t="s">
        <v>4172</v>
      </c>
      <c r="C1104" s="7" t="s">
        <v>4173</v>
      </c>
      <c r="D1104" s="7" t="s">
        <v>22</v>
      </c>
      <c r="E1104" s="7" t="s">
        <v>305</v>
      </c>
      <c r="F1104" s="7" t="s">
        <v>220</v>
      </c>
      <c r="G1104" s="7" t="s">
        <v>52</v>
      </c>
      <c r="H1104" s="7" t="s">
        <v>53</v>
      </c>
      <c r="I1104" s="7" t="s">
        <v>13</v>
      </c>
      <c r="J1104" s="7" t="s">
        <v>4174</v>
      </c>
      <c r="K1104" s="7" t="s">
        <v>4175</v>
      </c>
      <c r="L1104" s="7" t="s">
        <v>5379</v>
      </c>
      <c r="M1104" s="7">
        <v>1</v>
      </c>
      <c r="N1104" s="7">
        <v>0</v>
      </c>
      <c r="O1104" s="9" t="s">
        <v>5044</v>
      </c>
      <c r="P1104" s="7">
        <v>0</v>
      </c>
      <c r="Q1104" s="7">
        <v>0</v>
      </c>
      <c r="R1104" s="7">
        <v>0</v>
      </c>
      <c r="S1104" s="7">
        <v>3</v>
      </c>
      <c r="T1104" s="7">
        <v>1</v>
      </c>
      <c r="U1104" s="7">
        <v>350</v>
      </c>
      <c r="V1104" s="7">
        <v>1</v>
      </c>
      <c r="W1104" s="7">
        <v>1</v>
      </c>
      <c r="X1104" s="7">
        <v>0</v>
      </c>
      <c r="Y1104" s="7">
        <v>0</v>
      </c>
      <c r="Z1104" s="7">
        <v>0</v>
      </c>
      <c r="AA1104" s="7">
        <v>0</v>
      </c>
      <c r="AB1104" s="7">
        <v>1</v>
      </c>
      <c r="AC1104" s="7" t="s">
        <v>5044</v>
      </c>
      <c r="AD1104" s="7" t="s">
        <v>5044</v>
      </c>
      <c r="AE1104" s="7" t="s">
        <v>5044</v>
      </c>
      <c r="AF1104" s="7" t="s">
        <v>5044</v>
      </c>
      <c r="AG1104" s="7" t="s">
        <v>5044</v>
      </c>
      <c r="AH1104" s="7" t="s">
        <v>5044</v>
      </c>
      <c r="AI1104" s="7" t="s">
        <v>5044</v>
      </c>
      <c r="AJ1104" s="7" t="s">
        <v>5044</v>
      </c>
      <c r="AL1104" s="7" t="s">
        <v>5044</v>
      </c>
      <c r="AM1104" s="7">
        <v>0</v>
      </c>
    </row>
    <row r="1105" spans="1:39" ht="63" customHeight="1" x14ac:dyDescent="0.2">
      <c r="A1105" s="7">
        <v>11113</v>
      </c>
      <c r="B1105" s="7" t="s">
        <v>4176</v>
      </c>
      <c r="C1105" s="7" t="s">
        <v>4177</v>
      </c>
      <c r="D1105" s="7" t="s">
        <v>41</v>
      </c>
      <c r="F1105" s="7" t="s">
        <v>118</v>
      </c>
      <c r="G1105" s="7" t="s">
        <v>11</v>
      </c>
      <c r="H1105" s="7" t="s">
        <v>296</v>
      </c>
      <c r="I1105" s="7" t="s">
        <v>13</v>
      </c>
      <c r="J1105" s="7" t="s">
        <v>4178</v>
      </c>
      <c r="K1105" s="7" t="s">
        <v>4179</v>
      </c>
      <c r="L1105" s="7" t="s">
        <v>5380</v>
      </c>
      <c r="M1105" s="7">
        <v>0</v>
      </c>
      <c r="N1105" s="9" t="s">
        <v>5044</v>
      </c>
      <c r="O1105" s="9" t="s">
        <v>5044</v>
      </c>
      <c r="P1105" s="7">
        <v>1</v>
      </c>
      <c r="Q1105" s="7">
        <v>0</v>
      </c>
      <c r="R1105" s="7">
        <v>0</v>
      </c>
      <c r="S1105" s="7">
        <v>1</v>
      </c>
      <c r="T1105" s="7">
        <v>1</v>
      </c>
      <c r="U1105" s="7">
        <v>40</v>
      </c>
      <c r="V1105" s="7">
        <v>1</v>
      </c>
      <c r="W1105" s="7">
        <v>0</v>
      </c>
      <c r="X1105" s="7">
        <v>0</v>
      </c>
      <c r="Y1105" s="7">
        <v>0</v>
      </c>
      <c r="Z1105" s="7">
        <v>0</v>
      </c>
      <c r="AA1105" s="7">
        <v>0</v>
      </c>
      <c r="AB1105" s="7">
        <v>1</v>
      </c>
      <c r="AC1105" s="7">
        <v>1</v>
      </c>
      <c r="AD1105" s="7">
        <v>2</v>
      </c>
      <c r="AE1105" s="7">
        <v>3</v>
      </c>
      <c r="AF1105" s="7">
        <v>0</v>
      </c>
      <c r="AG1105" s="7" t="s">
        <v>5044</v>
      </c>
      <c r="AH1105" s="7" t="s">
        <v>5044</v>
      </c>
      <c r="AI1105" s="7" t="s">
        <v>5044</v>
      </c>
      <c r="AJ1105" s="7" t="s">
        <v>5044</v>
      </c>
      <c r="AL1105" s="7" t="s">
        <v>5044</v>
      </c>
      <c r="AM1105" s="7">
        <v>0</v>
      </c>
    </row>
    <row r="1106" spans="1:39" ht="63" customHeight="1" x14ac:dyDescent="0.2">
      <c r="A1106" s="7">
        <v>11119</v>
      </c>
      <c r="B1106" s="7" t="s">
        <v>4180</v>
      </c>
      <c r="C1106" s="7" t="s">
        <v>4181</v>
      </c>
      <c r="D1106" s="7" t="s">
        <v>46</v>
      </c>
      <c r="E1106" s="7" t="s">
        <v>305</v>
      </c>
      <c r="F1106" s="7" t="s">
        <v>51</v>
      </c>
      <c r="G1106" s="7" t="s">
        <v>52</v>
      </c>
      <c r="H1106" s="7" t="s">
        <v>53</v>
      </c>
      <c r="I1106" s="7" t="s">
        <v>13</v>
      </c>
      <c r="J1106" s="7" t="s">
        <v>4182</v>
      </c>
      <c r="K1106" s="7" t="s">
        <v>4183</v>
      </c>
      <c r="L1106" s="7" t="s">
        <v>5381</v>
      </c>
      <c r="M1106" s="7">
        <v>1</v>
      </c>
      <c r="N1106" s="7">
        <v>0</v>
      </c>
      <c r="O1106" s="9" t="s">
        <v>5044</v>
      </c>
      <c r="P1106" s="7">
        <v>0</v>
      </c>
      <c r="Q1106" s="7">
        <v>0</v>
      </c>
      <c r="R1106" s="7">
        <v>0</v>
      </c>
      <c r="S1106" s="7">
        <v>1</v>
      </c>
      <c r="T1106" s="7">
        <v>1</v>
      </c>
      <c r="U1106" s="7">
        <v>212</v>
      </c>
      <c r="V1106" s="7">
        <v>0</v>
      </c>
      <c r="W1106" s="7">
        <v>1</v>
      </c>
      <c r="X1106" s="7">
        <v>0</v>
      </c>
      <c r="Y1106" s="7">
        <v>0</v>
      </c>
      <c r="Z1106" s="7">
        <v>0</v>
      </c>
      <c r="AA1106" s="7">
        <v>0</v>
      </c>
      <c r="AB1106" s="7">
        <v>1</v>
      </c>
      <c r="AC1106" s="7" t="s">
        <v>5044</v>
      </c>
      <c r="AD1106" s="7" t="s">
        <v>5044</v>
      </c>
      <c r="AE1106" s="7" t="s">
        <v>5044</v>
      </c>
      <c r="AF1106" s="7" t="s">
        <v>5044</v>
      </c>
      <c r="AG1106" s="7" t="s">
        <v>5044</v>
      </c>
      <c r="AH1106" s="7" t="s">
        <v>5044</v>
      </c>
      <c r="AI1106" s="7" t="s">
        <v>5044</v>
      </c>
      <c r="AJ1106" s="7" t="s">
        <v>5044</v>
      </c>
      <c r="AL1106" s="7" t="s">
        <v>5044</v>
      </c>
      <c r="AM1106" s="7">
        <v>0</v>
      </c>
    </row>
    <row r="1107" spans="1:39" ht="63" customHeight="1" x14ac:dyDescent="0.2">
      <c r="A1107" s="7">
        <v>11134</v>
      </c>
      <c r="B1107" s="7" t="s">
        <v>4184</v>
      </c>
      <c r="C1107" s="7" t="s">
        <v>4185</v>
      </c>
      <c r="D1107" s="7" t="s">
        <v>375</v>
      </c>
      <c r="F1107" s="7" t="s">
        <v>384</v>
      </c>
      <c r="G1107" s="7" t="s">
        <v>37</v>
      </c>
      <c r="H1107" s="7" t="s">
        <v>385</v>
      </c>
      <c r="I1107" s="7" t="s">
        <v>13</v>
      </c>
      <c r="J1107" s="7" t="s">
        <v>4186</v>
      </c>
      <c r="K1107" s="7" t="s">
        <v>4187</v>
      </c>
      <c r="L1107" s="7" t="s">
        <v>5044</v>
      </c>
      <c r="M1107" s="7">
        <v>0</v>
      </c>
      <c r="N1107" s="9" t="s">
        <v>5044</v>
      </c>
      <c r="O1107" s="9" t="s">
        <v>5044</v>
      </c>
      <c r="P1107" s="7">
        <v>0</v>
      </c>
      <c r="Q1107" s="7">
        <v>0</v>
      </c>
      <c r="R1107" s="7">
        <v>0</v>
      </c>
      <c r="S1107" s="7">
        <v>3</v>
      </c>
      <c r="T1107" s="7">
        <v>4</v>
      </c>
      <c r="U1107" s="7">
        <v>131</v>
      </c>
      <c r="V1107" s="7">
        <v>0</v>
      </c>
      <c r="W1107" s="7">
        <v>1</v>
      </c>
      <c r="X1107" s="7">
        <v>0</v>
      </c>
      <c r="Y1107" s="7">
        <v>0</v>
      </c>
      <c r="Z1107" s="7">
        <v>0</v>
      </c>
      <c r="AA1107" s="7">
        <v>0</v>
      </c>
      <c r="AB1107" s="7">
        <v>1</v>
      </c>
      <c r="AC1107" s="7">
        <v>1</v>
      </c>
      <c r="AD1107" s="7" t="s">
        <v>5044</v>
      </c>
      <c r="AE1107" s="7" t="s">
        <v>5044</v>
      </c>
      <c r="AF1107" s="7" t="s">
        <v>5044</v>
      </c>
      <c r="AG1107" s="7">
        <v>2</v>
      </c>
      <c r="AH1107" s="7">
        <v>3</v>
      </c>
      <c r="AI1107" s="7">
        <v>0</v>
      </c>
      <c r="AJ1107" s="7" t="s">
        <v>5044</v>
      </c>
      <c r="AL1107" s="7" t="s">
        <v>5044</v>
      </c>
      <c r="AM1107" s="7">
        <v>0</v>
      </c>
    </row>
    <row r="1108" spans="1:39" ht="63" customHeight="1" x14ac:dyDescent="0.2">
      <c r="A1108" s="7">
        <v>11156</v>
      </c>
      <c r="B1108" s="7" t="s">
        <v>4188</v>
      </c>
      <c r="C1108" s="7" t="s">
        <v>4189</v>
      </c>
      <c r="D1108" s="7" t="s">
        <v>35</v>
      </c>
      <c r="F1108" s="7" t="s">
        <v>312</v>
      </c>
      <c r="G1108" s="7" t="s">
        <v>52</v>
      </c>
      <c r="H1108" s="7" t="s">
        <v>89</v>
      </c>
      <c r="I1108" s="7" t="s">
        <v>13</v>
      </c>
      <c r="J1108" s="7" t="s">
        <v>4190</v>
      </c>
      <c r="K1108" s="7" t="s">
        <v>4191</v>
      </c>
      <c r="L1108" s="7" t="s">
        <v>5382</v>
      </c>
      <c r="M1108" s="7">
        <v>0</v>
      </c>
      <c r="N1108" s="9" t="s">
        <v>5044</v>
      </c>
      <c r="O1108" s="9" t="s">
        <v>5044</v>
      </c>
      <c r="P1108" s="7">
        <v>0</v>
      </c>
      <c r="Q1108" s="7">
        <v>0</v>
      </c>
      <c r="R1108" s="7">
        <v>0</v>
      </c>
      <c r="S1108" s="7">
        <v>11</v>
      </c>
      <c r="T1108" s="7">
        <v>1</v>
      </c>
      <c r="U1108" s="7">
        <v>179</v>
      </c>
      <c r="V1108" s="7">
        <v>0</v>
      </c>
      <c r="W1108" s="7">
        <v>1</v>
      </c>
      <c r="X1108" s="7">
        <v>0</v>
      </c>
      <c r="Y1108" s="7">
        <v>0</v>
      </c>
      <c r="Z1108" s="7">
        <v>0</v>
      </c>
      <c r="AA1108" s="7">
        <v>0</v>
      </c>
      <c r="AB1108" s="7">
        <v>1</v>
      </c>
      <c r="AC1108" s="7">
        <v>1</v>
      </c>
      <c r="AD1108" s="7" t="s">
        <v>5044</v>
      </c>
      <c r="AE1108" s="7" t="s">
        <v>5044</v>
      </c>
      <c r="AF1108" s="7" t="s">
        <v>5044</v>
      </c>
      <c r="AG1108" s="7">
        <v>2</v>
      </c>
      <c r="AH1108" s="7">
        <v>2</v>
      </c>
      <c r="AI1108" s="7">
        <v>2</v>
      </c>
      <c r="AJ1108" s="7" t="s">
        <v>5044</v>
      </c>
      <c r="AL1108" s="7">
        <v>0</v>
      </c>
      <c r="AM1108" s="7">
        <v>0</v>
      </c>
    </row>
    <row r="1109" spans="1:39" ht="63" customHeight="1" x14ac:dyDescent="0.2">
      <c r="A1109" s="7">
        <v>11159</v>
      </c>
      <c r="B1109" s="7" t="s">
        <v>4192</v>
      </c>
      <c r="C1109" s="7" t="s">
        <v>4193</v>
      </c>
      <c r="D1109" s="7" t="s">
        <v>46</v>
      </c>
      <c r="F1109" s="7" t="s">
        <v>293</v>
      </c>
      <c r="G1109" s="7" t="s">
        <v>52</v>
      </c>
      <c r="H1109" s="7" t="s">
        <v>1125</v>
      </c>
      <c r="I1109" s="7" t="s">
        <v>13</v>
      </c>
      <c r="J1109" s="7" t="s">
        <v>4194</v>
      </c>
      <c r="K1109" s="7" t="s">
        <v>4195</v>
      </c>
      <c r="L1109" s="7" t="s">
        <v>5383</v>
      </c>
      <c r="M1109" s="7">
        <v>0</v>
      </c>
      <c r="N1109" s="9" t="s">
        <v>5044</v>
      </c>
      <c r="O1109" s="9" t="s">
        <v>5044</v>
      </c>
      <c r="P1109" s="7">
        <v>0</v>
      </c>
      <c r="Q1109" s="7">
        <v>0</v>
      </c>
      <c r="R1109" s="7">
        <v>0</v>
      </c>
      <c r="S1109" s="7">
        <v>1</v>
      </c>
      <c r="T1109" s="7">
        <v>1</v>
      </c>
      <c r="U1109" s="7">
        <v>28</v>
      </c>
      <c r="V1109" s="7">
        <v>0</v>
      </c>
      <c r="W1109" s="7">
        <v>1</v>
      </c>
      <c r="X1109" s="7">
        <v>0</v>
      </c>
      <c r="Y1109" s="7">
        <v>0</v>
      </c>
      <c r="Z1109" s="7">
        <v>0</v>
      </c>
      <c r="AA1109" s="7">
        <v>0</v>
      </c>
      <c r="AB1109" s="7">
        <v>1</v>
      </c>
      <c r="AC1109" s="7">
        <v>1</v>
      </c>
      <c r="AD1109" s="7" t="s">
        <v>5044</v>
      </c>
      <c r="AE1109" s="7" t="s">
        <v>5044</v>
      </c>
      <c r="AF1109" s="7" t="s">
        <v>5044</v>
      </c>
      <c r="AG1109" s="7">
        <v>2</v>
      </c>
      <c r="AH1109" s="7">
        <v>3</v>
      </c>
      <c r="AI1109" s="7">
        <v>0</v>
      </c>
      <c r="AJ1109" s="7" t="s">
        <v>5044</v>
      </c>
      <c r="AL1109" s="7">
        <v>0</v>
      </c>
      <c r="AM1109" s="7">
        <v>0</v>
      </c>
    </row>
    <row r="1110" spans="1:39" ht="63" customHeight="1" x14ac:dyDescent="0.2">
      <c r="A1110" s="7">
        <v>11161</v>
      </c>
      <c r="B1110" s="7" t="s">
        <v>4196</v>
      </c>
      <c r="C1110" s="7" t="s">
        <v>4197</v>
      </c>
      <c r="D1110" s="7" t="s">
        <v>41</v>
      </c>
      <c r="F1110" s="7" t="s">
        <v>312</v>
      </c>
      <c r="G1110" s="7" t="s">
        <v>11</v>
      </c>
      <c r="H1110" s="7" t="s">
        <v>38</v>
      </c>
      <c r="I1110" s="7" t="s">
        <v>13</v>
      </c>
      <c r="J1110" s="7" t="s">
        <v>4198</v>
      </c>
      <c r="K1110" s="7" t="s">
        <v>4199</v>
      </c>
      <c r="L1110" s="7" t="s">
        <v>5044</v>
      </c>
      <c r="M1110" s="7">
        <v>0</v>
      </c>
      <c r="N1110" s="9" t="s">
        <v>5044</v>
      </c>
      <c r="O1110" s="9" t="s">
        <v>5044</v>
      </c>
      <c r="P1110" s="7">
        <v>0</v>
      </c>
      <c r="Q1110" s="7">
        <v>0</v>
      </c>
      <c r="R1110" s="7">
        <v>0</v>
      </c>
      <c r="S1110" s="7">
        <v>10</v>
      </c>
      <c r="T1110" s="7">
        <v>4</v>
      </c>
      <c r="U1110" s="7">
        <v>162</v>
      </c>
      <c r="V1110" s="7">
        <v>0</v>
      </c>
      <c r="W1110" s="7">
        <v>1</v>
      </c>
      <c r="X1110" s="7">
        <v>0</v>
      </c>
      <c r="Y1110" s="7">
        <v>0</v>
      </c>
      <c r="Z1110" s="7">
        <v>0</v>
      </c>
      <c r="AA1110" s="7">
        <v>0</v>
      </c>
      <c r="AB1110" s="7">
        <v>1</v>
      </c>
      <c r="AC1110" s="7">
        <v>1</v>
      </c>
      <c r="AD1110" s="7" t="s">
        <v>5044</v>
      </c>
      <c r="AE1110" s="7" t="s">
        <v>5044</v>
      </c>
      <c r="AF1110" s="7" t="s">
        <v>5044</v>
      </c>
      <c r="AG1110" s="7">
        <v>2</v>
      </c>
      <c r="AH1110" s="7">
        <v>3</v>
      </c>
      <c r="AI1110" s="7">
        <v>0</v>
      </c>
      <c r="AJ1110" s="7" t="s">
        <v>5044</v>
      </c>
      <c r="AL1110" s="7">
        <v>1</v>
      </c>
      <c r="AM1110" s="7">
        <v>0</v>
      </c>
    </row>
    <row r="1111" spans="1:39" ht="63" customHeight="1" x14ac:dyDescent="0.2">
      <c r="A1111" s="7">
        <v>11167</v>
      </c>
      <c r="B1111" s="7" t="s">
        <v>4200</v>
      </c>
      <c r="C1111" s="7" t="s">
        <v>4201</v>
      </c>
      <c r="D1111" s="7" t="s">
        <v>41</v>
      </c>
      <c r="F1111" s="7" t="s">
        <v>107</v>
      </c>
      <c r="G1111" s="7" t="s">
        <v>52</v>
      </c>
      <c r="H1111" s="7" t="s">
        <v>4202</v>
      </c>
      <c r="I1111" s="7" t="s">
        <v>13</v>
      </c>
      <c r="J1111" s="7" t="s">
        <v>4203</v>
      </c>
      <c r="K1111" s="7" t="s">
        <v>4204</v>
      </c>
      <c r="L1111" s="7" t="s">
        <v>5384</v>
      </c>
      <c r="M1111" s="7">
        <v>0</v>
      </c>
      <c r="N1111" s="9" t="s">
        <v>5044</v>
      </c>
      <c r="O1111" s="9" t="s">
        <v>5044</v>
      </c>
      <c r="P1111" s="7">
        <v>0</v>
      </c>
      <c r="Q1111" s="7">
        <v>0</v>
      </c>
      <c r="R1111" s="7">
        <v>0</v>
      </c>
      <c r="S1111" s="7">
        <v>9</v>
      </c>
      <c r="T1111" s="7">
        <v>4</v>
      </c>
      <c r="U1111" s="7">
        <v>66</v>
      </c>
      <c r="V1111" s="7">
        <v>0</v>
      </c>
      <c r="W1111" s="7">
        <v>1</v>
      </c>
      <c r="X1111" s="7">
        <v>0</v>
      </c>
      <c r="Y1111" s="7">
        <v>0</v>
      </c>
      <c r="Z1111" s="7">
        <v>0</v>
      </c>
      <c r="AA1111" s="7">
        <v>0</v>
      </c>
      <c r="AB1111" s="7">
        <v>1</v>
      </c>
      <c r="AC1111" s="7">
        <v>1</v>
      </c>
      <c r="AD1111" s="7" t="s">
        <v>5044</v>
      </c>
      <c r="AE1111" s="7" t="s">
        <v>5044</v>
      </c>
      <c r="AF1111" s="7" t="s">
        <v>5044</v>
      </c>
      <c r="AG1111" s="7">
        <v>2</v>
      </c>
      <c r="AH1111" s="7">
        <v>3</v>
      </c>
      <c r="AI1111" s="7">
        <v>0</v>
      </c>
      <c r="AJ1111" s="7" t="s">
        <v>5044</v>
      </c>
      <c r="AL1111" s="7">
        <v>1</v>
      </c>
      <c r="AM1111" s="7">
        <v>0</v>
      </c>
    </row>
    <row r="1112" spans="1:39" ht="63" customHeight="1" x14ac:dyDescent="0.2">
      <c r="A1112" s="7">
        <v>11171</v>
      </c>
      <c r="B1112" s="7" t="s">
        <v>4205</v>
      </c>
      <c r="C1112" s="7" t="s">
        <v>4206</v>
      </c>
      <c r="D1112" s="7" t="s">
        <v>95</v>
      </c>
      <c r="F1112" s="7" t="s">
        <v>92</v>
      </c>
      <c r="G1112" s="7" t="s">
        <v>18</v>
      </c>
      <c r="H1112" s="7" t="s">
        <v>2478</v>
      </c>
      <c r="I1112" s="7" t="s">
        <v>13</v>
      </c>
      <c r="J1112" s="7" t="s">
        <v>4207</v>
      </c>
      <c r="K1112" s="7" t="s">
        <v>4208</v>
      </c>
      <c r="L1112" s="7" t="s">
        <v>5044</v>
      </c>
      <c r="M1112" s="7">
        <v>0</v>
      </c>
      <c r="N1112" s="9" t="s">
        <v>5044</v>
      </c>
      <c r="O1112" s="9" t="s">
        <v>5044</v>
      </c>
      <c r="P1112" s="7">
        <v>0</v>
      </c>
      <c r="Q1112" s="7">
        <v>0</v>
      </c>
      <c r="R1112" s="7">
        <v>0</v>
      </c>
      <c r="S1112" s="7">
        <v>3</v>
      </c>
      <c r="T1112" s="7">
        <v>1</v>
      </c>
      <c r="U1112" s="7">
        <v>120</v>
      </c>
      <c r="V1112" s="7">
        <v>0</v>
      </c>
      <c r="W1112" s="7">
        <v>1</v>
      </c>
      <c r="X1112" s="7">
        <v>0</v>
      </c>
      <c r="Y1112" s="7">
        <v>0</v>
      </c>
      <c r="Z1112" s="7">
        <v>0</v>
      </c>
      <c r="AA1112" s="7">
        <v>0</v>
      </c>
      <c r="AB1112" s="7">
        <v>1</v>
      </c>
      <c r="AC1112" s="7">
        <v>1</v>
      </c>
      <c r="AD1112" s="7" t="s">
        <v>5044</v>
      </c>
      <c r="AE1112" s="7" t="s">
        <v>5044</v>
      </c>
      <c r="AF1112" s="7" t="s">
        <v>5044</v>
      </c>
      <c r="AG1112" s="7">
        <v>2</v>
      </c>
      <c r="AH1112" s="7">
        <v>3</v>
      </c>
      <c r="AI1112" s="7">
        <v>0</v>
      </c>
      <c r="AJ1112" s="7" t="s">
        <v>5044</v>
      </c>
      <c r="AL1112" s="7">
        <v>1</v>
      </c>
      <c r="AM1112" s="7">
        <v>0</v>
      </c>
    </row>
    <row r="1113" spans="1:39" ht="63" customHeight="1" x14ac:dyDescent="0.2">
      <c r="A1113" s="7">
        <v>11186</v>
      </c>
      <c r="B1113" s="7" t="s">
        <v>4209</v>
      </c>
      <c r="C1113" s="7" t="s">
        <v>4210</v>
      </c>
      <c r="D1113" s="7" t="s">
        <v>41</v>
      </c>
      <c r="F1113" s="7" t="s">
        <v>312</v>
      </c>
      <c r="G1113" s="7" t="s">
        <v>27</v>
      </c>
      <c r="H1113" s="7" t="s">
        <v>38</v>
      </c>
      <c r="I1113" s="7" t="s">
        <v>13</v>
      </c>
      <c r="J1113" s="7" t="s">
        <v>4211</v>
      </c>
      <c r="K1113" s="7" t="s">
        <v>4212</v>
      </c>
      <c r="L1113" s="7" t="s">
        <v>5385</v>
      </c>
      <c r="M1113" s="7">
        <v>0</v>
      </c>
      <c r="N1113" s="9" t="s">
        <v>5044</v>
      </c>
      <c r="O1113" s="9" t="s">
        <v>5044</v>
      </c>
      <c r="P1113" s="7">
        <v>0</v>
      </c>
      <c r="Q1113" s="7">
        <v>0</v>
      </c>
      <c r="R1113" s="7">
        <v>0</v>
      </c>
      <c r="S1113" s="7">
        <v>1</v>
      </c>
      <c r="T1113" s="7">
        <v>1</v>
      </c>
      <c r="U1113" s="7">
        <v>138</v>
      </c>
      <c r="V1113" s="7">
        <v>0</v>
      </c>
      <c r="W1113" s="7">
        <v>1</v>
      </c>
      <c r="X1113" s="7">
        <v>0</v>
      </c>
      <c r="Y1113" s="7">
        <v>0</v>
      </c>
      <c r="Z1113" s="7">
        <v>0</v>
      </c>
      <c r="AA1113" s="7">
        <v>0</v>
      </c>
      <c r="AB1113" s="7">
        <v>1</v>
      </c>
      <c r="AC1113" s="7">
        <v>1</v>
      </c>
      <c r="AD1113" s="7" t="s">
        <v>5044</v>
      </c>
      <c r="AE1113" s="7" t="s">
        <v>5044</v>
      </c>
      <c r="AF1113" s="7" t="s">
        <v>5044</v>
      </c>
      <c r="AG1113" s="7">
        <v>2</v>
      </c>
      <c r="AH1113" s="7">
        <v>3</v>
      </c>
      <c r="AI1113" s="7">
        <v>0</v>
      </c>
      <c r="AJ1113" s="7" t="s">
        <v>5044</v>
      </c>
      <c r="AL1113" s="7">
        <v>1</v>
      </c>
      <c r="AM1113" s="7">
        <v>0</v>
      </c>
    </row>
    <row r="1114" spans="1:39" ht="63" customHeight="1" x14ac:dyDescent="0.2">
      <c r="A1114" s="7">
        <v>11189</v>
      </c>
      <c r="B1114" s="7" t="s">
        <v>4213</v>
      </c>
      <c r="C1114" s="7" t="s">
        <v>4214</v>
      </c>
      <c r="D1114" s="7" t="s">
        <v>22</v>
      </c>
      <c r="F1114" s="7" t="s">
        <v>543</v>
      </c>
      <c r="G1114" s="7" t="s">
        <v>11</v>
      </c>
      <c r="H1114" s="7" t="s">
        <v>71</v>
      </c>
      <c r="I1114" s="7" t="s">
        <v>13</v>
      </c>
      <c r="J1114" s="7" t="s">
        <v>4215</v>
      </c>
      <c r="K1114" s="7" t="s">
        <v>4216</v>
      </c>
      <c r="L1114" s="7" t="s">
        <v>5386</v>
      </c>
      <c r="M1114" s="7">
        <v>0</v>
      </c>
      <c r="N1114" s="9" t="s">
        <v>5044</v>
      </c>
      <c r="O1114" s="9" t="s">
        <v>5044</v>
      </c>
      <c r="P1114" s="7">
        <v>0</v>
      </c>
      <c r="Q1114" s="7">
        <v>0</v>
      </c>
      <c r="R1114" s="7">
        <v>0</v>
      </c>
      <c r="S1114" s="7">
        <v>1</v>
      </c>
      <c r="T1114" s="7">
        <v>1</v>
      </c>
      <c r="U1114" s="7">
        <v>223</v>
      </c>
      <c r="V1114" s="7">
        <v>0</v>
      </c>
      <c r="W1114" s="7">
        <v>1</v>
      </c>
      <c r="X1114" s="7">
        <v>0</v>
      </c>
      <c r="Y1114" s="7">
        <v>0</v>
      </c>
      <c r="Z1114" s="7">
        <v>0</v>
      </c>
      <c r="AA1114" s="7">
        <v>0</v>
      </c>
      <c r="AB1114" s="7">
        <v>1</v>
      </c>
      <c r="AC1114" s="7">
        <v>1</v>
      </c>
      <c r="AD1114" s="7" t="s">
        <v>5044</v>
      </c>
      <c r="AE1114" s="7" t="s">
        <v>5044</v>
      </c>
      <c r="AF1114" s="7" t="s">
        <v>5044</v>
      </c>
      <c r="AG1114" s="7">
        <v>2</v>
      </c>
      <c r="AH1114" s="7">
        <v>2</v>
      </c>
      <c r="AI1114" s="7">
        <v>2</v>
      </c>
      <c r="AJ1114" s="7" t="s">
        <v>5044</v>
      </c>
      <c r="AL1114" s="7">
        <v>0</v>
      </c>
      <c r="AM1114" s="7">
        <v>0</v>
      </c>
    </row>
    <row r="1115" spans="1:39" ht="63" customHeight="1" x14ac:dyDescent="0.2">
      <c r="A1115" s="7">
        <v>11205</v>
      </c>
      <c r="B1115" s="7" t="s">
        <v>4217</v>
      </c>
      <c r="C1115" s="7" t="s">
        <v>4218</v>
      </c>
      <c r="D1115" s="7" t="s">
        <v>16</v>
      </c>
      <c r="F1115" s="7" t="s">
        <v>4219</v>
      </c>
      <c r="G1115" s="7" t="s">
        <v>107</v>
      </c>
      <c r="H1115" s="7" t="s">
        <v>733</v>
      </c>
      <c r="I1115" s="7" t="s">
        <v>437</v>
      </c>
      <c r="J1115" s="7" t="s">
        <v>4220</v>
      </c>
      <c r="K1115" s="7" t="s">
        <v>4221</v>
      </c>
      <c r="L1115" s="7" t="s">
        <v>5387</v>
      </c>
      <c r="M1115" s="7">
        <v>0</v>
      </c>
      <c r="N1115" s="9" t="s">
        <v>5044</v>
      </c>
      <c r="O1115" s="9" t="s">
        <v>5044</v>
      </c>
      <c r="P1115" s="7">
        <v>0</v>
      </c>
      <c r="Q1115" s="7">
        <v>0</v>
      </c>
      <c r="R1115" s="7">
        <v>0</v>
      </c>
      <c r="S1115" s="7">
        <v>1</v>
      </c>
      <c r="T1115" s="7">
        <v>1</v>
      </c>
      <c r="U1115" s="7">
        <v>338</v>
      </c>
      <c r="V1115" s="7">
        <v>0</v>
      </c>
      <c r="W1115" s="7">
        <v>1</v>
      </c>
      <c r="X1115" s="7">
        <v>0</v>
      </c>
      <c r="Y1115" s="7">
        <v>0</v>
      </c>
      <c r="Z1115" s="7">
        <v>0</v>
      </c>
      <c r="AA1115" s="7">
        <v>0</v>
      </c>
      <c r="AB1115" s="7">
        <v>1</v>
      </c>
      <c r="AC1115" s="7">
        <v>1</v>
      </c>
      <c r="AD1115" s="7" t="s">
        <v>5044</v>
      </c>
      <c r="AE1115" s="7" t="s">
        <v>5044</v>
      </c>
      <c r="AF1115" s="7" t="s">
        <v>5044</v>
      </c>
      <c r="AG1115" s="7">
        <v>1</v>
      </c>
      <c r="AH1115" s="7">
        <v>0</v>
      </c>
      <c r="AI1115" s="7">
        <v>0</v>
      </c>
      <c r="AJ1115" s="7" t="s">
        <v>5044</v>
      </c>
      <c r="AL1115" s="7">
        <v>1</v>
      </c>
      <c r="AM1115" s="7">
        <v>0</v>
      </c>
    </row>
    <row r="1116" spans="1:39" ht="63" customHeight="1" x14ac:dyDescent="0.2">
      <c r="A1116" s="7">
        <v>11211</v>
      </c>
      <c r="B1116" s="7" t="s">
        <v>4222</v>
      </c>
      <c r="C1116" s="7" t="s">
        <v>4223</v>
      </c>
      <c r="D1116" s="7" t="s">
        <v>22</v>
      </c>
      <c r="F1116" s="7" t="s">
        <v>107</v>
      </c>
      <c r="G1116" s="7" t="s">
        <v>144</v>
      </c>
      <c r="H1116" s="7" t="s">
        <v>442</v>
      </c>
      <c r="I1116" s="7" t="s">
        <v>13</v>
      </c>
      <c r="J1116" s="7" t="s">
        <v>4224</v>
      </c>
      <c r="K1116" s="7" t="s">
        <v>4225</v>
      </c>
      <c r="L1116" s="7" t="s">
        <v>5044</v>
      </c>
      <c r="M1116" s="7">
        <v>0</v>
      </c>
      <c r="N1116" s="9" t="s">
        <v>5044</v>
      </c>
      <c r="O1116" s="9" t="s">
        <v>5044</v>
      </c>
      <c r="P1116" s="7">
        <v>0</v>
      </c>
      <c r="Q1116" s="7">
        <v>0</v>
      </c>
      <c r="R1116" s="7">
        <v>0</v>
      </c>
      <c r="S1116" s="7" t="s">
        <v>5377</v>
      </c>
      <c r="T1116" s="7">
        <v>1</v>
      </c>
      <c r="U1116" s="7">
        <v>43</v>
      </c>
      <c r="V1116" s="7">
        <v>0</v>
      </c>
      <c r="W1116" s="7">
        <v>1</v>
      </c>
      <c r="X1116" s="7">
        <v>0</v>
      </c>
      <c r="Y1116" s="7">
        <v>0</v>
      </c>
      <c r="Z1116" s="7">
        <v>0</v>
      </c>
      <c r="AA1116" s="7">
        <v>0</v>
      </c>
      <c r="AB1116" s="7">
        <v>1</v>
      </c>
      <c r="AC1116" s="7">
        <v>1</v>
      </c>
      <c r="AD1116" s="7" t="s">
        <v>5044</v>
      </c>
      <c r="AE1116" s="7" t="s">
        <v>5044</v>
      </c>
      <c r="AF1116" s="7" t="s">
        <v>5044</v>
      </c>
      <c r="AG1116" s="7">
        <v>1</v>
      </c>
      <c r="AH1116" s="7">
        <v>0</v>
      </c>
      <c r="AI1116" s="7">
        <v>0</v>
      </c>
      <c r="AJ1116" s="7" t="s">
        <v>5044</v>
      </c>
      <c r="AL1116" s="7" t="s">
        <v>5041</v>
      </c>
      <c r="AM1116" s="7">
        <v>0</v>
      </c>
    </row>
    <row r="1117" spans="1:39" ht="63" customHeight="1" x14ac:dyDescent="0.2">
      <c r="A1117" s="7">
        <v>11212</v>
      </c>
      <c r="B1117" s="7" t="s">
        <v>4226</v>
      </c>
      <c r="C1117" s="7" t="s">
        <v>4227</v>
      </c>
      <c r="D1117" s="7" t="s">
        <v>41</v>
      </c>
      <c r="F1117" s="7" t="s">
        <v>237</v>
      </c>
      <c r="G1117" s="7" t="s">
        <v>47</v>
      </c>
      <c r="H1117" s="7" t="s">
        <v>157</v>
      </c>
      <c r="I1117" s="7" t="s">
        <v>13</v>
      </c>
      <c r="J1117" s="7" t="s">
        <v>4228</v>
      </c>
      <c r="K1117" s="7" t="s">
        <v>4229</v>
      </c>
      <c r="L1117" s="8" t="s">
        <v>5244</v>
      </c>
      <c r="M1117" s="7">
        <v>0</v>
      </c>
      <c r="N1117" s="9" t="s">
        <v>5044</v>
      </c>
      <c r="O1117" s="9" t="s">
        <v>5044</v>
      </c>
      <c r="P1117" s="7">
        <v>0</v>
      </c>
      <c r="Q1117" s="7">
        <v>0</v>
      </c>
      <c r="R1117" s="7">
        <v>0</v>
      </c>
      <c r="S1117" s="7">
        <v>9</v>
      </c>
      <c r="T1117" s="7">
        <v>2</v>
      </c>
      <c r="U1117" s="7">
        <v>70</v>
      </c>
      <c r="V1117" s="7">
        <v>0</v>
      </c>
      <c r="W1117" s="7">
        <v>1</v>
      </c>
      <c r="X1117" s="7">
        <v>0</v>
      </c>
      <c r="Y1117" s="7">
        <v>0</v>
      </c>
      <c r="Z1117" s="7">
        <v>0</v>
      </c>
      <c r="AA1117" s="7">
        <v>0</v>
      </c>
      <c r="AB1117" s="7">
        <v>1</v>
      </c>
      <c r="AC1117" s="7">
        <v>1</v>
      </c>
      <c r="AD1117" s="7" t="s">
        <v>5044</v>
      </c>
      <c r="AE1117" s="7" t="s">
        <v>5044</v>
      </c>
      <c r="AF1117" s="7" t="s">
        <v>5044</v>
      </c>
      <c r="AG1117" s="7">
        <v>1</v>
      </c>
      <c r="AH1117" s="7">
        <v>0</v>
      </c>
      <c r="AI1117" s="7">
        <v>0</v>
      </c>
      <c r="AJ1117" s="7" t="s">
        <v>5044</v>
      </c>
      <c r="AL1117" s="7">
        <v>1</v>
      </c>
      <c r="AM1117" s="7">
        <v>0</v>
      </c>
    </row>
    <row r="1118" spans="1:39" ht="63" customHeight="1" x14ac:dyDescent="0.2">
      <c r="A1118" s="7">
        <v>11227</v>
      </c>
      <c r="B1118" s="7" t="s">
        <v>4230</v>
      </c>
      <c r="C1118" s="7" t="s">
        <v>4231</v>
      </c>
      <c r="D1118" s="7" t="s">
        <v>41</v>
      </c>
      <c r="F1118" s="7" t="s">
        <v>237</v>
      </c>
      <c r="G1118" s="7" t="s">
        <v>47</v>
      </c>
      <c r="H1118" s="7" t="s">
        <v>650</v>
      </c>
      <c r="I1118" s="7" t="s">
        <v>13</v>
      </c>
      <c r="J1118" s="7" t="s">
        <v>4232</v>
      </c>
      <c r="K1118" s="7" t="s">
        <v>4233</v>
      </c>
      <c r="L1118" s="6" t="s">
        <v>5245</v>
      </c>
      <c r="M1118" s="7">
        <v>0</v>
      </c>
      <c r="N1118" s="9" t="s">
        <v>5044</v>
      </c>
      <c r="O1118" s="9" t="s">
        <v>5044</v>
      </c>
      <c r="P1118" s="7">
        <v>0</v>
      </c>
      <c r="Q1118" s="7">
        <v>0</v>
      </c>
      <c r="R1118" s="7">
        <v>0</v>
      </c>
      <c r="S1118" s="7">
        <v>5</v>
      </c>
      <c r="T1118" s="7">
        <v>1</v>
      </c>
      <c r="U1118" s="7">
        <v>111</v>
      </c>
      <c r="V1118" s="7">
        <v>0</v>
      </c>
      <c r="W1118" s="7">
        <v>1</v>
      </c>
      <c r="X1118" s="7">
        <v>0</v>
      </c>
      <c r="Y1118" s="7">
        <v>0</v>
      </c>
      <c r="Z1118" s="7">
        <v>0</v>
      </c>
      <c r="AA1118" s="7">
        <v>0</v>
      </c>
      <c r="AB1118" s="7">
        <v>1</v>
      </c>
      <c r="AC1118" s="7">
        <v>1</v>
      </c>
      <c r="AD1118" s="7" t="s">
        <v>5044</v>
      </c>
      <c r="AE1118" s="7" t="s">
        <v>5044</v>
      </c>
      <c r="AF1118" s="7" t="s">
        <v>5044</v>
      </c>
      <c r="AG1118" s="7">
        <v>2</v>
      </c>
      <c r="AH1118" s="7">
        <v>1</v>
      </c>
      <c r="AI1118" s="7">
        <v>1</v>
      </c>
      <c r="AJ1118" s="7" t="s">
        <v>5044</v>
      </c>
      <c r="AL1118" s="7">
        <v>1</v>
      </c>
      <c r="AM1118" s="7">
        <v>0</v>
      </c>
    </row>
    <row r="1119" spans="1:39" ht="63" customHeight="1" x14ac:dyDescent="0.2">
      <c r="A1119" s="7">
        <v>11232</v>
      </c>
      <c r="B1119" s="7" t="s">
        <v>4239</v>
      </c>
      <c r="C1119" s="7" t="s">
        <v>4240</v>
      </c>
      <c r="D1119" s="7" t="s">
        <v>16</v>
      </c>
      <c r="F1119" s="7" t="s">
        <v>92</v>
      </c>
      <c r="G1119" s="7" t="s">
        <v>220</v>
      </c>
      <c r="H1119" s="7" t="s">
        <v>862</v>
      </c>
      <c r="I1119" s="7" t="s">
        <v>13</v>
      </c>
      <c r="J1119" s="7" t="s">
        <v>4241</v>
      </c>
      <c r="K1119" s="7" t="s">
        <v>4242</v>
      </c>
      <c r="L1119" s="8" t="s">
        <v>5246</v>
      </c>
      <c r="M1119" s="7">
        <v>0</v>
      </c>
      <c r="N1119" s="9" t="s">
        <v>5044</v>
      </c>
      <c r="O1119" s="9" t="s">
        <v>5044</v>
      </c>
      <c r="P1119" s="7">
        <v>0</v>
      </c>
      <c r="Q1119" s="7">
        <v>0</v>
      </c>
      <c r="R1119" s="7">
        <v>0</v>
      </c>
      <c r="S1119" s="7">
        <v>1</v>
      </c>
      <c r="T1119" s="7">
        <v>1</v>
      </c>
      <c r="U1119" s="7">
        <v>32</v>
      </c>
      <c r="V1119" s="7">
        <v>0</v>
      </c>
      <c r="W1119" s="7">
        <v>1</v>
      </c>
      <c r="X1119" s="7">
        <v>0</v>
      </c>
      <c r="Y1119" s="7">
        <v>0</v>
      </c>
      <c r="Z1119" s="7">
        <v>0</v>
      </c>
      <c r="AA1119" s="7">
        <v>0</v>
      </c>
      <c r="AB1119" s="7">
        <v>1</v>
      </c>
      <c r="AC1119" s="7">
        <v>1</v>
      </c>
      <c r="AD1119" s="7" t="s">
        <v>5044</v>
      </c>
      <c r="AE1119" s="7" t="s">
        <v>5044</v>
      </c>
      <c r="AF1119" s="7" t="s">
        <v>5044</v>
      </c>
      <c r="AG1119" s="7">
        <v>2</v>
      </c>
      <c r="AH1119" s="7">
        <v>3</v>
      </c>
      <c r="AI1119" s="7">
        <v>0</v>
      </c>
      <c r="AJ1119" s="7" t="s">
        <v>5044</v>
      </c>
      <c r="AK1119" s="7">
        <v>2</v>
      </c>
      <c r="AL1119" s="7">
        <v>0</v>
      </c>
      <c r="AM1119" s="7">
        <v>0</v>
      </c>
    </row>
    <row r="1120" spans="1:39" ht="63" customHeight="1" x14ac:dyDescent="0.2">
      <c r="A1120" s="7">
        <v>11238</v>
      </c>
      <c r="B1120" s="7" t="s">
        <v>4243</v>
      </c>
      <c r="C1120" s="7" t="s">
        <v>4244</v>
      </c>
      <c r="D1120" s="7" t="s">
        <v>149</v>
      </c>
      <c r="F1120" s="7" t="s">
        <v>220</v>
      </c>
      <c r="G1120" s="7" t="s">
        <v>48</v>
      </c>
      <c r="H1120" s="7" t="s">
        <v>270</v>
      </c>
      <c r="I1120" s="7" t="s">
        <v>13</v>
      </c>
      <c r="J1120" s="7" t="s">
        <v>4245</v>
      </c>
      <c r="K1120" s="7" t="s">
        <v>4246</v>
      </c>
      <c r="L1120" s="11" t="s">
        <v>5044</v>
      </c>
      <c r="M1120" s="7">
        <v>0</v>
      </c>
      <c r="N1120" s="9" t="s">
        <v>5044</v>
      </c>
      <c r="O1120" s="9" t="s">
        <v>5044</v>
      </c>
      <c r="P1120" s="7">
        <v>0</v>
      </c>
      <c r="Q1120" s="7">
        <v>0</v>
      </c>
      <c r="R1120" s="7">
        <v>0</v>
      </c>
      <c r="S1120" s="7">
        <v>1</v>
      </c>
      <c r="T1120" s="7">
        <v>1</v>
      </c>
      <c r="U1120" s="7">
        <v>38</v>
      </c>
      <c r="V1120" s="7">
        <v>0</v>
      </c>
      <c r="W1120" s="7">
        <v>1</v>
      </c>
      <c r="X1120" s="7">
        <v>0</v>
      </c>
      <c r="Y1120" s="7">
        <v>0</v>
      </c>
      <c r="Z1120" s="7">
        <v>0</v>
      </c>
      <c r="AA1120" s="7">
        <v>0</v>
      </c>
      <c r="AB1120" s="7">
        <v>1</v>
      </c>
      <c r="AC1120" s="7">
        <v>1</v>
      </c>
      <c r="AD1120" s="7" t="s">
        <v>5044</v>
      </c>
      <c r="AE1120" s="7" t="s">
        <v>5044</v>
      </c>
      <c r="AF1120" s="7" t="s">
        <v>5044</v>
      </c>
      <c r="AG1120" s="7">
        <v>0</v>
      </c>
      <c r="AH1120" s="7" t="s">
        <v>5044</v>
      </c>
      <c r="AI1120" s="7" t="s">
        <v>5044</v>
      </c>
      <c r="AJ1120" s="7" t="s">
        <v>5044</v>
      </c>
      <c r="AL1120" s="7">
        <v>0</v>
      </c>
      <c r="AM1120" s="7">
        <v>0</v>
      </c>
    </row>
    <row r="1121" spans="1:40" ht="63" customHeight="1" x14ac:dyDescent="0.2">
      <c r="A1121" s="7">
        <v>11245</v>
      </c>
      <c r="B1121" s="7" t="s">
        <v>4247</v>
      </c>
      <c r="C1121" s="7" t="s">
        <v>4248</v>
      </c>
      <c r="D1121" s="7" t="s">
        <v>101</v>
      </c>
      <c r="E1121" s="7" t="s">
        <v>305</v>
      </c>
      <c r="F1121" s="7" t="s">
        <v>51</v>
      </c>
      <c r="G1121" s="7" t="s">
        <v>52</v>
      </c>
      <c r="H1121" s="7" t="s">
        <v>2002</v>
      </c>
      <c r="I1121" s="7" t="s">
        <v>13</v>
      </c>
      <c r="J1121" s="7" t="s">
        <v>4249</v>
      </c>
      <c r="K1121" s="7" t="s">
        <v>4250</v>
      </c>
      <c r="L1121" s="6" t="s">
        <v>5248</v>
      </c>
      <c r="M1121" s="7">
        <v>1</v>
      </c>
      <c r="N1121" s="7">
        <v>0</v>
      </c>
      <c r="O1121" s="9" t="s">
        <v>5044</v>
      </c>
      <c r="P1121" s="7">
        <v>0</v>
      </c>
      <c r="Q1121" s="7">
        <v>0</v>
      </c>
      <c r="R1121" s="7">
        <v>0</v>
      </c>
      <c r="S1121" s="7">
        <v>9</v>
      </c>
      <c r="T1121" s="7">
        <v>1</v>
      </c>
      <c r="U1121" s="7">
        <v>200</v>
      </c>
      <c r="V1121" s="7">
        <v>1</v>
      </c>
      <c r="W1121" s="7">
        <v>0</v>
      </c>
      <c r="X1121" s="7">
        <v>0</v>
      </c>
      <c r="Y1121" s="7">
        <v>0</v>
      </c>
      <c r="Z1121" s="7">
        <v>0</v>
      </c>
      <c r="AA1121" s="7">
        <v>0</v>
      </c>
      <c r="AB1121" s="7">
        <v>1</v>
      </c>
      <c r="AC1121" s="7" t="s">
        <v>5044</v>
      </c>
      <c r="AD1121" s="7" t="s">
        <v>5044</v>
      </c>
      <c r="AE1121" s="7" t="s">
        <v>5044</v>
      </c>
      <c r="AF1121" s="7" t="s">
        <v>5044</v>
      </c>
      <c r="AG1121" s="7" t="s">
        <v>5044</v>
      </c>
      <c r="AH1121" s="7" t="s">
        <v>5044</v>
      </c>
      <c r="AI1121" s="7" t="s">
        <v>5044</v>
      </c>
      <c r="AJ1121" s="7" t="s">
        <v>5044</v>
      </c>
      <c r="AL1121" s="7" t="s">
        <v>5044</v>
      </c>
      <c r="AM1121" s="7">
        <v>0</v>
      </c>
    </row>
    <row r="1122" spans="1:40" ht="63" customHeight="1" x14ac:dyDescent="0.2">
      <c r="A1122" s="7">
        <v>11250</v>
      </c>
      <c r="B1122" s="7" t="s">
        <v>4256</v>
      </c>
      <c r="C1122" s="7" t="s">
        <v>4257</v>
      </c>
      <c r="D1122" s="7" t="s">
        <v>41</v>
      </c>
      <c r="F1122" s="7" t="s">
        <v>11</v>
      </c>
      <c r="G1122" s="7" t="s">
        <v>37</v>
      </c>
      <c r="H1122" s="7" t="s">
        <v>396</v>
      </c>
      <c r="I1122" s="7" t="s">
        <v>13</v>
      </c>
      <c r="J1122" s="7" t="s">
        <v>4258</v>
      </c>
      <c r="K1122" s="7" t="s">
        <v>4259</v>
      </c>
      <c r="L1122" s="6" t="s">
        <v>5249</v>
      </c>
      <c r="M1122" s="7">
        <v>0</v>
      </c>
      <c r="N1122" s="9" t="s">
        <v>5044</v>
      </c>
      <c r="O1122" s="9" t="s">
        <v>5044</v>
      </c>
      <c r="P1122" s="7">
        <v>0</v>
      </c>
      <c r="Q1122" s="7">
        <v>0</v>
      </c>
      <c r="R1122" s="7">
        <v>0</v>
      </c>
      <c r="S1122" s="7">
        <v>1</v>
      </c>
      <c r="T1122" s="7">
        <v>1</v>
      </c>
      <c r="U1122" s="7">
        <v>100</v>
      </c>
      <c r="V1122" s="7">
        <v>0</v>
      </c>
      <c r="W1122" s="7">
        <v>1</v>
      </c>
      <c r="X1122" s="7">
        <v>0</v>
      </c>
      <c r="Y1122" s="7">
        <v>0</v>
      </c>
      <c r="Z1122" s="7">
        <v>1</v>
      </c>
      <c r="AA1122" s="7">
        <v>0</v>
      </c>
      <c r="AB1122" s="7">
        <v>0</v>
      </c>
      <c r="AC1122" s="7">
        <v>1</v>
      </c>
      <c r="AD1122" s="7" t="s">
        <v>5044</v>
      </c>
      <c r="AE1122" s="7" t="s">
        <v>5044</v>
      </c>
      <c r="AF1122" s="7" t="s">
        <v>5044</v>
      </c>
      <c r="AG1122" s="7">
        <v>1</v>
      </c>
      <c r="AH1122" s="7">
        <v>0</v>
      </c>
      <c r="AI1122" s="7">
        <v>0</v>
      </c>
      <c r="AJ1122" s="7">
        <v>0</v>
      </c>
      <c r="AL1122" s="7">
        <v>0</v>
      </c>
      <c r="AM1122" s="7">
        <v>0</v>
      </c>
    </row>
    <row r="1123" spans="1:40" ht="63" customHeight="1" x14ac:dyDescent="0.2">
      <c r="A1123" s="7">
        <v>11256</v>
      </c>
      <c r="B1123" s="7" t="s">
        <v>4260</v>
      </c>
      <c r="C1123" s="7" t="s">
        <v>4261</v>
      </c>
      <c r="D1123" s="7" t="s">
        <v>56</v>
      </c>
      <c r="F1123" s="7" t="s">
        <v>1042</v>
      </c>
      <c r="G1123" s="7" t="s">
        <v>32</v>
      </c>
      <c r="H1123" s="7" t="s">
        <v>3952</v>
      </c>
      <c r="I1123" s="7" t="s">
        <v>13</v>
      </c>
      <c r="J1123" s="7" t="s">
        <v>4262</v>
      </c>
      <c r="K1123" s="7" t="s">
        <v>4263</v>
      </c>
      <c r="L1123" s="11" t="s">
        <v>5044</v>
      </c>
      <c r="M1123" s="7">
        <v>0</v>
      </c>
      <c r="N1123" s="9" t="s">
        <v>5044</v>
      </c>
      <c r="O1123" s="9" t="s">
        <v>5044</v>
      </c>
      <c r="P1123" s="7">
        <v>0</v>
      </c>
      <c r="Q1123" s="7">
        <v>0</v>
      </c>
      <c r="R1123" s="7">
        <v>0</v>
      </c>
      <c r="S1123" s="7">
        <v>3</v>
      </c>
      <c r="T1123" s="7">
        <v>3</v>
      </c>
      <c r="U1123" s="7">
        <v>78</v>
      </c>
      <c r="V1123" s="7">
        <v>1</v>
      </c>
      <c r="W1123" s="7">
        <v>0</v>
      </c>
      <c r="X1123" s="7">
        <v>0</v>
      </c>
      <c r="Y1123" s="7">
        <v>0</v>
      </c>
      <c r="Z1123" s="7">
        <v>0</v>
      </c>
      <c r="AA1123" s="7">
        <v>0</v>
      </c>
      <c r="AB1123" s="7">
        <v>1</v>
      </c>
      <c r="AC1123" s="7">
        <v>1</v>
      </c>
      <c r="AD1123" s="7">
        <v>2</v>
      </c>
      <c r="AE1123" s="7">
        <v>3</v>
      </c>
      <c r="AF1123" s="7">
        <v>0</v>
      </c>
      <c r="AG1123" s="7" t="s">
        <v>5044</v>
      </c>
      <c r="AH1123" s="7" t="s">
        <v>5044</v>
      </c>
      <c r="AI1123" s="7" t="s">
        <v>5044</v>
      </c>
      <c r="AJ1123" s="7" t="s">
        <v>5044</v>
      </c>
      <c r="AK1123" s="7">
        <v>1</v>
      </c>
      <c r="AL1123" s="7">
        <v>1</v>
      </c>
      <c r="AM1123" s="7">
        <v>0</v>
      </c>
    </row>
    <row r="1124" spans="1:40" ht="63" customHeight="1" x14ac:dyDescent="0.2">
      <c r="A1124" s="7">
        <v>11259</v>
      </c>
      <c r="B1124" s="7" t="s">
        <v>4264</v>
      </c>
      <c r="C1124" s="7" t="s">
        <v>4265</v>
      </c>
      <c r="D1124" s="7" t="s">
        <v>341</v>
      </c>
      <c r="F1124" s="7" t="s">
        <v>2096</v>
      </c>
      <c r="G1124" s="7" t="s">
        <v>27</v>
      </c>
      <c r="H1124" s="7" t="s">
        <v>38</v>
      </c>
      <c r="I1124" s="7" t="s">
        <v>13</v>
      </c>
      <c r="J1124" s="7" t="s">
        <v>4266</v>
      </c>
      <c r="K1124" s="7" t="s">
        <v>4267</v>
      </c>
      <c r="L1124" s="6" t="s">
        <v>5250</v>
      </c>
      <c r="M1124" s="7">
        <v>0</v>
      </c>
      <c r="N1124" s="9" t="s">
        <v>5044</v>
      </c>
      <c r="O1124" s="9" t="s">
        <v>5044</v>
      </c>
      <c r="P1124" s="7">
        <v>0</v>
      </c>
      <c r="Q1124" s="7">
        <v>0</v>
      </c>
      <c r="R1124" s="7">
        <v>0</v>
      </c>
      <c r="S1124" s="7">
        <v>9</v>
      </c>
      <c r="T1124" s="7">
        <v>2</v>
      </c>
      <c r="U1124" s="7">
        <v>130</v>
      </c>
      <c r="V1124" s="7">
        <v>0</v>
      </c>
      <c r="W1124" s="7">
        <v>1</v>
      </c>
      <c r="X1124" s="7">
        <v>0</v>
      </c>
      <c r="Y1124" s="7">
        <v>0</v>
      </c>
      <c r="Z1124" s="7">
        <v>0</v>
      </c>
      <c r="AA1124" s="7">
        <v>0</v>
      </c>
      <c r="AB1124" s="7">
        <v>1</v>
      </c>
      <c r="AC1124" s="7">
        <v>1</v>
      </c>
      <c r="AD1124" s="7" t="s">
        <v>5044</v>
      </c>
      <c r="AE1124" s="7" t="s">
        <v>5044</v>
      </c>
      <c r="AF1124" s="7" t="s">
        <v>5044</v>
      </c>
      <c r="AG1124" s="7">
        <v>2</v>
      </c>
      <c r="AH1124" s="7">
        <v>3</v>
      </c>
      <c r="AI1124" s="7">
        <v>0</v>
      </c>
      <c r="AJ1124" s="7" t="s">
        <v>5044</v>
      </c>
      <c r="AK1124" s="7" t="s">
        <v>5251</v>
      </c>
      <c r="AL1124" s="7">
        <v>0</v>
      </c>
      <c r="AM1124" s="7">
        <v>0</v>
      </c>
    </row>
    <row r="1125" spans="1:40" ht="63" customHeight="1" x14ac:dyDescent="0.2">
      <c r="A1125" s="7">
        <v>11260</v>
      </c>
      <c r="B1125" s="7" t="s">
        <v>4268</v>
      </c>
      <c r="C1125" s="7" t="s">
        <v>4269</v>
      </c>
      <c r="D1125" s="7" t="s">
        <v>101</v>
      </c>
      <c r="F1125" s="7" t="s">
        <v>568</v>
      </c>
      <c r="G1125" s="7" t="s">
        <v>144</v>
      </c>
      <c r="H1125" s="7" t="s">
        <v>217</v>
      </c>
      <c r="I1125" s="7" t="s">
        <v>13</v>
      </c>
      <c r="J1125" s="7" t="s">
        <v>4270</v>
      </c>
      <c r="K1125" s="7" t="s">
        <v>4271</v>
      </c>
      <c r="L1125" s="6" t="s">
        <v>5252</v>
      </c>
      <c r="M1125" s="7">
        <v>0</v>
      </c>
      <c r="N1125" s="9" t="s">
        <v>5044</v>
      </c>
      <c r="O1125" s="9" t="s">
        <v>5044</v>
      </c>
      <c r="P1125" s="7">
        <v>0</v>
      </c>
      <c r="Q1125" s="7">
        <v>0</v>
      </c>
      <c r="R1125" s="7">
        <v>0</v>
      </c>
      <c r="S1125" s="7">
        <v>1</v>
      </c>
      <c r="T1125" s="7">
        <v>2</v>
      </c>
      <c r="U1125" s="7">
        <v>120</v>
      </c>
      <c r="V1125" s="7">
        <v>1</v>
      </c>
      <c r="W1125" s="7">
        <v>0</v>
      </c>
      <c r="X1125" s="7">
        <v>1</v>
      </c>
      <c r="Y1125" s="7">
        <v>0</v>
      </c>
      <c r="Z1125" s="7">
        <v>0</v>
      </c>
      <c r="AA1125" s="7">
        <v>0</v>
      </c>
      <c r="AB1125" s="7">
        <v>1</v>
      </c>
      <c r="AC1125" s="7">
        <v>1</v>
      </c>
      <c r="AD1125" s="23" t="s">
        <v>5044</v>
      </c>
      <c r="AE1125" s="23" t="s">
        <v>5044</v>
      </c>
      <c r="AF1125" s="23" t="s">
        <v>5044</v>
      </c>
      <c r="AG1125" s="7">
        <v>2</v>
      </c>
      <c r="AH1125" s="7">
        <v>2</v>
      </c>
      <c r="AI1125" s="7">
        <v>2</v>
      </c>
      <c r="AJ1125" s="7">
        <v>0</v>
      </c>
      <c r="AL1125" s="7">
        <v>0</v>
      </c>
      <c r="AM1125" s="7">
        <v>0</v>
      </c>
    </row>
    <row r="1126" spans="1:40" ht="63" customHeight="1" x14ac:dyDescent="0.2">
      <c r="A1126" s="7">
        <v>11275</v>
      </c>
      <c r="B1126" s="7" t="s">
        <v>4272</v>
      </c>
      <c r="C1126" s="7" t="s">
        <v>4273</v>
      </c>
      <c r="D1126" s="7" t="s">
        <v>41</v>
      </c>
      <c r="F1126" s="7" t="s">
        <v>767</v>
      </c>
      <c r="G1126" s="7" t="s">
        <v>92</v>
      </c>
      <c r="H1126" s="7" t="s">
        <v>4274</v>
      </c>
      <c r="I1126" s="7" t="s">
        <v>13</v>
      </c>
      <c r="J1126" s="7" t="s">
        <v>4275</v>
      </c>
      <c r="K1126" s="7" t="s">
        <v>4276</v>
      </c>
      <c r="L1126" s="8" t="s">
        <v>5253</v>
      </c>
      <c r="M1126" s="7">
        <v>0</v>
      </c>
      <c r="N1126" s="9" t="s">
        <v>5044</v>
      </c>
      <c r="O1126" s="9" t="s">
        <v>5044</v>
      </c>
      <c r="P1126" s="7">
        <v>0</v>
      </c>
      <c r="Q1126" s="7">
        <v>0</v>
      </c>
      <c r="R1126" s="7">
        <v>1</v>
      </c>
      <c r="S1126" s="7">
        <v>3</v>
      </c>
      <c r="T1126" s="7">
        <v>1</v>
      </c>
      <c r="U1126" s="7">
        <v>61</v>
      </c>
      <c r="V1126" s="7">
        <v>0</v>
      </c>
      <c r="W1126" s="7">
        <v>1</v>
      </c>
      <c r="X1126" s="7">
        <v>0</v>
      </c>
      <c r="Y1126" s="7">
        <v>0</v>
      </c>
      <c r="Z1126" s="7">
        <v>0</v>
      </c>
      <c r="AA1126" s="7">
        <v>0</v>
      </c>
      <c r="AB1126" s="7">
        <v>1</v>
      </c>
      <c r="AC1126" s="7">
        <v>1</v>
      </c>
      <c r="AD1126" s="7" t="s">
        <v>5044</v>
      </c>
      <c r="AE1126" s="7" t="s">
        <v>5044</v>
      </c>
      <c r="AF1126" s="7" t="s">
        <v>5044</v>
      </c>
      <c r="AG1126" s="7">
        <v>2</v>
      </c>
      <c r="AH1126" s="7">
        <v>3</v>
      </c>
      <c r="AI1126" s="7">
        <v>0</v>
      </c>
      <c r="AJ1126" s="7" t="s">
        <v>5044</v>
      </c>
      <c r="AK1126" s="7">
        <v>1</v>
      </c>
      <c r="AL1126" s="7">
        <v>1</v>
      </c>
      <c r="AM1126" s="7">
        <v>0</v>
      </c>
      <c r="AN1126" s="7" t="s">
        <v>451</v>
      </c>
    </row>
    <row r="1127" spans="1:40" ht="63" customHeight="1" x14ac:dyDescent="0.2">
      <c r="A1127" s="7">
        <v>11279</v>
      </c>
      <c r="B1127" s="7" t="s">
        <v>4277</v>
      </c>
      <c r="C1127" s="7" t="s">
        <v>4278</v>
      </c>
      <c r="D1127" s="7" t="s">
        <v>74</v>
      </c>
      <c r="F1127" s="7" t="s">
        <v>62</v>
      </c>
      <c r="G1127" s="7" t="s">
        <v>32</v>
      </c>
      <c r="H1127" s="7" t="s">
        <v>89</v>
      </c>
      <c r="I1127" s="7" t="s">
        <v>13</v>
      </c>
      <c r="J1127" s="7" t="s">
        <v>4279</v>
      </c>
      <c r="K1127" s="7" t="s">
        <v>4280</v>
      </c>
      <c r="L1127" s="6" t="s">
        <v>5255</v>
      </c>
      <c r="M1127" s="7">
        <v>0</v>
      </c>
      <c r="N1127" s="9" t="s">
        <v>5044</v>
      </c>
      <c r="O1127" s="9" t="s">
        <v>5044</v>
      </c>
      <c r="P1127" s="7">
        <v>0</v>
      </c>
      <c r="Q1127" s="7">
        <v>0</v>
      </c>
      <c r="R1127" s="7">
        <v>0</v>
      </c>
      <c r="S1127" s="7">
        <v>9</v>
      </c>
      <c r="T1127" s="7">
        <v>4</v>
      </c>
      <c r="U1127" s="7">
        <v>1228</v>
      </c>
      <c r="V1127" s="7">
        <v>0</v>
      </c>
      <c r="W1127" s="7">
        <v>1</v>
      </c>
      <c r="X1127" s="7">
        <v>0</v>
      </c>
      <c r="Y1127" s="7">
        <v>0</v>
      </c>
      <c r="Z1127" s="7">
        <v>0</v>
      </c>
      <c r="AA1127" s="7">
        <v>0</v>
      </c>
      <c r="AB1127" s="7">
        <v>1</v>
      </c>
      <c r="AC1127" s="7">
        <v>1</v>
      </c>
      <c r="AD1127" s="7" t="s">
        <v>5044</v>
      </c>
      <c r="AE1127" s="7" t="s">
        <v>5044</v>
      </c>
      <c r="AF1127" s="7" t="s">
        <v>5044</v>
      </c>
      <c r="AG1127" s="7">
        <v>2</v>
      </c>
      <c r="AH1127" s="7">
        <v>1</v>
      </c>
      <c r="AI1127" s="7">
        <v>1</v>
      </c>
      <c r="AJ1127" s="7" t="s">
        <v>5044</v>
      </c>
      <c r="AL1127" s="7">
        <v>1</v>
      </c>
      <c r="AM1127" s="7">
        <v>0</v>
      </c>
    </row>
    <row r="1128" spans="1:40" ht="63" customHeight="1" x14ac:dyDescent="0.2">
      <c r="A1128" s="7">
        <v>11280</v>
      </c>
      <c r="B1128" s="7" t="s">
        <v>4281</v>
      </c>
      <c r="C1128" s="7" t="s">
        <v>4282</v>
      </c>
      <c r="D1128" s="7" t="s">
        <v>41</v>
      </c>
      <c r="F1128" s="7" t="s">
        <v>133</v>
      </c>
      <c r="H1128" s="7" t="s">
        <v>1449</v>
      </c>
      <c r="I1128" s="7" t="s">
        <v>13</v>
      </c>
      <c r="J1128" s="7" t="s">
        <v>4283</v>
      </c>
      <c r="K1128" s="7" t="s">
        <v>4284</v>
      </c>
      <c r="L1128" s="11" t="s">
        <v>5044</v>
      </c>
      <c r="M1128" s="7">
        <v>0</v>
      </c>
      <c r="N1128" s="9" t="s">
        <v>5044</v>
      </c>
      <c r="O1128" s="9" t="s">
        <v>5044</v>
      </c>
      <c r="P1128" s="7">
        <v>0</v>
      </c>
      <c r="Q1128" s="7">
        <v>0</v>
      </c>
      <c r="R1128" s="7">
        <v>0</v>
      </c>
      <c r="S1128" s="7">
        <v>1</v>
      </c>
      <c r="T1128" s="7">
        <v>4</v>
      </c>
      <c r="U1128" s="7">
        <v>191</v>
      </c>
      <c r="V1128" s="7">
        <v>0</v>
      </c>
      <c r="W1128" s="7">
        <v>1</v>
      </c>
      <c r="X1128" s="7">
        <v>0</v>
      </c>
      <c r="Y1128" s="7">
        <v>0</v>
      </c>
      <c r="Z1128" s="7">
        <v>0</v>
      </c>
      <c r="AA1128" s="7">
        <v>0</v>
      </c>
      <c r="AB1128" s="7">
        <v>1</v>
      </c>
      <c r="AC1128" s="7">
        <v>1</v>
      </c>
      <c r="AD1128" s="7" t="s">
        <v>5044</v>
      </c>
      <c r="AE1128" s="7" t="s">
        <v>5044</v>
      </c>
      <c r="AF1128" s="7" t="s">
        <v>5044</v>
      </c>
      <c r="AG1128" s="7">
        <v>2</v>
      </c>
      <c r="AH1128" s="7">
        <v>2</v>
      </c>
      <c r="AI1128" s="7">
        <v>2</v>
      </c>
      <c r="AJ1128" s="7" t="s">
        <v>5044</v>
      </c>
      <c r="AK1128" s="7" t="s">
        <v>5256</v>
      </c>
      <c r="AL1128" s="7">
        <v>1</v>
      </c>
      <c r="AM1128" s="7">
        <v>0</v>
      </c>
    </row>
    <row r="1129" spans="1:40" ht="63" customHeight="1" x14ac:dyDescent="0.2">
      <c r="A1129" s="7">
        <v>11308</v>
      </c>
      <c r="B1129" s="7" t="s">
        <v>4285</v>
      </c>
      <c r="C1129" s="7" t="s">
        <v>4286</v>
      </c>
      <c r="D1129" s="7" t="s">
        <v>95</v>
      </c>
      <c r="F1129" s="7" t="s">
        <v>114</v>
      </c>
      <c r="G1129" s="7" t="s">
        <v>144</v>
      </c>
      <c r="H1129" s="7" t="s">
        <v>1502</v>
      </c>
      <c r="I1129" s="7" t="s">
        <v>13</v>
      </c>
      <c r="J1129" s="7" t="s">
        <v>4287</v>
      </c>
      <c r="K1129" s="7" t="s">
        <v>4288</v>
      </c>
      <c r="L1129" s="6" t="s">
        <v>5257</v>
      </c>
      <c r="M1129" s="7">
        <v>0</v>
      </c>
      <c r="N1129" s="9" t="s">
        <v>5044</v>
      </c>
      <c r="O1129" s="9" t="s">
        <v>5044</v>
      </c>
      <c r="P1129" s="7">
        <v>0</v>
      </c>
      <c r="Q1129" s="7">
        <v>0</v>
      </c>
      <c r="R1129" s="7">
        <v>0</v>
      </c>
      <c r="S1129" s="7">
        <v>5</v>
      </c>
      <c r="T1129" s="7">
        <v>1</v>
      </c>
      <c r="U1129" s="7">
        <v>100</v>
      </c>
      <c r="V1129" s="7">
        <v>0</v>
      </c>
      <c r="W1129" s="7">
        <v>1</v>
      </c>
      <c r="X1129" s="7">
        <v>0</v>
      </c>
      <c r="Y1129" s="7">
        <v>0</v>
      </c>
      <c r="Z1129" s="7">
        <v>0</v>
      </c>
      <c r="AA1129" s="7">
        <v>0</v>
      </c>
      <c r="AB1129" s="7">
        <v>1</v>
      </c>
      <c r="AC1129" s="7">
        <v>1</v>
      </c>
      <c r="AD1129" s="7" t="s">
        <v>5044</v>
      </c>
      <c r="AE1129" s="7" t="s">
        <v>5044</v>
      </c>
      <c r="AF1129" s="7" t="s">
        <v>5044</v>
      </c>
      <c r="AG1129" s="7">
        <v>2</v>
      </c>
      <c r="AH1129" s="7">
        <v>3</v>
      </c>
      <c r="AI1129" s="7">
        <v>0</v>
      </c>
      <c r="AJ1129" s="7" t="s">
        <v>5044</v>
      </c>
      <c r="AL1129" s="7">
        <v>1</v>
      </c>
      <c r="AM1129" s="7">
        <v>0</v>
      </c>
    </row>
    <row r="1130" spans="1:40" ht="63" customHeight="1" x14ac:dyDescent="0.2">
      <c r="A1130" s="7">
        <v>11320</v>
      </c>
      <c r="B1130" s="7" t="s">
        <v>4289</v>
      </c>
      <c r="C1130" s="7" t="s">
        <v>4290</v>
      </c>
      <c r="D1130" s="7" t="s">
        <v>101</v>
      </c>
      <c r="F1130" s="7" t="s">
        <v>325</v>
      </c>
      <c r="G1130" s="7" t="s">
        <v>17</v>
      </c>
      <c r="H1130" s="7" t="s">
        <v>1185</v>
      </c>
      <c r="I1130" s="7" t="s">
        <v>13</v>
      </c>
      <c r="J1130" s="7" t="s">
        <v>4291</v>
      </c>
      <c r="K1130" s="7" t="s">
        <v>4292</v>
      </c>
      <c r="L1130" s="6" t="s">
        <v>5258</v>
      </c>
      <c r="M1130" s="7">
        <v>0</v>
      </c>
      <c r="N1130" s="9" t="s">
        <v>5044</v>
      </c>
      <c r="O1130" s="9" t="s">
        <v>5044</v>
      </c>
      <c r="P1130" s="7">
        <v>0</v>
      </c>
      <c r="Q1130" s="7">
        <v>0</v>
      </c>
      <c r="R1130" s="7">
        <v>0</v>
      </c>
      <c r="S1130" s="7">
        <v>3</v>
      </c>
      <c r="T1130" s="7">
        <v>1</v>
      </c>
      <c r="U1130" s="7">
        <v>100</v>
      </c>
      <c r="V1130" s="7">
        <v>0</v>
      </c>
      <c r="W1130" s="7">
        <v>1</v>
      </c>
      <c r="X1130" s="7">
        <v>0</v>
      </c>
      <c r="Y1130" s="7">
        <v>0</v>
      </c>
      <c r="Z1130" s="7">
        <v>0</v>
      </c>
      <c r="AA1130" s="7">
        <v>0</v>
      </c>
      <c r="AB1130" s="7">
        <v>0</v>
      </c>
      <c r="AC1130" s="7">
        <v>1</v>
      </c>
      <c r="AD1130" s="7" t="s">
        <v>5044</v>
      </c>
      <c r="AE1130" s="7" t="s">
        <v>5044</v>
      </c>
      <c r="AF1130" s="7" t="s">
        <v>5044</v>
      </c>
      <c r="AG1130" s="7">
        <v>2</v>
      </c>
      <c r="AH1130" s="7">
        <v>3</v>
      </c>
      <c r="AI1130" s="7">
        <v>0</v>
      </c>
      <c r="AJ1130" s="7" t="s">
        <v>5044</v>
      </c>
      <c r="AK1130" s="7">
        <v>1</v>
      </c>
      <c r="AL1130" s="7">
        <v>1</v>
      </c>
      <c r="AM1130" s="7">
        <v>0</v>
      </c>
    </row>
    <row r="1131" spans="1:40" ht="63" customHeight="1" x14ac:dyDescent="0.2">
      <c r="A1131" s="7">
        <v>11321</v>
      </c>
      <c r="B1131" s="7" t="s">
        <v>4293</v>
      </c>
      <c r="C1131" s="7" t="s">
        <v>4294</v>
      </c>
      <c r="D1131" s="7" t="s">
        <v>46</v>
      </c>
      <c r="F1131" s="7" t="s">
        <v>640</v>
      </c>
      <c r="G1131" s="7" t="s">
        <v>37</v>
      </c>
      <c r="H1131" s="7" t="s">
        <v>4295</v>
      </c>
      <c r="I1131" s="7" t="s">
        <v>13</v>
      </c>
      <c r="J1131" s="7" t="s">
        <v>4296</v>
      </c>
      <c r="K1131" s="7" t="s">
        <v>4297</v>
      </c>
      <c r="L1131" s="11" t="s">
        <v>5044</v>
      </c>
      <c r="M1131" s="7">
        <v>0</v>
      </c>
      <c r="N1131" s="9" t="s">
        <v>5044</v>
      </c>
      <c r="O1131" s="9" t="s">
        <v>5044</v>
      </c>
      <c r="P1131" s="7">
        <v>0</v>
      </c>
      <c r="Q1131" s="7">
        <v>0</v>
      </c>
      <c r="R1131" s="7">
        <v>0</v>
      </c>
      <c r="S1131" s="7">
        <v>3</v>
      </c>
      <c r="T1131" s="7">
        <v>1</v>
      </c>
      <c r="U1131" s="7">
        <v>100</v>
      </c>
      <c r="V1131" s="7">
        <v>0</v>
      </c>
      <c r="W1131" s="7">
        <v>1</v>
      </c>
      <c r="X1131" s="7">
        <v>0</v>
      </c>
      <c r="Y1131" s="7">
        <v>0</v>
      </c>
      <c r="Z1131" s="7">
        <v>0</v>
      </c>
      <c r="AA1131" s="7">
        <v>0</v>
      </c>
      <c r="AB1131" s="7">
        <v>0</v>
      </c>
      <c r="AC1131" s="7">
        <v>1</v>
      </c>
      <c r="AD1131" s="7" t="s">
        <v>5044</v>
      </c>
      <c r="AE1131" s="7" t="s">
        <v>5044</v>
      </c>
      <c r="AF1131" s="7" t="s">
        <v>5044</v>
      </c>
      <c r="AG1131" s="7">
        <v>2</v>
      </c>
      <c r="AH1131" s="7">
        <v>3</v>
      </c>
      <c r="AI1131" s="7">
        <v>0</v>
      </c>
      <c r="AJ1131" s="7" t="s">
        <v>5044</v>
      </c>
      <c r="AK1131" s="7">
        <v>1</v>
      </c>
      <c r="AL1131" s="7">
        <v>1</v>
      </c>
      <c r="AM1131" s="7">
        <v>0</v>
      </c>
    </row>
    <row r="1132" spans="1:40" ht="63" customHeight="1" x14ac:dyDescent="0.2">
      <c r="A1132" s="7">
        <v>11327</v>
      </c>
      <c r="B1132" s="7" t="s">
        <v>4298</v>
      </c>
      <c r="C1132" s="7" t="s">
        <v>4299</v>
      </c>
      <c r="D1132" s="7" t="s">
        <v>101</v>
      </c>
      <c r="F1132" s="7" t="s">
        <v>645</v>
      </c>
      <c r="G1132" s="7" t="s">
        <v>11</v>
      </c>
      <c r="H1132" s="7" t="s">
        <v>43</v>
      </c>
      <c r="I1132" s="7" t="s">
        <v>13</v>
      </c>
      <c r="J1132" s="7" t="s">
        <v>4300</v>
      </c>
      <c r="K1132" s="7" t="s">
        <v>4301</v>
      </c>
      <c r="L1132" s="6" t="s">
        <v>5259</v>
      </c>
      <c r="M1132" s="7">
        <v>0</v>
      </c>
      <c r="N1132" s="9" t="s">
        <v>5044</v>
      </c>
      <c r="O1132" s="9" t="s">
        <v>5044</v>
      </c>
      <c r="P1132" s="7">
        <v>0</v>
      </c>
      <c r="Q1132" s="7">
        <v>0</v>
      </c>
      <c r="R1132" s="7">
        <v>0</v>
      </c>
      <c r="S1132" s="7">
        <v>1</v>
      </c>
      <c r="T1132" s="7">
        <v>1</v>
      </c>
      <c r="U1132" s="7">
        <v>80</v>
      </c>
      <c r="V1132" s="7">
        <v>0</v>
      </c>
      <c r="W1132" s="7">
        <v>1</v>
      </c>
      <c r="X1132" s="7">
        <v>0</v>
      </c>
      <c r="Y1132" s="7">
        <v>0</v>
      </c>
      <c r="Z1132" s="7">
        <v>0</v>
      </c>
      <c r="AA1132" s="7">
        <v>0</v>
      </c>
      <c r="AB1132" s="7">
        <v>1</v>
      </c>
      <c r="AC1132" s="7">
        <v>1</v>
      </c>
      <c r="AD1132" s="7" t="s">
        <v>5044</v>
      </c>
      <c r="AE1132" s="7" t="s">
        <v>5044</v>
      </c>
      <c r="AF1132" s="7" t="s">
        <v>5044</v>
      </c>
      <c r="AG1132" s="7">
        <v>2</v>
      </c>
      <c r="AH1132" s="7">
        <v>3</v>
      </c>
      <c r="AI1132" s="7">
        <v>0</v>
      </c>
      <c r="AJ1132" s="7" t="s">
        <v>5044</v>
      </c>
      <c r="AK1132" s="7">
        <v>1</v>
      </c>
      <c r="AL1132" s="7">
        <v>0</v>
      </c>
      <c r="AM1132" s="7">
        <v>0</v>
      </c>
    </row>
    <row r="1133" spans="1:40" ht="63" customHeight="1" x14ac:dyDescent="0.2">
      <c r="A1133" s="7">
        <v>11337</v>
      </c>
      <c r="B1133" s="7" t="s">
        <v>4302</v>
      </c>
      <c r="C1133" s="7" t="s">
        <v>4303</v>
      </c>
      <c r="D1133" s="7" t="s">
        <v>16</v>
      </c>
      <c r="F1133" s="7" t="s">
        <v>114</v>
      </c>
      <c r="G1133" s="7" t="s">
        <v>11</v>
      </c>
      <c r="H1133" s="7" t="s">
        <v>160</v>
      </c>
      <c r="I1133" s="7" t="s">
        <v>13</v>
      </c>
      <c r="J1133" s="7" t="s">
        <v>4304</v>
      </c>
      <c r="K1133" s="7" t="s">
        <v>4305</v>
      </c>
      <c r="L1133" s="8" t="s">
        <v>5260</v>
      </c>
      <c r="M1133" s="7">
        <v>0</v>
      </c>
      <c r="N1133" s="9" t="s">
        <v>5044</v>
      </c>
      <c r="O1133" s="9" t="s">
        <v>5044</v>
      </c>
      <c r="P1133" s="7">
        <v>0</v>
      </c>
      <c r="Q1133" s="7">
        <v>0</v>
      </c>
      <c r="R1133" s="7">
        <v>0</v>
      </c>
      <c r="S1133" s="7">
        <v>1</v>
      </c>
      <c r="T1133" s="7">
        <v>4</v>
      </c>
      <c r="U1133" s="7">
        <v>90</v>
      </c>
      <c r="V1133" s="7">
        <v>0</v>
      </c>
      <c r="W1133" s="7">
        <v>1</v>
      </c>
      <c r="X1133" s="7">
        <v>0</v>
      </c>
      <c r="Y1133" s="7">
        <v>0</v>
      </c>
      <c r="Z1133" s="7">
        <v>0</v>
      </c>
      <c r="AA1133" s="7">
        <v>0</v>
      </c>
      <c r="AB1133" s="7">
        <v>1</v>
      </c>
      <c r="AC1133" s="7">
        <v>1</v>
      </c>
      <c r="AD1133" s="7" t="s">
        <v>5044</v>
      </c>
      <c r="AE1133" s="7" t="s">
        <v>5044</v>
      </c>
      <c r="AF1133" s="7" t="s">
        <v>5044</v>
      </c>
      <c r="AG1133" s="7">
        <v>2</v>
      </c>
      <c r="AH1133" s="7">
        <v>1</v>
      </c>
      <c r="AI1133" s="7">
        <v>2</v>
      </c>
      <c r="AJ1133" s="7" t="s">
        <v>5044</v>
      </c>
      <c r="AL1133" s="7" t="s">
        <v>5044</v>
      </c>
      <c r="AM1133" s="7">
        <v>0</v>
      </c>
      <c r="AN1133" s="7" t="s">
        <v>5105</v>
      </c>
    </row>
    <row r="1134" spans="1:40" ht="63" customHeight="1" x14ac:dyDescent="0.2">
      <c r="A1134" s="7">
        <v>11352</v>
      </c>
      <c r="B1134" s="7" t="s">
        <v>4306</v>
      </c>
      <c r="C1134" s="7" t="s">
        <v>4307</v>
      </c>
      <c r="D1134" s="7" t="s">
        <v>25</v>
      </c>
      <c r="E1134" s="7" t="s">
        <v>4238</v>
      </c>
      <c r="F1134" s="7" t="s">
        <v>746</v>
      </c>
      <c r="G1134" s="7" t="s">
        <v>48</v>
      </c>
      <c r="H1134" s="7" t="s">
        <v>427</v>
      </c>
      <c r="I1134" s="7" t="s">
        <v>13</v>
      </c>
      <c r="J1134" s="7" t="s">
        <v>4308</v>
      </c>
      <c r="K1134" s="7" t="s">
        <v>4309</v>
      </c>
      <c r="L1134" s="11" t="s">
        <v>5044</v>
      </c>
      <c r="M1134" s="7">
        <v>0</v>
      </c>
      <c r="N1134" s="9" t="s">
        <v>5044</v>
      </c>
      <c r="O1134" s="9" t="s">
        <v>5044</v>
      </c>
      <c r="P1134" s="7">
        <v>0</v>
      </c>
      <c r="Q1134" s="7">
        <v>0</v>
      </c>
      <c r="R1134" s="7">
        <v>1</v>
      </c>
      <c r="S1134" s="7">
        <v>1</v>
      </c>
      <c r="T1134" s="7">
        <v>2</v>
      </c>
      <c r="U1134" s="7">
        <v>199</v>
      </c>
      <c r="V1134" s="7">
        <v>1</v>
      </c>
      <c r="W1134" s="7">
        <v>0</v>
      </c>
      <c r="X1134" s="7">
        <v>0</v>
      </c>
      <c r="Y1134" s="7">
        <v>0</v>
      </c>
      <c r="Z1134" s="7">
        <v>0</v>
      </c>
      <c r="AA1134" s="7">
        <v>0</v>
      </c>
      <c r="AB1134" s="7">
        <v>1</v>
      </c>
      <c r="AC1134" s="7">
        <v>1</v>
      </c>
      <c r="AD1134" s="7">
        <v>2</v>
      </c>
      <c r="AE1134" s="7">
        <v>3</v>
      </c>
      <c r="AF1134" s="7">
        <v>0</v>
      </c>
      <c r="AG1134" s="7" t="s">
        <v>5044</v>
      </c>
      <c r="AH1134" s="7" t="s">
        <v>5044</v>
      </c>
      <c r="AI1134" s="7" t="s">
        <v>5044</v>
      </c>
      <c r="AJ1134" s="7" t="s">
        <v>5044</v>
      </c>
      <c r="AK1134" s="7">
        <v>1</v>
      </c>
      <c r="AL1134" s="7" t="s">
        <v>5044</v>
      </c>
      <c r="AM1134" s="7">
        <v>0</v>
      </c>
      <c r="AN1134" s="7" t="s">
        <v>5105</v>
      </c>
    </row>
    <row r="1135" spans="1:40" ht="63" customHeight="1" x14ac:dyDescent="0.2">
      <c r="A1135" s="7">
        <v>11355</v>
      </c>
      <c r="B1135" s="7" t="s">
        <v>4310</v>
      </c>
      <c r="C1135" s="7" t="s">
        <v>4311</v>
      </c>
      <c r="D1135" s="7" t="s">
        <v>16</v>
      </c>
      <c r="F1135" s="7" t="s">
        <v>1700</v>
      </c>
      <c r="G1135" s="7" t="s">
        <v>37</v>
      </c>
      <c r="H1135" s="7" t="s">
        <v>596</v>
      </c>
      <c r="I1135" s="7" t="s">
        <v>13</v>
      </c>
      <c r="J1135" s="7" t="s">
        <v>4312</v>
      </c>
      <c r="K1135" s="7" t="s">
        <v>4313</v>
      </c>
      <c r="L1135" s="6" t="s">
        <v>5261</v>
      </c>
      <c r="M1135" s="7">
        <v>0</v>
      </c>
      <c r="N1135" s="9" t="s">
        <v>5044</v>
      </c>
      <c r="O1135" s="9" t="s">
        <v>5044</v>
      </c>
      <c r="P1135" s="7">
        <v>0</v>
      </c>
      <c r="Q1135" s="7">
        <v>0</v>
      </c>
      <c r="R1135" s="7">
        <v>0</v>
      </c>
      <c r="S1135" s="7">
        <v>1</v>
      </c>
      <c r="T1135" s="7">
        <v>1</v>
      </c>
      <c r="U1135" s="7">
        <v>84</v>
      </c>
      <c r="V1135" s="7">
        <v>0</v>
      </c>
      <c r="W1135" s="7">
        <v>1</v>
      </c>
      <c r="X1135" s="7">
        <v>0</v>
      </c>
      <c r="Y1135" s="7">
        <v>0</v>
      </c>
      <c r="Z1135" s="7">
        <v>0</v>
      </c>
      <c r="AA1135" s="7">
        <v>0</v>
      </c>
      <c r="AB1135" s="7">
        <v>1</v>
      </c>
      <c r="AC1135" s="7">
        <v>0</v>
      </c>
      <c r="AD1135" s="7" t="s">
        <v>5044</v>
      </c>
      <c r="AE1135" s="7" t="s">
        <v>5044</v>
      </c>
      <c r="AF1135" s="7" t="s">
        <v>5044</v>
      </c>
      <c r="AG1135" s="7">
        <v>0</v>
      </c>
      <c r="AH1135" s="7" t="s">
        <v>5044</v>
      </c>
      <c r="AI1135" s="7" t="s">
        <v>5044</v>
      </c>
      <c r="AJ1135" s="7" t="s">
        <v>5044</v>
      </c>
      <c r="AL1135" s="7">
        <v>0</v>
      </c>
      <c r="AM1135" s="7">
        <v>0</v>
      </c>
    </row>
    <row r="1136" spans="1:40" ht="63" customHeight="1" x14ac:dyDescent="0.2">
      <c r="A1136" s="7">
        <v>11356</v>
      </c>
      <c r="B1136" s="7" t="s">
        <v>4314</v>
      </c>
      <c r="C1136" s="7" t="s">
        <v>4315</v>
      </c>
      <c r="D1136" s="7" t="s">
        <v>46</v>
      </c>
      <c r="F1136" s="7" t="s">
        <v>1180</v>
      </c>
      <c r="G1136" s="7" t="s">
        <v>52</v>
      </c>
      <c r="H1136" s="7" t="s">
        <v>38</v>
      </c>
      <c r="I1136" s="7" t="s">
        <v>13</v>
      </c>
      <c r="J1136" s="7" t="s">
        <v>4316</v>
      </c>
      <c r="K1136" s="7" t="s">
        <v>4317</v>
      </c>
      <c r="L1136" s="6" t="s">
        <v>5262</v>
      </c>
      <c r="M1136" s="7">
        <v>0</v>
      </c>
      <c r="N1136" s="9" t="s">
        <v>5044</v>
      </c>
      <c r="O1136" s="9" t="s">
        <v>5044</v>
      </c>
      <c r="P1136" s="7">
        <v>0</v>
      </c>
      <c r="Q1136" s="7">
        <v>0</v>
      </c>
      <c r="R1136" s="7">
        <v>0</v>
      </c>
      <c r="S1136" s="7">
        <v>1</v>
      </c>
      <c r="T1136" s="7">
        <v>1</v>
      </c>
      <c r="U1136" s="7">
        <v>80</v>
      </c>
      <c r="V1136" s="7">
        <v>0</v>
      </c>
      <c r="W1136" s="7">
        <v>1</v>
      </c>
      <c r="X1136" s="7">
        <v>0</v>
      </c>
      <c r="Y1136" s="7">
        <v>0</v>
      </c>
      <c r="Z1136" s="7">
        <v>0</v>
      </c>
      <c r="AA1136" s="7">
        <v>0</v>
      </c>
      <c r="AB1136" s="7">
        <v>1</v>
      </c>
      <c r="AC1136" s="7">
        <v>1</v>
      </c>
      <c r="AD1136" s="7" t="s">
        <v>5044</v>
      </c>
      <c r="AE1136" s="7" t="s">
        <v>5044</v>
      </c>
      <c r="AF1136" s="7" t="s">
        <v>5044</v>
      </c>
      <c r="AG1136" s="7">
        <v>2</v>
      </c>
      <c r="AH1136" s="7">
        <v>2</v>
      </c>
      <c r="AI1136" s="7">
        <v>2</v>
      </c>
      <c r="AJ1136" s="7" t="s">
        <v>5044</v>
      </c>
      <c r="AL1136" s="7">
        <v>0</v>
      </c>
      <c r="AM1136" s="7">
        <v>0</v>
      </c>
    </row>
    <row r="1137" spans="1:40" ht="63" customHeight="1" x14ac:dyDescent="0.2">
      <c r="A1137" s="7">
        <v>11360</v>
      </c>
      <c r="B1137" s="7" t="s">
        <v>4318</v>
      </c>
      <c r="C1137" s="7" t="s">
        <v>4319</v>
      </c>
      <c r="D1137" s="7" t="s">
        <v>41</v>
      </c>
      <c r="E1137" s="7" t="s">
        <v>305</v>
      </c>
      <c r="F1137" s="7" t="s">
        <v>92</v>
      </c>
      <c r="G1137" s="7" t="s">
        <v>18</v>
      </c>
      <c r="H1137" s="7" t="s">
        <v>19</v>
      </c>
      <c r="I1137" s="7" t="s">
        <v>13</v>
      </c>
      <c r="J1137" s="7" t="s">
        <v>4320</v>
      </c>
      <c r="K1137" s="7" t="s">
        <v>4321</v>
      </c>
      <c r="L1137" s="6" t="s">
        <v>5263</v>
      </c>
      <c r="M1137" s="7">
        <v>1</v>
      </c>
      <c r="N1137" s="7">
        <v>0</v>
      </c>
      <c r="O1137" s="9" t="s">
        <v>5044</v>
      </c>
      <c r="P1137" s="7">
        <v>0</v>
      </c>
      <c r="Q1137" s="7">
        <v>0</v>
      </c>
      <c r="R1137" s="7">
        <v>0</v>
      </c>
      <c r="S1137" s="7">
        <v>1</v>
      </c>
      <c r="T1137" s="7">
        <v>1</v>
      </c>
      <c r="U1137" s="7">
        <v>140</v>
      </c>
      <c r="V1137" s="7">
        <v>0</v>
      </c>
      <c r="W1137" s="7">
        <v>1</v>
      </c>
      <c r="X1137" s="7">
        <v>0</v>
      </c>
      <c r="Y1137" s="7">
        <v>0</v>
      </c>
      <c r="Z1137" s="7">
        <v>0</v>
      </c>
      <c r="AA1137" s="7">
        <v>0</v>
      </c>
      <c r="AB1137" s="7">
        <v>1</v>
      </c>
      <c r="AC1137" s="7" t="s">
        <v>5044</v>
      </c>
      <c r="AD1137" s="7" t="s">
        <v>5044</v>
      </c>
      <c r="AE1137" s="7" t="s">
        <v>5044</v>
      </c>
      <c r="AF1137" s="7" t="s">
        <v>5044</v>
      </c>
      <c r="AG1137" s="7" t="s">
        <v>5044</v>
      </c>
      <c r="AH1137" s="7" t="s">
        <v>5044</v>
      </c>
      <c r="AI1137" s="7" t="s">
        <v>5044</v>
      </c>
      <c r="AJ1137" s="7" t="s">
        <v>5044</v>
      </c>
      <c r="AL1137" s="7" t="s">
        <v>5044</v>
      </c>
      <c r="AM1137" s="7">
        <v>0</v>
      </c>
    </row>
    <row r="1138" spans="1:40" ht="63" customHeight="1" x14ac:dyDescent="0.2">
      <c r="A1138" s="7">
        <v>11372</v>
      </c>
      <c r="B1138" s="7" t="s">
        <v>4322</v>
      </c>
      <c r="C1138" s="7" t="s">
        <v>4323</v>
      </c>
      <c r="D1138" s="7" t="s">
        <v>95</v>
      </c>
      <c r="F1138" s="7" t="s">
        <v>27</v>
      </c>
      <c r="G1138" s="7" t="s">
        <v>144</v>
      </c>
      <c r="H1138" s="7" t="s">
        <v>4324</v>
      </c>
      <c r="I1138" s="7" t="s">
        <v>13</v>
      </c>
      <c r="J1138" s="7" t="s">
        <v>4325</v>
      </c>
      <c r="K1138" s="7" t="s">
        <v>4326</v>
      </c>
      <c r="L1138" s="8" t="s">
        <v>5264</v>
      </c>
      <c r="M1138" s="7">
        <v>0</v>
      </c>
      <c r="N1138" s="9" t="s">
        <v>5044</v>
      </c>
      <c r="O1138" s="9" t="s">
        <v>5044</v>
      </c>
      <c r="P1138" s="7">
        <v>0</v>
      </c>
      <c r="Q1138" s="7">
        <v>0</v>
      </c>
      <c r="R1138" s="7">
        <v>0</v>
      </c>
      <c r="S1138" s="7">
        <v>13</v>
      </c>
      <c r="T1138" s="7">
        <v>1</v>
      </c>
      <c r="U1138" s="7">
        <v>101</v>
      </c>
      <c r="V1138" s="7">
        <v>0</v>
      </c>
      <c r="W1138" s="7">
        <v>1</v>
      </c>
      <c r="X1138" s="7">
        <v>0</v>
      </c>
      <c r="Y1138" s="7">
        <v>0</v>
      </c>
      <c r="Z1138" s="7">
        <v>1</v>
      </c>
      <c r="AA1138" s="7">
        <v>0</v>
      </c>
      <c r="AB1138" s="7">
        <v>1</v>
      </c>
      <c r="AC1138" s="7">
        <v>1</v>
      </c>
      <c r="AD1138" s="7" t="s">
        <v>5044</v>
      </c>
      <c r="AE1138" s="7" t="s">
        <v>5044</v>
      </c>
      <c r="AF1138" s="7" t="s">
        <v>5044</v>
      </c>
      <c r="AG1138" s="7">
        <v>2</v>
      </c>
      <c r="AH1138" s="7">
        <v>2</v>
      </c>
      <c r="AI1138" s="7">
        <v>2</v>
      </c>
      <c r="AJ1138" s="7">
        <v>0</v>
      </c>
      <c r="AL1138" s="7">
        <v>1</v>
      </c>
      <c r="AM1138" s="7">
        <v>0</v>
      </c>
    </row>
    <row r="1139" spans="1:40" ht="63" customHeight="1" x14ac:dyDescent="0.2">
      <c r="A1139" s="7">
        <v>11382</v>
      </c>
      <c r="B1139" s="7" t="s">
        <v>4327</v>
      </c>
      <c r="C1139" s="7" t="s">
        <v>4328</v>
      </c>
      <c r="D1139" s="7" t="s">
        <v>149</v>
      </c>
      <c r="F1139" s="7" t="s">
        <v>2883</v>
      </c>
      <c r="G1139" s="7" t="s">
        <v>144</v>
      </c>
      <c r="H1139" s="7" t="s">
        <v>43</v>
      </c>
      <c r="I1139" s="7" t="s">
        <v>13</v>
      </c>
      <c r="J1139" s="7" t="s">
        <v>4329</v>
      </c>
      <c r="K1139" s="7" t="s">
        <v>4330</v>
      </c>
      <c r="L1139" s="7" t="s">
        <v>5265</v>
      </c>
      <c r="M1139" s="7">
        <v>0</v>
      </c>
      <c r="N1139" s="9" t="s">
        <v>5044</v>
      </c>
      <c r="O1139" s="9" t="s">
        <v>5044</v>
      </c>
      <c r="P1139" s="7">
        <v>0</v>
      </c>
      <c r="Q1139" s="7">
        <v>0</v>
      </c>
      <c r="R1139" s="7">
        <v>0</v>
      </c>
      <c r="S1139" s="7">
        <v>1</v>
      </c>
      <c r="T1139" s="7">
        <v>1</v>
      </c>
      <c r="U1139" s="7">
        <v>40</v>
      </c>
      <c r="V1139" s="7">
        <v>0</v>
      </c>
      <c r="W1139" s="7">
        <v>1</v>
      </c>
      <c r="X1139" s="7">
        <v>0</v>
      </c>
      <c r="Y1139" s="7">
        <v>0</v>
      </c>
      <c r="Z1139" s="7">
        <v>0</v>
      </c>
      <c r="AA1139" s="7">
        <v>0</v>
      </c>
      <c r="AB1139" s="7">
        <v>1</v>
      </c>
      <c r="AC1139" s="7">
        <v>1</v>
      </c>
      <c r="AD1139" s="7" t="s">
        <v>5044</v>
      </c>
      <c r="AE1139" s="7" t="s">
        <v>5044</v>
      </c>
      <c r="AF1139" s="7" t="s">
        <v>5044</v>
      </c>
      <c r="AG1139" s="7">
        <v>2</v>
      </c>
      <c r="AH1139" s="7">
        <v>3</v>
      </c>
      <c r="AI1139" s="7">
        <v>0</v>
      </c>
      <c r="AJ1139" s="7" t="s">
        <v>5044</v>
      </c>
      <c r="AK1139" s="7">
        <v>1</v>
      </c>
      <c r="AL1139" s="7">
        <v>1</v>
      </c>
      <c r="AM1139" s="7">
        <v>0</v>
      </c>
    </row>
    <row r="1140" spans="1:40" ht="63" customHeight="1" x14ac:dyDescent="0.2">
      <c r="A1140" s="7">
        <v>11412</v>
      </c>
      <c r="B1140" s="7" t="s">
        <v>4331</v>
      </c>
      <c r="C1140" s="7" t="s">
        <v>4332</v>
      </c>
      <c r="D1140" s="7" t="s">
        <v>16</v>
      </c>
      <c r="E1140" s="7" t="s">
        <v>305</v>
      </c>
      <c r="F1140" s="7" t="s">
        <v>118</v>
      </c>
      <c r="G1140" s="7" t="s">
        <v>52</v>
      </c>
      <c r="H1140" s="7" t="s">
        <v>53</v>
      </c>
      <c r="I1140" s="7" t="s">
        <v>13</v>
      </c>
      <c r="J1140" s="7" t="s">
        <v>4333</v>
      </c>
      <c r="K1140" s="7" t="s">
        <v>4334</v>
      </c>
      <c r="L1140" s="6" t="s">
        <v>5266</v>
      </c>
      <c r="M1140" s="7">
        <v>1</v>
      </c>
      <c r="N1140" s="7">
        <v>0</v>
      </c>
      <c r="O1140" s="9" t="s">
        <v>5044</v>
      </c>
      <c r="P1140" s="7">
        <v>0</v>
      </c>
      <c r="Q1140" s="7">
        <v>0</v>
      </c>
      <c r="R1140" s="7">
        <v>0</v>
      </c>
      <c r="S1140" s="7">
        <v>1</v>
      </c>
      <c r="T1140" s="7">
        <v>1</v>
      </c>
      <c r="U1140" s="7">
        <v>100</v>
      </c>
      <c r="V1140" s="7">
        <v>0</v>
      </c>
      <c r="W1140" s="7">
        <v>1</v>
      </c>
      <c r="X1140" s="7">
        <v>0</v>
      </c>
      <c r="Y1140" s="7">
        <v>0</v>
      </c>
      <c r="Z1140" s="7">
        <v>1</v>
      </c>
      <c r="AA1140" s="7">
        <v>0</v>
      </c>
      <c r="AB1140" s="7">
        <v>1</v>
      </c>
      <c r="AC1140" s="7" t="s">
        <v>5044</v>
      </c>
      <c r="AD1140" s="7" t="s">
        <v>5044</v>
      </c>
      <c r="AE1140" s="7" t="s">
        <v>5044</v>
      </c>
      <c r="AF1140" s="7" t="s">
        <v>5044</v>
      </c>
      <c r="AG1140" s="7" t="s">
        <v>5044</v>
      </c>
      <c r="AH1140" s="7" t="s">
        <v>5044</v>
      </c>
      <c r="AI1140" s="7" t="s">
        <v>5044</v>
      </c>
      <c r="AJ1140" s="7" t="s">
        <v>5044</v>
      </c>
      <c r="AL1140" s="7" t="s">
        <v>5044</v>
      </c>
      <c r="AM1140" s="7">
        <v>0</v>
      </c>
    </row>
    <row r="1141" spans="1:40" ht="63" customHeight="1" x14ac:dyDescent="0.2">
      <c r="A1141" s="7">
        <v>11415</v>
      </c>
      <c r="B1141" s="7" t="s">
        <v>4335</v>
      </c>
      <c r="C1141" s="7" t="s">
        <v>4336</v>
      </c>
      <c r="D1141" s="7" t="s">
        <v>101</v>
      </c>
      <c r="F1141" s="7" t="s">
        <v>524</v>
      </c>
      <c r="G1141" s="7" t="s">
        <v>299</v>
      </c>
      <c r="H1141" s="7" t="s">
        <v>4337</v>
      </c>
      <c r="I1141" s="7" t="s">
        <v>13</v>
      </c>
      <c r="J1141" s="7" t="s">
        <v>4338</v>
      </c>
      <c r="K1141" s="7" t="s">
        <v>4339</v>
      </c>
      <c r="L1141" s="8" t="s">
        <v>5267</v>
      </c>
      <c r="M1141" s="7">
        <v>0</v>
      </c>
      <c r="N1141" s="9" t="s">
        <v>5044</v>
      </c>
      <c r="O1141" s="9" t="s">
        <v>5044</v>
      </c>
      <c r="P1141" s="7">
        <v>0</v>
      </c>
      <c r="Q1141" s="7">
        <v>0</v>
      </c>
      <c r="R1141" s="7">
        <v>0</v>
      </c>
      <c r="S1141" s="7">
        <v>3</v>
      </c>
      <c r="T1141" s="7">
        <v>1</v>
      </c>
      <c r="U1141" s="7">
        <v>232</v>
      </c>
      <c r="V1141" s="7">
        <v>0</v>
      </c>
      <c r="W1141" s="7">
        <v>1</v>
      </c>
      <c r="X1141" s="7">
        <v>0</v>
      </c>
      <c r="Y1141" s="7">
        <v>0</v>
      </c>
      <c r="Z1141" s="7">
        <v>0</v>
      </c>
      <c r="AA1141" s="7">
        <v>0</v>
      </c>
      <c r="AB1141" s="7">
        <v>1</v>
      </c>
      <c r="AC1141" s="7">
        <v>1</v>
      </c>
      <c r="AD1141" s="7" t="s">
        <v>5044</v>
      </c>
      <c r="AE1141" s="7" t="s">
        <v>5044</v>
      </c>
      <c r="AF1141" s="7" t="s">
        <v>5044</v>
      </c>
      <c r="AG1141" s="7">
        <v>1</v>
      </c>
      <c r="AH1141" s="7">
        <v>0</v>
      </c>
      <c r="AI1141" s="7">
        <v>0</v>
      </c>
      <c r="AJ1141" s="7" t="s">
        <v>5044</v>
      </c>
      <c r="AL1141" s="7">
        <v>0</v>
      </c>
      <c r="AM1141" s="7">
        <v>0</v>
      </c>
    </row>
    <row r="1142" spans="1:40" ht="63" customHeight="1" x14ac:dyDescent="0.2">
      <c r="A1142" s="7">
        <v>11423</v>
      </c>
      <c r="B1142" s="7" t="s">
        <v>4340</v>
      </c>
      <c r="C1142" s="7" t="s">
        <v>4341</v>
      </c>
      <c r="D1142" s="7" t="s">
        <v>46</v>
      </c>
      <c r="F1142" s="7" t="s">
        <v>114</v>
      </c>
      <c r="G1142" s="7" t="s">
        <v>175</v>
      </c>
      <c r="H1142" s="7" t="s">
        <v>1334</v>
      </c>
      <c r="I1142" s="7" t="s">
        <v>13</v>
      </c>
      <c r="J1142" s="7" t="s">
        <v>4342</v>
      </c>
      <c r="K1142" s="7" t="s">
        <v>4343</v>
      </c>
      <c r="L1142" s="6" t="s">
        <v>5268</v>
      </c>
      <c r="M1142" s="7">
        <v>0</v>
      </c>
      <c r="N1142" s="9" t="s">
        <v>5044</v>
      </c>
      <c r="O1142" s="9" t="s">
        <v>5044</v>
      </c>
      <c r="P1142" s="7">
        <v>0</v>
      </c>
      <c r="Q1142" s="7">
        <v>0</v>
      </c>
      <c r="R1142" s="7">
        <v>0</v>
      </c>
      <c r="S1142" s="7">
        <v>1</v>
      </c>
      <c r="T1142" s="7">
        <v>1</v>
      </c>
      <c r="U1142" s="7">
        <v>101</v>
      </c>
      <c r="V1142" s="7">
        <v>0</v>
      </c>
      <c r="W1142" s="7">
        <v>1</v>
      </c>
      <c r="X1142" s="7">
        <v>0</v>
      </c>
      <c r="Y1142" s="7">
        <v>0</v>
      </c>
      <c r="Z1142" s="7">
        <v>0</v>
      </c>
      <c r="AA1142" s="7">
        <v>0</v>
      </c>
      <c r="AB1142" s="7">
        <v>1</v>
      </c>
      <c r="AC1142" s="7">
        <v>1</v>
      </c>
      <c r="AD1142" s="7" t="s">
        <v>5044</v>
      </c>
      <c r="AE1142" s="7" t="s">
        <v>5044</v>
      </c>
      <c r="AF1142" s="7" t="s">
        <v>5044</v>
      </c>
      <c r="AG1142" s="7">
        <v>1</v>
      </c>
      <c r="AH1142" s="7">
        <v>0</v>
      </c>
      <c r="AI1142" s="7">
        <v>0</v>
      </c>
      <c r="AJ1142" s="7" t="s">
        <v>5044</v>
      </c>
      <c r="AL1142" s="7">
        <v>0</v>
      </c>
      <c r="AM1142" s="7">
        <v>0</v>
      </c>
    </row>
    <row r="1143" spans="1:40" ht="63" customHeight="1" x14ac:dyDescent="0.2">
      <c r="A1143" s="7">
        <v>11441</v>
      </c>
      <c r="B1143" s="7" t="s">
        <v>4344</v>
      </c>
      <c r="C1143" s="7" t="s">
        <v>4345</v>
      </c>
      <c r="D1143" s="7" t="s">
        <v>101</v>
      </c>
      <c r="F1143" s="7" t="s">
        <v>372</v>
      </c>
      <c r="G1143" s="7" t="s">
        <v>17</v>
      </c>
      <c r="H1143" s="7" t="s">
        <v>1321</v>
      </c>
      <c r="I1143" s="7" t="s">
        <v>13</v>
      </c>
      <c r="J1143" s="7" t="s">
        <v>4346</v>
      </c>
      <c r="K1143" s="7" t="s">
        <v>4347</v>
      </c>
      <c r="L1143" s="6" t="s">
        <v>5269</v>
      </c>
      <c r="M1143" s="7">
        <v>0</v>
      </c>
      <c r="N1143" s="9" t="s">
        <v>5044</v>
      </c>
      <c r="O1143" s="9" t="s">
        <v>5044</v>
      </c>
      <c r="P1143" s="7">
        <v>0</v>
      </c>
      <c r="Q1143" s="7">
        <v>0</v>
      </c>
      <c r="R1143" s="7">
        <v>0</v>
      </c>
      <c r="S1143" s="7" t="s">
        <v>5170</v>
      </c>
      <c r="T1143" s="7">
        <v>1</v>
      </c>
      <c r="U1143" s="7">
        <v>150</v>
      </c>
      <c r="V1143" s="7">
        <v>1</v>
      </c>
      <c r="W1143" s="7">
        <v>0</v>
      </c>
      <c r="X1143" s="7">
        <v>0</v>
      </c>
      <c r="Y1143" s="7">
        <v>1</v>
      </c>
      <c r="Z1143" s="7">
        <v>0</v>
      </c>
      <c r="AA1143" s="7">
        <v>0</v>
      </c>
      <c r="AB1143" s="7">
        <v>1</v>
      </c>
      <c r="AC1143" s="7">
        <v>1</v>
      </c>
      <c r="AD1143" s="7">
        <v>1</v>
      </c>
      <c r="AE1143" s="7">
        <v>0</v>
      </c>
      <c r="AF1143" s="7">
        <v>0</v>
      </c>
      <c r="AG1143" s="7" t="s">
        <v>5044</v>
      </c>
      <c r="AH1143" s="7" t="s">
        <v>5044</v>
      </c>
      <c r="AI1143" s="7" t="s">
        <v>5044</v>
      </c>
      <c r="AJ1143" s="7">
        <v>0</v>
      </c>
      <c r="AL1143" s="7">
        <v>0</v>
      </c>
      <c r="AM1143" s="7">
        <v>0</v>
      </c>
    </row>
    <row r="1144" spans="1:40" ht="63" customHeight="1" x14ac:dyDescent="0.2">
      <c r="A1144" s="7">
        <v>11454</v>
      </c>
      <c r="B1144" s="7" t="s">
        <v>4348</v>
      </c>
      <c r="C1144" s="7" t="s">
        <v>4349</v>
      </c>
      <c r="D1144" s="7" t="s">
        <v>46</v>
      </c>
      <c r="E1144" s="7" t="s">
        <v>305</v>
      </c>
      <c r="F1144" s="7" t="s">
        <v>47</v>
      </c>
      <c r="G1144" s="7" t="s">
        <v>92</v>
      </c>
      <c r="H1144" s="7" t="s">
        <v>19</v>
      </c>
      <c r="I1144" s="7" t="s">
        <v>13</v>
      </c>
      <c r="J1144" s="7" t="s">
        <v>4350</v>
      </c>
      <c r="K1144" s="7" t="s">
        <v>4351</v>
      </c>
      <c r="L1144" s="8" t="s">
        <v>5271</v>
      </c>
      <c r="M1144" s="7">
        <v>1</v>
      </c>
      <c r="N1144" s="7">
        <v>1</v>
      </c>
      <c r="O1144" s="7">
        <v>1</v>
      </c>
      <c r="P1144" s="7">
        <v>0</v>
      </c>
      <c r="Q1144" s="7">
        <v>0</v>
      </c>
      <c r="R1144" s="7">
        <v>0</v>
      </c>
      <c r="S1144" s="7">
        <v>1</v>
      </c>
      <c r="T1144" s="7">
        <v>1</v>
      </c>
      <c r="U1144" s="7">
        <v>203</v>
      </c>
      <c r="V1144" s="7">
        <v>0</v>
      </c>
      <c r="W1144" s="7">
        <v>1</v>
      </c>
      <c r="X1144" s="7">
        <v>0</v>
      </c>
      <c r="Y1144" s="7">
        <v>0</v>
      </c>
      <c r="Z1144" s="7">
        <v>0</v>
      </c>
      <c r="AA1144" s="7">
        <v>0</v>
      </c>
      <c r="AB1144" s="7">
        <v>1</v>
      </c>
      <c r="AC1144" s="7" t="s">
        <v>5044</v>
      </c>
      <c r="AD1144" s="7" t="s">
        <v>5044</v>
      </c>
      <c r="AE1144" s="7" t="s">
        <v>5044</v>
      </c>
      <c r="AF1144" s="7" t="s">
        <v>5044</v>
      </c>
      <c r="AG1144" s="7" t="s">
        <v>5044</v>
      </c>
      <c r="AH1144" s="7" t="s">
        <v>5044</v>
      </c>
      <c r="AI1144" s="7" t="s">
        <v>5044</v>
      </c>
      <c r="AJ1144" s="7" t="s">
        <v>5044</v>
      </c>
      <c r="AL1144" s="7" t="s">
        <v>5044</v>
      </c>
      <c r="AM1144" s="7">
        <v>0</v>
      </c>
    </row>
    <row r="1145" spans="1:40" ht="63" customHeight="1" x14ac:dyDescent="0.2">
      <c r="A1145" s="7">
        <v>11455</v>
      </c>
      <c r="B1145" s="7" t="s">
        <v>4352</v>
      </c>
      <c r="C1145" s="7" t="s">
        <v>4353</v>
      </c>
      <c r="D1145" s="7" t="s">
        <v>95</v>
      </c>
      <c r="F1145" s="7" t="s">
        <v>4354</v>
      </c>
      <c r="G1145" s="7" t="s">
        <v>37</v>
      </c>
      <c r="H1145" s="7" t="s">
        <v>740</v>
      </c>
      <c r="I1145" s="7" t="s">
        <v>13</v>
      </c>
      <c r="J1145" s="7" t="s">
        <v>4355</v>
      </c>
      <c r="K1145" s="7" t="s">
        <v>4356</v>
      </c>
      <c r="L1145" s="6" t="s">
        <v>5272</v>
      </c>
      <c r="M1145" s="7">
        <v>0</v>
      </c>
      <c r="N1145" s="9" t="s">
        <v>5044</v>
      </c>
      <c r="O1145" s="9" t="s">
        <v>5044</v>
      </c>
      <c r="P1145" s="7">
        <v>0</v>
      </c>
      <c r="Q1145" s="7">
        <v>0</v>
      </c>
      <c r="R1145" s="7">
        <v>0</v>
      </c>
      <c r="S1145" s="7">
        <v>1</v>
      </c>
      <c r="T1145" s="7">
        <v>1</v>
      </c>
      <c r="U1145" s="7">
        <v>102</v>
      </c>
      <c r="V1145" s="7">
        <v>0</v>
      </c>
      <c r="W1145" s="7">
        <v>1</v>
      </c>
      <c r="X1145" s="7">
        <v>0</v>
      </c>
      <c r="Y1145" s="7">
        <v>0</v>
      </c>
      <c r="Z1145" s="7">
        <v>0</v>
      </c>
      <c r="AA1145" s="7">
        <v>0</v>
      </c>
      <c r="AB1145" s="7">
        <v>1</v>
      </c>
      <c r="AC1145" s="7">
        <v>1</v>
      </c>
      <c r="AD1145" s="7" t="s">
        <v>5044</v>
      </c>
      <c r="AE1145" s="7" t="s">
        <v>5044</v>
      </c>
      <c r="AF1145" s="7" t="s">
        <v>5044</v>
      </c>
      <c r="AG1145" s="7">
        <v>2</v>
      </c>
      <c r="AH1145" s="7">
        <v>2</v>
      </c>
      <c r="AI1145" s="7">
        <v>2</v>
      </c>
      <c r="AJ1145" s="7" t="s">
        <v>5044</v>
      </c>
      <c r="AL1145" s="7">
        <v>0</v>
      </c>
      <c r="AM1145" s="7">
        <v>0</v>
      </c>
    </row>
    <row r="1146" spans="1:40" ht="63" customHeight="1" x14ac:dyDescent="0.2">
      <c r="A1146" s="7">
        <v>11460</v>
      </c>
      <c r="B1146" s="7" t="s">
        <v>4357</v>
      </c>
      <c r="C1146" s="7" t="s">
        <v>4358</v>
      </c>
      <c r="D1146" s="7" t="s">
        <v>341</v>
      </c>
      <c r="F1146" s="7" t="s">
        <v>1095</v>
      </c>
      <c r="G1146" s="7" t="s">
        <v>11</v>
      </c>
      <c r="H1146" s="7" t="s">
        <v>43</v>
      </c>
      <c r="I1146" s="7" t="s">
        <v>437</v>
      </c>
      <c r="J1146" s="7" t="s">
        <v>4359</v>
      </c>
      <c r="K1146" s="7" t="s">
        <v>4360</v>
      </c>
      <c r="L1146" s="6" t="s">
        <v>5273</v>
      </c>
      <c r="M1146" s="7">
        <v>0</v>
      </c>
      <c r="N1146" s="9" t="s">
        <v>5044</v>
      </c>
      <c r="O1146" s="9" t="s">
        <v>5044</v>
      </c>
      <c r="P1146" s="7">
        <v>0</v>
      </c>
      <c r="Q1146" s="7">
        <v>0</v>
      </c>
      <c r="R1146" s="7">
        <v>0</v>
      </c>
      <c r="S1146" s="7">
        <v>1</v>
      </c>
      <c r="T1146" s="7">
        <v>1</v>
      </c>
      <c r="U1146" s="7">
        <v>186</v>
      </c>
      <c r="V1146" s="7">
        <v>0</v>
      </c>
      <c r="W1146" s="7">
        <v>1</v>
      </c>
      <c r="X1146" s="7">
        <v>0</v>
      </c>
      <c r="Y1146" s="7">
        <v>0</v>
      </c>
      <c r="Z1146" s="7">
        <v>0</v>
      </c>
      <c r="AA1146" s="7">
        <v>0</v>
      </c>
      <c r="AB1146" s="7">
        <v>1</v>
      </c>
      <c r="AC1146" s="7">
        <v>1</v>
      </c>
      <c r="AD1146" s="7" t="s">
        <v>5044</v>
      </c>
      <c r="AE1146" s="7" t="s">
        <v>5044</v>
      </c>
      <c r="AF1146" s="7" t="s">
        <v>5044</v>
      </c>
      <c r="AG1146" s="7">
        <v>2</v>
      </c>
      <c r="AH1146" s="7">
        <v>1</v>
      </c>
      <c r="AI1146" s="7">
        <v>2</v>
      </c>
      <c r="AJ1146" s="7" t="s">
        <v>5044</v>
      </c>
      <c r="AL1146" s="7">
        <v>1</v>
      </c>
      <c r="AM1146" s="7">
        <v>0</v>
      </c>
    </row>
    <row r="1147" spans="1:40" ht="63" customHeight="1" x14ac:dyDescent="0.2">
      <c r="A1147" s="7">
        <v>11469</v>
      </c>
      <c r="B1147" s="7" t="s">
        <v>4361</v>
      </c>
      <c r="C1147" s="7" t="s">
        <v>4362</v>
      </c>
      <c r="D1147" s="7" t="s">
        <v>535</v>
      </c>
      <c r="F1147" s="7" t="s">
        <v>168</v>
      </c>
      <c r="G1147" s="7" t="s">
        <v>47</v>
      </c>
      <c r="H1147" s="7" t="s">
        <v>290</v>
      </c>
      <c r="I1147" s="7" t="s">
        <v>13</v>
      </c>
      <c r="J1147" s="7" t="s">
        <v>4363</v>
      </c>
      <c r="K1147" s="7" t="s">
        <v>4364</v>
      </c>
      <c r="L1147" s="11" t="s">
        <v>5044</v>
      </c>
      <c r="M1147" s="7">
        <v>0</v>
      </c>
      <c r="N1147" s="9" t="s">
        <v>5044</v>
      </c>
      <c r="O1147" s="9" t="s">
        <v>5044</v>
      </c>
      <c r="P1147" s="7">
        <v>0</v>
      </c>
      <c r="Q1147" s="7">
        <v>0</v>
      </c>
      <c r="R1147" s="7">
        <v>0</v>
      </c>
      <c r="S1147" s="7">
        <v>1</v>
      </c>
      <c r="T1147" s="7">
        <v>1</v>
      </c>
      <c r="U1147" s="7">
        <v>71</v>
      </c>
      <c r="V1147" s="7">
        <v>0</v>
      </c>
      <c r="W1147" s="7">
        <v>1</v>
      </c>
      <c r="X1147" s="7">
        <v>0</v>
      </c>
      <c r="Y1147" s="7">
        <v>0</v>
      </c>
      <c r="Z1147" s="7">
        <v>0</v>
      </c>
      <c r="AA1147" s="7">
        <v>0</v>
      </c>
      <c r="AB1147" s="7">
        <v>1</v>
      </c>
      <c r="AC1147" s="7">
        <v>1</v>
      </c>
      <c r="AD1147" s="7" t="s">
        <v>5044</v>
      </c>
      <c r="AE1147" s="7" t="s">
        <v>5044</v>
      </c>
      <c r="AF1147" s="7" t="s">
        <v>5044</v>
      </c>
      <c r="AG1147" s="7">
        <v>2</v>
      </c>
      <c r="AH1147" s="7">
        <v>3</v>
      </c>
      <c r="AI1147" s="7">
        <v>0</v>
      </c>
      <c r="AJ1147" s="7" t="s">
        <v>5044</v>
      </c>
      <c r="AK1147" s="7">
        <v>1</v>
      </c>
      <c r="AL1147" s="7">
        <v>0</v>
      </c>
      <c r="AM1147" s="7">
        <v>0</v>
      </c>
    </row>
    <row r="1148" spans="1:40" ht="63" customHeight="1" x14ac:dyDescent="0.2">
      <c r="A1148" s="7">
        <v>11477</v>
      </c>
      <c r="B1148" s="7" t="s">
        <v>4365</v>
      </c>
      <c r="C1148" s="7" t="s">
        <v>4366</v>
      </c>
      <c r="D1148" s="7" t="s">
        <v>74</v>
      </c>
      <c r="F1148" s="7" t="s">
        <v>47</v>
      </c>
      <c r="G1148" s="7" t="s">
        <v>52</v>
      </c>
      <c r="H1148" s="7" t="s">
        <v>708</v>
      </c>
      <c r="I1148" s="7" t="s">
        <v>13</v>
      </c>
      <c r="J1148" s="7" t="s">
        <v>4367</v>
      </c>
      <c r="K1148" s="7" t="s">
        <v>4368</v>
      </c>
      <c r="L1148" s="8" t="s">
        <v>5275</v>
      </c>
      <c r="M1148" s="7">
        <v>0</v>
      </c>
      <c r="N1148" s="9" t="s">
        <v>5044</v>
      </c>
      <c r="O1148" s="9" t="s">
        <v>5044</v>
      </c>
      <c r="P1148" s="7">
        <v>0</v>
      </c>
      <c r="Q1148" s="7">
        <v>0</v>
      </c>
      <c r="R1148" s="7">
        <v>0</v>
      </c>
      <c r="S1148" s="7">
        <v>3</v>
      </c>
      <c r="T1148" s="7">
        <v>1</v>
      </c>
      <c r="U1148" s="7">
        <v>312</v>
      </c>
      <c r="V1148" s="7">
        <v>0</v>
      </c>
      <c r="W1148" s="7">
        <v>1</v>
      </c>
      <c r="X1148" s="7">
        <v>0</v>
      </c>
      <c r="Y1148" s="7">
        <v>0</v>
      </c>
      <c r="Z1148" s="7">
        <v>0</v>
      </c>
      <c r="AA1148" s="7">
        <v>0</v>
      </c>
      <c r="AB1148" s="7">
        <v>1</v>
      </c>
      <c r="AC1148" s="7">
        <v>1</v>
      </c>
      <c r="AD1148" s="7" t="s">
        <v>5044</v>
      </c>
      <c r="AE1148" s="7" t="s">
        <v>5044</v>
      </c>
      <c r="AF1148" s="7" t="s">
        <v>5044</v>
      </c>
      <c r="AG1148" s="7">
        <v>2</v>
      </c>
      <c r="AH1148" s="7">
        <v>1</v>
      </c>
      <c r="AI1148" s="7">
        <v>2</v>
      </c>
      <c r="AJ1148" s="7" t="s">
        <v>5044</v>
      </c>
      <c r="AL1148" s="7">
        <v>0</v>
      </c>
      <c r="AM1148" s="7">
        <v>0</v>
      </c>
    </row>
    <row r="1149" spans="1:40" ht="63" customHeight="1" x14ac:dyDescent="0.2">
      <c r="A1149" s="7">
        <v>11514</v>
      </c>
      <c r="B1149" s="7" t="s">
        <v>4369</v>
      </c>
      <c r="C1149" s="7" t="s">
        <v>4370</v>
      </c>
      <c r="D1149" s="7" t="s">
        <v>41</v>
      </c>
      <c r="F1149" s="7" t="s">
        <v>129</v>
      </c>
      <c r="H1149" s="7" t="s">
        <v>4371</v>
      </c>
      <c r="I1149" s="7" t="s">
        <v>13</v>
      </c>
      <c r="J1149" s="7" t="s">
        <v>4372</v>
      </c>
      <c r="K1149" s="7" t="s">
        <v>4373</v>
      </c>
      <c r="L1149" s="8" t="s">
        <v>5276</v>
      </c>
      <c r="M1149" s="7">
        <v>0</v>
      </c>
      <c r="N1149" s="9" t="s">
        <v>5044</v>
      </c>
      <c r="O1149" s="9" t="s">
        <v>5044</v>
      </c>
      <c r="P1149" s="7">
        <v>0</v>
      </c>
      <c r="Q1149" s="7">
        <v>0</v>
      </c>
      <c r="R1149" s="7">
        <v>0</v>
      </c>
      <c r="S1149" s="7">
        <v>3</v>
      </c>
      <c r="T1149" s="7">
        <v>1</v>
      </c>
      <c r="U1149" s="7">
        <v>237</v>
      </c>
      <c r="V1149" s="7">
        <v>0</v>
      </c>
      <c r="W1149" s="7">
        <v>1</v>
      </c>
      <c r="X1149" s="7">
        <v>0</v>
      </c>
      <c r="Y1149" s="7">
        <v>0</v>
      </c>
      <c r="Z1149" s="7">
        <v>0</v>
      </c>
      <c r="AA1149" s="7">
        <v>0</v>
      </c>
      <c r="AB1149" s="7">
        <v>1</v>
      </c>
      <c r="AC1149" s="7">
        <v>1</v>
      </c>
      <c r="AD1149" s="7" t="s">
        <v>5044</v>
      </c>
      <c r="AE1149" s="7" t="s">
        <v>5044</v>
      </c>
      <c r="AF1149" s="7" t="s">
        <v>5044</v>
      </c>
      <c r="AG1149" s="7">
        <v>2</v>
      </c>
      <c r="AH1149" s="7">
        <v>2</v>
      </c>
      <c r="AI1149" s="7">
        <v>2</v>
      </c>
      <c r="AJ1149" s="7" t="s">
        <v>5044</v>
      </c>
      <c r="AL1149" s="7" t="s">
        <v>5044</v>
      </c>
      <c r="AM1149" s="7">
        <v>0</v>
      </c>
      <c r="AN1149" s="7" t="s">
        <v>5277</v>
      </c>
    </row>
    <row r="1150" spans="1:40" ht="63" customHeight="1" x14ac:dyDescent="0.2">
      <c r="A1150" s="7">
        <v>11515</v>
      </c>
      <c r="B1150" s="7" t="s">
        <v>4374</v>
      </c>
      <c r="C1150" s="7" t="s">
        <v>4375</v>
      </c>
      <c r="D1150" s="7" t="s">
        <v>74</v>
      </c>
      <c r="F1150" s="7" t="s">
        <v>194</v>
      </c>
      <c r="G1150" s="7" t="s">
        <v>52</v>
      </c>
      <c r="H1150" s="7" t="s">
        <v>102</v>
      </c>
      <c r="I1150" s="7" t="s">
        <v>13</v>
      </c>
      <c r="J1150" s="7" t="s">
        <v>4376</v>
      </c>
      <c r="K1150" s="7" t="s">
        <v>4377</v>
      </c>
      <c r="L1150" s="11" t="s">
        <v>5044</v>
      </c>
      <c r="M1150" s="7">
        <v>0</v>
      </c>
      <c r="N1150" s="9" t="s">
        <v>5044</v>
      </c>
      <c r="O1150" s="9" t="s">
        <v>5044</v>
      </c>
      <c r="P1150" s="7">
        <v>0</v>
      </c>
      <c r="Q1150" s="7">
        <v>0</v>
      </c>
      <c r="R1150" s="7">
        <v>0</v>
      </c>
      <c r="S1150" s="7">
        <v>3</v>
      </c>
      <c r="T1150" s="7">
        <v>1</v>
      </c>
      <c r="U1150" s="7">
        <v>110</v>
      </c>
      <c r="V1150" s="7">
        <v>0</v>
      </c>
      <c r="W1150" s="7">
        <v>1</v>
      </c>
      <c r="X1150" s="7">
        <v>0</v>
      </c>
      <c r="Y1150" s="7">
        <v>0</v>
      </c>
      <c r="Z1150" s="7">
        <v>0</v>
      </c>
      <c r="AA1150" s="7">
        <v>0</v>
      </c>
      <c r="AB1150" s="7">
        <v>1</v>
      </c>
      <c r="AC1150" s="7">
        <v>1</v>
      </c>
      <c r="AD1150" s="7" t="s">
        <v>5044</v>
      </c>
      <c r="AE1150" s="7" t="s">
        <v>5044</v>
      </c>
      <c r="AF1150" s="7" t="s">
        <v>5044</v>
      </c>
      <c r="AG1150" s="7">
        <v>1</v>
      </c>
      <c r="AH1150" s="7">
        <v>0</v>
      </c>
      <c r="AI1150" s="7">
        <v>0</v>
      </c>
      <c r="AJ1150" s="7" t="s">
        <v>5044</v>
      </c>
      <c r="AL1150" s="7" t="s">
        <v>5044</v>
      </c>
      <c r="AM1150" s="7">
        <v>0</v>
      </c>
      <c r="AN1150" s="7" t="s">
        <v>5277</v>
      </c>
    </row>
    <row r="1151" spans="1:40" ht="63" customHeight="1" x14ac:dyDescent="0.2">
      <c r="A1151" s="7">
        <v>11516</v>
      </c>
      <c r="B1151" s="7" t="s">
        <v>4378</v>
      </c>
      <c r="C1151" s="7" t="s">
        <v>4379</v>
      </c>
      <c r="D1151" s="7" t="s">
        <v>101</v>
      </c>
      <c r="F1151" s="7" t="s">
        <v>51</v>
      </c>
      <c r="G1151" s="7" t="s">
        <v>52</v>
      </c>
      <c r="H1151" s="7" t="s">
        <v>348</v>
      </c>
      <c r="I1151" s="7" t="s">
        <v>13</v>
      </c>
      <c r="J1151" s="7" t="s">
        <v>4380</v>
      </c>
      <c r="K1151" s="7" t="s">
        <v>4381</v>
      </c>
      <c r="L1151" s="11" t="s">
        <v>5044</v>
      </c>
      <c r="M1151" s="7">
        <v>0</v>
      </c>
      <c r="N1151" s="9" t="s">
        <v>5044</v>
      </c>
      <c r="O1151" s="9" t="s">
        <v>5044</v>
      </c>
      <c r="P1151" s="7">
        <v>0</v>
      </c>
      <c r="Q1151" s="7">
        <v>0</v>
      </c>
      <c r="R1151" s="7">
        <v>0</v>
      </c>
      <c r="S1151" s="7">
        <v>3</v>
      </c>
      <c r="T1151" s="7">
        <v>1</v>
      </c>
      <c r="U1151" s="7">
        <v>132</v>
      </c>
      <c r="V1151" s="7">
        <v>0</v>
      </c>
      <c r="W1151" s="7">
        <v>1</v>
      </c>
      <c r="X1151" s="7">
        <v>0</v>
      </c>
      <c r="Y1151" s="7">
        <v>0</v>
      </c>
      <c r="Z1151" s="7">
        <v>0</v>
      </c>
      <c r="AA1151" s="7">
        <v>0</v>
      </c>
      <c r="AB1151" s="7">
        <v>1</v>
      </c>
      <c r="AC1151" s="7">
        <v>1</v>
      </c>
      <c r="AD1151" s="7" t="s">
        <v>5044</v>
      </c>
      <c r="AE1151" s="7" t="s">
        <v>5044</v>
      </c>
      <c r="AF1151" s="7" t="s">
        <v>5044</v>
      </c>
      <c r="AG1151" s="7">
        <v>2</v>
      </c>
      <c r="AH1151" s="7">
        <v>2</v>
      </c>
      <c r="AI1151" s="7">
        <v>2</v>
      </c>
      <c r="AJ1151" s="7" t="s">
        <v>5044</v>
      </c>
      <c r="AL1151" s="7" t="s">
        <v>5044</v>
      </c>
      <c r="AM1151" s="7">
        <v>0</v>
      </c>
      <c r="AN1151" s="7" t="s">
        <v>5277</v>
      </c>
    </row>
    <row r="1152" spans="1:40" ht="63" customHeight="1" x14ac:dyDescent="0.2">
      <c r="A1152" s="7">
        <v>11525</v>
      </c>
      <c r="B1152" s="7" t="s">
        <v>4382</v>
      </c>
      <c r="C1152" s="7" t="s">
        <v>4383</v>
      </c>
      <c r="D1152" s="7" t="s">
        <v>41</v>
      </c>
      <c r="F1152" s="7" t="s">
        <v>4384</v>
      </c>
      <c r="G1152" s="7" t="s">
        <v>293</v>
      </c>
      <c r="H1152" s="7" t="s">
        <v>972</v>
      </c>
      <c r="I1152" s="7" t="s">
        <v>13</v>
      </c>
      <c r="J1152" s="7" t="s">
        <v>4385</v>
      </c>
      <c r="K1152" s="7" t="s">
        <v>4386</v>
      </c>
      <c r="L1152" s="8" t="s">
        <v>5278</v>
      </c>
      <c r="M1152" s="7">
        <v>0</v>
      </c>
      <c r="N1152" s="9" t="s">
        <v>5044</v>
      </c>
      <c r="O1152" s="9" t="s">
        <v>5044</v>
      </c>
      <c r="P1152" s="7">
        <v>0</v>
      </c>
      <c r="Q1152" s="7">
        <v>0</v>
      </c>
      <c r="R1152" s="7">
        <v>0</v>
      </c>
      <c r="S1152" s="7">
        <v>1</v>
      </c>
      <c r="T1152" s="7">
        <v>1</v>
      </c>
      <c r="U1152" s="7">
        <v>104</v>
      </c>
      <c r="V1152" s="7">
        <v>0</v>
      </c>
      <c r="W1152" s="7">
        <v>1</v>
      </c>
      <c r="X1152" s="7">
        <v>0</v>
      </c>
      <c r="Y1152" s="7">
        <v>1</v>
      </c>
      <c r="Z1152" s="7">
        <v>0</v>
      </c>
      <c r="AA1152" s="7">
        <v>0</v>
      </c>
      <c r="AB1152" s="7">
        <v>1</v>
      </c>
      <c r="AC1152" s="7">
        <v>1</v>
      </c>
      <c r="AD1152" s="7" t="s">
        <v>5044</v>
      </c>
      <c r="AE1152" s="7" t="s">
        <v>5044</v>
      </c>
      <c r="AF1152" s="7" t="s">
        <v>5044</v>
      </c>
      <c r="AG1152" s="7">
        <v>2</v>
      </c>
      <c r="AH1152" s="7">
        <v>1</v>
      </c>
      <c r="AI1152" s="7">
        <v>2</v>
      </c>
      <c r="AJ1152" s="7">
        <v>0</v>
      </c>
      <c r="AL1152" s="7">
        <v>0</v>
      </c>
      <c r="AM1152" s="7">
        <v>0</v>
      </c>
    </row>
    <row r="1153" spans="1:40" ht="63" customHeight="1" x14ac:dyDescent="0.2">
      <c r="A1153" s="7">
        <v>11526</v>
      </c>
      <c r="B1153" s="7" t="s">
        <v>4387</v>
      </c>
      <c r="C1153" s="7" t="s">
        <v>4388</v>
      </c>
      <c r="D1153" s="7" t="s">
        <v>149</v>
      </c>
      <c r="E1153" s="7" t="s">
        <v>4391</v>
      </c>
      <c r="F1153" s="7" t="s">
        <v>746</v>
      </c>
      <c r="G1153" s="7" t="s">
        <v>52</v>
      </c>
      <c r="H1153" s="7" t="s">
        <v>53</v>
      </c>
      <c r="I1153" s="7" t="s">
        <v>13</v>
      </c>
      <c r="J1153" s="7" t="s">
        <v>4389</v>
      </c>
      <c r="K1153" s="7" t="s">
        <v>4390</v>
      </c>
      <c r="L1153" s="6" t="s">
        <v>5279</v>
      </c>
      <c r="M1153" s="7">
        <v>0</v>
      </c>
      <c r="N1153" s="9" t="s">
        <v>5044</v>
      </c>
      <c r="O1153" s="9" t="s">
        <v>5044</v>
      </c>
      <c r="P1153" s="7">
        <v>1</v>
      </c>
      <c r="Q1153" s="7">
        <v>0</v>
      </c>
      <c r="R1153" s="7">
        <v>0</v>
      </c>
      <c r="S1153" s="7">
        <v>1</v>
      </c>
      <c r="T1153" s="7">
        <v>1</v>
      </c>
      <c r="U1153" s="7">
        <v>54</v>
      </c>
      <c r="V1153" s="7">
        <v>0</v>
      </c>
      <c r="W1153" s="7">
        <v>1</v>
      </c>
      <c r="X1153" s="7">
        <v>0</v>
      </c>
      <c r="Y1153" s="7">
        <v>0</v>
      </c>
      <c r="Z1153" s="7">
        <v>0</v>
      </c>
      <c r="AA1153" s="7">
        <v>0</v>
      </c>
      <c r="AB1153" s="7">
        <v>0</v>
      </c>
      <c r="AC1153" s="7">
        <v>1</v>
      </c>
      <c r="AD1153" s="7" t="s">
        <v>5044</v>
      </c>
      <c r="AE1153" s="7" t="s">
        <v>5044</v>
      </c>
      <c r="AF1153" s="7" t="s">
        <v>5044</v>
      </c>
      <c r="AG1153" s="7">
        <v>2</v>
      </c>
      <c r="AH1153" s="7">
        <v>3</v>
      </c>
      <c r="AI1153" s="7">
        <v>0</v>
      </c>
      <c r="AJ1153" s="7" t="s">
        <v>5044</v>
      </c>
      <c r="AL1153" s="7" t="s">
        <v>5044</v>
      </c>
      <c r="AM1153" s="7">
        <v>0</v>
      </c>
      <c r="AN1153" s="7" t="s">
        <v>5277</v>
      </c>
    </row>
    <row r="1154" spans="1:40" ht="63" customHeight="1" x14ac:dyDescent="0.2">
      <c r="A1154" s="7">
        <v>11536</v>
      </c>
      <c r="B1154" s="7" t="s">
        <v>4392</v>
      </c>
      <c r="C1154" s="7" t="s">
        <v>4393</v>
      </c>
      <c r="D1154" s="7" t="s">
        <v>22</v>
      </c>
      <c r="F1154" s="7" t="s">
        <v>4394</v>
      </c>
      <c r="G1154" s="7" t="s">
        <v>37</v>
      </c>
      <c r="H1154" s="7" t="s">
        <v>4395</v>
      </c>
      <c r="I1154" s="7" t="s">
        <v>13</v>
      </c>
      <c r="J1154" s="7" t="s">
        <v>4396</v>
      </c>
      <c r="K1154" s="7" t="s">
        <v>4397</v>
      </c>
      <c r="L1154" s="8" t="s">
        <v>5280</v>
      </c>
      <c r="M1154" s="7">
        <v>0</v>
      </c>
      <c r="N1154" s="9" t="s">
        <v>5044</v>
      </c>
      <c r="O1154" s="9" t="s">
        <v>5044</v>
      </c>
      <c r="P1154" s="7">
        <v>0</v>
      </c>
      <c r="Q1154" s="7">
        <v>0</v>
      </c>
      <c r="R1154" s="7">
        <v>0</v>
      </c>
      <c r="S1154" s="7">
        <v>9</v>
      </c>
      <c r="T1154" s="7">
        <v>2</v>
      </c>
      <c r="U1154" s="7">
        <v>80</v>
      </c>
      <c r="V1154" s="7">
        <v>0</v>
      </c>
      <c r="W1154" s="7">
        <v>1</v>
      </c>
      <c r="X1154" s="7">
        <v>0</v>
      </c>
      <c r="Y1154" s="7">
        <v>0</v>
      </c>
      <c r="Z1154" s="7">
        <v>0</v>
      </c>
      <c r="AA1154" s="7">
        <v>0</v>
      </c>
      <c r="AB1154" s="7">
        <v>1</v>
      </c>
      <c r="AC1154" s="7">
        <v>1</v>
      </c>
      <c r="AD1154" s="7" t="s">
        <v>5044</v>
      </c>
      <c r="AE1154" s="7" t="s">
        <v>5044</v>
      </c>
      <c r="AF1154" s="7" t="s">
        <v>5044</v>
      </c>
      <c r="AG1154" s="7">
        <v>2</v>
      </c>
      <c r="AH1154" s="7">
        <v>3</v>
      </c>
      <c r="AI1154" s="7">
        <v>0</v>
      </c>
      <c r="AJ1154" s="7" t="s">
        <v>5044</v>
      </c>
      <c r="AK1154" s="7">
        <v>1</v>
      </c>
      <c r="AL1154" s="7">
        <v>0</v>
      </c>
      <c r="AM1154" s="7">
        <v>0</v>
      </c>
    </row>
    <row r="1155" spans="1:40" ht="63" customHeight="1" x14ac:dyDescent="0.2">
      <c r="A1155" s="7">
        <v>11538</v>
      </c>
      <c r="B1155" s="7" t="s">
        <v>4398</v>
      </c>
      <c r="C1155" s="7" t="s">
        <v>4399</v>
      </c>
      <c r="D1155" s="7" t="s">
        <v>22</v>
      </c>
      <c r="E1155" s="7" t="s">
        <v>305</v>
      </c>
      <c r="F1155" s="7" t="s">
        <v>147</v>
      </c>
      <c r="G1155" s="7" t="s">
        <v>52</v>
      </c>
      <c r="H1155" s="7" t="s">
        <v>656</v>
      </c>
      <c r="I1155" s="7" t="s">
        <v>13</v>
      </c>
      <c r="J1155" s="7" t="s">
        <v>4400</v>
      </c>
      <c r="K1155" s="7" t="s">
        <v>4401</v>
      </c>
      <c r="L1155" s="8" t="s">
        <v>5281</v>
      </c>
      <c r="M1155" s="7">
        <v>1</v>
      </c>
      <c r="N1155" s="7">
        <v>0</v>
      </c>
      <c r="O1155" s="9" t="s">
        <v>5044</v>
      </c>
      <c r="P1155" s="7">
        <v>0</v>
      </c>
      <c r="Q1155" s="7">
        <v>0</v>
      </c>
      <c r="R1155" s="7">
        <v>0</v>
      </c>
      <c r="S1155" s="7">
        <v>1</v>
      </c>
      <c r="T1155" s="7">
        <v>1</v>
      </c>
      <c r="U1155" s="7">
        <v>360</v>
      </c>
      <c r="V1155" s="7">
        <v>0</v>
      </c>
      <c r="W1155" s="7">
        <v>1</v>
      </c>
      <c r="X1155" s="7">
        <v>0</v>
      </c>
      <c r="Y1155" s="7">
        <v>0</v>
      </c>
      <c r="Z1155" s="7">
        <v>0</v>
      </c>
      <c r="AA1155" s="7">
        <v>0</v>
      </c>
      <c r="AB1155" s="7">
        <v>1</v>
      </c>
      <c r="AC1155" s="7" t="s">
        <v>5044</v>
      </c>
      <c r="AD1155" s="7" t="s">
        <v>5044</v>
      </c>
      <c r="AE1155" s="7" t="s">
        <v>5044</v>
      </c>
      <c r="AF1155" s="7" t="s">
        <v>5044</v>
      </c>
      <c r="AG1155" s="7" t="s">
        <v>5044</v>
      </c>
      <c r="AH1155" s="7" t="s">
        <v>5044</v>
      </c>
      <c r="AI1155" s="7" t="s">
        <v>5044</v>
      </c>
      <c r="AJ1155" s="7" t="s">
        <v>5044</v>
      </c>
      <c r="AL1155" s="7" t="s">
        <v>5044</v>
      </c>
      <c r="AM1155" s="7">
        <v>0</v>
      </c>
    </row>
    <row r="1156" spans="1:40" ht="63" customHeight="1" x14ac:dyDescent="0.2">
      <c r="A1156" s="7">
        <v>11553</v>
      </c>
      <c r="B1156" s="7" t="s">
        <v>4402</v>
      </c>
      <c r="C1156" s="7" t="s">
        <v>4403</v>
      </c>
      <c r="D1156" s="7" t="s">
        <v>30</v>
      </c>
      <c r="E1156" s="7" t="s">
        <v>4391</v>
      </c>
      <c r="F1156" s="7" t="s">
        <v>110</v>
      </c>
      <c r="G1156" s="7" t="s">
        <v>144</v>
      </c>
      <c r="H1156" s="7" t="s">
        <v>38</v>
      </c>
      <c r="I1156" s="7" t="s">
        <v>437</v>
      </c>
      <c r="J1156" s="7" t="s">
        <v>4404</v>
      </c>
      <c r="K1156" s="7" t="s">
        <v>4405</v>
      </c>
      <c r="L1156" s="11" t="s">
        <v>5044</v>
      </c>
      <c r="M1156" s="7">
        <v>0</v>
      </c>
      <c r="N1156" s="9" t="s">
        <v>5044</v>
      </c>
      <c r="O1156" s="9" t="s">
        <v>5044</v>
      </c>
      <c r="P1156" s="7">
        <v>1</v>
      </c>
      <c r="Q1156" s="7">
        <v>0</v>
      </c>
      <c r="R1156" s="7">
        <v>0</v>
      </c>
      <c r="S1156" s="7">
        <v>1</v>
      </c>
      <c r="T1156" s="7">
        <v>1</v>
      </c>
      <c r="U1156" s="7">
        <v>34</v>
      </c>
      <c r="V1156" s="7">
        <v>0</v>
      </c>
      <c r="W1156" s="7">
        <v>1</v>
      </c>
      <c r="X1156" s="7">
        <v>0</v>
      </c>
      <c r="Y1156" s="7">
        <v>0</v>
      </c>
      <c r="Z1156" s="7">
        <v>0</v>
      </c>
      <c r="AA1156" s="7">
        <v>0</v>
      </c>
      <c r="AB1156" s="7">
        <v>1</v>
      </c>
      <c r="AC1156" s="7">
        <v>1</v>
      </c>
      <c r="AD1156" s="7" t="s">
        <v>5044</v>
      </c>
      <c r="AE1156" s="7" t="s">
        <v>5044</v>
      </c>
      <c r="AF1156" s="7" t="s">
        <v>5044</v>
      </c>
      <c r="AG1156" s="7">
        <v>2</v>
      </c>
      <c r="AH1156" s="7">
        <v>3</v>
      </c>
      <c r="AI1156" s="7">
        <v>0</v>
      </c>
      <c r="AJ1156" s="7" t="s">
        <v>5044</v>
      </c>
      <c r="AL1156" s="7" t="s">
        <v>5044</v>
      </c>
      <c r="AM1156" s="7">
        <v>0</v>
      </c>
      <c r="AN1156" s="7" t="s">
        <v>2539</v>
      </c>
    </row>
    <row r="1157" spans="1:40" ht="63" customHeight="1" x14ac:dyDescent="0.2">
      <c r="A1157" s="7">
        <v>11558</v>
      </c>
      <c r="B1157" s="7" t="s">
        <v>4406</v>
      </c>
      <c r="C1157" s="7" t="s">
        <v>4407</v>
      </c>
      <c r="D1157" s="7" t="s">
        <v>41</v>
      </c>
      <c r="F1157" s="7" t="s">
        <v>42</v>
      </c>
      <c r="G1157" s="7" t="s">
        <v>52</v>
      </c>
      <c r="H1157" s="7" t="s">
        <v>43</v>
      </c>
      <c r="I1157" s="7" t="s">
        <v>13</v>
      </c>
      <c r="J1157" s="7" t="s">
        <v>4408</v>
      </c>
      <c r="K1157" s="7" t="s">
        <v>4409</v>
      </c>
      <c r="L1157" s="7" t="s">
        <v>5282</v>
      </c>
      <c r="M1157" s="7">
        <v>0</v>
      </c>
      <c r="N1157" s="9" t="s">
        <v>5044</v>
      </c>
      <c r="O1157" s="9" t="s">
        <v>5044</v>
      </c>
      <c r="P1157" s="7">
        <v>0</v>
      </c>
      <c r="Q1157" s="7">
        <v>0</v>
      </c>
      <c r="R1157" s="7">
        <v>0</v>
      </c>
      <c r="S1157" s="7">
        <v>1</v>
      </c>
      <c r="T1157" s="7">
        <v>1</v>
      </c>
      <c r="U1157" s="7">
        <v>105</v>
      </c>
      <c r="V1157" s="7">
        <v>0</v>
      </c>
      <c r="W1157" s="7">
        <v>1</v>
      </c>
      <c r="X1157" s="7">
        <v>0</v>
      </c>
      <c r="Y1157" s="7">
        <v>0</v>
      </c>
      <c r="Z1157" s="7">
        <v>0</v>
      </c>
      <c r="AA1157" s="7">
        <v>0</v>
      </c>
      <c r="AB1157" s="7">
        <v>1</v>
      </c>
      <c r="AC1157" s="7">
        <v>1</v>
      </c>
      <c r="AD1157" s="7" t="s">
        <v>5044</v>
      </c>
      <c r="AE1157" s="7" t="s">
        <v>5044</v>
      </c>
      <c r="AF1157" s="7" t="s">
        <v>5044</v>
      </c>
      <c r="AG1157" s="7">
        <v>1</v>
      </c>
      <c r="AH1157" s="7">
        <v>0</v>
      </c>
      <c r="AI1157" s="7">
        <v>0</v>
      </c>
      <c r="AJ1157" s="7" t="s">
        <v>5044</v>
      </c>
      <c r="AL1157" s="7">
        <v>0</v>
      </c>
      <c r="AM1157" s="7">
        <v>0</v>
      </c>
    </row>
    <row r="1158" spans="1:40" ht="63" customHeight="1" x14ac:dyDescent="0.2">
      <c r="A1158" s="7">
        <v>11574</v>
      </c>
      <c r="B1158" s="7" t="s">
        <v>4410</v>
      </c>
      <c r="C1158" s="7" t="s">
        <v>4411</v>
      </c>
      <c r="D1158" s="7" t="s">
        <v>56</v>
      </c>
      <c r="E1158" s="7" t="s">
        <v>305</v>
      </c>
      <c r="F1158" s="7" t="s">
        <v>746</v>
      </c>
      <c r="G1158" s="7" t="s">
        <v>52</v>
      </c>
      <c r="H1158" s="7" t="s">
        <v>119</v>
      </c>
      <c r="I1158" s="7" t="s">
        <v>13</v>
      </c>
      <c r="J1158" s="7" t="s">
        <v>4412</v>
      </c>
      <c r="K1158" s="7" t="s">
        <v>4413</v>
      </c>
      <c r="L1158" s="6" t="s">
        <v>5283</v>
      </c>
      <c r="M1158" s="7">
        <v>1</v>
      </c>
      <c r="N1158" s="7">
        <v>0</v>
      </c>
      <c r="O1158" s="9" t="s">
        <v>5044</v>
      </c>
      <c r="P1158" s="7">
        <v>0</v>
      </c>
      <c r="Q1158" s="7">
        <v>0</v>
      </c>
      <c r="R1158" s="7">
        <v>0</v>
      </c>
      <c r="S1158" s="7">
        <v>1</v>
      </c>
      <c r="T1158" s="7">
        <v>1</v>
      </c>
      <c r="U1158" s="7">
        <v>302</v>
      </c>
      <c r="V1158" s="7">
        <v>0</v>
      </c>
      <c r="W1158" s="7">
        <v>1</v>
      </c>
      <c r="X1158" s="7">
        <v>0</v>
      </c>
      <c r="Y1158" s="7">
        <v>0</v>
      </c>
      <c r="Z1158" s="7">
        <v>1</v>
      </c>
      <c r="AA1158" s="7">
        <v>0</v>
      </c>
      <c r="AB1158" s="7">
        <v>1</v>
      </c>
      <c r="AC1158" s="7" t="s">
        <v>5044</v>
      </c>
      <c r="AD1158" s="7" t="s">
        <v>5044</v>
      </c>
      <c r="AE1158" s="7" t="s">
        <v>5044</v>
      </c>
      <c r="AF1158" s="7" t="s">
        <v>5044</v>
      </c>
      <c r="AG1158" s="7" t="s">
        <v>5044</v>
      </c>
      <c r="AH1158" s="7" t="s">
        <v>5044</v>
      </c>
      <c r="AI1158" s="7" t="s">
        <v>5044</v>
      </c>
      <c r="AJ1158" s="7" t="s">
        <v>5044</v>
      </c>
      <c r="AL1158" s="7" t="s">
        <v>5044</v>
      </c>
      <c r="AM1158" s="7">
        <v>0</v>
      </c>
    </row>
    <row r="1159" spans="1:40" ht="63" customHeight="1" x14ac:dyDescent="0.2">
      <c r="A1159" s="7">
        <v>11578</v>
      </c>
      <c r="B1159" s="7" t="s">
        <v>4418</v>
      </c>
      <c r="C1159" s="7" t="s">
        <v>4419</v>
      </c>
      <c r="D1159" s="7" t="s">
        <v>46</v>
      </c>
      <c r="F1159" s="7" t="s">
        <v>107</v>
      </c>
      <c r="G1159" s="7" t="s">
        <v>52</v>
      </c>
      <c r="H1159" s="7" t="s">
        <v>296</v>
      </c>
      <c r="I1159" s="7" t="s">
        <v>13</v>
      </c>
      <c r="J1159" s="7" t="s">
        <v>4420</v>
      </c>
      <c r="K1159" s="7" t="s">
        <v>4421</v>
      </c>
      <c r="L1159" s="8" t="s">
        <v>5285</v>
      </c>
      <c r="M1159" s="7">
        <v>0</v>
      </c>
      <c r="N1159" s="9" t="s">
        <v>5044</v>
      </c>
      <c r="O1159" s="9" t="s">
        <v>5044</v>
      </c>
      <c r="P1159" s="7">
        <v>1</v>
      </c>
      <c r="Q1159" s="7">
        <v>0</v>
      </c>
      <c r="R1159" s="7">
        <v>0</v>
      </c>
      <c r="S1159" s="7">
        <v>1</v>
      </c>
      <c r="T1159" s="7">
        <v>1</v>
      </c>
      <c r="U1159" s="7">
        <v>50</v>
      </c>
      <c r="V1159" s="7">
        <v>0</v>
      </c>
      <c r="W1159" s="7">
        <v>1</v>
      </c>
      <c r="X1159" s="7">
        <v>0</v>
      </c>
      <c r="Y1159" s="7">
        <v>0</v>
      </c>
      <c r="Z1159" s="7">
        <v>0</v>
      </c>
      <c r="AA1159" s="7">
        <v>0</v>
      </c>
      <c r="AB1159" s="7">
        <v>1</v>
      </c>
      <c r="AC1159" s="7">
        <v>1</v>
      </c>
      <c r="AD1159" s="7" t="s">
        <v>5044</v>
      </c>
      <c r="AE1159" s="7" t="s">
        <v>5044</v>
      </c>
      <c r="AF1159" s="7" t="s">
        <v>5044</v>
      </c>
      <c r="AG1159" s="7">
        <v>1</v>
      </c>
      <c r="AH1159" s="7">
        <v>0</v>
      </c>
      <c r="AI1159" s="7">
        <v>0</v>
      </c>
      <c r="AJ1159" s="7" t="s">
        <v>5044</v>
      </c>
      <c r="AL1159" s="7">
        <v>0</v>
      </c>
      <c r="AM1159" s="7">
        <v>0</v>
      </c>
    </row>
    <row r="1160" spans="1:40" ht="63" customHeight="1" x14ac:dyDescent="0.2">
      <c r="A1160" s="7">
        <v>11579</v>
      </c>
      <c r="B1160" s="7" t="s">
        <v>4422</v>
      </c>
      <c r="C1160" s="7" t="s">
        <v>4423</v>
      </c>
      <c r="D1160" s="7" t="s">
        <v>41</v>
      </c>
      <c r="F1160" s="7" t="s">
        <v>150</v>
      </c>
      <c r="H1160" s="7" t="s">
        <v>572</v>
      </c>
      <c r="I1160" s="7" t="s">
        <v>13</v>
      </c>
      <c r="J1160" s="7" t="s">
        <v>4424</v>
      </c>
      <c r="K1160" s="7" t="s">
        <v>4425</v>
      </c>
      <c r="L1160" s="8" t="s">
        <v>5286</v>
      </c>
      <c r="M1160" s="7">
        <v>0</v>
      </c>
      <c r="N1160" s="9" t="s">
        <v>5044</v>
      </c>
      <c r="O1160" s="9" t="s">
        <v>5044</v>
      </c>
      <c r="P1160" s="7">
        <v>0</v>
      </c>
      <c r="Q1160" s="7">
        <v>0</v>
      </c>
      <c r="R1160" s="7">
        <v>0</v>
      </c>
      <c r="S1160" s="7">
        <v>1</v>
      </c>
      <c r="T1160" s="7">
        <v>1</v>
      </c>
      <c r="U1160" s="7">
        <v>84</v>
      </c>
      <c r="V1160" s="7">
        <v>1</v>
      </c>
      <c r="W1160" s="7">
        <v>0</v>
      </c>
      <c r="X1160" s="7">
        <v>0</v>
      </c>
      <c r="Y1160" s="7">
        <v>0</v>
      </c>
      <c r="Z1160" s="7">
        <v>0</v>
      </c>
      <c r="AA1160" s="7">
        <v>0</v>
      </c>
      <c r="AB1160" s="7">
        <v>1</v>
      </c>
      <c r="AC1160" s="7">
        <v>1</v>
      </c>
      <c r="AD1160" s="7">
        <v>2</v>
      </c>
      <c r="AE1160" s="7">
        <v>1</v>
      </c>
      <c r="AF1160" s="7">
        <v>2</v>
      </c>
      <c r="AG1160" s="7" t="s">
        <v>5044</v>
      </c>
      <c r="AH1160" s="7" t="s">
        <v>5044</v>
      </c>
      <c r="AI1160" s="7" t="s">
        <v>5044</v>
      </c>
      <c r="AJ1160" s="7" t="s">
        <v>5044</v>
      </c>
      <c r="AL1160" s="7">
        <v>1</v>
      </c>
      <c r="AM1160" s="7">
        <v>0</v>
      </c>
    </row>
    <row r="1161" spans="1:40" ht="63" customHeight="1" x14ac:dyDescent="0.2">
      <c r="A1161" s="7">
        <v>11583</v>
      </c>
      <c r="B1161" s="7" t="s">
        <v>4426</v>
      </c>
      <c r="C1161" s="7" t="s">
        <v>4427</v>
      </c>
      <c r="D1161" s="7" t="s">
        <v>35</v>
      </c>
      <c r="F1161" s="7" t="s">
        <v>4428</v>
      </c>
      <c r="G1161" s="7" t="s">
        <v>47</v>
      </c>
      <c r="H1161" s="7" t="s">
        <v>698</v>
      </c>
      <c r="I1161" s="7" t="s">
        <v>437</v>
      </c>
      <c r="J1161" s="7" t="s">
        <v>4429</v>
      </c>
      <c r="K1161" s="7" t="s">
        <v>4430</v>
      </c>
      <c r="L1161" s="11" t="s">
        <v>5044</v>
      </c>
      <c r="M1161" s="7">
        <v>0</v>
      </c>
      <c r="N1161" s="9" t="s">
        <v>5044</v>
      </c>
      <c r="O1161" s="9" t="s">
        <v>5044</v>
      </c>
      <c r="P1161" s="7">
        <v>0</v>
      </c>
      <c r="Q1161" s="7">
        <v>0</v>
      </c>
      <c r="R1161" s="7">
        <v>0</v>
      </c>
      <c r="S1161" s="7">
        <v>4</v>
      </c>
      <c r="T1161" s="7">
        <v>1</v>
      </c>
      <c r="U1161" s="7">
        <v>80</v>
      </c>
      <c r="V1161" s="7">
        <v>0</v>
      </c>
      <c r="W1161" s="7">
        <v>1</v>
      </c>
      <c r="X1161" s="7">
        <v>0</v>
      </c>
      <c r="Y1161" s="7">
        <v>0</v>
      </c>
      <c r="Z1161" s="7">
        <v>0</v>
      </c>
      <c r="AA1161" s="7">
        <v>0</v>
      </c>
      <c r="AB1161" s="7">
        <v>1</v>
      </c>
      <c r="AC1161" s="7">
        <v>1</v>
      </c>
      <c r="AD1161" s="7" t="s">
        <v>5044</v>
      </c>
      <c r="AE1161" s="7" t="s">
        <v>5044</v>
      </c>
      <c r="AF1161" s="7" t="s">
        <v>5044</v>
      </c>
      <c r="AG1161" s="7">
        <v>2</v>
      </c>
      <c r="AH1161" s="7">
        <v>3</v>
      </c>
      <c r="AI1161" s="7">
        <v>0</v>
      </c>
      <c r="AJ1161" s="7" t="s">
        <v>5044</v>
      </c>
      <c r="AK1161" s="7">
        <v>1</v>
      </c>
      <c r="AL1161" s="7">
        <v>0</v>
      </c>
      <c r="AM1161" s="7">
        <v>0</v>
      </c>
    </row>
    <row r="1162" spans="1:40" ht="63" customHeight="1" x14ac:dyDescent="0.2">
      <c r="A1162" s="7">
        <v>11587</v>
      </c>
      <c r="B1162" s="7" t="s">
        <v>4431</v>
      </c>
      <c r="C1162" s="7" t="s">
        <v>4432</v>
      </c>
      <c r="D1162" s="7" t="s">
        <v>149</v>
      </c>
      <c r="E1162" s="7" t="s">
        <v>4435</v>
      </c>
      <c r="F1162" s="7" t="s">
        <v>865</v>
      </c>
      <c r="G1162" s="7" t="s">
        <v>48</v>
      </c>
      <c r="H1162" s="7" t="s">
        <v>160</v>
      </c>
      <c r="I1162" s="7" t="s">
        <v>13</v>
      </c>
      <c r="J1162" s="7" t="s">
        <v>4433</v>
      </c>
      <c r="K1162" s="7" t="s">
        <v>4434</v>
      </c>
      <c r="L1162" s="11" t="s">
        <v>5044</v>
      </c>
      <c r="M1162" s="7">
        <v>0</v>
      </c>
      <c r="N1162" s="9" t="s">
        <v>5044</v>
      </c>
      <c r="O1162" s="9" t="s">
        <v>5044</v>
      </c>
      <c r="P1162" s="7">
        <v>0</v>
      </c>
      <c r="Q1162" s="7">
        <v>0</v>
      </c>
      <c r="R1162" s="7">
        <v>1</v>
      </c>
      <c r="S1162" s="7">
        <v>1</v>
      </c>
      <c r="T1162" s="7">
        <v>1</v>
      </c>
      <c r="U1162" s="7">
        <v>97</v>
      </c>
      <c r="V1162" s="7">
        <v>1</v>
      </c>
      <c r="W1162" s="7">
        <v>0</v>
      </c>
      <c r="X1162" s="7">
        <v>0</v>
      </c>
      <c r="Y1162" s="7">
        <v>1</v>
      </c>
      <c r="Z1162" s="7">
        <v>0</v>
      </c>
      <c r="AA1162" s="7">
        <v>0</v>
      </c>
      <c r="AB1162" s="7">
        <v>1</v>
      </c>
      <c r="AC1162" s="7">
        <v>1</v>
      </c>
      <c r="AD1162" s="7">
        <v>1</v>
      </c>
      <c r="AE1162" s="7">
        <v>0</v>
      </c>
      <c r="AF1162" s="7">
        <v>0</v>
      </c>
      <c r="AG1162" s="7" t="s">
        <v>5044</v>
      </c>
      <c r="AH1162" s="7" t="s">
        <v>5044</v>
      </c>
      <c r="AI1162" s="7" t="s">
        <v>5044</v>
      </c>
      <c r="AJ1162" s="7">
        <v>0</v>
      </c>
      <c r="AL1162" s="7">
        <v>0</v>
      </c>
      <c r="AM1162" s="7">
        <v>0</v>
      </c>
      <c r="AN1162" s="7" t="s">
        <v>6506</v>
      </c>
    </row>
    <row r="1163" spans="1:40" ht="63" customHeight="1" x14ac:dyDescent="0.2">
      <c r="A1163" s="7">
        <v>11604</v>
      </c>
      <c r="B1163" s="7" t="s">
        <v>4436</v>
      </c>
      <c r="C1163" s="7" t="s">
        <v>4437</v>
      </c>
      <c r="D1163" s="7" t="s">
        <v>101</v>
      </c>
      <c r="F1163" s="7" t="s">
        <v>107</v>
      </c>
      <c r="G1163" s="7" t="s">
        <v>48</v>
      </c>
      <c r="H1163" s="7" t="s">
        <v>231</v>
      </c>
      <c r="I1163" s="7" t="s">
        <v>13</v>
      </c>
      <c r="J1163" s="7" t="s">
        <v>4438</v>
      </c>
      <c r="K1163" s="7" t="s">
        <v>4439</v>
      </c>
      <c r="L1163" s="6" t="s">
        <v>5287</v>
      </c>
      <c r="M1163" s="7">
        <v>0</v>
      </c>
      <c r="N1163" s="9" t="s">
        <v>5044</v>
      </c>
      <c r="O1163" s="9" t="s">
        <v>5044</v>
      </c>
      <c r="P1163" s="7">
        <v>0</v>
      </c>
      <c r="Q1163" s="7">
        <v>0</v>
      </c>
      <c r="R1163" s="7">
        <v>0</v>
      </c>
      <c r="S1163" s="7">
        <v>1</v>
      </c>
      <c r="T1163" s="7">
        <v>1</v>
      </c>
      <c r="U1163" s="7">
        <v>266</v>
      </c>
      <c r="V1163" s="7">
        <v>0</v>
      </c>
      <c r="W1163" s="7">
        <v>1</v>
      </c>
      <c r="X1163" s="7">
        <v>0</v>
      </c>
      <c r="Y1163" s="7">
        <v>0</v>
      </c>
      <c r="Z1163" s="7">
        <v>0</v>
      </c>
      <c r="AA1163" s="7">
        <v>0</v>
      </c>
      <c r="AB1163" s="7">
        <v>1</v>
      </c>
      <c r="AC1163" s="7">
        <v>1</v>
      </c>
      <c r="AD1163" s="7" t="s">
        <v>5044</v>
      </c>
      <c r="AE1163" s="7" t="s">
        <v>5044</v>
      </c>
      <c r="AF1163" s="7" t="s">
        <v>5044</v>
      </c>
      <c r="AG1163" s="7">
        <v>2</v>
      </c>
      <c r="AH1163" s="7">
        <v>3</v>
      </c>
      <c r="AI1163" s="7">
        <v>0</v>
      </c>
      <c r="AJ1163" s="7" t="s">
        <v>5044</v>
      </c>
      <c r="AK1163" s="7">
        <v>1</v>
      </c>
      <c r="AL1163" s="7">
        <v>0</v>
      </c>
      <c r="AM1163" s="7">
        <v>0</v>
      </c>
    </row>
    <row r="1164" spans="1:40" ht="63" customHeight="1" x14ac:dyDescent="0.2">
      <c r="A1164" s="7">
        <v>11608</v>
      </c>
      <c r="B1164" s="7" t="s">
        <v>4440</v>
      </c>
      <c r="C1164" s="7" t="s">
        <v>4441</v>
      </c>
      <c r="D1164" s="7" t="s">
        <v>101</v>
      </c>
      <c r="E1164" s="7" t="s">
        <v>305</v>
      </c>
      <c r="F1164" s="7" t="s">
        <v>51</v>
      </c>
      <c r="G1164" s="7" t="s">
        <v>52</v>
      </c>
      <c r="H1164" s="7" t="s">
        <v>656</v>
      </c>
      <c r="I1164" s="7" t="s">
        <v>13</v>
      </c>
      <c r="J1164" s="7" t="s">
        <v>4442</v>
      </c>
      <c r="K1164" s="7" t="s">
        <v>4443</v>
      </c>
      <c r="L1164" s="8" t="s">
        <v>5288</v>
      </c>
      <c r="M1164" s="7">
        <v>1</v>
      </c>
      <c r="N1164" s="7">
        <v>0</v>
      </c>
      <c r="O1164" s="9" t="s">
        <v>5044</v>
      </c>
      <c r="P1164" s="7">
        <v>0</v>
      </c>
      <c r="Q1164" s="7">
        <v>0</v>
      </c>
      <c r="R1164" s="7">
        <v>0</v>
      </c>
      <c r="S1164" s="7">
        <v>1</v>
      </c>
      <c r="T1164" s="7">
        <v>1</v>
      </c>
      <c r="U1164" s="7">
        <v>264</v>
      </c>
      <c r="V1164" s="7">
        <v>0</v>
      </c>
      <c r="W1164" s="7">
        <v>1</v>
      </c>
      <c r="X1164" s="7">
        <v>0</v>
      </c>
      <c r="Y1164" s="7">
        <v>0</v>
      </c>
      <c r="Z1164" s="7">
        <v>0</v>
      </c>
      <c r="AA1164" s="7">
        <v>0</v>
      </c>
      <c r="AB1164" s="7">
        <v>1</v>
      </c>
      <c r="AC1164" s="7" t="s">
        <v>5044</v>
      </c>
      <c r="AD1164" s="7" t="s">
        <v>5044</v>
      </c>
      <c r="AE1164" s="7" t="s">
        <v>5044</v>
      </c>
      <c r="AF1164" s="7" t="s">
        <v>5044</v>
      </c>
      <c r="AG1164" s="7" t="s">
        <v>5044</v>
      </c>
      <c r="AH1164" s="7" t="s">
        <v>5044</v>
      </c>
      <c r="AI1164" s="7" t="s">
        <v>5044</v>
      </c>
      <c r="AJ1164" s="7" t="s">
        <v>5044</v>
      </c>
      <c r="AL1164" s="7" t="s">
        <v>5044</v>
      </c>
      <c r="AM1164" s="7">
        <v>0</v>
      </c>
    </row>
    <row r="1165" spans="1:40" ht="63" customHeight="1" x14ac:dyDescent="0.2">
      <c r="A1165" s="7">
        <v>11619</v>
      </c>
      <c r="B1165" s="7" t="s">
        <v>4444</v>
      </c>
      <c r="C1165" s="7" t="s">
        <v>4445</v>
      </c>
      <c r="D1165" s="7" t="s">
        <v>74</v>
      </c>
      <c r="F1165" s="7" t="s">
        <v>254</v>
      </c>
      <c r="G1165" s="7" t="s">
        <v>175</v>
      </c>
      <c r="H1165" s="7" t="s">
        <v>231</v>
      </c>
      <c r="I1165" s="7" t="s">
        <v>13</v>
      </c>
      <c r="J1165" s="7" t="s">
        <v>4446</v>
      </c>
      <c r="K1165" s="7" t="s">
        <v>4447</v>
      </c>
      <c r="L1165" s="6" t="s">
        <v>5289</v>
      </c>
      <c r="M1165" s="7">
        <v>0</v>
      </c>
      <c r="N1165" s="9" t="s">
        <v>5044</v>
      </c>
      <c r="O1165" s="9" t="s">
        <v>5044</v>
      </c>
      <c r="P1165" s="7">
        <v>0</v>
      </c>
      <c r="Q1165" s="7">
        <v>0</v>
      </c>
      <c r="R1165" s="7">
        <v>0</v>
      </c>
      <c r="S1165" s="7">
        <v>1</v>
      </c>
      <c r="T1165" s="7">
        <v>1</v>
      </c>
      <c r="U1165" s="7">
        <v>530</v>
      </c>
      <c r="V1165" s="7">
        <v>0</v>
      </c>
      <c r="W1165" s="7">
        <v>1</v>
      </c>
      <c r="X1165" s="7">
        <v>0</v>
      </c>
      <c r="Y1165" s="7">
        <v>0</v>
      </c>
      <c r="Z1165" s="7">
        <v>0</v>
      </c>
      <c r="AA1165" s="7">
        <v>0</v>
      </c>
      <c r="AB1165" s="7">
        <v>1</v>
      </c>
      <c r="AC1165" s="7">
        <v>1</v>
      </c>
      <c r="AD1165" s="7" t="s">
        <v>5044</v>
      </c>
      <c r="AE1165" s="7" t="s">
        <v>5044</v>
      </c>
      <c r="AF1165" s="7" t="s">
        <v>5044</v>
      </c>
      <c r="AG1165" s="7">
        <v>2</v>
      </c>
      <c r="AH1165" s="7">
        <v>1</v>
      </c>
      <c r="AI1165" s="7">
        <v>2</v>
      </c>
      <c r="AJ1165" s="7" t="s">
        <v>5044</v>
      </c>
      <c r="AL1165" s="7">
        <v>1</v>
      </c>
      <c r="AM1165" s="7">
        <v>0</v>
      </c>
    </row>
    <row r="1166" spans="1:40" ht="63" customHeight="1" x14ac:dyDescent="0.2">
      <c r="A1166" s="7">
        <v>11623</v>
      </c>
      <c r="B1166" s="7" t="s">
        <v>4448</v>
      </c>
      <c r="C1166" s="7" t="s">
        <v>4449</v>
      </c>
      <c r="D1166" s="7" t="s">
        <v>101</v>
      </c>
      <c r="F1166" s="7" t="s">
        <v>932</v>
      </c>
      <c r="G1166" s="7" t="s">
        <v>18</v>
      </c>
      <c r="H1166" s="7" t="s">
        <v>38</v>
      </c>
      <c r="I1166" s="7" t="s">
        <v>13</v>
      </c>
      <c r="J1166" s="7" t="s">
        <v>4450</v>
      </c>
      <c r="K1166" s="7" t="s">
        <v>4451</v>
      </c>
      <c r="L1166" s="6" t="s">
        <v>5290</v>
      </c>
      <c r="M1166" s="7">
        <v>0</v>
      </c>
      <c r="N1166" s="9" t="s">
        <v>5044</v>
      </c>
      <c r="O1166" s="9" t="s">
        <v>5044</v>
      </c>
      <c r="P1166" s="7">
        <v>0</v>
      </c>
      <c r="Q1166" s="7">
        <v>0</v>
      </c>
      <c r="R1166" s="7">
        <v>0</v>
      </c>
      <c r="S1166" s="7">
        <v>1</v>
      </c>
      <c r="T1166" s="7">
        <v>1</v>
      </c>
      <c r="U1166" s="7">
        <v>140</v>
      </c>
      <c r="V1166" s="7">
        <v>0</v>
      </c>
      <c r="W1166" s="7">
        <v>1</v>
      </c>
      <c r="X1166" s="7">
        <v>0</v>
      </c>
      <c r="Y1166" s="7">
        <v>0</v>
      </c>
      <c r="Z1166" s="7">
        <v>1</v>
      </c>
      <c r="AA1166" s="7">
        <v>0</v>
      </c>
      <c r="AB1166" s="7">
        <v>1</v>
      </c>
      <c r="AC1166" s="7">
        <v>1</v>
      </c>
      <c r="AD1166" s="7" t="s">
        <v>5044</v>
      </c>
      <c r="AE1166" s="7" t="s">
        <v>5044</v>
      </c>
      <c r="AF1166" s="7" t="s">
        <v>5044</v>
      </c>
      <c r="AG1166" s="7">
        <v>2</v>
      </c>
      <c r="AH1166" s="7">
        <v>3</v>
      </c>
      <c r="AI1166" s="7">
        <v>0</v>
      </c>
      <c r="AJ1166" s="7">
        <v>0</v>
      </c>
      <c r="AK1166" s="7">
        <v>1</v>
      </c>
      <c r="AL1166" s="7">
        <v>0</v>
      </c>
      <c r="AM1166" s="7">
        <v>0</v>
      </c>
    </row>
    <row r="1167" spans="1:40" ht="63" customHeight="1" x14ac:dyDescent="0.2">
      <c r="A1167" s="7">
        <v>11647</v>
      </c>
      <c r="B1167" s="7" t="s">
        <v>4452</v>
      </c>
      <c r="C1167" s="7" t="s">
        <v>4453</v>
      </c>
      <c r="D1167" s="7" t="s">
        <v>25</v>
      </c>
      <c r="F1167" s="7" t="s">
        <v>1304</v>
      </c>
      <c r="G1167" s="7" t="s">
        <v>18</v>
      </c>
      <c r="H1167" s="7" t="s">
        <v>43</v>
      </c>
      <c r="I1167" s="7" t="s">
        <v>13</v>
      </c>
      <c r="J1167" s="7" t="s">
        <v>4454</v>
      </c>
      <c r="K1167" s="7" t="s">
        <v>4455</v>
      </c>
      <c r="L1167" s="8" t="s">
        <v>5291</v>
      </c>
      <c r="M1167" s="7">
        <v>0</v>
      </c>
      <c r="N1167" s="9" t="s">
        <v>5044</v>
      </c>
      <c r="O1167" s="9" t="s">
        <v>5044</v>
      </c>
      <c r="P1167" s="7">
        <v>0</v>
      </c>
      <c r="Q1167" s="7">
        <v>0</v>
      </c>
      <c r="R1167" s="7">
        <v>0</v>
      </c>
      <c r="S1167" s="7">
        <v>1</v>
      </c>
      <c r="T1167" s="7">
        <v>1</v>
      </c>
      <c r="U1167" s="7">
        <v>123</v>
      </c>
      <c r="V1167" s="7">
        <v>0</v>
      </c>
      <c r="W1167" s="7">
        <v>1</v>
      </c>
      <c r="X1167" s="7">
        <v>0</v>
      </c>
      <c r="Y1167" s="7">
        <v>0</v>
      </c>
      <c r="Z1167" s="7">
        <v>0</v>
      </c>
      <c r="AA1167" s="7">
        <v>0</v>
      </c>
      <c r="AB1167" s="7">
        <v>1</v>
      </c>
      <c r="AC1167" s="7">
        <v>1</v>
      </c>
      <c r="AD1167" s="7" t="s">
        <v>5044</v>
      </c>
      <c r="AE1167" s="7" t="s">
        <v>5044</v>
      </c>
      <c r="AF1167" s="7" t="s">
        <v>5044</v>
      </c>
      <c r="AG1167" s="7">
        <v>0</v>
      </c>
      <c r="AH1167" s="7" t="s">
        <v>5044</v>
      </c>
      <c r="AI1167" s="7" t="s">
        <v>5044</v>
      </c>
      <c r="AJ1167" s="7" t="s">
        <v>5044</v>
      </c>
      <c r="AL1167" s="7">
        <v>1</v>
      </c>
      <c r="AM1167" s="7">
        <v>0</v>
      </c>
    </row>
    <row r="1168" spans="1:40" ht="63" customHeight="1" x14ac:dyDescent="0.2">
      <c r="A1168" s="7">
        <v>11678</v>
      </c>
      <c r="B1168" s="7" t="s">
        <v>4456</v>
      </c>
      <c r="C1168" s="7" t="s">
        <v>4457</v>
      </c>
      <c r="D1168" s="7" t="s">
        <v>16</v>
      </c>
      <c r="E1168" s="7" t="s">
        <v>305</v>
      </c>
      <c r="F1168" s="7" t="s">
        <v>118</v>
      </c>
      <c r="G1168" s="7" t="s">
        <v>52</v>
      </c>
      <c r="H1168" s="7" t="s">
        <v>53</v>
      </c>
      <c r="I1168" s="7" t="s">
        <v>13</v>
      </c>
      <c r="J1168" s="7" t="s">
        <v>4458</v>
      </c>
      <c r="K1168" s="7" t="s">
        <v>4459</v>
      </c>
      <c r="L1168" s="6" t="s">
        <v>5292</v>
      </c>
      <c r="M1168" s="7">
        <v>1</v>
      </c>
      <c r="N1168" s="7">
        <v>0</v>
      </c>
      <c r="O1168" s="9" t="s">
        <v>5044</v>
      </c>
      <c r="P1168" s="7">
        <v>0</v>
      </c>
      <c r="Q1168" s="7">
        <v>0</v>
      </c>
      <c r="R1168" s="7">
        <v>0</v>
      </c>
      <c r="S1168" s="7">
        <v>1</v>
      </c>
      <c r="T1168" s="7">
        <v>2</v>
      </c>
      <c r="U1168" s="7">
        <v>240</v>
      </c>
      <c r="V1168" s="7">
        <v>0</v>
      </c>
      <c r="W1168" s="7">
        <v>1</v>
      </c>
      <c r="X1168" s="7">
        <v>0</v>
      </c>
      <c r="Y1168" s="7">
        <v>0</v>
      </c>
      <c r="Z1168" s="7">
        <v>1</v>
      </c>
      <c r="AA1168" s="7">
        <v>0</v>
      </c>
      <c r="AB1168" s="7">
        <v>1</v>
      </c>
      <c r="AC1168" s="7" t="s">
        <v>5044</v>
      </c>
      <c r="AD1168" s="7" t="s">
        <v>5044</v>
      </c>
      <c r="AE1168" s="7" t="s">
        <v>5044</v>
      </c>
      <c r="AF1168" s="7" t="s">
        <v>5044</v>
      </c>
      <c r="AG1168" s="7" t="s">
        <v>5044</v>
      </c>
      <c r="AH1168" s="7" t="s">
        <v>5044</v>
      </c>
      <c r="AI1168" s="7" t="s">
        <v>5044</v>
      </c>
      <c r="AJ1168" s="7" t="s">
        <v>5044</v>
      </c>
      <c r="AL1168" s="7" t="s">
        <v>5044</v>
      </c>
      <c r="AM1168" s="7">
        <v>0</v>
      </c>
    </row>
    <row r="1169" spans="1:39" ht="63" customHeight="1" x14ac:dyDescent="0.2">
      <c r="A1169" s="7">
        <v>11685</v>
      </c>
      <c r="B1169" s="7" t="s">
        <v>4460</v>
      </c>
      <c r="C1169" s="7" t="s">
        <v>4461</v>
      </c>
      <c r="D1169" s="7" t="s">
        <v>101</v>
      </c>
      <c r="F1169" s="7" t="s">
        <v>932</v>
      </c>
      <c r="G1169" s="7" t="s">
        <v>48</v>
      </c>
      <c r="H1169" s="7" t="s">
        <v>38</v>
      </c>
      <c r="I1169" s="7" t="s">
        <v>13</v>
      </c>
      <c r="J1169" s="7" t="s">
        <v>4462</v>
      </c>
      <c r="K1169" s="7" t="s">
        <v>4463</v>
      </c>
      <c r="L1169" s="8" t="s">
        <v>5293</v>
      </c>
      <c r="M1169" s="7">
        <v>0</v>
      </c>
      <c r="N1169" s="9" t="s">
        <v>5044</v>
      </c>
      <c r="O1169" s="9" t="s">
        <v>5044</v>
      </c>
      <c r="P1169" s="7">
        <v>0</v>
      </c>
      <c r="Q1169" s="7">
        <v>0</v>
      </c>
      <c r="R1169" s="7">
        <v>0</v>
      </c>
      <c r="S1169" s="7">
        <v>1</v>
      </c>
      <c r="T1169" s="7">
        <v>1</v>
      </c>
      <c r="U1169" s="7">
        <v>60</v>
      </c>
      <c r="V1169" s="7">
        <v>0</v>
      </c>
      <c r="W1169" s="7">
        <v>1</v>
      </c>
      <c r="X1169" s="7">
        <v>0</v>
      </c>
      <c r="Y1169" s="7">
        <v>0</v>
      </c>
      <c r="Z1169" s="7">
        <v>0</v>
      </c>
      <c r="AA1169" s="7">
        <v>0</v>
      </c>
      <c r="AB1169" s="7">
        <v>1</v>
      </c>
      <c r="AC1169" s="7">
        <v>1</v>
      </c>
      <c r="AD1169" s="7" t="s">
        <v>5044</v>
      </c>
      <c r="AE1169" s="7" t="s">
        <v>5044</v>
      </c>
      <c r="AF1169" s="7" t="s">
        <v>5044</v>
      </c>
      <c r="AG1169" s="7">
        <v>2</v>
      </c>
      <c r="AH1169" s="7">
        <v>1</v>
      </c>
      <c r="AI1169" s="7">
        <v>2</v>
      </c>
      <c r="AJ1169" s="7" t="s">
        <v>5044</v>
      </c>
      <c r="AL1169" s="7">
        <v>1</v>
      </c>
      <c r="AM1169" s="7">
        <v>0</v>
      </c>
    </row>
    <row r="1170" spans="1:39" ht="63" customHeight="1" x14ac:dyDescent="0.2">
      <c r="A1170" s="7">
        <v>11700</v>
      </c>
      <c r="B1170" s="7" t="s">
        <v>4469</v>
      </c>
      <c r="C1170" s="7" t="s">
        <v>4470</v>
      </c>
      <c r="D1170" s="7" t="s">
        <v>95</v>
      </c>
      <c r="E1170" s="7" t="s">
        <v>4473</v>
      </c>
      <c r="F1170" s="7" t="s">
        <v>58</v>
      </c>
      <c r="G1170" s="7" t="s">
        <v>48</v>
      </c>
      <c r="H1170" s="7" t="s">
        <v>145</v>
      </c>
      <c r="I1170" s="7" t="s">
        <v>13</v>
      </c>
      <c r="J1170" s="7" t="s">
        <v>4471</v>
      </c>
      <c r="K1170" s="7" t="s">
        <v>4472</v>
      </c>
      <c r="L1170" s="11" t="s">
        <v>5044</v>
      </c>
      <c r="M1170" s="7">
        <v>0</v>
      </c>
      <c r="N1170" s="9" t="s">
        <v>5044</v>
      </c>
      <c r="O1170" s="9" t="s">
        <v>5044</v>
      </c>
      <c r="P1170" s="7">
        <v>0</v>
      </c>
      <c r="Q1170" s="7">
        <v>0</v>
      </c>
      <c r="R1170" s="7">
        <v>1</v>
      </c>
      <c r="S1170" s="7">
        <v>1</v>
      </c>
      <c r="T1170" s="7">
        <v>1</v>
      </c>
      <c r="U1170" s="7">
        <v>150</v>
      </c>
      <c r="V1170" s="7">
        <v>0</v>
      </c>
      <c r="W1170" s="7">
        <v>1</v>
      </c>
      <c r="X1170" s="7">
        <v>0</v>
      </c>
      <c r="Y1170" s="7">
        <v>0</v>
      </c>
      <c r="Z1170" s="7">
        <v>0</v>
      </c>
      <c r="AA1170" s="7">
        <v>0</v>
      </c>
      <c r="AB1170" s="7">
        <v>1</v>
      </c>
      <c r="AC1170" s="7">
        <v>0</v>
      </c>
      <c r="AD1170" s="7" t="s">
        <v>5044</v>
      </c>
      <c r="AE1170" s="7" t="s">
        <v>5044</v>
      </c>
      <c r="AF1170" s="7" t="s">
        <v>5044</v>
      </c>
      <c r="AG1170" s="7">
        <v>0</v>
      </c>
      <c r="AH1170" s="7" t="s">
        <v>5044</v>
      </c>
      <c r="AI1170" s="7" t="s">
        <v>5044</v>
      </c>
      <c r="AJ1170" s="7" t="s">
        <v>5044</v>
      </c>
      <c r="AL1170" s="7">
        <v>1</v>
      </c>
      <c r="AM1170" s="7">
        <v>0</v>
      </c>
    </row>
    <row r="1171" spans="1:39" ht="63" customHeight="1" x14ac:dyDescent="0.2">
      <c r="A1171" s="7">
        <v>11703</v>
      </c>
      <c r="B1171" s="7" t="s">
        <v>4474</v>
      </c>
      <c r="C1171" s="7" t="s">
        <v>4475</v>
      </c>
      <c r="D1171" s="7" t="s">
        <v>101</v>
      </c>
      <c r="F1171" s="7" t="s">
        <v>31</v>
      </c>
      <c r="G1171" s="7" t="s">
        <v>37</v>
      </c>
      <c r="H1171" s="7" t="s">
        <v>1334</v>
      </c>
      <c r="I1171" s="7" t="s">
        <v>437</v>
      </c>
      <c r="J1171" s="7" t="s">
        <v>4476</v>
      </c>
      <c r="K1171" s="7" t="s">
        <v>4477</v>
      </c>
      <c r="L1171" s="8" t="s">
        <v>5295</v>
      </c>
      <c r="M1171" s="7">
        <v>0</v>
      </c>
      <c r="N1171" s="9" t="s">
        <v>5044</v>
      </c>
      <c r="O1171" s="9" t="s">
        <v>5044</v>
      </c>
      <c r="P1171" s="7">
        <v>0</v>
      </c>
      <c r="Q1171" s="7">
        <v>0</v>
      </c>
      <c r="R1171" s="7">
        <v>0</v>
      </c>
      <c r="S1171" s="7">
        <v>9</v>
      </c>
      <c r="T1171" s="7">
        <v>1</v>
      </c>
      <c r="U1171" s="7">
        <v>89</v>
      </c>
      <c r="V1171" s="7">
        <v>0</v>
      </c>
      <c r="W1171" s="7">
        <v>1</v>
      </c>
      <c r="X1171" s="7">
        <v>0</v>
      </c>
      <c r="Y1171" s="7">
        <v>0</v>
      </c>
      <c r="Z1171" s="7">
        <v>0</v>
      </c>
      <c r="AA1171" s="7">
        <v>0</v>
      </c>
      <c r="AB1171" s="7">
        <v>0</v>
      </c>
      <c r="AC1171" s="7">
        <v>1</v>
      </c>
      <c r="AD1171" s="7" t="s">
        <v>5044</v>
      </c>
      <c r="AE1171" s="7" t="s">
        <v>5044</v>
      </c>
      <c r="AF1171" s="7" t="s">
        <v>5044</v>
      </c>
      <c r="AG1171" s="7">
        <v>2</v>
      </c>
      <c r="AH1171" s="7">
        <v>1</v>
      </c>
      <c r="AI1171" s="7">
        <v>3</v>
      </c>
      <c r="AJ1171" s="7" t="s">
        <v>5044</v>
      </c>
      <c r="AL1171" s="7">
        <v>0</v>
      </c>
      <c r="AM1171" s="7">
        <v>0</v>
      </c>
    </row>
    <row r="1172" spans="1:39" ht="63" customHeight="1" x14ac:dyDescent="0.2">
      <c r="A1172" s="7">
        <v>11711</v>
      </c>
      <c r="B1172" s="7" t="s">
        <v>4478</v>
      </c>
      <c r="C1172" s="7" t="s">
        <v>4479</v>
      </c>
      <c r="D1172" s="7" t="s">
        <v>16</v>
      </c>
      <c r="F1172" s="7" t="s">
        <v>118</v>
      </c>
      <c r="G1172" s="7" t="s">
        <v>52</v>
      </c>
      <c r="H1172" s="7" t="s">
        <v>53</v>
      </c>
      <c r="I1172" s="7" t="s">
        <v>13</v>
      </c>
      <c r="J1172" s="7" t="s">
        <v>4480</v>
      </c>
      <c r="K1172" s="7" t="s">
        <v>4481</v>
      </c>
      <c r="L1172" s="6" t="s">
        <v>5296</v>
      </c>
      <c r="M1172" s="7">
        <v>1</v>
      </c>
      <c r="N1172" s="7">
        <v>0</v>
      </c>
      <c r="O1172" s="9" t="s">
        <v>5044</v>
      </c>
      <c r="P1172" s="7">
        <v>0</v>
      </c>
      <c r="Q1172" s="7">
        <v>0</v>
      </c>
      <c r="R1172" s="7">
        <v>0</v>
      </c>
      <c r="S1172" s="7">
        <v>1</v>
      </c>
      <c r="T1172" s="7">
        <v>1</v>
      </c>
      <c r="U1172" s="7">
        <v>120</v>
      </c>
      <c r="V1172" s="7">
        <v>0</v>
      </c>
      <c r="W1172" s="7">
        <v>1</v>
      </c>
      <c r="X1172" s="7">
        <v>0</v>
      </c>
      <c r="Y1172" s="7">
        <v>1</v>
      </c>
      <c r="Z1172" s="7">
        <v>0</v>
      </c>
      <c r="AA1172" s="7">
        <v>0</v>
      </c>
      <c r="AB1172" s="7">
        <v>1</v>
      </c>
      <c r="AC1172" s="7" t="s">
        <v>5044</v>
      </c>
      <c r="AD1172" s="7" t="s">
        <v>5044</v>
      </c>
      <c r="AE1172" s="7" t="s">
        <v>5044</v>
      </c>
      <c r="AF1172" s="7" t="s">
        <v>5044</v>
      </c>
      <c r="AG1172" s="7" t="s">
        <v>5044</v>
      </c>
      <c r="AH1172" s="7" t="s">
        <v>5044</v>
      </c>
      <c r="AI1172" s="7" t="s">
        <v>5044</v>
      </c>
      <c r="AJ1172" s="7" t="s">
        <v>5044</v>
      </c>
      <c r="AL1172" s="7" t="s">
        <v>5044</v>
      </c>
      <c r="AM1172" s="7">
        <v>0</v>
      </c>
    </row>
    <row r="1173" spans="1:39" ht="63" customHeight="1" x14ac:dyDescent="0.2">
      <c r="A1173" s="7">
        <v>11712</v>
      </c>
      <c r="B1173" s="7" t="s">
        <v>4482</v>
      </c>
      <c r="C1173" s="7" t="s">
        <v>4483</v>
      </c>
      <c r="D1173" s="7" t="s">
        <v>41</v>
      </c>
      <c r="E1173" s="7" t="s">
        <v>4486</v>
      </c>
      <c r="F1173" s="7" t="s">
        <v>335</v>
      </c>
      <c r="G1173" s="7" t="s">
        <v>11</v>
      </c>
      <c r="H1173" s="7" t="s">
        <v>43</v>
      </c>
      <c r="I1173" s="7" t="s">
        <v>13</v>
      </c>
      <c r="J1173" s="7" t="s">
        <v>4484</v>
      </c>
      <c r="K1173" s="7" t="s">
        <v>4485</v>
      </c>
      <c r="L1173" s="7" t="s">
        <v>5297</v>
      </c>
      <c r="M1173" s="7">
        <v>0</v>
      </c>
      <c r="N1173" s="9" t="s">
        <v>5044</v>
      </c>
      <c r="O1173" s="9" t="s">
        <v>5044</v>
      </c>
      <c r="P1173" s="7">
        <v>0</v>
      </c>
      <c r="Q1173" s="7">
        <v>1</v>
      </c>
      <c r="R1173" s="7">
        <v>0</v>
      </c>
      <c r="S1173" s="7">
        <v>1</v>
      </c>
      <c r="T1173" s="7">
        <v>1</v>
      </c>
      <c r="U1173" s="7">
        <v>130</v>
      </c>
      <c r="V1173" s="7">
        <v>0</v>
      </c>
      <c r="W1173" s="7">
        <v>1</v>
      </c>
      <c r="X1173" s="7">
        <v>0</v>
      </c>
      <c r="Y1173" s="7">
        <v>0</v>
      </c>
      <c r="Z1173" s="7">
        <v>1</v>
      </c>
      <c r="AA1173" s="7">
        <v>0</v>
      </c>
      <c r="AB1173" s="7">
        <v>1</v>
      </c>
      <c r="AC1173" s="7">
        <v>1</v>
      </c>
      <c r="AD1173" s="7" t="s">
        <v>5044</v>
      </c>
      <c r="AE1173" s="7" t="s">
        <v>5044</v>
      </c>
      <c r="AF1173" s="7" t="s">
        <v>5044</v>
      </c>
      <c r="AG1173" s="7">
        <v>0</v>
      </c>
      <c r="AH1173" s="7" t="s">
        <v>5044</v>
      </c>
      <c r="AI1173" s="7" t="s">
        <v>5044</v>
      </c>
      <c r="AJ1173" s="7">
        <v>0</v>
      </c>
      <c r="AL1173" s="7">
        <v>1</v>
      </c>
      <c r="AM1173" s="7">
        <v>0</v>
      </c>
    </row>
    <row r="1174" spans="1:39" ht="63" customHeight="1" x14ac:dyDescent="0.2">
      <c r="A1174" s="7">
        <v>11722</v>
      </c>
      <c r="B1174" s="7" t="s">
        <v>4487</v>
      </c>
      <c r="C1174" s="7" t="s">
        <v>4488</v>
      </c>
      <c r="D1174" s="7" t="s">
        <v>101</v>
      </c>
      <c r="F1174" s="7" t="s">
        <v>568</v>
      </c>
      <c r="G1174" s="7" t="s">
        <v>27</v>
      </c>
      <c r="H1174" s="7" t="s">
        <v>217</v>
      </c>
      <c r="I1174" s="7" t="s">
        <v>13</v>
      </c>
      <c r="J1174" s="7" t="s">
        <v>4489</v>
      </c>
      <c r="K1174" s="7" t="s">
        <v>4490</v>
      </c>
      <c r="L1174" s="6" t="s">
        <v>5298</v>
      </c>
      <c r="M1174" s="7">
        <v>0</v>
      </c>
      <c r="N1174" s="9" t="s">
        <v>5044</v>
      </c>
      <c r="O1174" s="9" t="s">
        <v>5044</v>
      </c>
      <c r="P1174" s="7">
        <v>0</v>
      </c>
      <c r="Q1174" s="7">
        <v>0</v>
      </c>
      <c r="R1174" s="7">
        <v>0</v>
      </c>
      <c r="S1174" s="7">
        <v>1</v>
      </c>
      <c r="T1174" s="7">
        <v>1</v>
      </c>
      <c r="U1174" s="7">
        <v>92</v>
      </c>
      <c r="V1174" s="7">
        <v>1</v>
      </c>
      <c r="W1174" s="7">
        <v>0</v>
      </c>
      <c r="X1174" s="7">
        <v>0</v>
      </c>
      <c r="Y1174" s="7">
        <v>0</v>
      </c>
      <c r="Z1174" s="7">
        <v>0</v>
      </c>
      <c r="AA1174" s="7">
        <v>0</v>
      </c>
      <c r="AB1174" s="7">
        <v>1</v>
      </c>
      <c r="AC1174" s="7">
        <v>1</v>
      </c>
      <c r="AD1174" s="7">
        <v>2</v>
      </c>
      <c r="AE1174" s="7">
        <v>3</v>
      </c>
      <c r="AF1174" s="7">
        <v>0</v>
      </c>
      <c r="AG1174" s="7" t="s">
        <v>5044</v>
      </c>
      <c r="AH1174" s="7" t="s">
        <v>5044</v>
      </c>
      <c r="AI1174" s="7" t="s">
        <v>5044</v>
      </c>
      <c r="AJ1174" s="7" t="s">
        <v>5044</v>
      </c>
      <c r="AL1174" s="7">
        <v>0</v>
      </c>
      <c r="AM1174" s="7">
        <v>0</v>
      </c>
    </row>
    <row r="1175" spans="1:39" ht="63" customHeight="1" x14ac:dyDescent="0.2">
      <c r="A1175" s="7">
        <v>11738</v>
      </c>
      <c r="B1175" s="7" t="s">
        <v>4491</v>
      </c>
      <c r="C1175" s="7" t="s">
        <v>4492</v>
      </c>
      <c r="D1175" s="7" t="s">
        <v>341</v>
      </c>
      <c r="F1175" s="7" t="s">
        <v>746</v>
      </c>
      <c r="G1175" s="7" t="s">
        <v>175</v>
      </c>
      <c r="H1175" s="7" t="s">
        <v>198</v>
      </c>
      <c r="I1175" s="7" t="s">
        <v>13</v>
      </c>
      <c r="K1175" s="7" t="s">
        <v>4493</v>
      </c>
      <c r="L1175" s="11" t="s">
        <v>5044</v>
      </c>
      <c r="M1175" s="7">
        <v>0</v>
      </c>
      <c r="N1175" s="9" t="s">
        <v>5044</v>
      </c>
      <c r="O1175" s="9" t="s">
        <v>5044</v>
      </c>
      <c r="P1175" s="7">
        <v>0</v>
      </c>
      <c r="Q1175" s="7">
        <v>0</v>
      </c>
      <c r="R1175" s="7">
        <v>0</v>
      </c>
      <c r="S1175" s="7">
        <v>1</v>
      </c>
      <c r="T1175" s="7">
        <v>1</v>
      </c>
      <c r="U1175" s="7">
        <v>69</v>
      </c>
      <c r="V1175" s="7">
        <v>1</v>
      </c>
      <c r="W1175" s="7">
        <v>0</v>
      </c>
      <c r="X1175" s="7">
        <v>0</v>
      </c>
      <c r="Y1175" s="7">
        <v>0</v>
      </c>
      <c r="Z1175" s="7">
        <v>0</v>
      </c>
      <c r="AA1175" s="7">
        <v>1</v>
      </c>
      <c r="AB1175" s="7">
        <v>1</v>
      </c>
      <c r="AC1175" s="7">
        <v>1</v>
      </c>
      <c r="AD1175" s="7">
        <v>1</v>
      </c>
      <c r="AE1175" s="7">
        <v>0</v>
      </c>
      <c r="AF1175" s="7">
        <v>0</v>
      </c>
      <c r="AG1175" s="7" t="s">
        <v>5044</v>
      </c>
      <c r="AH1175" s="7" t="s">
        <v>5044</v>
      </c>
      <c r="AI1175" s="7" t="s">
        <v>5044</v>
      </c>
      <c r="AJ1175" s="7" t="s">
        <v>5044</v>
      </c>
      <c r="AL1175" s="7">
        <v>0</v>
      </c>
      <c r="AM1175" s="7">
        <v>0</v>
      </c>
    </row>
    <row r="1176" spans="1:39" ht="63" customHeight="1" x14ac:dyDescent="0.2">
      <c r="A1176" s="7">
        <v>11770</v>
      </c>
      <c r="B1176" s="7" t="s">
        <v>4494</v>
      </c>
      <c r="C1176" s="7" t="s">
        <v>4495</v>
      </c>
      <c r="D1176" s="7" t="s">
        <v>46</v>
      </c>
      <c r="E1176" s="7" t="s">
        <v>4498</v>
      </c>
      <c r="F1176" s="7" t="s">
        <v>220</v>
      </c>
      <c r="G1176" s="7" t="s">
        <v>52</v>
      </c>
      <c r="H1176" s="7" t="s">
        <v>656</v>
      </c>
      <c r="I1176" s="7" t="s">
        <v>13</v>
      </c>
      <c r="J1176" s="7" t="s">
        <v>4496</v>
      </c>
      <c r="K1176" s="7" t="s">
        <v>4497</v>
      </c>
      <c r="L1176" s="6" t="s">
        <v>5299</v>
      </c>
      <c r="M1176" s="7">
        <v>1</v>
      </c>
      <c r="N1176" s="7">
        <v>0</v>
      </c>
      <c r="O1176" s="9" t="s">
        <v>5044</v>
      </c>
      <c r="P1176" s="7">
        <v>0</v>
      </c>
      <c r="Q1176" s="7">
        <v>0</v>
      </c>
      <c r="R1176" s="7">
        <v>0</v>
      </c>
      <c r="S1176" s="7">
        <v>1</v>
      </c>
      <c r="T1176" s="7">
        <v>1</v>
      </c>
      <c r="U1176" s="7">
        <v>194</v>
      </c>
      <c r="V1176" s="7">
        <v>0</v>
      </c>
      <c r="W1176" s="7">
        <v>1</v>
      </c>
      <c r="X1176" s="7">
        <v>0</v>
      </c>
      <c r="Y1176" s="7">
        <v>0</v>
      </c>
      <c r="Z1176" s="7">
        <v>0</v>
      </c>
      <c r="AA1176" s="7">
        <v>0</v>
      </c>
      <c r="AB1176" s="7">
        <v>1</v>
      </c>
      <c r="AC1176" s="7" t="s">
        <v>5044</v>
      </c>
      <c r="AD1176" s="7" t="s">
        <v>5044</v>
      </c>
      <c r="AE1176" s="7" t="s">
        <v>5044</v>
      </c>
      <c r="AF1176" s="7" t="s">
        <v>5044</v>
      </c>
      <c r="AG1176" s="7" t="s">
        <v>5044</v>
      </c>
      <c r="AH1176" s="7" t="s">
        <v>5044</v>
      </c>
      <c r="AI1176" s="7" t="s">
        <v>5044</v>
      </c>
      <c r="AJ1176" s="7" t="s">
        <v>5044</v>
      </c>
      <c r="AL1176" s="7" t="s">
        <v>5044</v>
      </c>
      <c r="AM1176" s="7">
        <v>0</v>
      </c>
    </row>
    <row r="1177" spans="1:39" ht="63" customHeight="1" x14ac:dyDescent="0.2">
      <c r="A1177" s="7">
        <v>11780</v>
      </c>
      <c r="B1177" s="7" t="s">
        <v>4499</v>
      </c>
      <c r="C1177" s="7" t="s">
        <v>4500</v>
      </c>
      <c r="D1177" s="7" t="s">
        <v>74</v>
      </c>
      <c r="F1177" s="7" t="s">
        <v>2724</v>
      </c>
      <c r="G1177" s="7" t="s">
        <v>52</v>
      </c>
      <c r="H1177" s="7" t="s">
        <v>679</v>
      </c>
      <c r="I1177" s="7" t="s">
        <v>13</v>
      </c>
      <c r="J1177" s="7" t="s">
        <v>4501</v>
      </c>
      <c r="K1177" s="7" t="s">
        <v>4502</v>
      </c>
      <c r="L1177" s="6" t="s">
        <v>5300</v>
      </c>
      <c r="M1177" s="7">
        <v>0</v>
      </c>
      <c r="N1177" s="9" t="s">
        <v>5044</v>
      </c>
      <c r="O1177" s="9" t="s">
        <v>5044</v>
      </c>
      <c r="P1177" s="7">
        <v>0</v>
      </c>
      <c r="Q1177" s="7">
        <v>0</v>
      </c>
      <c r="R1177" s="7">
        <v>0</v>
      </c>
      <c r="S1177" s="7">
        <v>3</v>
      </c>
      <c r="T1177" s="7">
        <v>1</v>
      </c>
      <c r="U1177" s="7">
        <v>55</v>
      </c>
      <c r="V1177" s="7">
        <v>0</v>
      </c>
      <c r="W1177" s="7">
        <v>1</v>
      </c>
      <c r="X1177" s="7">
        <v>0</v>
      </c>
      <c r="Y1177" s="7">
        <v>0</v>
      </c>
      <c r="Z1177" s="7">
        <v>0</v>
      </c>
      <c r="AA1177" s="7">
        <v>0</v>
      </c>
      <c r="AB1177" s="7">
        <v>1</v>
      </c>
      <c r="AC1177" s="7">
        <v>0</v>
      </c>
      <c r="AD1177" s="7" t="s">
        <v>5044</v>
      </c>
      <c r="AE1177" s="7" t="s">
        <v>5044</v>
      </c>
      <c r="AF1177" s="7" t="s">
        <v>5044</v>
      </c>
      <c r="AG1177" s="7">
        <v>0</v>
      </c>
      <c r="AH1177" s="7" t="s">
        <v>5044</v>
      </c>
      <c r="AI1177" s="7" t="s">
        <v>5044</v>
      </c>
      <c r="AJ1177" s="7" t="s">
        <v>5044</v>
      </c>
      <c r="AL1177" s="7">
        <v>1</v>
      </c>
      <c r="AM1177" s="7">
        <v>0</v>
      </c>
    </row>
    <row r="1178" spans="1:39" ht="63" customHeight="1" x14ac:dyDescent="0.2">
      <c r="A1178" s="7">
        <v>11786</v>
      </c>
      <c r="B1178" s="7" t="s">
        <v>4503</v>
      </c>
      <c r="C1178" s="7" t="s">
        <v>4504</v>
      </c>
      <c r="D1178" s="7" t="s">
        <v>16</v>
      </c>
      <c r="F1178" s="7" t="s">
        <v>65</v>
      </c>
      <c r="G1178" s="7" t="s">
        <v>52</v>
      </c>
      <c r="H1178" s="7" t="s">
        <v>348</v>
      </c>
      <c r="I1178" s="7" t="s">
        <v>13</v>
      </c>
      <c r="J1178" s="7" t="s">
        <v>4505</v>
      </c>
      <c r="K1178" s="7" t="s">
        <v>4506</v>
      </c>
      <c r="L1178" s="6" t="s">
        <v>5301</v>
      </c>
      <c r="M1178" s="7">
        <v>0</v>
      </c>
      <c r="N1178" s="9" t="s">
        <v>5044</v>
      </c>
      <c r="O1178" s="9" t="s">
        <v>5044</v>
      </c>
      <c r="P1178" s="7">
        <v>0</v>
      </c>
      <c r="Q1178" s="7">
        <v>0</v>
      </c>
      <c r="R1178" s="7">
        <v>0</v>
      </c>
      <c r="S1178" s="7">
        <v>3</v>
      </c>
      <c r="T1178" s="7">
        <v>1</v>
      </c>
      <c r="U1178" s="7">
        <v>112</v>
      </c>
      <c r="V1178" s="7">
        <v>0</v>
      </c>
      <c r="W1178" s="7">
        <v>1</v>
      </c>
      <c r="X1178" s="7">
        <v>0</v>
      </c>
      <c r="Y1178" s="7">
        <v>0</v>
      </c>
      <c r="Z1178" s="7">
        <v>0</v>
      </c>
      <c r="AA1178" s="7">
        <v>0</v>
      </c>
      <c r="AB1178" s="7">
        <v>1</v>
      </c>
      <c r="AC1178" s="7">
        <v>0</v>
      </c>
      <c r="AD1178" s="7" t="s">
        <v>5044</v>
      </c>
      <c r="AE1178" s="7" t="s">
        <v>5044</v>
      </c>
      <c r="AF1178" s="7" t="s">
        <v>5044</v>
      </c>
      <c r="AG1178" s="7">
        <v>0</v>
      </c>
      <c r="AH1178" s="7" t="s">
        <v>5044</v>
      </c>
      <c r="AI1178" s="7" t="s">
        <v>5044</v>
      </c>
      <c r="AJ1178" s="7" t="s">
        <v>5044</v>
      </c>
      <c r="AL1178" s="7">
        <v>0</v>
      </c>
      <c r="AM1178" s="7">
        <v>0</v>
      </c>
    </row>
    <row r="1179" spans="1:39" ht="63" customHeight="1" x14ac:dyDescent="0.2">
      <c r="A1179" s="7">
        <v>11787</v>
      </c>
      <c r="B1179" s="7" t="s">
        <v>4507</v>
      </c>
      <c r="C1179" s="7" t="s">
        <v>4508</v>
      </c>
      <c r="D1179" s="7" t="s">
        <v>16</v>
      </c>
      <c r="F1179" s="7" t="s">
        <v>372</v>
      </c>
      <c r="H1179" s="7" t="s">
        <v>2166</v>
      </c>
      <c r="I1179" s="7" t="s">
        <v>13</v>
      </c>
      <c r="J1179" s="7" t="s">
        <v>4509</v>
      </c>
      <c r="K1179" s="7" t="s">
        <v>4510</v>
      </c>
      <c r="L1179" s="7" t="s">
        <v>5191</v>
      </c>
      <c r="M1179" s="7">
        <v>0</v>
      </c>
      <c r="N1179" s="9" t="s">
        <v>5044</v>
      </c>
      <c r="O1179" s="9" t="s">
        <v>5044</v>
      </c>
      <c r="P1179" s="7">
        <v>0</v>
      </c>
      <c r="Q1179" s="7">
        <v>0</v>
      </c>
      <c r="R1179" s="7">
        <v>0</v>
      </c>
      <c r="S1179" s="7">
        <v>3</v>
      </c>
      <c r="T1179" s="7">
        <v>1</v>
      </c>
      <c r="U1179" s="7">
        <v>249</v>
      </c>
      <c r="V1179" s="7">
        <v>0</v>
      </c>
      <c r="W1179" s="7">
        <v>1</v>
      </c>
      <c r="X1179" s="7">
        <v>0</v>
      </c>
      <c r="Y1179" s="7">
        <v>0</v>
      </c>
      <c r="Z1179" s="7">
        <v>0</v>
      </c>
      <c r="AA1179" s="7">
        <v>0</v>
      </c>
      <c r="AB1179" s="7">
        <v>1</v>
      </c>
      <c r="AC1179" s="7">
        <v>1</v>
      </c>
      <c r="AD1179" s="7" t="s">
        <v>5044</v>
      </c>
      <c r="AE1179" s="7" t="s">
        <v>5044</v>
      </c>
      <c r="AF1179" s="7" t="s">
        <v>5044</v>
      </c>
      <c r="AG1179" s="7">
        <v>2</v>
      </c>
      <c r="AH1179" s="7">
        <v>1</v>
      </c>
      <c r="AI1179" s="7">
        <v>1</v>
      </c>
      <c r="AJ1179" s="7" t="s">
        <v>5044</v>
      </c>
      <c r="AL1179" s="7">
        <v>0</v>
      </c>
      <c r="AM1179" s="7">
        <v>0</v>
      </c>
    </row>
    <row r="1180" spans="1:39" ht="63" customHeight="1" x14ac:dyDescent="0.2">
      <c r="A1180" s="7">
        <v>11798</v>
      </c>
      <c r="B1180" s="7" t="s">
        <v>4511</v>
      </c>
      <c r="C1180" s="7" t="s">
        <v>4512</v>
      </c>
      <c r="D1180" s="7" t="s">
        <v>375</v>
      </c>
      <c r="F1180" s="7" t="s">
        <v>129</v>
      </c>
      <c r="G1180" s="7" t="s">
        <v>48</v>
      </c>
      <c r="H1180" s="7" t="s">
        <v>296</v>
      </c>
      <c r="I1180" s="7" t="s">
        <v>13</v>
      </c>
      <c r="J1180" s="7" t="s">
        <v>4513</v>
      </c>
      <c r="K1180" s="7" t="s">
        <v>4514</v>
      </c>
      <c r="L1180" s="7" t="s">
        <v>5302</v>
      </c>
      <c r="M1180" s="7">
        <v>0</v>
      </c>
      <c r="N1180" s="9" t="s">
        <v>5044</v>
      </c>
      <c r="O1180" s="9" t="s">
        <v>5044</v>
      </c>
      <c r="P1180" s="7">
        <v>0</v>
      </c>
      <c r="Q1180" s="7">
        <v>0</v>
      </c>
      <c r="R1180" s="7">
        <v>0</v>
      </c>
      <c r="S1180" s="7">
        <v>1</v>
      </c>
      <c r="T1180" s="7">
        <v>1</v>
      </c>
      <c r="U1180" s="7">
        <v>233</v>
      </c>
      <c r="V1180" s="7">
        <v>0</v>
      </c>
      <c r="W1180" s="7">
        <v>1</v>
      </c>
      <c r="X1180" s="7">
        <v>0</v>
      </c>
      <c r="Y1180" s="7">
        <v>0</v>
      </c>
      <c r="Z1180" s="7">
        <v>0</v>
      </c>
      <c r="AA1180" s="7">
        <v>0</v>
      </c>
      <c r="AB1180" s="7">
        <v>1</v>
      </c>
      <c r="AC1180" s="7">
        <v>0</v>
      </c>
      <c r="AD1180" s="7" t="s">
        <v>5044</v>
      </c>
      <c r="AE1180" s="7" t="s">
        <v>5044</v>
      </c>
      <c r="AF1180" s="7" t="s">
        <v>5044</v>
      </c>
      <c r="AG1180" s="7">
        <v>0</v>
      </c>
      <c r="AH1180" s="7" t="s">
        <v>5044</v>
      </c>
      <c r="AI1180" s="7" t="s">
        <v>5044</v>
      </c>
      <c r="AJ1180" s="7" t="s">
        <v>5044</v>
      </c>
      <c r="AL1180" s="7">
        <v>0</v>
      </c>
      <c r="AM1180" s="7">
        <v>0</v>
      </c>
    </row>
    <row r="1181" spans="1:39" ht="63" customHeight="1" x14ac:dyDescent="0.2">
      <c r="A1181" s="7">
        <v>11808</v>
      </c>
      <c r="B1181" s="7" t="s">
        <v>4515</v>
      </c>
      <c r="C1181" s="7" t="s">
        <v>4516</v>
      </c>
      <c r="D1181" s="7" t="s">
        <v>101</v>
      </c>
      <c r="F1181" s="7" t="s">
        <v>2528</v>
      </c>
      <c r="G1181" s="7" t="s">
        <v>52</v>
      </c>
      <c r="H1181" s="7" t="s">
        <v>43</v>
      </c>
      <c r="I1181" s="7" t="s">
        <v>13</v>
      </c>
      <c r="J1181" s="7" t="s">
        <v>4517</v>
      </c>
      <c r="K1181" s="7" t="s">
        <v>4518</v>
      </c>
      <c r="L1181" s="8" t="s">
        <v>5303</v>
      </c>
      <c r="M1181" s="7">
        <v>0</v>
      </c>
      <c r="N1181" s="9" t="s">
        <v>5044</v>
      </c>
      <c r="O1181" s="9" t="s">
        <v>5044</v>
      </c>
      <c r="P1181" s="7">
        <v>0</v>
      </c>
      <c r="Q1181" s="7">
        <v>0</v>
      </c>
      <c r="R1181" s="7">
        <v>0</v>
      </c>
      <c r="S1181" s="7">
        <v>1</v>
      </c>
      <c r="T1181" s="7">
        <v>1</v>
      </c>
      <c r="U1181" s="7">
        <v>148</v>
      </c>
      <c r="V1181" s="7">
        <v>0</v>
      </c>
      <c r="W1181" s="7">
        <v>1</v>
      </c>
      <c r="X1181" s="7">
        <v>0</v>
      </c>
      <c r="Y1181" s="7">
        <v>0</v>
      </c>
      <c r="Z1181" s="7">
        <v>0</v>
      </c>
      <c r="AA1181" s="7">
        <v>0</v>
      </c>
      <c r="AB1181" s="7">
        <v>1</v>
      </c>
      <c r="AC1181" s="7">
        <v>1</v>
      </c>
      <c r="AD1181" s="7" t="s">
        <v>5044</v>
      </c>
      <c r="AE1181" s="7" t="s">
        <v>5044</v>
      </c>
      <c r="AF1181" s="7" t="s">
        <v>5044</v>
      </c>
      <c r="AG1181" s="7">
        <v>2</v>
      </c>
      <c r="AH1181" s="7">
        <v>3</v>
      </c>
      <c r="AI1181" s="7">
        <v>0</v>
      </c>
      <c r="AJ1181" s="7" t="s">
        <v>5044</v>
      </c>
      <c r="AK1181" s="7">
        <v>1</v>
      </c>
      <c r="AL1181" s="7">
        <v>0</v>
      </c>
      <c r="AM1181" s="7">
        <v>0</v>
      </c>
    </row>
    <row r="1182" spans="1:39" ht="63" customHeight="1" x14ac:dyDescent="0.2">
      <c r="A1182" s="7">
        <v>11811</v>
      </c>
      <c r="B1182" s="7" t="s">
        <v>4519</v>
      </c>
      <c r="C1182" s="7" t="s">
        <v>4520</v>
      </c>
      <c r="D1182" s="7" t="s">
        <v>16</v>
      </c>
      <c r="F1182" s="7" t="s">
        <v>186</v>
      </c>
      <c r="G1182" s="7" t="s">
        <v>32</v>
      </c>
      <c r="H1182" s="7" t="s">
        <v>43</v>
      </c>
      <c r="I1182" s="7" t="s">
        <v>13</v>
      </c>
      <c r="J1182" s="7" t="s">
        <v>4521</v>
      </c>
      <c r="K1182" s="7" t="s">
        <v>4522</v>
      </c>
      <c r="L1182" s="8" t="s">
        <v>5304</v>
      </c>
      <c r="M1182" s="7">
        <v>0</v>
      </c>
      <c r="N1182" s="9" t="s">
        <v>5044</v>
      </c>
      <c r="O1182" s="9" t="s">
        <v>5044</v>
      </c>
      <c r="P1182" s="7">
        <v>0</v>
      </c>
      <c r="Q1182" s="7">
        <v>0</v>
      </c>
      <c r="R1182" s="7">
        <v>0</v>
      </c>
      <c r="S1182" s="7">
        <v>1</v>
      </c>
      <c r="T1182" s="7">
        <v>1</v>
      </c>
      <c r="U1182" s="7">
        <v>57</v>
      </c>
      <c r="V1182" s="7">
        <v>1</v>
      </c>
      <c r="W1182" s="7">
        <v>0</v>
      </c>
      <c r="X1182" s="7">
        <v>0</v>
      </c>
      <c r="Y1182" s="7">
        <v>0</v>
      </c>
      <c r="Z1182" s="7">
        <v>1</v>
      </c>
      <c r="AA1182" s="7">
        <v>0</v>
      </c>
      <c r="AB1182" s="7">
        <v>1</v>
      </c>
      <c r="AC1182" s="7">
        <v>1</v>
      </c>
      <c r="AD1182" s="7">
        <v>1</v>
      </c>
      <c r="AE1182" s="7">
        <v>0</v>
      </c>
      <c r="AF1182" s="7">
        <v>0</v>
      </c>
      <c r="AG1182" s="7" t="s">
        <v>5044</v>
      </c>
      <c r="AH1182" s="7" t="s">
        <v>5044</v>
      </c>
      <c r="AI1182" s="7" t="s">
        <v>5044</v>
      </c>
      <c r="AJ1182" s="7">
        <v>0</v>
      </c>
      <c r="AL1182" s="7">
        <v>1</v>
      </c>
      <c r="AM1182" s="7">
        <v>0</v>
      </c>
    </row>
    <row r="1183" spans="1:39" ht="63" customHeight="1" x14ac:dyDescent="0.2">
      <c r="A1183" s="7">
        <v>11820</v>
      </c>
      <c r="B1183" s="7" t="s">
        <v>4523</v>
      </c>
      <c r="C1183" s="7" t="s">
        <v>4524</v>
      </c>
      <c r="D1183" s="7" t="s">
        <v>535</v>
      </c>
      <c r="F1183" s="7" t="s">
        <v>3179</v>
      </c>
      <c r="G1183" s="7" t="s">
        <v>11</v>
      </c>
      <c r="H1183" s="7" t="s">
        <v>740</v>
      </c>
      <c r="I1183" s="7" t="s">
        <v>13</v>
      </c>
      <c r="J1183" s="7" t="s">
        <v>4525</v>
      </c>
      <c r="K1183" s="7" t="s">
        <v>4526</v>
      </c>
      <c r="L1183" s="6" t="s">
        <v>5305</v>
      </c>
      <c r="M1183" s="7">
        <v>0</v>
      </c>
      <c r="N1183" s="9" t="s">
        <v>5044</v>
      </c>
      <c r="O1183" s="9" t="s">
        <v>5044</v>
      </c>
      <c r="P1183" s="7">
        <v>0</v>
      </c>
      <c r="Q1183" s="7">
        <v>0</v>
      </c>
      <c r="R1183" s="7">
        <v>0</v>
      </c>
      <c r="S1183" s="7">
        <v>1</v>
      </c>
      <c r="T1183" s="7">
        <v>2</v>
      </c>
      <c r="U1183" s="7">
        <v>197</v>
      </c>
      <c r="V1183" s="7">
        <v>0</v>
      </c>
      <c r="W1183" s="7">
        <v>1</v>
      </c>
      <c r="X1183" s="7">
        <v>0</v>
      </c>
      <c r="Y1183" s="7">
        <v>0</v>
      </c>
      <c r="Z1183" s="7">
        <v>0</v>
      </c>
      <c r="AA1183" s="7">
        <v>0</v>
      </c>
      <c r="AB1183" s="7">
        <v>1</v>
      </c>
      <c r="AC1183" s="7">
        <v>1</v>
      </c>
      <c r="AD1183" s="7" t="s">
        <v>5044</v>
      </c>
      <c r="AE1183" s="7" t="s">
        <v>5044</v>
      </c>
      <c r="AF1183" s="7" t="s">
        <v>5044</v>
      </c>
      <c r="AG1183" s="7">
        <v>2</v>
      </c>
      <c r="AH1183" s="7">
        <v>1</v>
      </c>
      <c r="AI1183" s="7">
        <v>3</v>
      </c>
      <c r="AJ1183" s="7" t="s">
        <v>5044</v>
      </c>
      <c r="AL1183" s="7">
        <v>1</v>
      </c>
      <c r="AM1183" s="7">
        <v>0</v>
      </c>
    </row>
    <row r="1184" spans="1:39" ht="63" customHeight="1" x14ac:dyDescent="0.2">
      <c r="A1184" s="7">
        <v>11842</v>
      </c>
      <c r="B1184" s="7" t="s">
        <v>4527</v>
      </c>
      <c r="C1184" s="7" t="s">
        <v>4528</v>
      </c>
      <c r="D1184" s="7" t="s">
        <v>41</v>
      </c>
      <c r="F1184" s="7" t="s">
        <v>41</v>
      </c>
      <c r="H1184" s="7" t="s">
        <v>4529</v>
      </c>
      <c r="I1184" s="7" t="s">
        <v>13</v>
      </c>
      <c r="J1184" s="7" t="s">
        <v>4530</v>
      </c>
      <c r="K1184" s="7" t="s">
        <v>4531</v>
      </c>
      <c r="L1184" s="6" t="s">
        <v>5306</v>
      </c>
      <c r="M1184" s="7">
        <v>0</v>
      </c>
      <c r="N1184" s="9" t="s">
        <v>5044</v>
      </c>
      <c r="O1184" s="9" t="s">
        <v>5044</v>
      </c>
      <c r="P1184" s="7">
        <v>0</v>
      </c>
      <c r="Q1184" s="7">
        <v>0</v>
      </c>
      <c r="R1184" s="7">
        <v>0</v>
      </c>
      <c r="S1184" s="7">
        <v>5</v>
      </c>
      <c r="T1184" s="7">
        <v>1</v>
      </c>
      <c r="U1184" s="7">
        <v>48</v>
      </c>
      <c r="V1184" s="7">
        <v>0</v>
      </c>
      <c r="W1184" s="7">
        <v>1</v>
      </c>
      <c r="X1184" s="7">
        <v>0</v>
      </c>
      <c r="Y1184" s="7">
        <v>0</v>
      </c>
      <c r="Z1184" s="7">
        <v>0</v>
      </c>
      <c r="AA1184" s="7">
        <v>0</v>
      </c>
      <c r="AB1184" s="7">
        <v>1</v>
      </c>
      <c r="AC1184" s="7">
        <v>1</v>
      </c>
      <c r="AD1184" s="7" t="s">
        <v>5044</v>
      </c>
      <c r="AE1184" s="7" t="s">
        <v>5044</v>
      </c>
      <c r="AF1184" s="7" t="s">
        <v>5044</v>
      </c>
      <c r="AG1184" s="7">
        <v>1</v>
      </c>
      <c r="AH1184" s="7">
        <v>0</v>
      </c>
      <c r="AI1184" s="7">
        <v>0</v>
      </c>
      <c r="AJ1184" s="7" t="s">
        <v>5044</v>
      </c>
      <c r="AL1184" s="7">
        <v>1</v>
      </c>
      <c r="AM1184" s="7">
        <v>0</v>
      </c>
    </row>
    <row r="1185" spans="1:40" ht="63" customHeight="1" x14ac:dyDescent="0.2">
      <c r="A1185" s="7">
        <v>11858</v>
      </c>
      <c r="B1185" s="7" t="s">
        <v>4532</v>
      </c>
      <c r="C1185" s="7" t="s">
        <v>4533</v>
      </c>
      <c r="D1185" s="7" t="s">
        <v>16</v>
      </c>
      <c r="F1185" s="7" t="s">
        <v>299</v>
      </c>
      <c r="G1185" s="7" t="s">
        <v>293</v>
      </c>
      <c r="H1185" s="7" t="s">
        <v>172</v>
      </c>
      <c r="I1185" s="7" t="s">
        <v>13</v>
      </c>
      <c r="J1185" s="7" t="s">
        <v>4534</v>
      </c>
      <c r="K1185" s="7" t="s">
        <v>4535</v>
      </c>
      <c r="L1185" s="7" t="s">
        <v>5307</v>
      </c>
      <c r="M1185" s="7">
        <v>0</v>
      </c>
      <c r="N1185" s="9" t="s">
        <v>5044</v>
      </c>
      <c r="O1185" s="9" t="s">
        <v>5044</v>
      </c>
      <c r="P1185" s="7">
        <v>0</v>
      </c>
      <c r="Q1185" s="7">
        <v>0</v>
      </c>
      <c r="R1185" s="7">
        <v>0</v>
      </c>
      <c r="S1185" s="7">
        <v>1</v>
      </c>
      <c r="T1185" s="7">
        <v>1</v>
      </c>
      <c r="U1185" s="7">
        <v>151</v>
      </c>
      <c r="V1185" s="7">
        <v>1</v>
      </c>
      <c r="W1185" s="7">
        <v>0</v>
      </c>
      <c r="X1185" s="7">
        <v>0</v>
      </c>
      <c r="Y1185" s="7">
        <v>0</v>
      </c>
      <c r="Z1185" s="7">
        <v>0</v>
      </c>
      <c r="AA1185" s="7">
        <v>0</v>
      </c>
      <c r="AB1185" s="7">
        <v>1</v>
      </c>
      <c r="AC1185" s="7">
        <v>1</v>
      </c>
      <c r="AD1185" s="7">
        <v>1</v>
      </c>
      <c r="AE1185" s="7">
        <v>0</v>
      </c>
      <c r="AF1185" s="7">
        <v>0</v>
      </c>
      <c r="AG1185" s="7" t="s">
        <v>5044</v>
      </c>
      <c r="AH1185" s="7" t="s">
        <v>5044</v>
      </c>
      <c r="AI1185" s="7" t="s">
        <v>5044</v>
      </c>
      <c r="AJ1185" s="7" t="s">
        <v>5044</v>
      </c>
      <c r="AL1185" s="7">
        <v>0</v>
      </c>
      <c r="AM1185" s="7">
        <v>0</v>
      </c>
    </row>
    <row r="1186" spans="1:40" ht="63" customHeight="1" x14ac:dyDescent="0.2">
      <c r="A1186" s="7">
        <v>11869</v>
      </c>
      <c r="B1186" s="7" t="s">
        <v>4536</v>
      </c>
      <c r="C1186" s="7" t="s">
        <v>4537</v>
      </c>
      <c r="D1186" s="7" t="s">
        <v>16</v>
      </c>
      <c r="F1186" s="7" t="s">
        <v>36</v>
      </c>
      <c r="H1186" s="7" t="s">
        <v>572</v>
      </c>
      <c r="I1186" s="7" t="s">
        <v>13</v>
      </c>
      <c r="J1186" s="7" t="s">
        <v>4538</v>
      </c>
      <c r="K1186" s="7" t="s">
        <v>4539</v>
      </c>
      <c r="L1186" s="8" t="s">
        <v>5308</v>
      </c>
      <c r="M1186" s="7">
        <v>0</v>
      </c>
      <c r="N1186" s="9" t="s">
        <v>5044</v>
      </c>
      <c r="O1186" s="9" t="s">
        <v>5044</v>
      </c>
      <c r="P1186" s="7">
        <v>0</v>
      </c>
      <c r="Q1186" s="7">
        <v>0</v>
      </c>
      <c r="R1186" s="7">
        <v>0</v>
      </c>
      <c r="S1186" s="7">
        <v>1</v>
      </c>
      <c r="T1186" s="7">
        <v>1</v>
      </c>
      <c r="U1186" s="7">
        <v>103</v>
      </c>
      <c r="V1186" s="7">
        <v>0</v>
      </c>
      <c r="W1186" s="7">
        <v>1</v>
      </c>
      <c r="X1186" s="7">
        <v>0</v>
      </c>
      <c r="Y1186" s="7">
        <v>0</v>
      </c>
      <c r="Z1186" s="7">
        <v>0</v>
      </c>
      <c r="AA1186" s="7">
        <v>0</v>
      </c>
      <c r="AB1186" s="7">
        <v>1</v>
      </c>
      <c r="AC1186" s="7">
        <v>1</v>
      </c>
      <c r="AD1186" s="7" t="s">
        <v>5044</v>
      </c>
      <c r="AE1186" s="7" t="s">
        <v>5044</v>
      </c>
      <c r="AF1186" s="7" t="s">
        <v>5044</v>
      </c>
      <c r="AG1186" s="7">
        <v>2</v>
      </c>
      <c r="AH1186" s="7">
        <v>3</v>
      </c>
      <c r="AI1186" s="7">
        <v>0</v>
      </c>
      <c r="AJ1186" s="7" t="s">
        <v>5044</v>
      </c>
      <c r="AK1186" s="7" t="s">
        <v>5247</v>
      </c>
      <c r="AL1186" s="7">
        <v>1</v>
      </c>
      <c r="AM1186" s="7">
        <v>0</v>
      </c>
    </row>
    <row r="1187" spans="1:40" ht="63" customHeight="1" x14ac:dyDescent="0.2">
      <c r="A1187" s="7">
        <v>11875</v>
      </c>
      <c r="B1187" s="7" t="s">
        <v>4540</v>
      </c>
      <c r="C1187" s="7" t="s">
        <v>4541</v>
      </c>
      <c r="D1187" s="7" t="s">
        <v>46</v>
      </c>
      <c r="F1187" s="7" t="s">
        <v>4542</v>
      </c>
      <c r="G1187" s="7" t="s">
        <v>144</v>
      </c>
      <c r="H1187" s="7" t="s">
        <v>43</v>
      </c>
      <c r="I1187" s="7" t="s">
        <v>13</v>
      </c>
      <c r="J1187" s="7" t="s">
        <v>4543</v>
      </c>
      <c r="K1187" s="7" t="s">
        <v>4544</v>
      </c>
      <c r="L1187" s="8">
        <v>16447784</v>
      </c>
      <c r="M1187" s="7">
        <v>0</v>
      </c>
      <c r="N1187" s="9" t="s">
        <v>5044</v>
      </c>
      <c r="O1187" s="9" t="s">
        <v>5044</v>
      </c>
      <c r="P1187" s="7">
        <v>0</v>
      </c>
      <c r="Q1187" s="7">
        <v>0</v>
      </c>
      <c r="R1187" s="7">
        <v>0</v>
      </c>
      <c r="S1187" s="7">
        <v>1</v>
      </c>
      <c r="T1187" s="7">
        <v>1</v>
      </c>
      <c r="U1187" s="7">
        <v>83</v>
      </c>
      <c r="V1187" s="7">
        <v>0</v>
      </c>
      <c r="W1187" s="7">
        <v>1</v>
      </c>
      <c r="X1187" s="7">
        <v>0</v>
      </c>
      <c r="Y1187" s="7">
        <v>0</v>
      </c>
      <c r="Z1187" s="7">
        <v>0</v>
      </c>
      <c r="AA1187" s="7">
        <v>0</v>
      </c>
      <c r="AB1187" s="7">
        <v>1</v>
      </c>
      <c r="AC1187" s="7">
        <v>1</v>
      </c>
      <c r="AD1187" s="7" t="s">
        <v>5044</v>
      </c>
      <c r="AE1187" s="7" t="s">
        <v>5044</v>
      </c>
      <c r="AF1187" s="7" t="s">
        <v>5044</v>
      </c>
      <c r="AG1187" s="7">
        <v>1</v>
      </c>
      <c r="AH1187" s="7">
        <v>0</v>
      </c>
      <c r="AI1187" s="7">
        <v>0</v>
      </c>
      <c r="AJ1187" s="7" t="s">
        <v>5044</v>
      </c>
      <c r="AL1187" s="7">
        <v>0</v>
      </c>
      <c r="AM1187" s="7">
        <v>0</v>
      </c>
    </row>
    <row r="1188" spans="1:40" ht="63" customHeight="1" x14ac:dyDescent="0.2">
      <c r="A1188" s="7">
        <v>11878</v>
      </c>
      <c r="B1188" s="7" t="s">
        <v>4545</v>
      </c>
      <c r="C1188" s="7" t="s">
        <v>4546</v>
      </c>
      <c r="D1188" s="7" t="s">
        <v>56</v>
      </c>
      <c r="F1188" s="7" t="s">
        <v>143</v>
      </c>
      <c r="G1188" s="7" t="s">
        <v>37</v>
      </c>
      <c r="H1188" s="7" t="s">
        <v>145</v>
      </c>
      <c r="I1188" s="7" t="s">
        <v>13</v>
      </c>
      <c r="J1188" s="7" t="s">
        <v>4547</v>
      </c>
      <c r="K1188" s="7" t="s">
        <v>4548</v>
      </c>
      <c r="L1188" s="11" t="s">
        <v>5044</v>
      </c>
      <c r="M1188" s="7">
        <v>0</v>
      </c>
      <c r="N1188" s="9" t="s">
        <v>5044</v>
      </c>
      <c r="O1188" s="9" t="s">
        <v>5044</v>
      </c>
      <c r="P1188" s="7">
        <v>0</v>
      </c>
      <c r="Q1188" s="7">
        <v>0</v>
      </c>
      <c r="R1188" s="7">
        <v>0</v>
      </c>
      <c r="S1188" s="7">
        <v>1</v>
      </c>
      <c r="T1188" s="7">
        <v>1</v>
      </c>
      <c r="U1188" s="7">
        <v>20</v>
      </c>
      <c r="V1188" s="7">
        <v>0</v>
      </c>
      <c r="W1188" s="7">
        <v>1</v>
      </c>
      <c r="X1188" s="7">
        <v>0</v>
      </c>
      <c r="Y1188" s="7">
        <v>0</v>
      </c>
      <c r="Z1188" s="7">
        <v>0</v>
      </c>
      <c r="AA1188" s="7">
        <v>0</v>
      </c>
      <c r="AB1188" s="7">
        <v>1</v>
      </c>
      <c r="AC1188" s="7">
        <v>1</v>
      </c>
      <c r="AD1188" s="7" t="s">
        <v>5044</v>
      </c>
      <c r="AE1188" s="7" t="s">
        <v>5044</v>
      </c>
      <c r="AF1188" s="7" t="s">
        <v>5044</v>
      </c>
      <c r="AG1188" s="7">
        <v>1</v>
      </c>
      <c r="AH1188" s="7">
        <v>0</v>
      </c>
      <c r="AI1188" s="7">
        <v>0</v>
      </c>
      <c r="AJ1188" s="7" t="s">
        <v>5044</v>
      </c>
      <c r="AL1188" s="7">
        <v>0</v>
      </c>
      <c r="AM1188" s="7">
        <v>0</v>
      </c>
    </row>
    <row r="1189" spans="1:40" ht="63" customHeight="1" x14ac:dyDescent="0.2">
      <c r="A1189" s="7">
        <v>11888</v>
      </c>
      <c r="B1189" s="7" t="s">
        <v>4549</v>
      </c>
      <c r="C1189" s="7" t="s">
        <v>4550</v>
      </c>
      <c r="D1189" s="7" t="s">
        <v>46</v>
      </c>
      <c r="E1189" s="7" t="s">
        <v>4554</v>
      </c>
      <c r="F1189" s="7" t="s">
        <v>662</v>
      </c>
      <c r="G1189" s="7" t="s">
        <v>92</v>
      </c>
      <c r="H1189" s="7" t="s">
        <v>4551</v>
      </c>
      <c r="I1189" s="7" t="s">
        <v>13</v>
      </c>
      <c r="J1189" s="7" t="s">
        <v>4552</v>
      </c>
      <c r="K1189" s="7" t="s">
        <v>4553</v>
      </c>
      <c r="L1189" s="8" t="s">
        <v>5309</v>
      </c>
      <c r="M1189" s="7">
        <v>0</v>
      </c>
      <c r="N1189" s="9" t="s">
        <v>5044</v>
      </c>
      <c r="O1189" s="9" t="s">
        <v>5044</v>
      </c>
      <c r="P1189" s="7">
        <v>0</v>
      </c>
      <c r="Q1189" s="7">
        <v>0</v>
      </c>
      <c r="R1189" s="7">
        <v>0</v>
      </c>
      <c r="S1189" s="7" t="s">
        <v>5772</v>
      </c>
      <c r="T1189" s="7">
        <v>1</v>
      </c>
      <c r="U1189" s="7">
        <v>57</v>
      </c>
      <c r="V1189" s="7">
        <v>0</v>
      </c>
      <c r="W1189" s="7">
        <v>1</v>
      </c>
      <c r="X1189" s="7">
        <v>0</v>
      </c>
      <c r="Y1189" s="7">
        <v>0</v>
      </c>
      <c r="Z1189" s="7">
        <v>0</v>
      </c>
      <c r="AA1189" s="7">
        <v>0</v>
      </c>
      <c r="AB1189" s="7">
        <v>1</v>
      </c>
      <c r="AC1189" s="7">
        <v>0</v>
      </c>
      <c r="AD1189" s="7" t="s">
        <v>5044</v>
      </c>
      <c r="AE1189" s="7" t="s">
        <v>5044</v>
      </c>
      <c r="AF1189" s="7" t="s">
        <v>5044</v>
      </c>
      <c r="AG1189" s="7">
        <v>0</v>
      </c>
      <c r="AH1189" s="7" t="s">
        <v>5044</v>
      </c>
      <c r="AI1189" s="7" t="s">
        <v>5044</v>
      </c>
      <c r="AJ1189" s="7" t="s">
        <v>5044</v>
      </c>
      <c r="AL1189" s="7">
        <v>1</v>
      </c>
      <c r="AM1189" s="7">
        <v>0</v>
      </c>
    </row>
    <row r="1190" spans="1:40" ht="63" customHeight="1" x14ac:dyDescent="0.2">
      <c r="A1190" s="7">
        <v>11893</v>
      </c>
      <c r="B1190" s="7" t="s">
        <v>4555</v>
      </c>
      <c r="C1190" s="7" t="s">
        <v>4556</v>
      </c>
      <c r="D1190" s="7" t="s">
        <v>74</v>
      </c>
      <c r="E1190" s="7" t="s">
        <v>305</v>
      </c>
      <c r="F1190" s="7" t="s">
        <v>129</v>
      </c>
      <c r="G1190" s="7" t="s">
        <v>52</v>
      </c>
      <c r="H1190" s="7" t="s">
        <v>19</v>
      </c>
      <c r="I1190" s="7" t="s">
        <v>13</v>
      </c>
      <c r="J1190" s="7" t="s">
        <v>4557</v>
      </c>
      <c r="K1190" s="7" t="s">
        <v>4558</v>
      </c>
      <c r="L1190" s="6" t="s">
        <v>5310</v>
      </c>
      <c r="M1190" s="7">
        <v>1</v>
      </c>
      <c r="N1190" s="7">
        <v>0</v>
      </c>
      <c r="O1190" s="9" t="s">
        <v>5044</v>
      </c>
      <c r="P1190" s="7">
        <v>0</v>
      </c>
      <c r="Q1190" s="7">
        <v>0</v>
      </c>
      <c r="R1190" s="7">
        <v>0</v>
      </c>
      <c r="S1190" s="7">
        <v>9</v>
      </c>
      <c r="T1190" s="7">
        <v>1</v>
      </c>
      <c r="U1190" s="7">
        <v>466</v>
      </c>
      <c r="V1190" s="7">
        <v>0</v>
      </c>
      <c r="W1190" s="7">
        <v>1</v>
      </c>
      <c r="X1190" s="7">
        <v>0</v>
      </c>
      <c r="Y1190" s="7">
        <v>1</v>
      </c>
      <c r="Z1190" s="7">
        <v>0</v>
      </c>
      <c r="AA1190" s="7">
        <v>0</v>
      </c>
      <c r="AB1190" s="7">
        <v>1</v>
      </c>
      <c r="AC1190" s="7" t="s">
        <v>5044</v>
      </c>
      <c r="AD1190" s="7" t="s">
        <v>5044</v>
      </c>
      <c r="AE1190" s="7" t="s">
        <v>5044</v>
      </c>
      <c r="AF1190" s="7" t="s">
        <v>5044</v>
      </c>
      <c r="AG1190" s="7" t="s">
        <v>5044</v>
      </c>
      <c r="AH1190" s="7" t="s">
        <v>5044</v>
      </c>
      <c r="AI1190" s="7" t="s">
        <v>5044</v>
      </c>
      <c r="AJ1190" s="7" t="s">
        <v>5044</v>
      </c>
      <c r="AL1190" s="7" t="s">
        <v>5044</v>
      </c>
      <c r="AM1190" s="7">
        <v>0</v>
      </c>
    </row>
    <row r="1191" spans="1:40" ht="63" customHeight="1" x14ac:dyDescent="0.2">
      <c r="A1191" s="7">
        <v>11904</v>
      </c>
      <c r="B1191" s="7" t="s">
        <v>4559</v>
      </c>
      <c r="C1191" s="7" t="s">
        <v>4560</v>
      </c>
      <c r="D1191" s="7" t="s">
        <v>46</v>
      </c>
      <c r="F1191" s="7" t="s">
        <v>220</v>
      </c>
      <c r="G1191" s="7" t="s">
        <v>52</v>
      </c>
      <c r="H1191" s="7" t="s">
        <v>119</v>
      </c>
      <c r="I1191" s="7" t="s">
        <v>13</v>
      </c>
      <c r="J1191" s="7" t="s">
        <v>4561</v>
      </c>
      <c r="K1191" s="7" t="s">
        <v>4562</v>
      </c>
      <c r="L1191" s="11" t="s">
        <v>5044</v>
      </c>
      <c r="M1191" s="7">
        <v>0</v>
      </c>
      <c r="N1191" s="9" t="s">
        <v>5044</v>
      </c>
      <c r="O1191" s="9" t="s">
        <v>5044</v>
      </c>
      <c r="P1191" s="7">
        <v>0</v>
      </c>
      <c r="Q1191" s="7">
        <v>0</v>
      </c>
      <c r="R1191" s="7">
        <v>0</v>
      </c>
      <c r="S1191" s="7">
        <v>1</v>
      </c>
      <c r="T1191" s="7">
        <v>4</v>
      </c>
      <c r="U1191" s="7">
        <v>80</v>
      </c>
      <c r="V1191" s="7">
        <v>0</v>
      </c>
      <c r="W1191" s="7">
        <v>1</v>
      </c>
      <c r="X1191" s="7">
        <v>0</v>
      </c>
      <c r="Y1191" s="7">
        <v>0</v>
      </c>
      <c r="Z1191" s="7">
        <v>0</v>
      </c>
      <c r="AA1191" s="7">
        <v>0</v>
      </c>
      <c r="AB1191" s="7">
        <v>1</v>
      </c>
      <c r="AC1191" s="7">
        <v>0</v>
      </c>
      <c r="AD1191" s="7" t="s">
        <v>5044</v>
      </c>
      <c r="AE1191" s="7" t="s">
        <v>5044</v>
      </c>
      <c r="AF1191" s="7" t="s">
        <v>5044</v>
      </c>
      <c r="AG1191" s="7">
        <v>0</v>
      </c>
      <c r="AH1191" s="7" t="s">
        <v>5044</v>
      </c>
      <c r="AI1191" s="7" t="s">
        <v>5044</v>
      </c>
      <c r="AJ1191" s="7" t="s">
        <v>5044</v>
      </c>
      <c r="AL1191" s="7">
        <v>1</v>
      </c>
      <c r="AM1191" s="7">
        <v>0</v>
      </c>
    </row>
    <row r="1192" spans="1:40" ht="63" customHeight="1" x14ac:dyDescent="0.2">
      <c r="A1192" s="7">
        <v>11906</v>
      </c>
      <c r="B1192" s="7" t="s">
        <v>4563</v>
      </c>
      <c r="C1192" s="7" t="s">
        <v>4564</v>
      </c>
      <c r="D1192" s="7" t="s">
        <v>46</v>
      </c>
      <c r="E1192" s="7" t="s">
        <v>4567</v>
      </c>
      <c r="F1192" s="7" t="s">
        <v>1180</v>
      </c>
      <c r="G1192" s="7" t="s">
        <v>48</v>
      </c>
      <c r="H1192" s="7" t="s">
        <v>38</v>
      </c>
      <c r="I1192" s="7" t="s">
        <v>13</v>
      </c>
      <c r="J1192" s="7" t="s">
        <v>4565</v>
      </c>
      <c r="K1192" s="7" t="s">
        <v>4566</v>
      </c>
      <c r="L1192" s="6" t="s">
        <v>5311</v>
      </c>
      <c r="M1192" s="7">
        <v>0</v>
      </c>
      <c r="N1192" s="9" t="s">
        <v>5044</v>
      </c>
      <c r="O1192" s="9" t="s">
        <v>5044</v>
      </c>
      <c r="P1192" s="7">
        <v>0</v>
      </c>
      <c r="Q1192" s="7">
        <v>0</v>
      </c>
      <c r="R1192" s="7">
        <v>0</v>
      </c>
      <c r="S1192" s="7">
        <v>1</v>
      </c>
      <c r="T1192" s="7">
        <v>2</v>
      </c>
      <c r="U1192" s="7">
        <v>31</v>
      </c>
      <c r="V1192" s="7">
        <v>0</v>
      </c>
      <c r="W1192" s="7">
        <v>1</v>
      </c>
      <c r="X1192" s="7">
        <v>0</v>
      </c>
      <c r="Y1192" s="7">
        <v>0</v>
      </c>
      <c r="Z1192" s="7">
        <v>0</v>
      </c>
      <c r="AA1192" s="7">
        <v>0</v>
      </c>
      <c r="AB1192" s="7">
        <v>1</v>
      </c>
      <c r="AC1192" s="7">
        <v>1</v>
      </c>
      <c r="AD1192" s="7" t="s">
        <v>5044</v>
      </c>
      <c r="AE1192" s="7" t="s">
        <v>5044</v>
      </c>
      <c r="AF1192" s="7" t="s">
        <v>5044</v>
      </c>
      <c r="AG1192" s="7">
        <v>2</v>
      </c>
      <c r="AH1192" s="7">
        <v>2</v>
      </c>
      <c r="AI1192" s="7">
        <v>2</v>
      </c>
      <c r="AJ1192" s="7" t="s">
        <v>5044</v>
      </c>
      <c r="AL1192" s="7">
        <v>1</v>
      </c>
      <c r="AM1192" s="7">
        <v>0</v>
      </c>
    </row>
    <row r="1193" spans="1:40" ht="63" customHeight="1" x14ac:dyDescent="0.2">
      <c r="A1193" s="7">
        <v>11908</v>
      </c>
      <c r="B1193" s="7" t="s">
        <v>4568</v>
      </c>
      <c r="C1193" s="7" t="s">
        <v>4569</v>
      </c>
      <c r="D1193" s="7" t="s">
        <v>41</v>
      </c>
      <c r="F1193" s="7" t="s">
        <v>92</v>
      </c>
      <c r="G1193" s="7" t="s">
        <v>52</v>
      </c>
      <c r="H1193" s="7" t="s">
        <v>183</v>
      </c>
      <c r="I1193" s="7" t="s">
        <v>13</v>
      </c>
      <c r="J1193" s="7" t="s">
        <v>4570</v>
      </c>
      <c r="K1193" s="7" t="s">
        <v>4571</v>
      </c>
      <c r="L1193" s="6" t="s">
        <v>5312</v>
      </c>
      <c r="M1193" s="7">
        <v>0</v>
      </c>
      <c r="N1193" s="9" t="s">
        <v>5044</v>
      </c>
      <c r="O1193" s="9" t="s">
        <v>5044</v>
      </c>
      <c r="P1193" s="7">
        <v>0</v>
      </c>
      <c r="Q1193" s="7">
        <v>0</v>
      </c>
      <c r="R1193" s="7">
        <v>0</v>
      </c>
      <c r="S1193" s="7">
        <v>1</v>
      </c>
      <c r="T1193" s="7">
        <v>1</v>
      </c>
      <c r="U1193" s="7">
        <v>45</v>
      </c>
      <c r="V1193" s="7">
        <v>0</v>
      </c>
      <c r="W1193" s="7">
        <v>1</v>
      </c>
      <c r="X1193" s="7">
        <v>0</v>
      </c>
      <c r="Y1193" s="7">
        <v>0</v>
      </c>
      <c r="Z1193" s="7">
        <v>0</v>
      </c>
      <c r="AA1193" s="7">
        <v>0</v>
      </c>
      <c r="AB1193" s="7">
        <v>1</v>
      </c>
      <c r="AC1193" s="7">
        <v>1</v>
      </c>
      <c r="AD1193" s="7" t="s">
        <v>5044</v>
      </c>
      <c r="AE1193" s="7" t="s">
        <v>5044</v>
      </c>
      <c r="AF1193" s="7" t="s">
        <v>5044</v>
      </c>
      <c r="AG1193" s="7">
        <v>1</v>
      </c>
      <c r="AH1193" s="7">
        <v>0</v>
      </c>
      <c r="AI1193" s="7">
        <v>0</v>
      </c>
      <c r="AJ1193" s="7" t="s">
        <v>5044</v>
      </c>
      <c r="AL1193" s="7">
        <v>0</v>
      </c>
      <c r="AM1193" s="7">
        <v>0</v>
      </c>
    </row>
    <row r="1194" spans="1:40" ht="63" customHeight="1" x14ac:dyDescent="0.2">
      <c r="A1194" s="7">
        <v>11915</v>
      </c>
      <c r="B1194" s="7" t="s">
        <v>4572</v>
      </c>
      <c r="C1194" s="7" t="s">
        <v>4573</v>
      </c>
      <c r="D1194" s="7" t="s">
        <v>1828</v>
      </c>
      <c r="F1194" s="7" t="s">
        <v>4574</v>
      </c>
      <c r="G1194" s="7" t="s">
        <v>37</v>
      </c>
      <c r="H1194" s="7" t="s">
        <v>43</v>
      </c>
      <c r="I1194" s="7" t="s">
        <v>13</v>
      </c>
      <c r="J1194" s="7" t="s">
        <v>4575</v>
      </c>
      <c r="K1194" s="7" t="s">
        <v>4576</v>
      </c>
      <c r="L1194" s="6" t="s">
        <v>5313</v>
      </c>
      <c r="M1194" s="7">
        <v>0</v>
      </c>
      <c r="N1194" s="9" t="s">
        <v>5044</v>
      </c>
      <c r="O1194" s="9" t="s">
        <v>5044</v>
      </c>
      <c r="P1194" s="7">
        <v>0</v>
      </c>
      <c r="Q1194" s="7">
        <v>0</v>
      </c>
      <c r="R1194" s="7">
        <v>0</v>
      </c>
      <c r="S1194" s="7">
        <v>1</v>
      </c>
      <c r="T1194" s="7">
        <v>1</v>
      </c>
      <c r="U1194" s="7">
        <v>70</v>
      </c>
      <c r="V1194" s="7">
        <v>0</v>
      </c>
      <c r="W1194" s="7">
        <v>1</v>
      </c>
      <c r="X1194" s="7">
        <v>0</v>
      </c>
      <c r="Y1194" s="7">
        <v>0</v>
      </c>
      <c r="Z1194" s="7">
        <v>0</v>
      </c>
      <c r="AA1194" s="7">
        <v>0</v>
      </c>
      <c r="AB1194" s="7">
        <v>1</v>
      </c>
      <c r="AC1194" s="7">
        <v>1</v>
      </c>
      <c r="AD1194" s="7" t="s">
        <v>5044</v>
      </c>
      <c r="AE1194" s="7" t="s">
        <v>5044</v>
      </c>
      <c r="AF1194" s="7" t="s">
        <v>5044</v>
      </c>
      <c r="AG1194" s="7">
        <v>2</v>
      </c>
      <c r="AH1194" s="7">
        <v>2</v>
      </c>
      <c r="AI1194" s="7">
        <v>2</v>
      </c>
      <c r="AJ1194" s="7" t="s">
        <v>5044</v>
      </c>
      <c r="AL1194" s="7">
        <v>1</v>
      </c>
      <c r="AM1194" s="7">
        <v>0</v>
      </c>
    </row>
    <row r="1195" spans="1:40" ht="63" customHeight="1" x14ac:dyDescent="0.2">
      <c r="A1195" s="7">
        <v>11916</v>
      </c>
      <c r="B1195" s="7" t="s">
        <v>4577</v>
      </c>
      <c r="C1195" s="7" t="s">
        <v>4578</v>
      </c>
      <c r="D1195" s="7" t="s">
        <v>149</v>
      </c>
      <c r="F1195" s="7" t="s">
        <v>36</v>
      </c>
      <c r="G1195" s="7" t="s">
        <v>27</v>
      </c>
      <c r="H1195" s="7" t="s">
        <v>1165</v>
      </c>
      <c r="I1195" s="7" t="s">
        <v>13</v>
      </c>
      <c r="J1195" s="7" t="s">
        <v>4579</v>
      </c>
      <c r="K1195" s="7" t="s">
        <v>4580</v>
      </c>
      <c r="L1195" s="6" t="s">
        <v>5314</v>
      </c>
      <c r="M1195" s="7">
        <v>0</v>
      </c>
      <c r="N1195" s="9" t="s">
        <v>5044</v>
      </c>
      <c r="O1195" s="9" t="s">
        <v>5044</v>
      </c>
      <c r="P1195" s="7">
        <v>0</v>
      </c>
      <c r="Q1195" s="7">
        <v>0</v>
      </c>
      <c r="R1195" s="7">
        <v>0</v>
      </c>
      <c r="S1195" s="7">
        <v>2</v>
      </c>
      <c r="T1195" s="7">
        <v>1</v>
      </c>
      <c r="U1195" s="7">
        <v>112</v>
      </c>
      <c r="V1195" s="7">
        <v>0</v>
      </c>
      <c r="W1195" s="7">
        <v>1</v>
      </c>
      <c r="X1195" s="7">
        <v>0</v>
      </c>
      <c r="Y1195" s="7">
        <v>0</v>
      </c>
      <c r="Z1195" s="7">
        <v>0</v>
      </c>
      <c r="AA1195" s="7">
        <v>0</v>
      </c>
      <c r="AB1195" s="7">
        <v>1</v>
      </c>
      <c r="AC1195" s="7">
        <v>1</v>
      </c>
      <c r="AD1195" s="7" t="s">
        <v>5044</v>
      </c>
      <c r="AE1195" s="7" t="s">
        <v>5044</v>
      </c>
      <c r="AF1195" s="7" t="s">
        <v>5044</v>
      </c>
      <c r="AG1195" s="7">
        <v>2</v>
      </c>
      <c r="AH1195" s="7">
        <v>2</v>
      </c>
      <c r="AI1195" s="7">
        <v>3</v>
      </c>
      <c r="AJ1195" s="7" t="s">
        <v>5044</v>
      </c>
      <c r="AL1195" s="7">
        <v>0</v>
      </c>
      <c r="AM1195" s="7">
        <v>0</v>
      </c>
    </row>
    <row r="1196" spans="1:40" ht="63" customHeight="1" x14ac:dyDescent="0.2">
      <c r="A1196" s="7">
        <v>11917</v>
      </c>
      <c r="B1196" s="7" t="s">
        <v>4581</v>
      </c>
      <c r="C1196" s="7" t="s">
        <v>4582</v>
      </c>
      <c r="D1196" s="7" t="s">
        <v>56</v>
      </c>
      <c r="F1196" s="7" t="s">
        <v>3534</v>
      </c>
      <c r="G1196" s="7" t="s">
        <v>32</v>
      </c>
      <c r="H1196" s="7" t="s">
        <v>224</v>
      </c>
      <c r="I1196" s="7" t="s">
        <v>13</v>
      </c>
      <c r="J1196" s="7" t="s">
        <v>4583</v>
      </c>
      <c r="K1196" s="7" t="s">
        <v>4584</v>
      </c>
      <c r="L1196" s="8" t="s">
        <v>5315</v>
      </c>
      <c r="M1196" s="7">
        <v>0</v>
      </c>
      <c r="N1196" s="9" t="s">
        <v>5044</v>
      </c>
      <c r="O1196" s="9" t="s">
        <v>5044</v>
      </c>
      <c r="P1196" s="7">
        <v>0</v>
      </c>
      <c r="Q1196" s="7">
        <v>0</v>
      </c>
      <c r="R1196" s="7">
        <v>0</v>
      </c>
      <c r="S1196" s="7">
        <v>13</v>
      </c>
      <c r="T1196" s="7">
        <v>1</v>
      </c>
      <c r="U1196" s="7">
        <v>460</v>
      </c>
      <c r="V1196" s="7">
        <v>1</v>
      </c>
      <c r="W1196" s="7">
        <v>1</v>
      </c>
      <c r="X1196" s="7">
        <v>0</v>
      </c>
      <c r="Y1196" s="7">
        <v>0</v>
      </c>
      <c r="Z1196" s="7">
        <v>1</v>
      </c>
      <c r="AA1196" s="7">
        <v>0</v>
      </c>
      <c r="AB1196" s="7">
        <v>1</v>
      </c>
      <c r="AC1196" s="7">
        <v>1</v>
      </c>
      <c r="AD1196" s="7">
        <v>2</v>
      </c>
      <c r="AE1196" s="7">
        <v>1</v>
      </c>
      <c r="AF1196" s="7">
        <v>2</v>
      </c>
      <c r="AG1196" s="7">
        <v>2</v>
      </c>
      <c r="AH1196" s="7">
        <v>1</v>
      </c>
      <c r="AI1196" s="7">
        <v>2</v>
      </c>
      <c r="AJ1196" s="7">
        <v>0</v>
      </c>
      <c r="AL1196" s="7">
        <v>0</v>
      </c>
      <c r="AM1196" s="7">
        <v>0</v>
      </c>
    </row>
    <row r="1197" spans="1:40" ht="63" customHeight="1" x14ac:dyDescent="0.2">
      <c r="A1197" s="7">
        <v>11943</v>
      </c>
      <c r="B1197" s="7" t="s">
        <v>4585</v>
      </c>
      <c r="C1197" s="7" t="s">
        <v>4586</v>
      </c>
      <c r="D1197" s="7" t="s">
        <v>16</v>
      </c>
      <c r="F1197" s="7" t="s">
        <v>27</v>
      </c>
      <c r="G1197" s="7" t="s">
        <v>47</v>
      </c>
      <c r="H1197" s="7" t="s">
        <v>3927</v>
      </c>
      <c r="I1197" s="7" t="s">
        <v>13</v>
      </c>
      <c r="J1197" s="7" t="s">
        <v>4587</v>
      </c>
      <c r="K1197" s="7" t="s">
        <v>4588</v>
      </c>
      <c r="L1197" s="8" t="s">
        <v>5316</v>
      </c>
      <c r="M1197" s="7">
        <v>0</v>
      </c>
      <c r="N1197" s="9" t="s">
        <v>5044</v>
      </c>
      <c r="O1197" s="9" t="s">
        <v>5044</v>
      </c>
      <c r="P1197" s="7">
        <v>0</v>
      </c>
      <c r="Q1197" s="7">
        <v>0</v>
      </c>
      <c r="R1197" s="7">
        <v>0</v>
      </c>
      <c r="S1197" s="7">
        <v>9</v>
      </c>
      <c r="T1197" s="7">
        <v>1</v>
      </c>
      <c r="U1197" s="7">
        <v>15</v>
      </c>
      <c r="V1197" s="7">
        <v>0</v>
      </c>
      <c r="W1197" s="7">
        <v>1</v>
      </c>
      <c r="X1197" s="7">
        <v>0</v>
      </c>
      <c r="Y1197" s="7">
        <v>0</v>
      </c>
      <c r="Z1197" s="7">
        <v>0</v>
      </c>
      <c r="AA1197" s="7">
        <v>0</v>
      </c>
      <c r="AB1197" s="7">
        <v>1</v>
      </c>
      <c r="AC1197" s="7">
        <v>1</v>
      </c>
      <c r="AD1197" s="7" t="s">
        <v>5044</v>
      </c>
      <c r="AE1197" s="7" t="s">
        <v>5044</v>
      </c>
      <c r="AF1197" s="7" t="s">
        <v>5044</v>
      </c>
      <c r="AG1197" s="7">
        <v>1</v>
      </c>
      <c r="AH1197" s="7">
        <v>0</v>
      </c>
      <c r="AI1197" s="7">
        <v>0</v>
      </c>
      <c r="AJ1197" s="7" t="s">
        <v>5044</v>
      </c>
      <c r="AL1197" s="7">
        <v>1</v>
      </c>
      <c r="AM1197" s="7">
        <v>0</v>
      </c>
    </row>
    <row r="1198" spans="1:40" ht="63" customHeight="1" x14ac:dyDescent="0.2">
      <c r="A1198" s="7">
        <v>11957</v>
      </c>
      <c r="B1198" s="7" t="s">
        <v>4589</v>
      </c>
      <c r="C1198" s="7" t="s">
        <v>4590</v>
      </c>
      <c r="D1198" s="7" t="s">
        <v>25</v>
      </c>
      <c r="F1198" s="7" t="s">
        <v>92</v>
      </c>
      <c r="G1198" s="7" t="s">
        <v>37</v>
      </c>
      <c r="H1198" s="7" t="s">
        <v>1188</v>
      </c>
      <c r="I1198" s="7" t="s">
        <v>13</v>
      </c>
      <c r="J1198" s="7" t="s">
        <v>4591</v>
      </c>
      <c r="L1198" s="7" t="s">
        <v>5044</v>
      </c>
      <c r="M1198" s="7">
        <v>0</v>
      </c>
      <c r="N1198" s="9" t="s">
        <v>5044</v>
      </c>
      <c r="O1198" s="9" t="s">
        <v>5044</v>
      </c>
      <c r="P1198" s="7">
        <v>0</v>
      </c>
      <c r="Q1198" s="7">
        <v>0</v>
      </c>
      <c r="R1198" s="7">
        <v>0</v>
      </c>
      <c r="S1198" s="7">
        <v>3</v>
      </c>
      <c r="T1198" s="7">
        <v>4</v>
      </c>
      <c r="U1198" s="7">
        <v>60</v>
      </c>
      <c r="V1198" s="7">
        <v>0</v>
      </c>
      <c r="W1198" s="7">
        <v>1</v>
      </c>
      <c r="X1198" s="7">
        <v>0</v>
      </c>
      <c r="Y1198" s="7">
        <v>0</v>
      </c>
      <c r="Z1198" s="7">
        <v>0</v>
      </c>
      <c r="AA1198" s="7">
        <v>0</v>
      </c>
      <c r="AB1198" s="7">
        <v>1</v>
      </c>
      <c r="AC1198" s="7">
        <v>1</v>
      </c>
      <c r="AD1198" s="7" t="s">
        <v>5044</v>
      </c>
      <c r="AE1198" s="7" t="s">
        <v>5044</v>
      </c>
      <c r="AF1198" s="7" t="s">
        <v>5044</v>
      </c>
      <c r="AG1198" s="7">
        <v>1</v>
      </c>
      <c r="AH1198" s="7">
        <v>0</v>
      </c>
      <c r="AI1198" s="7">
        <v>0</v>
      </c>
      <c r="AJ1198" s="7" t="s">
        <v>5044</v>
      </c>
      <c r="AL1198" s="7">
        <v>1</v>
      </c>
      <c r="AM1198" s="7">
        <v>0</v>
      </c>
    </row>
    <row r="1199" spans="1:40" ht="63" customHeight="1" x14ac:dyDescent="0.2">
      <c r="A1199" s="7">
        <v>11973</v>
      </c>
      <c r="B1199" s="7" t="s">
        <v>4592</v>
      </c>
      <c r="C1199" s="7" t="s">
        <v>4593</v>
      </c>
      <c r="D1199" s="7" t="s">
        <v>46</v>
      </c>
      <c r="F1199" s="7" t="s">
        <v>4542</v>
      </c>
      <c r="G1199" s="7" t="s">
        <v>52</v>
      </c>
      <c r="H1199" s="7" t="s">
        <v>43</v>
      </c>
      <c r="I1199" s="7" t="s">
        <v>13</v>
      </c>
      <c r="J1199" s="7" t="s">
        <v>4594</v>
      </c>
      <c r="K1199" s="7" t="s">
        <v>4595</v>
      </c>
      <c r="L1199" s="6" t="s">
        <v>5317</v>
      </c>
      <c r="M1199" s="7">
        <v>0</v>
      </c>
      <c r="N1199" s="9" t="s">
        <v>5044</v>
      </c>
      <c r="O1199" s="9" t="s">
        <v>5044</v>
      </c>
      <c r="P1199" s="7">
        <v>0</v>
      </c>
      <c r="Q1199" s="7">
        <v>0</v>
      </c>
      <c r="R1199" s="7">
        <v>0</v>
      </c>
      <c r="S1199" s="7" t="s">
        <v>5357</v>
      </c>
      <c r="T1199" s="7">
        <v>2</v>
      </c>
      <c r="U1199" s="7">
        <v>63</v>
      </c>
      <c r="V1199" s="7">
        <v>0</v>
      </c>
      <c r="W1199" s="7">
        <v>1</v>
      </c>
      <c r="X1199" s="7">
        <v>0</v>
      </c>
      <c r="Y1199" s="7">
        <v>0</v>
      </c>
      <c r="Z1199" s="7">
        <v>0</v>
      </c>
      <c r="AA1199" s="7">
        <v>0</v>
      </c>
      <c r="AB1199" s="7">
        <v>1</v>
      </c>
      <c r="AC1199" s="7">
        <v>0</v>
      </c>
      <c r="AD1199" s="7" t="s">
        <v>5044</v>
      </c>
      <c r="AE1199" s="7" t="s">
        <v>5044</v>
      </c>
      <c r="AF1199" s="7" t="s">
        <v>5044</v>
      </c>
      <c r="AG1199" s="7">
        <v>0</v>
      </c>
      <c r="AH1199" s="7" t="s">
        <v>5044</v>
      </c>
      <c r="AI1199" s="7" t="s">
        <v>5044</v>
      </c>
      <c r="AJ1199" s="7" t="s">
        <v>5044</v>
      </c>
      <c r="AK1199" s="7" t="s">
        <v>5318</v>
      </c>
      <c r="AL1199" s="7">
        <v>1</v>
      </c>
      <c r="AM1199" s="7">
        <v>0</v>
      </c>
      <c r="AN1199" s="7" t="s">
        <v>5318</v>
      </c>
    </row>
    <row r="1200" spans="1:40" ht="63" customHeight="1" x14ac:dyDescent="0.2">
      <c r="A1200" s="7">
        <v>11975</v>
      </c>
      <c r="B1200" s="7" t="s">
        <v>4596</v>
      </c>
      <c r="C1200" s="7" t="s">
        <v>4597</v>
      </c>
      <c r="D1200" s="7" t="s">
        <v>149</v>
      </c>
      <c r="F1200" s="7" t="s">
        <v>80</v>
      </c>
      <c r="G1200" s="7" t="s">
        <v>144</v>
      </c>
      <c r="H1200" s="7" t="s">
        <v>38</v>
      </c>
      <c r="I1200" s="7" t="s">
        <v>13</v>
      </c>
      <c r="J1200" s="7" t="s">
        <v>4598</v>
      </c>
      <c r="K1200" s="7" t="s">
        <v>4599</v>
      </c>
      <c r="L1200" s="7">
        <v>35140084</v>
      </c>
      <c r="M1200" s="7">
        <v>0</v>
      </c>
      <c r="N1200" s="9" t="s">
        <v>5044</v>
      </c>
      <c r="O1200" s="9" t="s">
        <v>5044</v>
      </c>
      <c r="P1200" s="7">
        <v>0</v>
      </c>
      <c r="Q1200" s="7">
        <v>0</v>
      </c>
      <c r="R1200" s="7">
        <v>0</v>
      </c>
      <c r="S1200" s="7">
        <v>1</v>
      </c>
      <c r="T1200" s="7">
        <v>1</v>
      </c>
      <c r="U1200" s="7">
        <v>60</v>
      </c>
      <c r="V1200" s="7">
        <v>1</v>
      </c>
      <c r="W1200" s="7">
        <v>0</v>
      </c>
      <c r="X1200" s="7">
        <v>0</v>
      </c>
      <c r="Y1200" s="7">
        <v>0</v>
      </c>
      <c r="Z1200" s="7">
        <v>0</v>
      </c>
      <c r="AA1200" s="7">
        <v>0</v>
      </c>
      <c r="AB1200" s="7">
        <v>1</v>
      </c>
      <c r="AC1200" s="7">
        <v>1</v>
      </c>
      <c r="AD1200" s="7">
        <v>1</v>
      </c>
      <c r="AE1200" s="7">
        <v>0</v>
      </c>
      <c r="AF1200" s="7">
        <v>0</v>
      </c>
      <c r="AG1200" s="7" t="s">
        <v>5044</v>
      </c>
      <c r="AH1200" s="7" t="s">
        <v>5044</v>
      </c>
      <c r="AI1200" s="7" t="s">
        <v>5044</v>
      </c>
      <c r="AJ1200" s="7" t="s">
        <v>5044</v>
      </c>
      <c r="AK1200" s="7" t="s">
        <v>5318</v>
      </c>
      <c r="AL1200" s="7">
        <v>1</v>
      </c>
      <c r="AM1200" s="7">
        <v>0</v>
      </c>
    </row>
    <row r="1201" spans="1:40" ht="63" customHeight="1" x14ac:dyDescent="0.2">
      <c r="A1201" s="7">
        <v>11982</v>
      </c>
      <c r="B1201" s="7" t="s">
        <v>4600</v>
      </c>
      <c r="C1201" s="7" t="s">
        <v>4601</v>
      </c>
      <c r="D1201" s="7" t="s">
        <v>101</v>
      </c>
      <c r="E1201" s="7" t="s">
        <v>305</v>
      </c>
      <c r="F1201" s="7" t="s">
        <v>31</v>
      </c>
      <c r="G1201" s="7" t="s">
        <v>52</v>
      </c>
      <c r="H1201" s="7" t="s">
        <v>3364</v>
      </c>
      <c r="I1201" s="7" t="s">
        <v>13</v>
      </c>
      <c r="J1201" s="7" t="s">
        <v>4602</v>
      </c>
      <c r="K1201" s="7" t="s">
        <v>4603</v>
      </c>
      <c r="L1201" s="6" t="s">
        <v>5319</v>
      </c>
      <c r="M1201" s="7">
        <v>1</v>
      </c>
      <c r="N1201" s="7">
        <v>0</v>
      </c>
      <c r="O1201" s="9" t="s">
        <v>5044</v>
      </c>
      <c r="P1201" s="7">
        <v>0</v>
      </c>
      <c r="Q1201" s="7">
        <v>0</v>
      </c>
      <c r="R1201" s="7">
        <v>0</v>
      </c>
      <c r="S1201" s="7">
        <v>3</v>
      </c>
      <c r="T1201" s="7">
        <v>1</v>
      </c>
      <c r="U1201" s="7">
        <v>328</v>
      </c>
      <c r="V1201" s="7">
        <v>0</v>
      </c>
      <c r="W1201" s="7">
        <v>1</v>
      </c>
      <c r="X1201" s="7">
        <v>0</v>
      </c>
      <c r="Y1201" s="7">
        <v>0</v>
      </c>
      <c r="Z1201" s="7">
        <v>0</v>
      </c>
      <c r="AA1201" s="7">
        <v>0</v>
      </c>
      <c r="AB1201" s="7">
        <v>1</v>
      </c>
      <c r="AC1201" s="7" t="s">
        <v>5044</v>
      </c>
      <c r="AD1201" s="7" t="s">
        <v>5044</v>
      </c>
      <c r="AE1201" s="7" t="s">
        <v>5044</v>
      </c>
      <c r="AF1201" s="7" t="s">
        <v>5044</v>
      </c>
      <c r="AG1201" s="7" t="s">
        <v>5044</v>
      </c>
      <c r="AH1201" s="7" t="s">
        <v>5044</v>
      </c>
      <c r="AI1201" s="7" t="s">
        <v>5044</v>
      </c>
      <c r="AJ1201" s="7" t="s">
        <v>5044</v>
      </c>
      <c r="AK1201" s="7" t="s">
        <v>5318</v>
      </c>
      <c r="AL1201" s="7" t="s">
        <v>5044</v>
      </c>
      <c r="AM1201" s="7">
        <v>0</v>
      </c>
      <c r="AN1201" s="7" t="s">
        <v>5318</v>
      </c>
    </row>
    <row r="1202" spans="1:40" ht="63" customHeight="1" x14ac:dyDescent="0.2">
      <c r="A1202" s="7">
        <v>11996</v>
      </c>
      <c r="B1202" s="7" t="s">
        <v>4604</v>
      </c>
      <c r="C1202" s="7" t="s">
        <v>4605</v>
      </c>
      <c r="D1202" s="7" t="s">
        <v>1092</v>
      </c>
      <c r="F1202" s="7" t="s">
        <v>51</v>
      </c>
      <c r="G1202" s="7" t="s">
        <v>48</v>
      </c>
      <c r="H1202" s="7" t="s">
        <v>238</v>
      </c>
      <c r="I1202" s="7" t="s">
        <v>13</v>
      </c>
      <c r="J1202" s="7" t="s">
        <v>4606</v>
      </c>
      <c r="K1202" s="7" t="s">
        <v>4607</v>
      </c>
      <c r="L1202" s="11" t="s">
        <v>5044</v>
      </c>
      <c r="M1202" s="7">
        <v>0</v>
      </c>
      <c r="N1202" s="9" t="s">
        <v>5044</v>
      </c>
      <c r="O1202" s="9" t="s">
        <v>5044</v>
      </c>
      <c r="P1202" s="7">
        <v>0</v>
      </c>
      <c r="Q1202" s="7">
        <v>0</v>
      </c>
      <c r="R1202" s="7">
        <v>0</v>
      </c>
      <c r="S1202" s="7">
        <v>3</v>
      </c>
      <c r="T1202" s="7">
        <v>2</v>
      </c>
      <c r="U1202" s="7">
        <v>40</v>
      </c>
      <c r="V1202" s="7">
        <v>0</v>
      </c>
      <c r="W1202" s="7">
        <v>1</v>
      </c>
      <c r="X1202" s="7">
        <v>0</v>
      </c>
      <c r="Y1202" s="7">
        <v>0</v>
      </c>
      <c r="Z1202" s="7">
        <v>0</v>
      </c>
      <c r="AA1202" s="7">
        <v>0</v>
      </c>
      <c r="AB1202" s="7">
        <v>1</v>
      </c>
      <c r="AC1202" s="7">
        <v>1</v>
      </c>
      <c r="AD1202" s="7" t="s">
        <v>5044</v>
      </c>
      <c r="AE1202" s="7" t="s">
        <v>5044</v>
      </c>
      <c r="AF1202" s="7" t="s">
        <v>5044</v>
      </c>
      <c r="AG1202" s="7">
        <v>2</v>
      </c>
      <c r="AH1202" s="7">
        <v>3</v>
      </c>
      <c r="AI1202" s="7">
        <v>0</v>
      </c>
      <c r="AJ1202" s="7" t="s">
        <v>5044</v>
      </c>
      <c r="AK1202" s="7" t="s">
        <v>5318</v>
      </c>
      <c r="AL1202" s="7">
        <v>1</v>
      </c>
      <c r="AM1202" s="7">
        <v>0</v>
      </c>
    </row>
    <row r="1203" spans="1:40" ht="63" customHeight="1" x14ac:dyDescent="0.2">
      <c r="A1203" s="7">
        <v>11998</v>
      </c>
      <c r="B1203" s="7" t="s">
        <v>4608</v>
      </c>
      <c r="C1203" s="7" t="s">
        <v>4609</v>
      </c>
      <c r="D1203" s="7" t="s">
        <v>22</v>
      </c>
      <c r="F1203" s="7" t="s">
        <v>303</v>
      </c>
      <c r="G1203" s="7" t="s">
        <v>11</v>
      </c>
      <c r="H1203" s="7" t="s">
        <v>557</v>
      </c>
      <c r="I1203" s="7" t="s">
        <v>13</v>
      </c>
      <c r="J1203" s="7" t="s">
        <v>4610</v>
      </c>
      <c r="K1203" s="7" t="s">
        <v>4611</v>
      </c>
      <c r="L1203" s="7" t="s">
        <v>5320</v>
      </c>
      <c r="M1203" s="7">
        <v>0</v>
      </c>
      <c r="N1203" s="9" t="s">
        <v>5044</v>
      </c>
      <c r="O1203" s="9" t="s">
        <v>5044</v>
      </c>
      <c r="P1203" s="7">
        <v>0</v>
      </c>
      <c r="Q1203" s="7">
        <v>0</v>
      </c>
      <c r="R1203" s="7">
        <v>0</v>
      </c>
      <c r="S1203" s="7">
        <v>11</v>
      </c>
      <c r="T1203" s="7">
        <v>1</v>
      </c>
      <c r="U1203" s="7">
        <v>209</v>
      </c>
      <c r="V1203" s="7">
        <v>0</v>
      </c>
      <c r="W1203" s="7">
        <v>1</v>
      </c>
      <c r="X1203" s="7">
        <v>0</v>
      </c>
      <c r="Y1203" s="7">
        <v>0</v>
      </c>
      <c r="Z1203" s="7">
        <v>0</v>
      </c>
      <c r="AA1203" s="7">
        <v>0</v>
      </c>
      <c r="AB1203" s="7">
        <v>1</v>
      </c>
      <c r="AC1203" s="7">
        <v>1</v>
      </c>
      <c r="AD1203" s="7" t="s">
        <v>5044</v>
      </c>
      <c r="AE1203" s="7" t="s">
        <v>5044</v>
      </c>
      <c r="AF1203" s="7" t="s">
        <v>5044</v>
      </c>
      <c r="AG1203" s="7">
        <v>2</v>
      </c>
      <c r="AH1203" s="7">
        <v>3</v>
      </c>
      <c r="AI1203" s="7">
        <v>0</v>
      </c>
      <c r="AJ1203" s="7" t="s">
        <v>5044</v>
      </c>
      <c r="AK1203" s="7">
        <v>1</v>
      </c>
      <c r="AL1203" s="7">
        <v>0</v>
      </c>
      <c r="AM1203" s="7">
        <v>0</v>
      </c>
    </row>
    <row r="1204" spans="1:40" ht="63" customHeight="1" x14ac:dyDescent="0.2">
      <c r="A1204" s="7">
        <v>12004</v>
      </c>
      <c r="B1204" s="7" t="s">
        <v>4612</v>
      </c>
      <c r="C1204" s="7" t="s">
        <v>4613</v>
      </c>
      <c r="D1204" s="7" t="s">
        <v>25</v>
      </c>
      <c r="F1204" s="7" t="s">
        <v>3812</v>
      </c>
      <c r="G1204" s="7" t="s">
        <v>11</v>
      </c>
      <c r="H1204" s="7" t="s">
        <v>43</v>
      </c>
      <c r="I1204" s="7" t="s">
        <v>437</v>
      </c>
      <c r="J1204" s="7" t="s">
        <v>4614</v>
      </c>
      <c r="K1204" s="7" t="s">
        <v>4615</v>
      </c>
      <c r="L1204" s="6" t="s">
        <v>5321</v>
      </c>
      <c r="M1204" s="7">
        <v>0</v>
      </c>
      <c r="N1204" s="9" t="s">
        <v>5044</v>
      </c>
      <c r="O1204" s="9" t="s">
        <v>5044</v>
      </c>
      <c r="P1204" s="7">
        <v>0</v>
      </c>
      <c r="Q1204" s="7">
        <v>0</v>
      </c>
      <c r="R1204" s="7">
        <v>0</v>
      </c>
      <c r="S1204" s="7">
        <v>1</v>
      </c>
      <c r="T1204" s="7">
        <v>1</v>
      </c>
      <c r="U1204" s="7">
        <v>65</v>
      </c>
      <c r="V1204" s="7">
        <v>0</v>
      </c>
      <c r="W1204" s="7">
        <v>1</v>
      </c>
      <c r="X1204" s="7">
        <v>0</v>
      </c>
      <c r="Y1204" s="7">
        <v>0</v>
      </c>
      <c r="Z1204" s="7">
        <v>0</v>
      </c>
      <c r="AA1204" s="7">
        <v>0</v>
      </c>
      <c r="AB1204" s="7">
        <v>1</v>
      </c>
      <c r="AC1204" s="7">
        <v>1</v>
      </c>
      <c r="AD1204" s="7" t="s">
        <v>5044</v>
      </c>
      <c r="AE1204" s="7" t="s">
        <v>5044</v>
      </c>
      <c r="AF1204" s="7" t="s">
        <v>5044</v>
      </c>
      <c r="AG1204" s="7">
        <v>2</v>
      </c>
      <c r="AH1204" s="7">
        <v>3</v>
      </c>
      <c r="AI1204" s="7">
        <v>0</v>
      </c>
      <c r="AJ1204" s="7" t="s">
        <v>5044</v>
      </c>
      <c r="AK1204" s="7">
        <v>1</v>
      </c>
      <c r="AL1204" s="7">
        <v>1</v>
      </c>
      <c r="AM1204" s="7">
        <v>0</v>
      </c>
      <c r="AN1204" s="7" t="s">
        <v>5318</v>
      </c>
    </row>
    <row r="1205" spans="1:40" ht="63" customHeight="1" x14ac:dyDescent="0.2">
      <c r="A1205" s="7">
        <v>12009</v>
      </c>
      <c r="B1205" s="23" t="s">
        <v>4616</v>
      </c>
      <c r="C1205" s="7" t="s">
        <v>4617</v>
      </c>
      <c r="D1205" s="7" t="s">
        <v>22</v>
      </c>
      <c r="F1205" s="7" t="s">
        <v>626</v>
      </c>
      <c r="G1205" s="7" t="s">
        <v>52</v>
      </c>
      <c r="H1205" s="7" t="s">
        <v>43</v>
      </c>
      <c r="I1205" s="7" t="s">
        <v>13</v>
      </c>
      <c r="J1205" s="7" t="s">
        <v>4618</v>
      </c>
      <c r="K1205" s="7" t="s">
        <v>4619</v>
      </c>
      <c r="L1205" s="6" t="s">
        <v>5322</v>
      </c>
      <c r="M1205" s="7">
        <v>0</v>
      </c>
      <c r="N1205" s="9" t="s">
        <v>5044</v>
      </c>
      <c r="O1205" s="9" t="s">
        <v>5044</v>
      </c>
      <c r="P1205" s="7">
        <v>0</v>
      </c>
      <c r="Q1205" s="7">
        <v>0</v>
      </c>
      <c r="R1205" s="7">
        <v>0</v>
      </c>
      <c r="S1205" s="7">
        <v>9</v>
      </c>
      <c r="T1205" s="7">
        <v>1</v>
      </c>
      <c r="U1205" s="7">
        <v>144</v>
      </c>
      <c r="V1205" s="7">
        <v>0</v>
      </c>
      <c r="W1205" s="7">
        <v>1</v>
      </c>
      <c r="X1205" s="7">
        <v>0</v>
      </c>
      <c r="Y1205" s="7">
        <v>0</v>
      </c>
      <c r="Z1205" s="7">
        <v>0</v>
      </c>
      <c r="AA1205" s="7">
        <v>0</v>
      </c>
      <c r="AB1205" s="7">
        <v>1</v>
      </c>
      <c r="AC1205" s="7">
        <v>0</v>
      </c>
      <c r="AD1205" s="7">
        <v>0</v>
      </c>
      <c r="AE1205" s="7" t="s">
        <v>5044</v>
      </c>
      <c r="AF1205" s="7" t="s">
        <v>5044</v>
      </c>
      <c r="AG1205" s="7">
        <v>0</v>
      </c>
      <c r="AH1205" s="7" t="s">
        <v>5044</v>
      </c>
      <c r="AI1205" s="7" t="s">
        <v>5044</v>
      </c>
      <c r="AJ1205" s="7" t="s">
        <v>5044</v>
      </c>
      <c r="AK1205" s="7" t="s">
        <v>5318</v>
      </c>
      <c r="AL1205" s="7">
        <v>1</v>
      </c>
      <c r="AM1205" s="7">
        <v>0</v>
      </c>
      <c r="AN1205" s="7" t="s">
        <v>5318</v>
      </c>
    </row>
    <row r="1206" spans="1:40" ht="63" customHeight="1" x14ac:dyDescent="0.2">
      <c r="A1206" s="7">
        <v>12010</v>
      </c>
      <c r="B1206" s="7" t="s">
        <v>4620</v>
      </c>
      <c r="C1206" s="7" t="s">
        <v>4621</v>
      </c>
      <c r="D1206" s="7" t="s">
        <v>101</v>
      </c>
      <c r="F1206" s="7" t="s">
        <v>51</v>
      </c>
      <c r="G1206" s="7" t="s">
        <v>52</v>
      </c>
      <c r="H1206" s="7" t="s">
        <v>638</v>
      </c>
      <c r="I1206" s="7" t="s">
        <v>13</v>
      </c>
      <c r="J1206" s="7" t="s">
        <v>4622</v>
      </c>
      <c r="K1206" s="7" t="s">
        <v>4623</v>
      </c>
      <c r="L1206" s="6" t="s">
        <v>5323</v>
      </c>
      <c r="M1206" s="7">
        <v>1</v>
      </c>
      <c r="N1206" s="7">
        <v>0</v>
      </c>
      <c r="O1206" s="9" t="s">
        <v>5044</v>
      </c>
      <c r="P1206" s="7">
        <v>0</v>
      </c>
      <c r="Q1206" s="7">
        <v>0</v>
      </c>
      <c r="R1206" s="7">
        <v>0</v>
      </c>
      <c r="S1206" s="7">
        <v>9</v>
      </c>
      <c r="T1206" s="7">
        <v>1</v>
      </c>
      <c r="U1206" s="7">
        <v>158</v>
      </c>
      <c r="V1206" s="7">
        <v>0</v>
      </c>
      <c r="W1206" s="7">
        <v>1</v>
      </c>
      <c r="X1206" s="7">
        <v>0</v>
      </c>
      <c r="Y1206" s="7">
        <v>0</v>
      </c>
      <c r="Z1206" s="7">
        <v>0</v>
      </c>
      <c r="AA1206" s="7">
        <v>0</v>
      </c>
      <c r="AB1206" s="7">
        <v>1</v>
      </c>
      <c r="AC1206" s="7" t="s">
        <v>5044</v>
      </c>
      <c r="AD1206" s="7" t="s">
        <v>5044</v>
      </c>
      <c r="AE1206" s="7" t="s">
        <v>5044</v>
      </c>
      <c r="AF1206" s="7" t="s">
        <v>5044</v>
      </c>
      <c r="AG1206" s="7" t="s">
        <v>5044</v>
      </c>
      <c r="AH1206" s="7" t="s">
        <v>5044</v>
      </c>
      <c r="AI1206" s="7" t="s">
        <v>5044</v>
      </c>
      <c r="AJ1206" s="7" t="s">
        <v>5044</v>
      </c>
      <c r="AK1206" s="7" t="s">
        <v>5318</v>
      </c>
      <c r="AL1206" s="7" t="s">
        <v>5044</v>
      </c>
      <c r="AM1206" s="7">
        <v>0</v>
      </c>
      <c r="AN1206" s="7" t="s">
        <v>5318</v>
      </c>
    </row>
    <row r="1207" spans="1:40" ht="63" customHeight="1" x14ac:dyDescent="0.2">
      <c r="A1207" s="7">
        <v>12012</v>
      </c>
      <c r="B1207" s="7" t="s">
        <v>4624</v>
      </c>
      <c r="C1207" s="7" t="s">
        <v>4625</v>
      </c>
      <c r="D1207" s="7" t="s">
        <v>25</v>
      </c>
      <c r="F1207" s="7" t="s">
        <v>4626</v>
      </c>
      <c r="G1207" s="7" t="s">
        <v>48</v>
      </c>
      <c r="H1207" s="7" t="s">
        <v>993</v>
      </c>
      <c r="I1207" s="7" t="s">
        <v>13</v>
      </c>
      <c r="J1207" s="7" t="s">
        <v>4627</v>
      </c>
      <c r="K1207" s="7" t="s">
        <v>4628</v>
      </c>
      <c r="L1207" s="6" t="s">
        <v>5324</v>
      </c>
      <c r="M1207" s="7">
        <v>0</v>
      </c>
      <c r="N1207" s="9" t="s">
        <v>5044</v>
      </c>
      <c r="O1207" s="9" t="s">
        <v>5044</v>
      </c>
      <c r="P1207" s="7">
        <v>0</v>
      </c>
      <c r="Q1207" s="7">
        <v>0</v>
      </c>
      <c r="R1207" s="7">
        <v>0</v>
      </c>
      <c r="S1207" s="7">
        <v>5</v>
      </c>
      <c r="T1207" s="7">
        <v>2</v>
      </c>
      <c r="U1207" s="7">
        <v>408</v>
      </c>
      <c r="V1207" s="7">
        <v>0</v>
      </c>
      <c r="W1207" s="7">
        <v>1</v>
      </c>
      <c r="X1207" s="7">
        <v>0</v>
      </c>
      <c r="Y1207" s="7">
        <v>0</v>
      </c>
      <c r="Z1207" s="7">
        <v>0</v>
      </c>
      <c r="AA1207" s="7">
        <v>0</v>
      </c>
      <c r="AB1207" s="7">
        <v>1</v>
      </c>
      <c r="AC1207" s="7">
        <v>1</v>
      </c>
      <c r="AD1207" s="7" t="s">
        <v>5044</v>
      </c>
      <c r="AE1207" s="7" t="s">
        <v>5044</v>
      </c>
      <c r="AF1207" s="7" t="s">
        <v>5044</v>
      </c>
      <c r="AG1207" s="7">
        <v>2</v>
      </c>
      <c r="AH1207" s="7">
        <v>3</v>
      </c>
      <c r="AI1207" s="7">
        <v>0</v>
      </c>
      <c r="AJ1207" s="7" t="s">
        <v>5044</v>
      </c>
      <c r="AK1207" s="7" t="s">
        <v>5318</v>
      </c>
      <c r="AL1207" s="7">
        <v>0</v>
      </c>
      <c r="AM1207" s="7">
        <v>0</v>
      </c>
      <c r="AN1207" s="7" t="s">
        <v>5318</v>
      </c>
    </row>
    <row r="1208" spans="1:40" ht="63" customHeight="1" x14ac:dyDescent="0.2">
      <c r="A1208" s="7">
        <v>12023</v>
      </c>
      <c r="B1208" s="7" t="s">
        <v>4629</v>
      </c>
      <c r="C1208" s="7" t="s">
        <v>4630</v>
      </c>
      <c r="D1208" s="7" t="s">
        <v>16</v>
      </c>
      <c r="F1208" s="7" t="s">
        <v>31</v>
      </c>
      <c r="G1208" s="7" t="s">
        <v>175</v>
      </c>
      <c r="H1208" s="7" t="s">
        <v>413</v>
      </c>
      <c r="I1208" s="7" t="s">
        <v>13</v>
      </c>
      <c r="J1208" s="7" t="s">
        <v>4631</v>
      </c>
      <c r="K1208" s="7" t="s">
        <v>4632</v>
      </c>
      <c r="L1208" s="6" t="s">
        <v>5325</v>
      </c>
      <c r="M1208" s="7">
        <v>0</v>
      </c>
      <c r="N1208" s="9" t="s">
        <v>5044</v>
      </c>
      <c r="O1208" s="9" t="s">
        <v>5044</v>
      </c>
      <c r="P1208" s="7">
        <v>0</v>
      </c>
      <c r="Q1208" s="7">
        <v>0</v>
      </c>
      <c r="R1208" s="7">
        <v>1</v>
      </c>
      <c r="S1208" s="7">
        <v>1</v>
      </c>
      <c r="T1208" s="7">
        <v>1</v>
      </c>
      <c r="U1208" s="7">
        <v>311</v>
      </c>
      <c r="V1208" s="7">
        <v>0</v>
      </c>
      <c r="W1208" s="7">
        <v>1</v>
      </c>
      <c r="X1208" s="7">
        <v>0</v>
      </c>
      <c r="Y1208" s="7">
        <v>0</v>
      </c>
      <c r="Z1208" s="7">
        <v>0</v>
      </c>
      <c r="AA1208" s="7">
        <v>0</v>
      </c>
      <c r="AB1208" s="7">
        <v>1</v>
      </c>
      <c r="AC1208" s="7">
        <v>1</v>
      </c>
      <c r="AD1208" s="7" t="s">
        <v>5044</v>
      </c>
      <c r="AE1208" s="7" t="s">
        <v>5044</v>
      </c>
      <c r="AF1208" s="7" t="s">
        <v>5044</v>
      </c>
      <c r="AG1208" s="7">
        <v>2</v>
      </c>
      <c r="AH1208" s="7">
        <v>2</v>
      </c>
      <c r="AI1208" s="7">
        <v>3</v>
      </c>
      <c r="AJ1208" s="7" t="s">
        <v>5044</v>
      </c>
      <c r="AK1208" s="7" t="s">
        <v>5318</v>
      </c>
      <c r="AL1208" s="7">
        <v>0</v>
      </c>
      <c r="AM1208" s="7">
        <v>0</v>
      </c>
      <c r="AN1208" s="7" t="s">
        <v>5326</v>
      </c>
    </row>
    <row r="1209" spans="1:40" ht="63" customHeight="1" x14ac:dyDescent="0.2">
      <c r="A1209" s="7">
        <v>12029</v>
      </c>
      <c r="B1209" s="7" t="s">
        <v>4633</v>
      </c>
      <c r="C1209" s="7" t="s">
        <v>4634</v>
      </c>
      <c r="D1209" s="7" t="s">
        <v>25</v>
      </c>
      <c r="F1209" s="7" t="s">
        <v>237</v>
      </c>
      <c r="G1209" s="7" t="s">
        <v>144</v>
      </c>
      <c r="H1209" s="7" t="s">
        <v>160</v>
      </c>
      <c r="I1209" s="7" t="s">
        <v>13</v>
      </c>
      <c r="J1209" s="7" t="s">
        <v>4635</v>
      </c>
      <c r="K1209" s="7" t="s">
        <v>4636</v>
      </c>
      <c r="L1209" s="7" t="s">
        <v>5327</v>
      </c>
      <c r="M1209" s="7">
        <v>0</v>
      </c>
      <c r="N1209" s="9" t="s">
        <v>5044</v>
      </c>
      <c r="O1209" s="9" t="s">
        <v>5044</v>
      </c>
      <c r="P1209" s="7">
        <v>0</v>
      </c>
      <c r="Q1209" s="7">
        <v>0</v>
      </c>
      <c r="R1209" s="7">
        <v>0</v>
      </c>
      <c r="S1209" s="7">
        <v>11</v>
      </c>
      <c r="T1209" s="7">
        <v>4</v>
      </c>
      <c r="U1209" s="7">
        <v>168</v>
      </c>
      <c r="V1209" s="7">
        <v>0</v>
      </c>
      <c r="W1209" s="7">
        <v>1</v>
      </c>
      <c r="X1209" s="7">
        <v>0</v>
      </c>
      <c r="Y1209" s="7">
        <v>0</v>
      </c>
      <c r="Z1209" s="7">
        <v>0</v>
      </c>
      <c r="AA1209" s="7">
        <v>0</v>
      </c>
      <c r="AB1209" s="7">
        <v>1</v>
      </c>
      <c r="AC1209" s="7">
        <v>1</v>
      </c>
      <c r="AD1209" s="7" t="s">
        <v>5044</v>
      </c>
      <c r="AE1209" s="7" t="s">
        <v>5044</v>
      </c>
      <c r="AF1209" s="7" t="s">
        <v>5044</v>
      </c>
      <c r="AG1209" s="7">
        <v>1</v>
      </c>
      <c r="AH1209" s="7">
        <v>0</v>
      </c>
      <c r="AI1209" s="7">
        <v>0</v>
      </c>
      <c r="AJ1209" s="7" t="s">
        <v>5044</v>
      </c>
      <c r="AK1209" s="7" t="s">
        <v>5318</v>
      </c>
      <c r="AL1209" s="7">
        <v>0</v>
      </c>
      <c r="AM1209" s="7">
        <v>0</v>
      </c>
    </row>
    <row r="1210" spans="1:40" ht="63" customHeight="1" x14ac:dyDescent="0.2">
      <c r="A1210" s="7">
        <v>12037</v>
      </c>
      <c r="B1210" s="7" t="s">
        <v>4637</v>
      </c>
      <c r="C1210" s="7" t="s">
        <v>4638</v>
      </c>
      <c r="D1210" s="7" t="s">
        <v>16</v>
      </c>
      <c r="F1210" s="7" t="s">
        <v>17</v>
      </c>
      <c r="G1210" s="7" t="s">
        <v>52</v>
      </c>
      <c r="H1210" s="7" t="s">
        <v>183</v>
      </c>
      <c r="I1210" s="7" t="s">
        <v>13</v>
      </c>
      <c r="J1210" s="7" t="s">
        <v>4639</v>
      </c>
      <c r="K1210" s="7" t="s">
        <v>4640</v>
      </c>
      <c r="L1210" s="7" t="s">
        <v>5148</v>
      </c>
      <c r="M1210" s="7">
        <v>0</v>
      </c>
      <c r="N1210" s="9" t="s">
        <v>5044</v>
      </c>
      <c r="O1210" s="9" t="s">
        <v>5044</v>
      </c>
      <c r="P1210" s="7">
        <v>0</v>
      </c>
      <c r="Q1210" s="7">
        <v>0</v>
      </c>
      <c r="R1210" s="7">
        <v>0</v>
      </c>
      <c r="S1210" s="7">
        <v>9</v>
      </c>
      <c r="T1210" s="7">
        <v>4</v>
      </c>
      <c r="U1210" s="7">
        <v>94</v>
      </c>
      <c r="V1210" s="7">
        <v>0</v>
      </c>
      <c r="W1210" s="7">
        <v>1</v>
      </c>
      <c r="X1210" s="7">
        <v>0</v>
      </c>
      <c r="Y1210" s="7">
        <v>0</v>
      </c>
      <c r="Z1210" s="7">
        <v>0</v>
      </c>
      <c r="AA1210" s="7">
        <v>0</v>
      </c>
      <c r="AB1210" s="7">
        <v>1</v>
      </c>
      <c r="AC1210" s="7">
        <v>1</v>
      </c>
      <c r="AD1210" s="7" t="s">
        <v>5044</v>
      </c>
      <c r="AE1210" s="7" t="s">
        <v>5044</v>
      </c>
      <c r="AF1210" s="7" t="s">
        <v>5044</v>
      </c>
      <c r="AG1210" s="7">
        <v>1</v>
      </c>
      <c r="AH1210" s="7">
        <v>0</v>
      </c>
      <c r="AI1210" s="7">
        <v>0</v>
      </c>
      <c r="AJ1210" s="7" t="s">
        <v>5044</v>
      </c>
      <c r="AL1210" s="7">
        <v>1</v>
      </c>
      <c r="AM1210" s="7">
        <v>0</v>
      </c>
    </row>
    <row r="1211" spans="1:40" ht="63" customHeight="1" x14ac:dyDescent="0.2">
      <c r="A1211" s="7">
        <v>12039</v>
      </c>
      <c r="B1211" s="7" t="s">
        <v>4641</v>
      </c>
      <c r="C1211" s="7" t="s">
        <v>4642</v>
      </c>
      <c r="D1211" s="7" t="s">
        <v>22</v>
      </c>
      <c r="F1211" s="7" t="s">
        <v>143</v>
      </c>
      <c r="G1211" s="7" t="s">
        <v>11</v>
      </c>
      <c r="H1211" s="7" t="s">
        <v>1890</v>
      </c>
      <c r="I1211" s="7" t="s">
        <v>13</v>
      </c>
      <c r="J1211" s="7" t="s">
        <v>4643</v>
      </c>
      <c r="K1211" s="7" t="s">
        <v>4644</v>
      </c>
      <c r="L1211" s="7" t="s">
        <v>5044</v>
      </c>
      <c r="M1211" s="7">
        <v>0</v>
      </c>
      <c r="N1211" s="9" t="s">
        <v>5044</v>
      </c>
      <c r="O1211" s="9" t="s">
        <v>5044</v>
      </c>
      <c r="P1211" s="7">
        <v>1</v>
      </c>
      <c r="Q1211" s="7">
        <v>0</v>
      </c>
      <c r="R1211" s="7">
        <v>0</v>
      </c>
      <c r="S1211" s="7">
        <v>3</v>
      </c>
      <c r="T1211" s="7">
        <v>1</v>
      </c>
      <c r="U1211" s="7">
        <v>60</v>
      </c>
      <c r="V1211" s="7">
        <v>0</v>
      </c>
      <c r="W1211" s="7">
        <v>1</v>
      </c>
      <c r="X1211" s="7">
        <v>0</v>
      </c>
      <c r="Y1211" s="7">
        <v>0</v>
      </c>
      <c r="Z1211" s="7">
        <v>0</v>
      </c>
      <c r="AA1211" s="7">
        <v>0</v>
      </c>
      <c r="AB1211" s="7">
        <v>1</v>
      </c>
      <c r="AC1211" s="7">
        <v>1</v>
      </c>
      <c r="AD1211" s="7" t="s">
        <v>5044</v>
      </c>
      <c r="AE1211" s="7" t="s">
        <v>5044</v>
      </c>
      <c r="AF1211" s="7" t="s">
        <v>5044</v>
      </c>
      <c r="AG1211" s="7">
        <v>2</v>
      </c>
      <c r="AH1211" s="7">
        <v>3</v>
      </c>
      <c r="AI1211" s="7">
        <v>0</v>
      </c>
      <c r="AJ1211" s="7" t="s">
        <v>5044</v>
      </c>
      <c r="AL1211" s="7" t="s">
        <v>5041</v>
      </c>
      <c r="AM1211" s="7">
        <v>0</v>
      </c>
      <c r="AN1211" s="7" t="s">
        <v>5105</v>
      </c>
    </row>
    <row r="1212" spans="1:40" ht="63" customHeight="1" x14ac:dyDescent="0.2">
      <c r="A1212" s="7">
        <v>12058</v>
      </c>
      <c r="B1212" s="7" t="s">
        <v>4645</v>
      </c>
      <c r="C1212" s="7" t="s">
        <v>4646</v>
      </c>
      <c r="D1212" s="7" t="s">
        <v>101</v>
      </c>
      <c r="E1212" s="7" t="s">
        <v>2539</v>
      </c>
      <c r="F1212" s="7" t="s">
        <v>944</v>
      </c>
      <c r="G1212" s="7" t="s">
        <v>18</v>
      </c>
      <c r="H1212" s="7" t="s">
        <v>4647</v>
      </c>
      <c r="I1212" s="7" t="s">
        <v>13</v>
      </c>
      <c r="J1212" s="7" t="s">
        <v>4648</v>
      </c>
      <c r="K1212" s="7" t="s">
        <v>4649</v>
      </c>
      <c r="L1212" s="7" t="s">
        <v>5150</v>
      </c>
      <c r="M1212" s="7">
        <v>0</v>
      </c>
      <c r="N1212" s="9" t="s">
        <v>5044</v>
      </c>
      <c r="O1212" s="9" t="s">
        <v>5044</v>
      </c>
      <c r="P1212" s="7">
        <v>1</v>
      </c>
      <c r="Q1212" s="7">
        <v>0</v>
      </c>
      <c r="R1212" s="7">
        <v>0</v>
      </c>
      <c r="S1212" s="7">
        <v>3</v>
      </c>
      <c r="T1212" s="7">
        <v>1</v>
      </c>
      <c r="U1212" s="7">
        <v>100</v>
      </c>
      <c r="V1212" s="7">
        <v>0</v>
      </c>
      <c r="W1212" s="7">
        <v>1</v>
      </c>
      <c r="X1212" s="7">
        <v>0</v>
      </c>
      <c r="Y1212" s="7">
        <v>0</v>
      </c>
      <c r="Z1212" s="7">
        <v>0</v>
      </c>
      <c r="AA1212" s="7">
        <v>0</v>
      </c>
      <c r="AB1212" s="7">
        <v>0</v>
      </c>
      <c r="AC1212" s="7">
        <v>1</v>
      </c>
      <c r="AD1212" s="7" t="s">
        <v>5044</v>
      </c>
      <c r="AE1212" s="7" t="s">
        <v>5044</v>
      </c>
      <c r="AF1212" s="7" t="s">
        <v>5044</v>
      </c>
      <c r="AG1212" s="7">
        <v>1</v>
      </c>
      <c r="AH1212" s="7">
        <v>0</v>
      </c>
      <c r="AI1212" s="7">
        <v>0</v>
      </c>
      <c r="AJ1212" s="7" t="s">
        <v>5044</v>
      </c>
      <c r="AL1212" s="7">
        <v>1</v>
      </c>
      <c r="AM1212" s="7">
        <v>0</v>
      </c>
    </row>
    <row r="1213" spans="1:40" ht="63" customHeight="1" x14ac:dyDescent="0.2">
      <c r="A1213" s="7">
        <v>12071</v>
      </c>
      <c r="B1213" s="7" t="s">
        <v>4650</v>
      </c>
      <c r="C1213" s="7" t="s">
        <v>4651</v>
      </c>
      <c r="D1213" s="7" t="s">
        <v>101</v>
      </c>
      <c r="F1213" s="7" t="s">
        <v>197</v>
      </c>
      <c r="G1213" s="7" t="s">
        <v>144</v>
      </c>
      <c r="H1213" s="7" t="s">
        <v>238</v>
      </c>
      <c r="I1213" s="7" t="s">
        <v>13</v>
      </c>
      <c r="J1213" s="7" t="s">
        <v>4652</v>
      </c>
      <c r="K1213" s="7" t="s">
        <v>4653</v>
      </c>
      <c r="L1213" s="7" t="s">
        <v>5044</v>
      </c>
      <c r="M1213" s="7">
        <v>0</v>
      </c>
      <c r="N1213" s="9" t="s">
        <v>5044</v>
      </c>
      <c r="O1213" s="9" t="s">
        <v>5044</v>
      </c>
      <c r="P1213" s="7">
        <v>0</v>
      </c>
      <c r="Q1213" s="7">
        <v>0</v>
      </c>
      <c r="R1213" s="7">
        <v>0</v>
      </c>
      <c r="S1213" s="7">
        <v>3</v>
      </c>
      <c r="T1213" s="7">
        <v>6</v>
      </c>
      <c r="U1213" s="7">
        <v>124</v>
      </c>
      <c r="V1213" s="7">
        <v>0</v>
      </c>
      <c r="W1213" s="7">
        <v>1</v>
      </c>
      <c r="X1213" s="7">
        <v>0</v>
      </c>
      <c r="Y1213" s="7">
        <v>0</v>
      </c>
      <c r="Z1213" s="7">
        <v>0</v>
      </c>
      <c r="AA1213" s="7">
        <v>0</v>
      </c>
      <c r="AB1213" s="7">
        <v>1</v>
      </c>
      <c r="AC1213" s="7">
        <v>1</v>
      </c>
      <c r="AD1213" s="7" t="s">
        <v>5044</v>
      </c>
      <c r="AE1213" s="7" t="s">
        <v>5044</v>
      </c>
      <c r="AF1213" s="7" t="s">
        <v>5044</v>
      </c>
      <c r="AG1213" s="7">
        <v>1</v>
      </c>
      <c r="AH1213" s="7">
        <v>0</v>
      </c>
      <c r="AI1213" s="7">
        <v>0</v>
      </c>
      <c r="AJ1213" s="7" t="s">
        <v>5044</v>
      </c>
      <c r="AK1213" s="7" t="s">
        <v>5151</v>
      </c>
      <c r="AL1213" s="7">
        <v>0</v>
      </c>
      <c r="AM1213" s="7">
        <v>0</v>
      </c>
    </row>
    <row r="1214" spans="1:40" ht="63" customHeight="1" x14ac:dyDescent="0.2">
      <c r="A1214" s="7">
        <v>12072</v>
      </c>
      <c r="B1214" s="7" t="s">
        <v>4654</v>
      </c>
      <c r="C1214" s="7" t="s">
        <v>4655</v>
      </c>
      <c r="D1214" s="7" t="s">
        <v>101</v>
      </c>
      <c r="F1214" s="7" t="s">
        <v>2974</v>
      </c>
      <c r="G1214" s="7" t="s">
        <v>32</v>
      </c>
      <c r="H1214" s="7" t="s">
        <v>4656</v>
      </c>
      <c r="I1214" s="7" t="s">
        <v>13</v>
      </c>
      <c r="J1214" s="7" t="s">
        <v>4657</v>
      </c>
      <c r="K1214" s="7" t="s">
        <v>4658</v>
      </c>
      <c r="L1214" s="7" t="s">
        <v>5152</v>
      </c>
      <c r="M1214" s="7">
        <v>0</v>
      </c>
      <c r="N1214" s="9" t="s">
        <v>5044</v>
      </c>
      <c r="O1214" s="9" t="s">
        <v>5044</v>
      </c>
      <c r="P1214" s="7">
        <v>0</v>
      </c>
      <c r="Q1214" s="7">
        <v>0</v>
      </c>
      <c r="R1214" s="7">
        <v>0</v>
      </c>
      <c r="S1214" s="7">
        <v>1</v>
      </c>
      <c r="T1214" s="7">
        <v>1</v>
      </c>
      <c r="U1214" s="7">
        <v>44</v>
      </c>
      <c r="V1214" s="7">
        <v>0</v>
      </c>
      <c r="W1214" s="7">
        <v>1</v>
      </c>
      <c r="X1214" s="7">
        <v>0</v>
      </c>
      <c r="Y1214" s="7">
        <v>0</v>
      </c>
      <c r="Z1214" s="7">
        <v>0</v>
      </c>
      <c r="AA1214" s="7">
        <v>0</v>
      </c>
      <c r="AB1214" s="7">
        <v>1</v>
      </c>
      <c r="AC1214" s="7">
        <v>1</v>
      </c>
      <c r="AD1214" s="7" t="s">
        <v>5044</v>
      </c>
      <c r="AE1214" s="7" t="s">
        <v>5044</v>
      </c>
      <c r="AF1214" s="7" t="s">
        <v>5044</v>
      </c>
      <c r="AG1214" s="7">
        <v>2</v>
      </c>
      <c r="AH1214" s="7">
        <v>3</v>
      </c>
      <c r="AI1214" s="7">
        <v>0</v>
      </c>
      <c r="AJ1214" s="7" t="s">
        <v>5044</v>
      </c>
      <c r="AL1214" s="7">
        <v>0</v>
      </c>
      <c r="AM1214" s="7">
        <v>0</v>
      </c>
    </row>
    <row r="1215" spans="1:40" ht="63" customHeight="1" x14ac:dyDescent="0.2">
      <c r="A1215" s="7">
        <v>12075</v>
      </c>
      <c r="B1215" s="7" t="s">
        <v>4659</v>
      </c>
      <c r="C1215" s="7" t="s">
        <v>4660</v>
      </c>
      <c r="D1215" s="7" t="s">
        <v>95</v>
      </c>
      <c r="F1215" s="7" t="s">
        <v>640</v>
      </c>
      <c r="G1215" s="7" t="s">
        <v>47</v>
      </c>
      <c r="H1215" s="7" t="s">
        <v>1949</v>
      </c>
      <c r="I1215" s="7" t="s">
        <v>13</v>
      </c>
      <c r="J1215" s="7" t="s">
        <v>4661</v>
      </c>
      <c r="K1215" s="7" t="s">
        <v>4662</v>
      </c>
      <c r="L1215" s="8" t="s">
        <v>5153</v>
      </c>
      <c r="M1215" s="7">
        <v>0</v>
      </c>
      <c r="N1215" s="9" t="s">
        <v>5044</v>
      </c>
      <c r="O1215" s="9" t="s">
        <v>5044</v>
      </c>
      <c r="P1215" s="7">
        <v>0</v>
      </c>
      <c r="Q1215" s="7">
        <v>0</v>
      </c>
      <c r="R1215" s="7">
        <v>0</v>
      </c>
      <c r="S1215" s="7">
        <v>1</v>
      </c>
      <c r="T1215" s="7">
        <v>1</v>
      </c>
      <c r="U1215" s="7">
        <v>41</v>
      </c>
      <c r="V1215" s="7">
        <v>0</v>
      </c>
      <c r="W1215" s="7">
        <v>1</v>
      </c>
      <c r="X1215" s="7">
        <v>0</v>
      </c>
      <c r="Y1215" s="7">
        <v>0</v>
      </c>
      <c r="Z1215" s="7">
        <v>0</v>
      </c>
      <c r="AA1215" s="7">
        <v>0</v>
      </c>
      <c r="AB1215" s="7">
        <v>0</v>
      </c>
      <c r="AC1215" s="7">
        <v>1</v>
      </c>
      <c r="AD1215" s="7" t="s">
        <v>5044</v>
      </c>
      <c r="AE1215" s="7" t="s">
        <v>5044</v>
      </c>
      <c r="AF1215" s="7" t="s">
        <v>5044</v>
      </c>
      <c r="AG1215" s="7">
        <v>2</v>
      </c>
      <c r="AH1215" s="7">
        <v>2</v>
      </c>
      <c r="AI1215" s="7">
        <v>3</v>
      </c>
      <c r="AJ1215" s="7" t="s">
        <v>5044</v>
      </c>
      <c r="AL1215" s="7" t="s">
        <v>5041</v>
      </c>
      <c r="AM1215" s="7">
        <v>0</v>
      </c>
      <c r="AN1215" s="7" t="s">
        <v>5105</v>
      </c>
    </row>
    <row r="1216" spans="1:40" ht="63" customHeight="1" x14ac:dyDescent="0.2">
      <c r="A1216" s="7">
        <v>12096</v>
      </c>
      <c r="B1216" s="7" t="s">
        <v>4670</v>
      </c>
      <c r="C1216" s="7" t="s">
        <v>4671</v>
      </c>
      <c r="D1216" s="7" t="s">
        <v>74</v>
      </c>
      <c r="E1216" s="7" t="s">
        <v>4675</v>
      </c>
      <c r="F1216" s="7" t="s">
        <v>122</v>
      </c>
      <c r="G1216" s="7" t="s">
        <v>52</v>
      </c>
      <c r="H1216" s="7" t="s">
        <v>4672</v>
      </c>
      <c r="I1216" s="7" t="s">
        <v>13</v>
      </c>
      <c r="J1216" s="7" t="s">
        <v>4673</v>
      </c>
      <c r="K1216" s="7" t="s">
        <v>4674</v>
      </c>
      <c r="L1216" s="7" t="s">
        <v>5044</v>
      </c>
      <c r="M1216" s="7">
        <v>0</v>
      </c>
      <c r="N1216" s="9" t="s">
        <v>5044</v>
      </c>
      <c r="O1216" s="9" t="s">
        <v>5044</v>
      </c>
      <c r="P1216" s="7">
        <v>0</v>
      </c>
      <c r="Q1216" s="7">
        <v>0</v>
      </c>
      <c r="R1216" s="7">
        <v>0</v>
      </c>
      <c r="S1216" s="7">
        <v>3</v>
      </c>
      <c r="T1216" s="7">
        <v>1</v>
      </c>
      <c r="U1216" s="7">
        <v>50</v>
      </c>
      <c r="V1216" s="7">
        <v>1</v>
      </c>
      <c r="W1216" s="7">
        <v>0</v>
      </c>
      <c r="X1216" s="7">
        <v>0</v>
      </c>
      <c r="Y1216" s="7">
        <v>0</v>
      </c>
      <c r="Z1216" s="7">
        <v>0</v>
      </c>
      <c r="AA1216" s="7">
        <v>0</v>
      </c>
      <c r="AB1216" s="7">
        <v>1</v>
      </c>
      <c r="AC1216" s="7">
        <v>1</v>
      </c>
      <c r="AD1216" s="7">
        <v>1</v>
      </c>
      <c r="AE1216" s="7">
        <v>0</v>
      </c>
      <c r="AF1216" s="7">
        <v>0</v>
      </c>
      <c r="AG1216" s="7" t="s">
        <v>5044</v>
      </c>
      <c r="AH1216" s="7" t="s">
        <v>5044</v>
      </c>
      <c r="AI1216" s="7" t="s">
        <v>5044</v>
      </c>
      <c r="AJ1216" s="7" t="s">
        <v>5044</v>
      </c>
      <c r="AL1216" s="7">
        <v>0</v>
      </c>
      <c r="AM1216" s="7">
        <v>0</v>
      </c>
    </row>
    <row r="1217" spans="1:40" ht="63" customHeight="1" x14ac:dyDescent="0.2">
      <c r="A1217" s="7">
        <v>12099</v>
      </c>
      <c r="B1217" s="7" t="s">
        <v>4676</v>
      </c>
      <c r="C1217" s="7" t="s">
        <v>4677</v>
      </c>
      <c r="D1217" s="7" t="s">
        <v>56</v>
      </c>
      <c r="F1217" s="7" t="s">
        <v>4678</v>
      </c>
      <c r="G1217" s="7" t="s">
        <v>52</v>
      </c>
      <c r="H1217" s="7" t="s">
        <v>740</v>
      </c>
      <c r="I1217" s="7" t="s">
        <v>13</v>
      </c>
      <c r="J1217" s="7" t="s">
        <v>4679</v>
      </c>
      <c r="K1217" s="7" t="s">
        <v>4680</v>
      </c>
      <c r="L1217" s="7" t="s">
        <v>5157</v>
      </c>
      <c r="M1217" s="7">
        <v>0</v>
      </c>
      <c r="N1217" s="9" t="s">
        <v>5044</v>
      </c>
      <c r="O1217" s="9" t="s">
        <v>5044</v>
      </c>
      <c r="P1217" s="7">
        <v>0</v>
      </c>
      <c r="Q1217" s="7">
        <v>0</v>
      </c>
      <c r="R1217" s="7">
        <v>0</v>
      </c>
      <c r="S1217" s="7">
        <v>1</v>
      </c>
      <c r="T1217" s="7">
        <v>4</v>
      </c>
      <c r="U1217" s="7">
        <v>132</v>
      </c>
      <c r="V1217" s="7">
        <v>0</v>
      </c>
      <c r="W1217" s="7">
        <v>1</v>
      </c>
      <c r="X1217" s="7">
        <v>0</v>
      </c>
      <c r="Y1217" s="7">
        <v>0</v>
      </c>
      <c r="Z1217" s="7">
        <v>0</v>
      </c>
      <c r="AA1217" s="7">
        <v>0</v>
      </c>
      <c r="AB1217" s="7">
        <v>1</v>
      </c>
      <c r="AC1217" s="7">
        <v>1</v>
      </c>
      <c r="AD1217" s="7" t="s">
        <v>5044</v>
      </c>
      <c r="AE1217" s="7" t="s">
        <v>5044</v>
      </c>
      <c r="AF1217" s="7" t="s">
        <v>5044</v>
      </c>
      <c r="AG1217" s="7">
        <v>2</v>
      </c>
      <c r="AH1217" s="7">
        <v>3</v>
      </c>
      <c r="AI1217" s="7">
        <v>0</v>
      </c>
      <c r="AJ1217" s="7" t="s">
        <v>5044</v>
      </c>
      <c r="AK1217" s="7">
        <v>1</v>
      </c>
      <c r="AL1217" s="7">
        <v>1</v>
      </c>
      <c r="AM1217" s="7">
        <v>0</v>
      </c>
    </row>
    <row r="1218" spans="1:40" ht="63" customHeight="1" x14ac:dyDescent="0.2">
      <c r="A1218" s="7">
        <v>12105</v>
      </c>
      <c r="B1218" s="7" t="s">
        <v>4681</v>
      </c>
      <c r="C1218" s="7" t="s">
        <v>4682</v>
      </c>
      <c r="D1218" s="7" t="s">
        <v>46</v>
      </c>
      <c r="E1218" s="7" t="s">
        <v>4685</v>
      </c>
      <c r="F1218" s="7" t="s">
        <v>114</v>
      </c>
      <c r="G1218" s="7" t="s">
        <v>32</v>
      </c>
      <c r="H1218" s="7" t="s">
        <v>1334</v>
      </c>
      <c r="I1218" s="7" t="s">
        <v>13</v>
      </c>
      <c r="J1218" s="7" t="s">
        <v>4683</v>
      </c>
      <c r="K1218" s="7" t="s">
        <v>4684</v>
      </c>
      <c r="L1218" s="8" t="s">
        <v>5158</v>
      </c>
      <c r="M1218" s="7">
        <v>0</v>
      </c>
      <c r="N1218" s="9" t="s">
        <v>5044</v>
      </c>
      <c r="O1218" s="9" t="s">
        <v>5044</v>
      </c>
      <c r="P1218" s="7">
        <v>0</v>
      </c>
      <c r="Q1218" s="7">
        <v>0</v>
      </c>
      <c r="R1218" s="7">
        <v>0</v>
      </c>
      <c r="S1218" s="7">
        <v>1</v>
      </c>
      <c r="T1218" s="7">
        <v>1</v>
      </c>
      <c r="U1218" s="7">
        <v>64</v>
      </c>
      <c r="V1218" s="7">
        <v>1</v>
      </c>
      <c r="W1218" s="7">
        <v>0</v>
      </c>
      <c r="X1218" s="7">
        <v>0</v>
      </c>
      <c r="Y1218" s="7">
        <v>0</v>
      </c>
      <c r="Z1218" s="7">
        <v>0</v>
      </c>
      <c r="AA1218" s="7">
        <v>0</v>
      </c>
      <c r="AB1218" s="7">
        <v>0</v>
      </c>
      <c r="AC1218" s="7">
        <v>1</v>
      </c>
      <c r="AD1218" s="7">
        <v>1</v>
      </c>
      <c r="AE1218" s="7">
        <v>0</v>
      </c>
      <c r="AF1218" s="7">
        <v>0</v>
      </c>
      <c r="AG1218" s="7" t="s">
        <v>5044</v>
      </c>
      <c r="AH1218" s="7" t="s">
        <v>5044</v>
      </c>
      <c r="AI1218" s="7" t="s">
        <v>5044</v>
      </c>
      <c r="AJ1218" s="7" t="s">
        <v>5044</v>
      </c>
      <c r="AL1218" s="7">
        <v>0</v>
      </c>
      <c r="AM1218" s="7">
        <v>0</v>
      </c>
    </row>
    <row r="1219" spans="1:40" ht="63" customHeight="1" x14ac:dyDescent="0.2">
      <c r="A1219" s="7">
        <v>12107</v>
      </c>
      <c r="B1219" s="7" t="s">
        <v>4686</v>
      </c>
      <c r="C1219" s="7" t="s">
        <v>4687</v>
      </c>
      <c r="D1219" s="7" t="s">
        <v>1828</v>
      </c>
      <c r="F1219" s="7" t="s">
        <v>168</v>
      </c>
      <c r="G1219" s="7" t="s">
        <v>52</v>
      </c>
      <c r="H1219" s="7" t="s">
        <v>578</v>
      </c>
      <c r="I1219" s="7" t="s">
        <v>13</v>
      </c>
      <c r="J1219" s="7" t="s">
        <v>4688</v>
      </c>
      <c r="K1219" s="7" t="s">
        <v>4689</v>
      </c>
      <c r="L1219" s="7" t="s">
        <v>5044</v>
      </c>
      <c r="M1219" s="7">
        <v>0</v>
      </c>
      <c r="N1219" s="9" t="s">
        <v>5044</v>
      </c>
      <c r="O1219" s="9" t="s">
        <v>5044</v>
      </c>
      <c r="P1219" s="7">
        <v>0</v>
      </c>
      <c r="Q1219" s="7">
        <v>0</v>
      </c>
      <c r="R1219" s="7">
        <v>0</v>
      </c>
      <c r="S1219" s="7">
        <v>9</v>
      </c>
      <c r="T1219" s="7">
        <v>2</v>
      </c>
      <c r="U1219" s="7">
        <v>12</v>
      </c>
      <c r="V1219" s="7">
        <v>0</v>
      </c>
      <c r="W1219" s="7">
        <v>1</v>
      </c>
      <c r="X1219" s="7">
        <v>0</v>
      </c>
      <c r="Y1219" s="7">
        <v>0</v>
      </c>
      <c r="Z1219" s="7">
        <v>0</v>
      </c>
      <c r="AA1219" s="7">
        <v>0</v>
      </c>
      <c r="AB1219" s="7">
        <v>1</v>
      </c>
      <c r="AC1219" s="7">
        <v>0</v>
      </c>
      <c r="AD1219" s="7" t="s">
        <v>5044</v>
      </c>
      <c r="AE1219" s="7" t="s">
        <v>5044</v>
      </c>
      <c r="AF1219" s="7" t="s">
        <v>5044</v>
      </c>
      <c r="AG1219" s="7">
        <v>0</v>
      </c>
      <c r="AH1219" s="7" t="s">
        <v>5044</v>
      </c>
      <c r="AI1219" s="7" t="s">
        <v>5044</v>
      </c>
      <c r="AJ1219" s="7" t="s">
        <v>5044</v>
      </c>
      <c r="AL1219" s="7">
        <v>1</v>
      </c>
      <c r="AM1219" s="7">
        <v>0</v>
      </c>
    </row>
    <row r="1220" spans="1:40" ht="63" customHeight="1" x14ac:dyDescent="0.2">
      <c r="A1220" s="7">
        <v>12116</v>
      </c>
      <c r="B1220" s="7" t="s">
        <v>4690</v>
      </c>
      <c r="C1220" s="7" t="s">
        <v>4691</v>
      </c>
      <c r="D1220" s="7" t="s">
        <v>46</v>
      </c>
      <c r="F1220" s="7" t="s">
        <v>1015</v>
      </c>
      <c r="G1220" s="7" t="s">
        <v>52</v>
      </c>
      <c r="H1220" s="7" t="s">
        <v>689</v>
      </c>
      <c r="I1220" s="7" t="s">
        <v>13</v>
      </c>
      <c r="J1220" s="7" t="s">
        <v>4692</v>
      </c>
      <c r="K1220" s="7" t="s">
        <v>4693</v>
      </c>
      <c r="L1220" s="7" t="s">
        <v>5159</v>
      </c>
      <c r="M1220" s="7">
        <v>0</v>
      </c>
      <c r="N1220" s="9" t="s">
        <v>5044</v>
      </c>
      <c r="O1220" s="9" t="s">
        <v>5044</v>
      </c>
      <c r="P1220" s="7">
        <v>0</v>
      </c>
      <c r="Q1220" s="7">
        <v>0</v>
      </c>
      <c r="R1220" s="7">
        <v>0</v>
      </c>
      <c r="S1220" s="7">
        <v>5</v>
      </c>
      <c r="T1220" s="7">
        <v>1</v>
      </c>
      <c r="U1220" s="7">
        <v>70</v>
      </c>
      <c r="V1220" s="7">
        <v>0</v>
      </c>
      <c r="W1220" s="7">
        <v>1</v>
      </c>
      <c r="X1220" s="7">
        <v>0</v>
      </c>
      <c r="Y1220" s="7">
        <v>0</v>
      </c>
      <c r="Z1220" s="7">
        <v>0</v>
      </c>
      <c r="AA1220" s="7">
        <v>0</v>
      </c>
      <c r="AB1220" s="7">
        <v>1</v>
      </c>
      <c r="AC1220" s="7">
        <v>1</v>
      </c>
      <c r="AD1220" s="7" t="s">
        <v>5044</v>
      </c>
      <c r="AE1220" s="7" t="s">
        <v>5044</v>
      </c>
      <c r="AF1220" s="7" t="s">
        <v>5044</v>
      </c>
      <c r="AG1220" s="7">
        <v>2</v>
      </c>
      <c r="AH1220" s="7">
        <v>3</v>
      </c>
      <c r="AI1220" s="7">
        <v>0</v>
      </c>
      <c r="AJ1220" s="7" t="s">
        <v>5044</v>
      </c>
      <c r="AL1220" s="7">
        <v>1</v>
      </c>
      <c r="AM1220" s="7">
        <v>0</v>
      </c>
    </row>
    <row r="1221" spans="1:40" ht="63" customHeight="1" x14ac:dyDescent="0.2">
      <c r="A1221" s="7">
        <v>12120</v>
      </c>
      <c r="B1221" s="7" t="s">
        <v>4694</v>
      </c>
      <c r="C1221" s="7" t="s">
        <v>4695</v>
      </c>
      <c r="D1221" s="7" t="s">
        <v>41</v>
      </c>
      <c r="F1221" s="7" t="s">
        <v>505</v>
      </c>
      <c r="G1221" s="7" t="s">
        <v>92</v>
      </c>
      <c r="H1221" s="7" t="s">
        <v>689</v>
      </c>
      <c r="I1221" s="7" t="s">
        <v>13</v>
      </c>
      <c r="J1221" s="7" t="s">
        <v>4696</v>
      </c>
      <c r="K1221" s="7" t="s">
        <v>4697</v>
      </c>
      <c r="L1221" s="7" t="s">
        <v>5189</v>
      </c>
      <c r="M1221" s="7">
        <v>0</v>
      </c>
      <c r="N1221" s="9" t="s">
        <v>5044</v>
      </c>
      <c r="O1221" s="9" t="s">
        <v>5044</v>
      </c>
      <c r="P1221" s="7">
        <v>0</v>
      </c>
      <c r="Q1221" s="7">
        <v>0</v>
      </c>
      <c r="R1221" s="7">
        <v>0</v>
      </c>
      <c r="S1221" s="7">
        <v>5</v>
      </c>
      <c r="T1221" s="7">
        <v>1</v>
      </c>
      <c r="U1221" s="7">
        <v>67</v>
      </c>
      <c r="V1221" s="7">
        <v>0</v>
      </c>
      <c r="W1221" s="7">
        <v>1</v>
      </c>
      <c r="X1221" s="7">
        <v>0</v>
      </c>
      <c r="Y1221" s="7">
        <v>0</v>
      </c>
      <c r="Z1221" s="7">
        <v>0</v>
      </c>
      <c r="AA1221" s="7">
        <v>0</v>
      </c>
      <c r="AB1221" s="7">
        <v>1</v>
      </c>
      <c r="AC1221" s="7">
        <v>1</v>
      </c>
      <c r="AD1221" s="7" t="s">
        <v>5044</v>
      </c>
      <c r="AE1221" s="7" t="s">
        <v>5044</v>
      </c>
      <c r="AF1221" s="7" t="s">
        <v>5044</v>
      </c>
      <c r="AG1221" s="7">
        <v>1</v>
      </c>
      <c r="AH1221" s="7">
        <v>0</v>
      </c>
      <c r="AI1221" s="7">
        <v>0</v>
      </c>
      <c r="AJ1221" s="7" t="s">
        <v>5044</v>
      </c>
      <c r="AL1221" s="7">
        <v>1</v>
      </c>
      <c r="AM1221" s="7">
        <v>0</v>
      </c>
    </row>
    <row r="1222" spans="1:40" ht="63" customHeight="1" x14ac:dyDescent="0.2">
      <c r="A1222" s="7">
        <v>12135</v>
      </c>
      <c r="B1222" s="7" t="s">
        <v>4698</v>
      </c>
      <c r="C1222" s="7" t="s">
        <v>4699</v>
      </c>
      <c r="D1222" s="7" t="s">
        <v>149</v>
      </c>
      <c r="F1222" s="7" t="s">
        <v>92</v>
      </c>
      <c r="G1222" s="7" t="s">
        <v>144</v>
      </c>
      <c r="H1222" s="7" t="s">
        <v>4700</v>
      </c>
      <c r="I1222" s="7" t="s">
        <v>13</v>
      </c>
      <c r="J1222" s="7" t="s">
        <v>4701</v>
      </c>
      <c r="K1222" s="7" t="s">
        <v>4702</v>
      </c>
      <c r="L1222" s="7" t="s">
        <v>5044</v>
      </c>
      <c r="M1222" s="7">
        <v>0</v>
      </c>
      <c r="N1222" s="9" t="s">
        <v>5044</v>
      </c>
      <c r="O1222" s="9" t="s">
        <v>5044</v>
      </c>
      <c r="P1222" s="7">
        <v>0</v>
      </c>
      <c r="Q1222" s="7">
        <v>0</v>
      </c>
      <c r="R1222" s="7">
        <v>0</v>
      </c>
      <c r="S1222" s="7">
        <v>3</v>
      </c>
      <c r="T1222" s="7">
        <v>6</v>
      </c>
      <c r="U1222" s="7">
        <v>38</v>
      </c>
      <c r="V1222" s="7">
        <v>0</v>
      </c>
      <c r="W1222" s="7">
        <v>1</v>
      </c>
      <c r="X1222" s="7">
        <v>0</v>
      </c>
      <c r="Y1222" s="7">
        <v>0</v>
      </c>
      <c r="Z1222" s="7">
        <v>0</v>
      </c>
      <c r="AA1222" s="7">
        <v>0</v>
      </c>
      <c r="AB1222" s="7">
        <v>1</v>
      </c>
      <c r="AC1222" s="7">
        <v>1</v>
      </c>
      <c r="AD1222" s="7" t="s">
        <v>5044</v>
      </c>
      <c r="AE1222" s="7" t="s">
        <v>5044</v>
      </c>
      <c r="AF1222" s="7" t="s">
        <v>5044</v>
      </c>
      <c r="AG1222" s="7">
        <v>2</v>
      </c>
      <c r="AH1222" s="7">
        <v>3</v>
      </c>
      <c r="AI1222" s="7" t="s">
        <v>5044</v>
      </c>
      <c r="AJ1222" s="7" t="s">
        <v>5044</v>
      </c>
      <c r="AL1222" s="7">
        <v>1</v>
      </c>
      <c r="AM1222" s="7">
        <v>0</v>
      </c>
    </row>
    <row r="1223" spans="1:40" ht="63" customHeight="1" x14ac:dyDescent="0.2">
      <c r="A1223" s="7">
        <v>12140</v>
      </c>
      <c r="B1223" s="7" t="s">
        <v>4703</v>
      </c>
      <c r="C1223" s="7" t="s">
        <v>4704</v>
      </c>
      <c r="D1223" s="7" t="s">
        <v>25</v>
      </c>
      <c r="F1223" s="7" t="s">
        <v>2608</v>
      </c>
      <c r="G1223" s="7" t="s">
        <v>11</v>
      </c>
      <c r="H1223" s="7" t="s">
        <v>12</v>
      </c>
      <c r="I1223" s="7" t="s">
        <v>13</v>
      </c>
      <c r="J1223" s="7" t="s">
        <v>4705</v>
      </c>
      <c r="K1223" s="7" t="s">
        <v>4706</v>
      </c>
      <c r="L1223" s="7" t="s">
        <v>5160</v>
      </c>
      <c r="M1223" s="7">
        <v>0</v>
      </c>
      <c r="N1223" s="9" t="s">
        <v>5044</v>
      </c>
      <c r="O1223" s="9" t="s">
        <v>5044</v>
      </c>
      <c r="P1223" s="7">
        <v>0</v>
      </c>
      <c r="Q1223" s="7">
        <v>0</v>
      </c>
      <c r="R1223" s="7">
        <v>0</v>
      </c>
      <c r="S1223" s="7">
        <v>3</v>
      </c>
      <c r="T1223" s="7">
        <v>1</v>
      </c>
      <c r="U1223" s="7">
        <v>281</v>
      </c>
      <c r="V1223" s="7">
        <v>0</v>
      </c>
      <c r="W1223" s="7">
        <v>1</v>
      </c>
      <c r="X1223" s="7">
        <v>0</v>
      </c>
      <c r="Y1223" s="7">
        <v>0</v>
      </c>
      <c r="Z1223" s="7">
        <v>0</v>
      </c>
      <c r="AA1223" s="7">
        <v>0</v>
      </c>
      <c r="AB1223" s="7">
        <v>1</v>
      </c>
      <c r="AC1223" s="7">
        <v>1</v>
      </c>
      <c r="AD1223" s="7" t="s">
        <v>5044</v>
      </c>
      <c r="AE1223" s="7" t="s">
        <v>5044</v>
      </c>
      <c r="AF1223" s="7" t="s">
        <v>5044</v>
      </c>
      <c r="AG1223" s="7">
        <v>1</v>
      </c>
      <c r="AH1223" s="7">
        <v>0</v>
      </c>
      <c r="AI1223" s="7">
        <v>0</v>
      </c>
      <c r="AJ1223" s="7" t="s">
        <v>5044</v>
      </c>
      <c r="AL1223" s="7">
        <v>1</v>
      </c>
      <c r="AM1223" s="7">
        <v>0</v>
      </c>
    </row>
    <row r="1224" spans="1:40" ht="63" customHeight="1" x14ac:dyDescent="0.2">
      <c r="A1224" s="7">
        <v>12145</v>
      </c>
      <c r="B1224" s="7" t="s">
        <v>4707</v>
      </c>
      <c r="C1224" s="7" t="s">
        <v>4708</v>
      </c>
      <c r="D1224" s="7" t="s">
        <v>16</v>
      </c>
      <c r="E1224" s="7" t="s">
        <v>305</v>
      </c>
      <c r="F1224" s="7" t="s">
        <v>254</v>
      </c>
      <c r="G1224" s="7" t="s">
        <v>11</v>
      </c>
      <c r="H1224" s="7" t="s">
        <v>296</v>
      </c>
      <c r="I1224" s="7" t="s">
        <v>13</v>
      </c>
      <c r="J1224" s="7" t="s">
        <v>4709</v>
      </c>
      <c r="K1224" s="7" t="s">
        <v>4710</v>
      </c>
      <c r="L1224" s="7" t="s">
        <v>5161</v>
      </c>
      <c r="M1224" s="7">
        <v>1</v>
      </c>
      <c r="N1224" s="7">
        <v>0</v>
      </c>
      <c r="O1224" s="9" t="s">
        <v>5044</v>
      </c>
      <c r="P1224" s="7">
        <v>0</v>
      </c>
      <c r="Q1224" s="7">
        <v>0</v>
      </c>
      <c r="R1224" s="7">
        <v>0</v>
      </c>
      <c r="S1224" s="7">
        <v>1</v>
      </c>
      <c r="T1224" s="7">
        <v>1</v>
      </c>
      <c r="U1224" s="7">
        <v>500</v>
      </c>
      <c r="V1224" s="7">
        <v>0</v>
      </c>
      <c r="W1224" s="7">
        <v>1</v>
      </c>
      <c r="X1224" s="7">
        <v>0</v>
      </c>
      <c r="Y1224" s="7">
        <v>0</v>
      </c>
      <c r="Z1224" s="7">
        <v>0</v>
      </c>
      <c r="AA1224" s="7">
        <v>0</v>
      </c>
      <c r="AB1224" s="7">
        <v>1</v>
      </c>
      <c r="AC1224" s="7" t="s">
        <v>5044</v>
      </c>
      <c r="AD1224" s="7" t="s">
        <v>5044</v>
      </c>
      <c r="AE1224" s="7" t="s">
        <v>5044</v>
      </c>
      <c r="AF1224" s="7" t="s">
        <v>5044</v>
      </c>
      <c r="AG1224" s="7" t="s">
        <v>5044</v>
      </c>
      <c r="AH1224" s="7" t="s">
        <v>5044</v>
      </c>
      <c r="AI1224" s="7" t="s">
        <v>5044</v>
      </c>
      <c r="AJ1224" s="7" t="s">
        <v>5044</v>
      </c>
      <c r="AL1224" s="7" t="s">
        <v>5044</v>
      </c>
      <c r="AM1224" s="7">
        <v>0</v>
      </c>
    </row>
    <row r="1225" spans="1:40" ht="63" customHeight="1" x14ac:dyDescent="0.2">
      <c r="A1225" s="7">
        <v>12146</v>
      </c>
      <c r="B1225" s="7" t="s">
        <v>4711</v>
      </c>
      <c r="C1225" s="7" t="s">
        <v>4712</v>
      </c>
      <c r="D1225" s="7" t="s">
        <v>101</v>
      </c>
      <c r="F1225" s="7" t="s">
        <v>136</v>
      </c>
      <c r="G1225" s="7" t="s">
        <v>18</v>
      </c>
      <c r="H1225" s="7" t="s">
        <v>4713</v>
      </c>
      <c r="I1225" s="7" t="s">
        <v>13</v>
      </c>
      <c r="J1225" s="7" t="s">
        <v>4714</v>
      </c>
      <c r="K1225" s="7" t="s">
        <v>4715</v>
      </c>
      <c r="L1225" s="7" t="s">
        <v>5162</v>
      </c>
      <c r="M1225" s="7">
        <v>0</v>
      </c>
      <c r="N1225" s="9" t="s">
        <v>5044</v>
      </c>
      <c r="O1225" s="9" t="s">
        <v>5044</v>
      </c>
      <c r="P1225" s="7">
        <v>0</v>
      </c>
      <c r="Q1225" s="7">
        <v>0</v>
      </c>
      <c r="R1225" s="7">
        <v>0</v>
      </c>
      <c r="S1225" s="7">
        <v>3</v>
      </c>
      <c r="T1225" s="7">
        <v>3</v>
      </c>
      <c r="U1225" s="7">
        <v>92</v>
      </c>
      <c r="V1225" s="7">
        <v>0</v>
      </c>
      <c r="W1225" s="7">
        <v>1</v>
      </c>
      <c r="X1225" s="7">
        <v>0</v>
      </c>
      <c r="Y1225" s="7">
        <v>0</v>
      </c>
      <c r="Z1225" s="7">
        <v>0</v>
      </c>
      <c r="AA1225" s="7">
        <v>0</v>
      </c>
      <c r="AB1225" s="7">
        <v>1</v>
      </c>
      <c r="AC1225" s="7">
        <v>1</v>
      </c>
      <c r="AD1225" s="7" t="s">
        <v>5044</v>
      </c>
      <c r="AE1225" s="7" t="s">
        <v>5044</v>
      </c>
      <c r="AF1225" s="7" t="s">
        <v>5044</v>
      </c>
      <c r="AG1225" s="7">
        <v>2</v>
      </c>
      <c r="AH1225" s="7">
        <v>2</v>
      </c>
      <c r="AI1225" s="7">
        <v>2</v>
      </c>
      <c r="AJ1225" s="7" t="s">
        <v>5044</v>
      </c>
      <c r="AL1225" s="7">
        <v>0</v>
      </c>
      <c r="AM1225" s="7">
        <v>0</v>
      </c>
    </row>
    <row r="1226" spans="1:40" ht="63" customHeight="1" x14ac:dyDescent="0.2">
      <c r="A1226" s="7">
        <v>12171</v>
      </c>
      <c r="B1226" s="7" t="s">
        <v>4721</v>
      </c>
      <c r="C1226" s="7" t="s">
        <v>4722</v>
      </c>
      <c r="D1226" s="7" t="s">
        <v>30</v>
      </c>
      <c r="E1226" s="7" t="s">
        <v>305</v>
      </c>
      <c r="F1226" s="7" t="s">
        <v>299</v>
      </c>
      <c r="G1226" s="7" t="s">
        <v>52</v>
      </c>
      <c r="H1226" s="7" t="s">
        <v>53</v>
      </c>
      <c r="I1226" s="7" t="s">
        <v>13</v>
      </c>
      <c r="J1226" s="7" t="s">
        <v>4723</v>
      </c>
      <c r="K1226" s="7" t="s">
        <v>4724</v>
      </c>
      <c r="L1226" s="7" t="s">
        <v>5163</v>
      </c>
      <c r="M1226" s="7">
        <v>1</v>
      </c>
      <c r="N1226" s="7">
        <v>0</v>
      </c>
      <c r="O1226" s="9" t="s">
        <v>5044</v>
      </c>
      <c r="P1226" s="7">
        <v>0</v>
      </c>
      <c r="Q1226" s="7">
        <v>0</v>
      </c>
      <c r="R1226" s="7">
        <v>0</v>
      </c>
      <c r="S1226" s="7" t="s">
        <v>7672</v>
      </c>
      <c r="T1226" s="7">
        <v>1</v>
      </c>
      <c r="U1226" s="7">
        <v>165</v>
      </c>
      <c r="V1226" s="7">
        <v>0</v>
      </c>
      <c r="W1226" s="7">
        <v>1</v>
      </c>
      <c r="X1226" s="7">
        <v>0</v>
      </c>
      <c r="Y1226" s="7">
        <v>0</v>
      </c>
      <c r="Z1226" s="7">
        <v>0</v>
      </c>
      <c r="AA1226" s="7">
        <v>0</v>
      </c>
      <c r="AB1226" s="7">
        <v>1</v>
      </c>
      <c r="AC1226" s="7" t="s">
        <v>5044</v>
      </c>
      <c r="AD1226" s="7" t="s">
        <v>5044</v>
      </c>
      <c r="AE1226" s="7" t="s">
        <v>5044</v>
      </c>
      <c r="AF1226" s="7" t="s">
        <v>5044</v>
      </c>
      <c r="AG1226" s="7" t="s">
        <v>5044</v>
      </c>
      <c r="AH1226" s="7" t="s">
        <v>5044</v>
      </c>
      <c r="AI1226" s="7" t="s">
        <v>5044</v>
      </c>
      <c r="AJ1226" s="7" t="s">
        <v>5044</v>
      </c>
      <c r="AL1226" s="7" t="s">
        <v>5044</v>
      </c>
      <c r="AM1226" s="7">
        <v>0</v>
      </c>
    </row>
    <row r="1227" spans="1:40" ht="63" customHeight="1" x14ac:dyDescent="0.2">
      <c r="A1227" s="7">
        <v>12176</v>
      </c>
      <c r="B1227" s="7" t="s">
        <v>4725</v>
      </c>
      <c r="C1227" s="7" t="s">
        <v>4726</v>
      </c>
      <c r="D1227" s="7" t="s">
        <v>16</v>
      </c>
      <c r="F1227" s="7" t="s">
        <v>114</v>
      </c>
      <c r="G1227" s="7" t="s">
        <v>27</v>
      </c>
      <c r="H1227" s="7" t="s">
        <v>238</v>
      </c>
      <c r="I1227" s="7" t="s">
        <v>13</v>
      </c>
      <c r="J1227" s="7" t="s">
        <v>4727</v>
      </c>
      <c r="K1227" s="7" t="s">
        <v>4728</v>
      </c>
      <c r="L1227" s="7" t="s">
        <v>5164</v>
      </c>
      <c r="M1227" s="7">
        <v>0</v>
      </c>
      <c r="N1227" s="9" t="s">
        <v>5044</v>
      </c>
      <c r="O1227" s="9" t="s">
        <v>5044</v>
      </c>
      <c r="P1227" s="7">
        <v>0</v>
      </c>
      <c r="Q1227" s="7">
        <v>0</v>
      </c>
      <c r="R1227" s="7">
        <v>0</v>
      </c>
      <c r="S1227" s="7">
        <v>3</v>
      </c>
      <c r="T1227" s="7">
        <v>1</v>
      </c>
      <c r="U1227" s="7">
        <v>320</v>
      </c>
      <c r="V1227" s="7">
        <v>0</v>
      </c>
      <c r="W1227" s="7">
        <v>1</v>
      </c>
      <c r="X1227" s="7">
        <v>0</v>
      </c>
      <c r="Y1227" s="7">
        <v>0</v>
      </c>
      <c r="Z1227" s="7">
        <v>0</v>
      </c>
      <c r="AA1227" s="7">
        <v>0</v>
      </c>
      <c r="AB1227" s="7">
        <v>1</v>
      </c>
      <c r="AC1227" s="7">
        <v>1</v>
      </c>
      <c r="AD1227" s="7" t="s">
        <v>5044</v>
      </c>
      <c r="AE1227" s="7" t="s">
        <v>5044</v>
      </c>
      <c r="AF1227" s="7" t="s">
        <v>5044</v>
      </c>
      <c r="AG1227" s="7">
        <v>2</v>
      </c>
      <c r="AH1227" s="7">
        <v>3</v>
      </c>
      <c r="AI1227" s="7">
        <v>0</v>
      </c>
      <c r="AJ1227" s="7" t="s">
        <v>5044</v>
      </c>
      <c r="AL1227" s="7">
        <v>0</v>
      </c>
      <c r="AM1227" s="7">
        <v>0</v>
      </c>
    </row>
    <row r="1228" spans="1:40" ht="63" customHeight="1" x14ac:dyDescent="0.2">
      <c r="A1228" s="7">
        <v>12179</v>
      </c>
      <c r="B1228" s="7" t="s">
        <v>4729</v>
      </c>
      <c r="C1228" s="7" t="s">
        <v>4730</v>
      </c>
      <c r="D1228" s="7" t="s">
        <v>149</v>
      </c>
      <c r="F1228" s="7" t="s">
        <v>293</v>
      </c>
      <c r="G1228" s="7" t="s">
        <v>52</v>
      </c>
      <c r="H1228" s="7" t="s">
        <v>119</v>
      </c>
      <c r="I1228" s="7" t="s">
        <v>13</v>
      </c>
      <c r="J1228" s="7" t="s">
        <v>4731</v>
      </c>
      <c r="K1228" s="7" t="s">
        <v>4732</v>
      </c>
      <c r="L1228" s="7" t="s">
        <v>5165</v>
      </c>
      <c r="M1228" s="7">
        <v>1</v>
      </c>
      <c r="N1228" s="7">
        <v>0</v>
      </c>
      <c r="O1228" s="9" t="s">
        <v>5044</v>
      </c>
      <c r="P1228" s="7">
        <v>0</v>
      </c>
      <c r="Q1228" s="7">
        <v>0</v>
      </c>
      <c r="R1228" s="7">
        <v>0</v>
      </c>
      <c r="S1228" s="7">
        <v>1</v>
      </c>
      <c r="T1228" s="7">
        <v>1</v>
      </c>
      <c r="U1228" s="7">
        <v>224</v>
      </c>
      <c r="V1228" s="7">
        <v>0</v>
      </c>
      <c r="W1228" s="7">
        <v>1</v>
      </c>
      <c r="X1228" s="7">
        <v>0</v>
      </c>
      <c r="Y1228" s="7">
        <v>0</v>
      </c>
      <c r="Z1228" s="7">
        <v>0</v>
      </c>
      <c r="AA1228" s="7">
        <v>0</v>
      </c>
      <c r="AB1228" s="7">
        <v>1</v>
      </c>
      <c r="AC1228" s="7" t="s">
        <v>5044</v>
      </c>
      <c r="AD1228" s="7" t="s">
        <v>5044</v>
      </c>
      <c r="AE1228" s="7" t="s">
        <v>5044</v>
      </c>
      <c r="AF1228" s="7" t="s">
        <v>5044</v>
      </c>
      <c r="AG1228" s="7" t="s">
        <v>5044</v>
      </c>
      <c r="AH1228" s="7" t="s">
        <v>5044</v>
      </c>
      <c r="AI1228" s="7" t="s">
        <v>5044</v>
      </c>
      <c r="AJ1228" s="7" t="s">
        <v>5044</v>
      </c>
      <c r="AL1228" s="7" t="s">
        <v>5044</v>
      </c>
      <c r="AM1228" s="7">
        <v>0</v>
      </c>
    </row>
    <row r="1229" spans="1:40" ht="63" customHeight="1" x14ac:dyDescent="0.2">
      <c r="A1229" s="7">
        <v>12203</v>
      </c>
      <c r="B1229" s="7" t="s">
        <v>4737</v>
      </c>
      <c r="C1229" s="7" t="s">
        <v>4738</v>
      </c>
      <c r="D1229" s="7" t="s">
        <v>46</v>
      </c>
      <c r="F1229" s="7" t="s">
        <v>2974</v>
      </c>
      <c r="G1229" s="7" t="s">
        <v>27</v>
      </c>
      <c r="H1229" s="7" t="s">
        <v>2975</v>
      </c>
      <c r="I1229" s="7" t="s">
        <v>13</v>
      </c>
      <c r="J1229" s="7" t="s">
        <v>4739</v>
      </c>
      <c r="K1229" s="7" t="s">
        <v>4740</v>
      </c>
      <c r="L1229" s="7" t="s">
        <v>5044</v>
      </c>
      <c r="M1229" s="7">
        <v>0</v>
      </c>
      <c r="N1229" s="9" t="s">
        <v>5044</v>
      </c>
      <c r="O1229" s="9" t="s">
        <v>5044</v>
      </c>
      <c r="P1229" s="7">
        <v>0</v>
      </c>
      <c r="Q1229" s="7">
        <v>0</v>
      </c>
      <c r="R1229" s="7">
        <v>0</v>
      </c>
      <c r="S1229" s="7">
        <v>1</v>
      </c>
      <c r="T1229" s="7">
        <v>1</v>
      </c>
      <c r="U1229" s="7">
        <v>40</v>
      </c>
      <c r="V1229" s="7">
        <v>1</v>
      </c>
      <c r="W1229" s="7">
        <v>0</v>
      </c>
      <c r="X1229" s="7">
        <v>0</v>
      </c>
      <c r="Y1229" s="7">
        <v>0</v>
      </c>
      <c r="Z1229" s="7">
        <v>0</v>
      </c>
      <c r="AA1229" s="7">
        <v>0</v>
      </c>
      <c r="AB1229" s="7">
        <v>1</v>
      </c>
      <c r="AC1229" s="7">
        <v>1</v>
      </c>
      <c r="AD1229" s="7">
        <v>2</v>
      </c>
      <c r="AE1229" s="7">
        <v>2</v>
      </c>
      <c r="AF1229" s="7">
        <v>2</v>
      </c>
      <c r="AG1229" s="7" t="s">
        <v>5044</v>
      </c>
      <c r="AH1229" s="7" t="s">
        <v>5044</v>
      </c>
      <c r="AI1229" s="7" t="s">
        <v>5044</v>
      </c>
      <c r="AJ1229" s="7" t="s">
        <v>5044</v>
      </c>
      <c r="AL1229" s="7">
        <v>0</v>
      </c>
      <c r="AM1229" s="7">
        <v>0</v>
      </c>
    </row>
    <row r="1230" spans="1:40" ht="63" customHeight="1" x14ac:dyDescent="0.2">
      <c r="A1230" s="7">
        <v>12224</v>
      </c>
      <c r="B1230" s="7" t="s">
        <v>4741</v>
      </c>
      <c r="C1230" s="7" t="s">
        <v>4742</v>
      </c>
      <c r="D1230" s="7" t="s">
        <v>74</v>
      </c>
      <c r="E1230" s="7" t="s">
        <v>4746</v>
      </c>
      <c r="H1230" s="7" t="s">
        <v>4743</v>
      </c>
      <c r="I1230" s="7" t="s">
        <v>13</v>
      </c>
      <c r="J1230" s="7" t="s">
        <v>4744</v>
      </c>
      <c r="K1230" s="7" t="s">
        <v>4745</v>
      </c>
      <c r="L1230" s="8" t="s">
        <v>5167</v>
      </c>
      <c r="M1230" s="7">
        <v>0</v>
      </c>
      <c r="N1230" s="9" t="s">
        <v>5044</v>
      </c>
      <c r="O1230" s="9" t="s">
        <v>5044</v>
      </c>
      <c r="P1230" s="7">
        <v>1</v>
      </c>
      <c r="Q1230" s="7">
        <v>0</v>
      </c>
      <c r="R1230" s="7">
        <v>0</v>
      </c>
      <c r="S1230" s="7">
        <v>1</v>
      </c>
      <c r="T1230" s="7">
        <v>2</v>
      </c>
      <c r="U1230" s="7">
        <v>102</v>
      </c>
      <c r="V1230" s="7">
        <v>0</v>
      </c>
      <c r="W1230" s="7">
        <v>1</v>
      </c>
      <c r="X1230" s="7">
        <v>0</v>
      </c>
      <c r="Y1230" s="7">
        <v>0</v>
      </c>
      <c r="Z1230" s="7">
        <v>0</v>
      </c>
      <c r="AA1230" s="7">
        <v>0</v>
      </c>
      <c r="AB1230" s="7">
        <v>1</v>
      </c>
      <c r="AC1230" s="7">
        <v>1</v>
      </c>
      <c r="AD1230" s="7" t="s">
        <v>5044</v>
      </c>
      <c r="AE1230" s="7" t="s">
        <v>5044</v>
      </c>
      <c r="AF1230" s="7" t="s">
        <v>5044</v>
      </c>
      <c r="AG1230" s="7">
        <v>2</v>
      </c>
      <c r="AH1230" s="7">
        <v>3</v>
      </c>
      <c r="AI1230" s="7">
        <v>0</v>
      </c>
      <c r="AJ1230" s="7" t="s">
        <v>5044</v>
      </c>
      <c r="AL1230" s="7">
        <v>0</v>
      </c>
      <c r="AM1230" s="7">
        <v>0</v>
      </c>
    </row>
    <row r="1231" spans="1:40" ht="63" customHeight="1" x14ac:dyDescent="0.2">
      <c r="A1231" s="7">
        <v>12225</v>
      </c>
      <c r="B1231" s="7" t="s">
        <v>4747</v>
      </c>
      <c r="C1231" s="7" t="s">
        <v>4748</v>
      </c>
      <c r="D1231" s="7" t="s">
        <v>56</v>
      </c>
      <c r="F1231" s="7" t="s">
        <v>521</v>
      </c>
      <c r="G1231" s="7" t="s">
        <v>27</v>
      </c>
      <c r="H1231" s="7" t="s">
        <v>38</v>
      </c>
      <c r="I1231" s="7" t="s">
        <v>13</v>
      </c>
      <c r="J1231" s="7" t="s">
        <v>4749</v>
      </c>
      <c r="K1231" s="7" t="s">
        <v>4750</v>
      </c>
      <c r="L1231" s="7" t="s">
        <v>5168</v>
      </c>
      <c r="M1231" s="7">
        <v>0</v>
      </c>
      <c r="N1231" s="9" t="s">
        <v>5044</v>
      </c>
      <c r="O1231" s="9" t="s">
        <v>5044</v>
      </c>
      <c r="P1231" s="7">
        <v>0</v>
      </c>
      <c r="Q1231" s="7">
        <v>0</v>
      </c>
      <c r="R1231" s="7">
        <v>0</v>
      </c>
      <c r="S1231" s="7">
        <v>11</v>
      </c>
      <c r="T1231" s="7">
        <v>1</v>
      </c>
      <c r="U1231" s="7">
        <v>412</v>
      </c>
      <c r="V1231" s="7">
        <v>0</v>
      </c>
      <c r="W1231" s="7">
        <v>1</v>
      </c>
      <c r="X1231" s="7">
        <v>0</v>
      </c>
      <c r="Y1231" s="7">
        <v>0</v>
      </c>
      <c r="Z1231" s="7">
        <v>0</v>
      </c>
      <c r="AA1231" s="7">
        <v>0</v>
      </c>
      <c r="AB1231" s="7">
        <v>1</v>
      </c>
      <c r="AC1231" s="7">
        <v>1</v>
      </c>
      <c r="AD1231" s="7" t="s">
        <v>5044</v>
      </c>
      <c r="AE1231" s="7" t="s">
        <v>5044</v>
      </c>
      <c r="AF1231" s="7" t="s">
        <v>5044</v>
      </c>
      <c r="AG1231" s="7">
        <v>2</v>
      </c>
      <c r="AH1231" s="7">
        <v>3</v>
      </c>
      <c r="AI1231" s="7">
        <v>0</v>
      </c>
      <c r="AJ1231" s="7" t="s">
        <v>5044</v>
      </c>
      <c r="AL1231" s="7">
        <v>0</v>
      </c>
      <c r="AM1231" s="7">
        <v>0</v>
      </c>
    </row>
    <row r="1232" spans="1:40" ht="63" customHeight="1" x14ac:dyDescent="0.2">
      <c r="A1232" s="7">
        <v>12232</v>
      </c>
      <c r="B1232" s="7" t="s">
        <v>4751</v>
      </c>
      <c r="C1232" s="7" t="s">
        <v>4752</v>
      </c>
      <c r="D1232" s="7" t="s">
        <v>41</v>
      </c>
      <c r="F1232" s="7" t="s">
        <v>2221</v>
      </c>
      <c r="G1232" s="7" t="s">
        <v>144</v>
      </c>
      <c r="H1232" s="7" t="s">
        <v>71</v>
      </c>
      <c r="I1232" s="7" t="s">
        <v>13</v>
      </c>
      <c r="J1232" s="7" t="s">
        <v>4753</v>
      </c>
      <c r="K1232" s="7" t="s">
        <v>4754</v>
      </c>
      <c r="L1232" s="7" t="s">
        <v>5169</v>
      </c>
      <c r="M1232" s="7">
        <v>0</v>
      </c>
      <c r="N1232" s="9" t="s">
        <v>5044</v>
      </c>
      <c r="O1232" s="9" t="s">
        <v>5044</v>
      </c>
      <c r="P1232" s="7">
        <v>0</v>
      </c>
      <c r="Q1232" s="7">
        <v>0</v>
      </c>
      <c r="R1232" s="7">
        <v>0</v>
      </c>
      <c r="S1232" s="7">
        <v>9</v>
      </c>
      <c r="T1232" s="7">
        <v>1</v>
      </c>
      <c r="U1232" s="7">
        <v>50</v>
      </c>
      <c r="V1232" s="7">
        <v>0</v>
      </c>
      <c r="W1232" s="7">
        <v>0</v>
      </c>
      <c r="X1232" s="7">
        <v>1</v>
      </c>
      <c r="Y1232" s="7">
        <v>0</v>
      </c>
      <c r="Z1232" s="7">
        <v>0</v>
      </c>
      <c r="AA1232" s="7">
        <v>0</v>
      </c>
      <c r="AB1232" s="7">
        <v>1</v>
      </c>
      <c r="AC1232" s="7">
        <v>1</v>
      </c>
      <c r="AD1232" s="7" t="s">
        <v>5044</v>
      </c>
      <c r="AE1232" s="7" t="s">
        <v>5044</v>
      </c>
      <c r="AF1232" s="7" t="s">
        <v>5044</v>
      </c>
      <c r="AG1232" s="7">
        <v>1</v>
      </c>
      <c r="AH1232" s="7">
        <v>0</v>
      </c>
      <c r="AI1232" s="7">
        <v>0</v>
      </c>
      <c r="AJ1232" s="7" t="s">
        <v>5044</v>
      </c>
      <c r="AL1232" s="7">
        <v>0</v>
      </c>
      <c r="AM1232" s="7">
        <v>0</v>
      </c>
      <c r="AN1232" s="7" t="s">
        <v>6289</v>
      </c>
    </row>
    <row r="1233" spans="1:41" ht="63" customHeight="1" x14ac:dyDescent="0.2">
      <c r="A1233" s="7">
        <v>12238</v>
      </c>
      <c r="B1233" s="7" t="s">
        <v>4755</v>
      </c>
      <c r="C1233" s="7" t="s">
        <v>4756</v>
      </c>
      <c r="D1233" s="7" t="s">
        <v>375</v>
      </c>
      <c r="F1233" s="7" t="s">
        <v>27</v>
      </c>
      <c r="G1233" s="7" t="s">
        <v>11</v>
      </c>
      <c r="H1233" s="7" t="s">
        <v>4713</v>
      </c>
      <c r="I1233" s="7" t="s">
        <v>13</v>
      </c>
      <c r="J1233" s="7" t="s">
        <v>4757</v>
      </c>
      <c r="K1233" s="7" t="s">
        <v>4758</v>
      </c>
      <c r="L1233" s="7" t="s">
        <v>5044</v>
      </c>
      <c r="M1233" s="7">
        <v>0</v>
      </c>
      <c r="N1233" s="9" t="s">
        <v>5044</v>
      </c>
      <c r="O1233" s="9" t="s">
        <v>5044</v>
      </c>
      <c r="P1233" s="7">
        <v>0</v>
      </c>
      <c r="Q1233" s="7">
        <v>0</v>
      </c>
      <c r="R1233" s="7">
        <v>0</v>
      </c>
      <c r="S1233" s="7">
        <v>3</v>
      </c>
      <c r="T1233" s="7">
        <v>1</v>
      </c>
      <c r="U1233" s="7">
        <v>128</v>
      </c>
      <c r="V1233" s="7">
        <v>0</v>
      </c>
      <c r="W1233" s="7">
        <v>1</v>
      </c>
      <c r="X1233" s="7">
        <v>0</v>
      </c>
      <c r="Y1233" s="7">
        <v>0</v>
      </c>
      <c r="Z1233" s="7">
        <v>0</v>
      </c>
      <c r="AA1233" s="7">
        <v>0</v>
      </c>
      <c r="AB1233" s="7">
        <v>1</v>
      </c>
      <c r="AC1233" s="7">
        <v>1</v>
      </c>
      <c r="AD1233" s="7" t="s">
        <v>5044</v>
      </c>
      <c r="AE1233" s="7" t="s">
        <v>5044</v>
      </c>
      <c r="AF1233" s="7" t="s">
        <v>5044</v>
      </c>
      <c r="AG1233" s="7">
        <v>1</v>
      </c>
      <c r="AH1233" s="7">
        <v>0</v>
      </c>
      <c r="AI1233" s="7">
        <v>0</v>
      </c>
      <c r="AJ1233" s="7" t="s">
        <v>5044</v>
      </c>
      <c r="AL1233" s="7">
        <v>1</v>
      </c>
      <c r="AM1233" s="7">
        <v>0</v>
      </c>
      <c r="AO1233" s="8"/>
    </row>
    <row r="1234" spans="1:41" ht="63" customHeight="1" x14ac:dyDescent="0.2">
      <c r="A1234" s="7">
        <v>12257</v>
      </c>
      <c r="B1234" s="7" t="s">
        <v>4759</v>
      </c>
      <c r="C1234" s="7" t="s">
        <v>4760</v>
      </c>
      <c r="D1234" s="7" t="s">
        <v>101</v>
      </c>
      <c r="F1234" s="7" t="s">
        <v>356</v>
      </c>
      <c r="G1234" s="7" t="s">
        <v>175</v>
      </c>
      <c r="H1234" s="7" t="s">
        <v>86</v>
      </c>
      <c r="I1234" s="7" t="s">
        <v>13</v>
      </c>
      <c r="J1234" s="7" t="s">
        <v>4761</v>
      </c>
      <c r="K1234" s="7" t="s">
        <v>4762</v>
      </c>
      <c r="L1234" s="7" t="s">
        <v>5044</v>
      </c>
      <c r="M1234" s="7">
        <v>0</v>
      </c>
      <c r="N1234" s="9" t="s">
        <v>5044</v>
      </c>
      <c r="O1234" s="9" t="s">
        <v>5044</v>
      </c>
      <c r="P1234" s="7">
        <v>0</v>
      </c>
      <c r="Q1234" s="7">
        <v>0</v>
      </c>
      <c r="R1234" s="7">
        <v>0</v>
      </c>
      <c r="S1234" s="7" t="s">
        <v>5170</v>
      </c>
      <c r="T1234" s="7">
        <v>2</v>
      </c>
      <c r="U1234" s="7">
        <v>157</v>
      </c>
      <c r="V1234" s="7">
        <v>0</v>
      </c>
      <c r="W1234" s="7">
        <v>1</v>
      </c>
      <c r="X1234" s="7">
        <v>0</v>
      </c>
      <c r="Y1234" s="7">
        <v>0</v>
      </c>
      <c r="Z1234" s="7">
        <v>0</v>
      </c>
      <c r="AA1234" s="7">
        <v>0</v>
      </c>
      <c r="AB1234" s="7">
        <v>1</v>
      </c>
      <c r="AC1234" s="7">
        <v>1</v>
      </c>
      <c r="AD1234" s="7" t="s">
        <v>5044</v>
      </c>
      <c r="AE1234" s="7" t="s">
        <v>5044</v>
      </c>
      <c r="AF1234" s="7" t="s">
        <v>5044</v>
      </c>
      <c r="AG1234" s="7">
        <v>2</v>
      </c>
      <c r="AH1234" s="7">
        <v>3</v>
      </c>
      <c r="AI1234" s="7">
        <v>0</v>
      </c>
      <c r="AJ1234" s="7" t="s">
        <v>5044</v>
      </c>
      <c r="AL1234" s="7">
        <v>0</v>
      </c>
      <c r="AM1234" s="7">
        <v>0</v>
      </c>
    </row>
    <row r="1235" spans="1:41" ht="63" customHeight="1" x14ac:dyDescent="0.2">
      <c r="A1235" s="7">
        <v>12261</v>
      </c>
      <c r="B1235" s="7" t="s">
        <v>4763</v>
      </c>
      <c r="C1235" s="7" t="s">
        <v>4764</v>
      </c>
      <c r="D1235" s="7" t="s">
        <v>41</v>
      </c>
      <c r="F1235" s="7" t="s">
        <v>703</v>
      </c>
      <c r="G1235" s="7" t="s">
        <v>17</v>
      </c>
      <c r="H1235" s="7" t="s">
        <v>160</v>
      </c>
      <c r="I1235" s="7" t="s">
        <v>13</v>
      </c>
      <c r="J1235" s="7" t="s">
        <v>4765</v>
      </c>
      <c r="K1235" s="7" t="s">
        <v>4766</v>
      </c>
      <c r="L1235" s="7" t="s">
        <v>5044</v>
      </c>
      <c r="M1235" s="7">
        <v>0</v>
      </c>
      <c r="N1235" s="9" t="s">
        <v>5044</v>
      </c>
      <c r="O1235" s="9" t="s">
        <v>5044</v>
      </c>
      <c r="P1235" s="7">
        <v>0</v>
      </c>
      <c r="Q1235" s="7">
        <v>0</v>
      </c>
      <c r="R1235" s="7">
        <v>0</v>
      </c>
      <c r="S1235" s="7">
        <v>1</v>
      </c>
      <c r="T1235" s="7">
        <v>1</v>
      </c>
      <c r="U1235" s="7">
        <v>39</v>
      </c>
      <c r="V1235" s="7">
        <v>1</v>
      </c>
      <c r="W1235" s="7">
        <v>0</v>
      </c>
      <c r="X1235" s="7">
        <v>0</v>
      </c>
      <c r="Y1235" s="7">
        <v>0</v>
      </c>
      <c r="Z1235" s="7">
        <v>0</v>
      </c>
      <c r="AA1235" s="7">
        <v>0</v>
      </c>
      <c r="AB1235" s="7">
        <v>1</v>
      </c>
      <c r="AC1235" s="7">
        <v>1</v>
      </c>
      <c r="AD1235" s="7">
        <v>1</v>
      </c>
      <c r="AE1235" s="7">
        <v>0</v>
      </c>
      <c r="AF1235" s="7">
        <v>0</v>
      </c>
      <c r="AG1235" s="7" t="s">
        <v>5044</v>
      </c>
      <c r="AH1235" s="7" t="s">
        <v>5044</v>
      </c>
      <c r="AI1235" s="7" t="s">
        <v>5044</v>
      </c>
      <c r="AJ1235" s="7" t="s">
        <v>5044</v>
      </c>
      <c r="AL1235" s="7">
        <v>0</v>
      </c>
      <c r="AM1235" s="7">
        <v>0</v>
      </c>
    </row>
    <row r="1236" spans="1:41" ht="63" customHeight="1" x14ac:dyDescent="0.2">
      <c r="A1236" s="7">
        <v>12282</v>
      </c>
      <c r="B1236" s="7" t="s">
        <v>4767</v>
      </c>
      <c r="C1236" s="7" t="s">
        <v>4768</v>
      </c>
      <c r="D1236" s="7" t="s">
        <v>41</v>
      </c>
      <c r="F1236" s="7" t="s">
        <v>42</v>
      </c>
      <c r="G1236" s="7" t="s">
        <v>32</v>
      </c>
      <c r="H1236" s="7" t="s">
        <v>43</v>
      </c>
      <c r="I1236" s="7" t="s">
        <v>13</v>
      </c>
      <c r="J1236" s="7" t="s">
        <v>4769</v>
      </c>
      <c r="K1236" s="7" t="s">
        <v>4770</v>
      </c>
      <c r="L1236" s="7" t="s">
        <v>5190</v>
      </c>
      <c r="M1236" s="7">
        <v>0</v>
      </c>
      <c r="N1236" s="9" t="s">
        <v>5044</v>
      </c>
      <c r="O1236" s="9" t="s">
        <v>5044</v>
      </c>
      <c r="P1236" s="7">
        <v>0</v>
      </c>
      <c r="Q1236" s="7">
        <v>0</v>
      </c>
      <c r="R1236" s="7">
        <v>0</v>
      </c>
      <c r="S1236" s="7">
        <v>1</v>
      </c>
      <c r="T1236" s="7">
        <v>4</v>
      </c>
      <c r="U1236" s="7">
        <v>405</v>
      </c>
      <c r="V1236" s="7">
        <v>1</v>
      </c>
      <c r="W1236" s="7">
        <v>1</v>
      </c>
      <c r="X1236" s="7">
        <v>0</v>
      </c>
      <c r="Y1236" s="7">
        <v>0</v>
      </c>
      <c r="Z1236" s="7">
        <v>1</v>
      </c>
      <c r="AA1236" s="7">
        <v>0</v>
      </c>
      <c r="AB1236" s="7">
        <v>1</v>
      </c>
      <c r="AC1236" s="7">
        <v>1</v>
      </c>
      <c r="AD1236" s="7">
        <v>2</v>
      </c>
      <c r="AE1236" s="7">
        <v>1</v>
      </c>
      <c r="AF1236" s="7">
        <v>2</v>
      </c>
      <c r="AG1236" s="7">
        <v>1</v>
      </c>
      <c r="AH1236" s="7">
        <v>0</v>
      </c>
      <c r="AI1236" s="7">
        <v>0</v>
      </c>
      <c r="AJ1236" s="7">
        <v>1</v>
      </c>
      <c r="AK1236" s="7" t="s">
        <v>6507</v>
      </c>
      <c r="AL1236" s="7">
        <v>1</v>
      </c>
      <c r="AM1236" s="7">
        <v>0</v>
      </c>
    </row>
    <row r="1237" spans="1:41" ht="63" customHeight="1" x14ac:dyDescent="0.2">
      <c r="A1237" s="7">
        <v>12297</v>
      </c>
      <c r="B1237" s="7" t="s">
        <v>4771</v>
      </c>
      <c r="C1237" s="7" t="s">
        <v>4772</v>
      </c>
      <c r="D1237" s="7" t="s">
        <v>95</v>
      </c>
      <c r="F1237" s="7" t="s">
        <v>356</v>
      </c>
      <c r="G1237" s="7" t="s">
        <v>175</v>
      </c>
      <c r="H1237" s="7" t="s">
        <v>160</v>
      </c>
      <c r="I1237" s="7" t="s">
        <v>13</v>
      </c>
      <c r="J1237" s="7" t="s">
        <v>4773</v>
      </c>
      <c r="K1237" s="7" t="s">
        <v>4774</v>
      </c>
      <c r="L1237" s="7" t="s">
        <v>5171</v>
      </c>
      <c r="M1237" s="7">
        <v>0</v>
      </c>
      <c r="N1237" s="9" t="s">
        <v>5044</v>
      </c>
      <c r="O1237" s="9" t="s">
        <v>5044</v>
      </c>
      <c r="P1237" s="7">
        <v>0</v>
      </c>
      <c r="Q1237" s="7">
        <v>0</v>
      </c>
      <c r="R1237" s="7">
        <v>0</v>
      </c>
      <c r="S1237" s="7">
        <v>1</v>
      </c>
      <c r="T1237" s="7">
        <v>1</v>
      </c>
      <c r="U1237" s="7">
        <v>600</v>
      </c>
      <c r="V1237" s="7">
        <v>1</v>
      </c>
      <c r="W1237" s="7">
        <v>0</v>
      </c>
      <c r="X1237" s="7">
        <v>0</v>
      </c>
      <c r="Y1237" s="7">
        <v>0</v>
      </c>
      <c r="Z1237" s="7">
        <v>0</v>
      </c>
      <c r="AA1237" s="7">
        <v>0</v>
      </c>
      <c r="AB1237" s="7">
        <v>1</v>
      </c>
      <c r="AC1237" s="7">
        <v>1</v>
      </c>
      <c r="AD1237" s="7">
        <v>1</v>
      </c>
      <c r="AE1237" s="7">
        <v>0</v>
      </c>
      <c r="AF1237" s="7">
        <v>0</v>
      </c>
      <c r="AG1237" s="7" t="s">
        <v>5044</v>
      </c>
      <c r="AH1237" s="7" t="s">
        <v>5044</v>
      </c>
      <c r="AI1237" s="7" t="s">
        <v>5044</v>
      </c>
      <c r="AJ1237" s="7" t="s">
        <v>5044</v>
      </c>
      <c r="AL1237" s="7">
        <v>1</v>
      </c>
      <c r="AM1237" s="7">
        <v>0</v>
      </c>
    </row>
    <row r="1238" spans="1:41" ht="63" customHeight="1" x14ac:dyDescent="0.2">
      <c r="A1238" s="7">
        <v>12298</v>
      </c>
      <c r="B1238" s="7" t="s">
        <v>4775</v>
      </c>
      <c r="C1238" s="7" t="s">
        <v>4776</v>
      </c>
      <c r="D1238" s="7" t="s">
        <v>41</v>
      </c>
      <c r="F1238" s="7" t="s">
        <v>1353</v>
      </c>
      <c r="G1238" s="7" t="s">
        <v>11</v>
      </c>
      <c r="H1238" s="7" t="s">
        <v>916</v>
      </c>
      <c r="I1238" s="7" t="s">
        <v>13</v>
      </c>
      <c r="J1238" s="7" t="s">
        <v>4777</v>
      </c>
      <c r="K1238" s="7" t="s">
        <v>4778</v>
      </c>
      <c r="L1238" s="7" t="s">
        <v>5172</v>
      </c>
      <c r="M1238" s="7">
        <v>0</v>
      </c>
      <c r="N1238" s="9" t="s">
        <v>5044</v>
      </c>
      <c r="O1238" s="9" t="s">
        <v>5044</v>
      </c>
      <c r="P1238" s="7">
        <v>0</v>
      </c>
      <c r="Q1238" s="7">
        <v>0</v>
      </c>
      <c r="R1238" s="7">
        <v>0</v>
      </c>
      <c r="S1238" s="7">
        <v>1</v>
      </c>
      <c r="T1238" s="7">
        <v>1</v>
      </c>
      <c r="U1238" s="7">
        <v>204</v>
      </c>
      <c r="V1238" s="7">
        <v>0</v>
      </c>
      <c r="W1238" s="7">
        <v>1</v>
      </c>
      <c r="X1238" s="7">
        <v>0</v>
      </c>
      <c r="Y1238" s="7">
        <v>0</v>
      </c>
      <c r="Z1238" s="7">
        <v>0</v>
      </c>
      <c r="AA1238" s="7">
        <v>0</v>
      </c>
      <c r="AB1238" s="7">
        <v>1</v>
      </c>
      <c r="AC1238" s="7">
        <v>0</v>
      </c>
      <c r="AD1238" s="7" t="s">
        <v>5044</v>
      </c>
      <c r="AE1238" s="7" t="s">
        <v>5044</v>
      </c>
      <c r="AF1238" s="7" t="s">
        <v>5044</v>
      </c>
      <c r="AG1238" s="7">
        <v>0</v>
      </c>
      <c r="AH1238" s="7" t="s">
        <v>5044</v>
      </c>
      <c r="AI1238" s="7" t="s">
        <v>5044</v>
      </c>
      <c r="AJ1238" s="7" t="s">
        <v>5044</v>
      </c>
      <c r="AL1238" s="7" t="s">
        <v>5044</v>
      </c>
      <c r="AM1238" s="7">
        <v>0</v>
      </c>
      <c r="AN1238" s="7" t="s">
        <v>6508</v>
      </c>
    </row>
    <row r="1239" spans="1:41" ht="63" customHeight="1" x14ac:dyDescent="0.2">
      <c r="A1239" s="7">
        <v>12299</v>
      </c>
      <c r="B1239" s="7" t="s">
        <v>4779</v>
      </c>
      <c r="C1239" s="7" t="s">
        <v>4780</v>
      </c>
      <c r="D1239" s="7" t="s">
        <v>95</v>
      </c>
      <c r="F1239" s="7" t="s">
        <v>356</v>
      </c>
      <c r="G1239" s="7" t="s">
        <v>27</v>
      </c>
      <c r="H1239" s="7" t="s">
        <v>160</v>
      </c>
      <c r="I1239" s="7" t="s">
        <v>13</v>
      </c>
      <c r="J1239" s="7" t="s">
        <v>4781</v>
      </c>
      <c r="K1239" s="7" t="s">
        <v>4782</v>
      </c>
      <c r="L1239" s="7" t="s">
        <v>5173</v>
      </c>
      <c r="M1239" s="7">
        <v>0</v>
      </c>
      <c r="N1239" s="9" t="s">
        <v>5044</v>
      </c>
      <c r="O1239" s="9" t="s">
        <v>5044</v>
      </c>
      <c r="P1239" s="7">
        <v>0</v>
      </c>
      <c r="Q1239" s="7">
        <v>0</v>
      </c>
      <c r="R1239" s="7">
        <v>0</v>
      </c>
      <c r="S1239" s="7">
        <v>1</v>
      </c>
      <c r="T1239" s="7">
        <v>1</v>
      </c>
      <c r="U1239" s="7">
        <v>144</v>
      </c>
      <c r="V1239" s="7">
        <v>1</v>
      </c>
      <c r="W1239" s="7">
        <v>0</v>
      </c>
      <c r="X1239" s="7">
        <v>0</v>
      </c>
      <c r="Y1239" s="7">
        <v>0</v>
      </c>
      <c r="Z1239" s="7">
        <v>0</v>
      </c>
      <c r="AA1239" s="7">
        <v>0</v>
      </c>
      <c r="AB1239" s="7">
        <v>1</v>
      </c>
      <c r="AC1239" s="7">
        <v>1</v>
      </c>
      <c r="AD1239" s="7">
        <v>1</v>
      </c>
      <c r="AE1239" s="7">
        <v>0</v>
      </c>
      <c r="AF1239" s="7">
        <v>0</v>
      </c>
      <c r="AG1239" s="7" t="s">
        <v>5044</v>
      </c>
      <c r="AH1239" s="7" t="s">
        <v>5044</v>
      </c>
      <c r="AI1239" s="7" t="s">
        <v>5044</v>
      </c>
      <c r="AJ1239" s="7" t="s">
        <v>5044</v>
      </c>
      <c r="AL1239" s="7">
        <v>0</v>
      </c>
      <c r="AM1239" s="7">
        <v>0</v>
      </c>
    </row>
    <row r="1240" spans="1:41" ht="63" customHeight="1" x14ac:dyDescent="0.2">
      <c r="A1240" s="7">
        <v>12323</v>
      </c>
      <c r="B1240" s="7" t="s">
        <v>4783</v>
      </c>
      <c r="C1240" s="7" t="s">
        <v>4784</v>
      </c>
      <c r="D1240" s="7" t="s">
        <v>25</v>
      </c>
      <c r="F1240" s="7" t="s">
        <v>107</v>
      </c>
      <c r="G1240" s="7" t="s">
        <v>37</v>
      </c>
      <c r="H1240" s="7" t="s">
        <v>157</v>
      </c>
      <c r="I1240" s="7" t="s">
        <v>13</v>
      </c>
      <c r="J1240" s="7" t="s">
        <v>4785</v>
      </c>
      <c r="K1240" s="7" t="s">
        <v>4786</v>
      </c>
      <c r="L1240" s="8" t="s">
        <v>5174</v>
      </c>
      <c r="M1240" s="7">
        <v>0</v>
      </c>
      <c r="N1240" s="9" t="s">
        <v>5044</v>
      </c>
      <c r="O1240" s="9" t="s">
        <v>5044</v>
      </c>
      <c r="P1240" s="7">
        <v>0</v>
      </c>
      <c r="Q1240" s="7">
        <v>0</v>
      </c>
      <c r="R1240" s="7">
        <v>0</v>
      </c>
      <c r="S1240" s="7">
        <v>1</v>
      </c>
      <c r="T1240" s="7">
        <v>4</v>
      </c>
      <c r="U1240" s="7">
        <v>26</v>
      </c>
      <c r="V1240" s="7">
        <v>0</v>
      </c>
      <c r="W1240" s="7">
        <v>0</v>
      </c>
      <c r="X1240" s="7">
        <v>1</v>
      </c>
      <c r="Y1240" s="7">
        <v>0</v>
      </c>
      <c r="Z1240" s="7">
        <v>0</v>
      </c>
      <c r="AA1240" s="7">
        <v>0</v>
      </c>
      <c r="AB1240" s="7">
        <v>1</v>
      </c>
      <c r="AC1240" s="7">
        <v>1</v>
      </c>
      <c r="AD1240" s="7" t="s">
        <v>5044</v>
      </c>
      <c r="AE1240" s="7" t="s">
        <v>5044</v>
      </c>
      <c r="AF1240" s="7" t="s">
        <v>5044</v>
      </c>
      <c r="AG1240" s="7">
        <v>1</v>
      </c>
      <c r="AH1240" s="7">
        <v>0</v>
      </c>
      <c r="AI1240" s="7">
        <v>0</v>
      </c>
      <c r="AJ1240" s="7" t="s">
        <v>5044</v>
      </c>
      <c r="AL1240" s="7">
        <v>0</v>
      </c>
      <c r="AM1240" s="7">
        <v>0</v>
      </c>
      <c r="AN1240" s="7" t="s">
        <v>6273</v>
      </c>
    </row>
    <row r="1241" spans="1:41" ht="63" customHeight="1" x14ac:dyDescent="0.2">
      <c r="A1241" s="7">
        <v>12335</v>
      </c>
      <c r="B1241" s="7" t="s">
        <v>4787</v>
      </c>
      <c r="C1241" s="7" t="s">
        <v>4788</v>
      </c>
      <c r="D1241" s="7" t="s">
        <v>101</v>
      </c>
      <c r="F1241" s="7" t="s">
        <v>37</v>
      </c>
      <c r="G1241" s="7" t="s">
        <v>52</v>
      </c>
      <c r="H1241" s="7" t="s">
        <v>4789</v>
      </c>
      <c r="I1241" s="7" t="s">
        <v>13</v>
      </c>
      <c r="J1241" s="7" t="s">
        <v>4790</v>
      </c>
      <c r="K1241" s="7" t="s">
        <v>4791</v>
      </c>
      <c r="L1241" s="7" t="s">
        <v>5175</v>
      </c>
      <c r="M1241" s="7">
        <v>0</v>
      </c>
      <c r="N1241" s="9" t="s">
        <v>5044</v>
      </c>
      <c r="O1241" s="9" t="s">
        <v>5044</v>
      </c>
      <c r="P1241" s="7">
        <v>0</v>
      </c>
      <c r="Q1241" s="7">
        <v>0</v>
      </c>
      <c r="R1241" s="7">
        <v>0</v>
      </c>
      <c r="S1241" s="7">
        <v>1</v>
      </c>
      <c r="T1241" s="7">
        <v>4</v>
      </c>
      <c r="U1241" s="7">
        <v>56</v>
      </c>
      <c r="V1241" s="7">
        <v>0</v>
      </c>
      <c r="W1241" s="7">
        <v>1</v>
      </c>
      <c r="X1241" s="7">
        <v>0</v>
      </c>
      <c r="Y1241" s="7">
        <v>0</v>
      </c>
      <c r="Z1241" s="7">
        <v>0</v>
      </c>
      <c r="AA1241" s="7">
        <v>0</v>
      </c>
      <c r="AB1241" s="7">
        <v>1</v>
      </c>
      <c r="AC1241" s="7">
        <v>1</v>
      </c>
      <c r="AD1241" s="7" t="s">
        <v>5044</v>
      </c>
      <c r="AE1241" s="7" t="s">
        <v>5044</v>
      </c>
      <c r="AF1241" s="7" t="s">
        <v>5044</v>
      </c>
      <c r="AG1241" s="7">
        <v>2</v>
      </c>
      <c r="AH1241" s="7">
        <v>3</v>
      </c>
      <c r="AI1241" s="7" t="s">
        <v>5044</v>
      </c>
      <c r="AJ1241" s="7" t="s">
        <v>5044</v>
      </c>
      <c r="AL1241" s="7">
        <v>0</v>
      </c>
      <c r="AM1241" s="7">
        <v>0</v>
      </c>
    </row>
    <row r="1242" spans="1:41" ht="63" customHeight="1" x14ac:dyDescent="0.2">
      <c r="A1242" s="7">
        <v>12349</v>
      </c>
      <c r="B1242" s="7" t="s">
        <v>4792</v>
      </c>
      <c r="C1242" s="7" t="s">
        <v>4793</v>
      </c>
      <c r="D1242" s="7" t="s">
        <v>46</v>
      </c>
      <c r="F1242" s="7" t="s">
        <v>129</v>
      </c>
      <c r="G1242" s="7" t="s">
        <v>32</v>
      </c>
      <c r="H1242" s="7" t="s">
        <v>2478</v>
      </c>
      <c r="I1242" s="7" t="s">
        <v>13</v>
      </c>
      <c r="J1242" s="7" t="s">
        <v>4794</v>
      </c>
      <c r="K1242" s="7" t="s">
        <v>4795</v>
      </c>
      <c r="L1242" s="8" t="s">
        <v>5176</v>
      </c>
      <c r="M1242" s="7">
        <v>0</v>
      </c>
      <c r="N1242" s="9" t="s">
        <v>5044</v>
      </c>
      <c r="O1242" s="9" t="s">
        <v>5044</v>
      </c>
      <c r="P1242" s="7">
        <v>0</v>
      </c>
      <c r="Q1242" s="7">
        <v>0</v>
      </c>
      <c r="R1242" s="7">
        <v>0</v>
      </c>
      <c r="S1242" s="7">
        <v>3</v>
      </c>
      <c r="T1242" s="7">
        <v>1</v>
      </c>
      <c r="U1242" s="7">
        <v>162</v>
      </c>
      <c r="V1242" s="7">
        <v>0</v>
      </c>
      <c r="W1242" s="7">
        <v>1</v>
      </c>
      <c r="X1242" s="7">
        <v>0</v>
      </c>
      <c r="Y1242" s="7">
        <v>0</v>
      </c>
      <c r="Z1242" s="7">
        <v>0</v>
      </c>
      <c r="AA1242" s="7">
        <v>0</v>
      </c>
      <c r="AB1242" s="7">
        <v>1</v>
      </c>
      <c r="AC1242" s="7">
        <v>1</v>
      </c>
      <c r="AD1242" s="7" t="s">
        <v>5044</v>
      </c>
      <c r="AE1242" s="7" t="s">
        <v>5044</v>
      </c>
      <c r="AF1242" s="7" t="s">
        <v>5044</v>
      </c>
      <c r="AG1242" s="7">
        <v>1</v>
      </c>
      <c r="AH1242" s="7">
        <v>0</v>
      </c>
      <c r="AI1242" s="7">
        <v>0</v>
      </c>
      <c r="AJ1242" s="7" t="s">
        <v>5044</v>
      </c>
      <c r="AL1242" s="7">
        <v>1</v>
      </c>
      <c r="AM1242" s="7">
        <v>0</v>
      </c>
    </row>
    <row r="1243" spans="1:41" ht="63" customHeight="1" x14ac:dyDescent="0.2">
      <c r="A1243" s="7">
        <v>12354</v>
      </c>
      <c r="B1243" s="7" t="s">
        <v>4796</v>
      </c>
      <c r="C1243" s="7" t="s">
        <v>4797</v>
      </c>
      <c r="D1243" s="7" t="s">
        <v>46</v>
      </c>
      <c r="F1243" s="7" t="s">
        <v>220</v>
      </c>
      <c r="G1243" s="7" t="s">
        <v>11</v>
      </c>
      <c r="H1243" s="7" t="s">
        <v>3484</v>
      </c>
      <c r="I1243" s="7" t="s">
        <v>13</v>
      </c>
      <c r="J1243" s="7" t="s">
        <v>4798</v>
      </c>
      <c r="K1243" s="7" t="s">
        <v>4799</v>
      </c>
      <c r="L1243" s="7" t="s">
        <v>5177</v>
      </c>
      <c r="M1243" s="7">
        <v>0</v>
      </c>
      <c r="N1243" s="9" t="s">
        <v>5044</v>
      </c>
      <c r="O1243" s="9" t="s">
        <v>5044</v>
      </c>
      <c r="P1243" s="7">
        <v>0</v>
      </c>
      <c r="Q1243" s="7">
        <v>0</v>
      </c>
      <c r="R1243" s="7">
        <v>0</v>
      </c>
      <c r="S1243" s="7">
        <v>1</v>
      </c>
      <c r="T1243" s="7">
        <v>1</v>
      </c>
      <c r="U1243" s="7">
        <v>40</v>
      </c>
      <c r="V1243" s="7">
        <v>1</v>
      </c>
      <c r="W1243" s="7">
        <v>0</v>
      </c>
      <c r="X1243" s="7">
        <v>0</v>
      </c>
      <c r="Y1243" s="7">
        <v>0</v>
      </c>
      <c r="Z1243" s="7">
        <v>0</v>
      </c>
      <c r="AA1243" s="7">
        <v>0</v>
      </c>
      <c r="AB1243" s="7">
        <v>1</v>
      </c>
      <c r="AC1243" s="7">
        <v>1</v>
      </c>
      <c r="AD1243" s="7">
        <v>2</v>
      </c>
      <c r="AE1243" s="7">
        <v>3</v>
      </c>
      <c r="AF1243" s="7">
        <v>0</v>
      </c>
      <c r="AG1243" s="7" t="s">
        <v>5044</v>
      </c>
      <c r="AH1243" s="7" t="s">
        <v>5044</v>
      </c>
      <c r="AI1243" s="7" t="s">
        <v>5044</v>
      </c>
      <c r="AJ1243" s="7" t="s">
        <v>5044</v>
      </c>
      <c r="AK1243" s="7">
        <v>1</v>
      </c>
      <c r="AL1243" s="7">
        <v>0</v>
      </c>
      <c r="AM1243" s="7">
        <v>0</v>
      </c>
    </row>
    <row r="1244" spans="1:41" ht="63" customHeight="1" x14ac:dyDescent="0.2">
      <c r="A1244" s="7">
        <v>12358</v>
      </c>
      <c r="B1244" s="7" t="s">
        <v>4800</v>
      </c>
      <c r="C1244" s="7" t="s">
        <v>4801</v>
      </c>
      <c r="D1244" s="7" t="s">
        <v>41</v>
      </c>
      <c r="E1244" s="7" t="s">
        <v>305</v>
      </c>
      <c r="F1244" s="7" t="s">
        <v>48</v>
      </c>
      <c r="G1244" s="7" t="s">
        <v>92</v>
      </c>
      <c r="H1244" s="7" t="s">
        <v>616</v>
      </c>
      <c r="I1244" s="7" t="s">
        <v>13</v>
      </c>
      <c r="J1244" s="7" t="s">
        <v>4802</v>
      </c>
      <c r="K1244" s="7" t="s">
        <v>4803</v>
      </c>
      <c r="L1244" s="7" t="s">
        <v>5178</v>
      </c>
      <c r="M1244" s="7">
        <v>1</v>
      </c>
      <c r="N1244" s="7">
        <v>0</v>
      </c>
      <c r="O1244" s="9" t="s">
        <v>5044</v>
      </c>
      <c r="P1244" s="7">
        <v>0</v>
      </c>
      <c r="Q1244" s="7">
        <v>0</v>
      </c>
      <c r="R1244" s="7">
        <v>0</v>
      </c>
      <c r="S1244" s="7">
        <v>10</v>
      </c>
      <c r="T1244" s="7">
        <v>1</v>
      </c>
      <c r="U1244" s="7">
        <v>240</v>
      </c>
      <c r="V1244" s="7">
        <v>0</v>
      </c>
      <c r="W1244" s="7">
        <v>1</v>
      </c>
      <c r="X1244" s="7">
        <v>0</v>
      </c>
      <c r="Y1244" s="7">
        <v>0</v>
      </c>
      <c r="Z1244" s="7">
        <v>0</v>
      </c>
      <c r="AA1244" s="7">
        <v>0</v>
      </c>
      <c r="AB1244" s="7">
        <v>1</v>
      </c>
      <c r="AC1244" s="7" t="s">
        <v>5044</v>
      </c>
      <c r="AD1244" s="7" t="s">
        <v>5044</v>
      </c>
      <c r="AE1244" s="7" t="s">
        <v>5044</v>
      </c>
      <c r="AF1244" s="7" t="s">
        <v>5044</v>
      </c>
      <c r="AG1244" s="7" t="s">
        <v>5044</v>
      </c>
      <c r="AH1244" s="7" t="s">
        <v>5044</v>
      </c>
      <c r="AI1244" s="7" t="s">
        <v>5044</v>
      </c>
      <c r="AJ1244" s="7" t="s">
        <v>5044</v>
      </c>
      <c r="AL1244" s="7" t="s">
        <v>5044</v>
      </c>
      <c r="AM1244" s="7">
        <v>0</v>
      </c>
    </row>
    <row r="1245" spans="1:41" ht="63" customHeight="1" x14ac:dyDescent="0.2">
      <c r="A1245" s="7">
        <v>12372</v>
      </c>
      <c r="B1245" s="7" t="s">
        <v>4804</v>
      </c>
      <c r="C1245" s="7" t="s">
        <v>4805</v>
      </c>
      <c r="D1245" s="7" t="s">
        <v>56</v>
      </c>
      <c r="F1245" s="7" t="s">
        <v>1402</v>
      </c>
      <c r="G1245" s="7" t="s">
        <v>52</v>
      </c>
      <c r="H1245" s="7" t="s">
        <v>43</v>
      </c>
      <c r="I1245" s="7" t="s">
        <v>13</v>
      </c>
      <c r="J1245" s="7" t="s">
        <v>4806</v>
      </c>
      <c r="K1245" s="7" t="s">
        <v>4807</v>
      </c>
      <c r="L1245" s="8" t="s">
        <v>5179</v>
      </c>
      <c r="M1245" s="7">
        <v>0</v>
      </c>
      <c r="N1245" s="9" t="s">
        <v>5044</v>
      </c>
      <c r="O1245" s="9" t="s">
        <v>5044</v>
      </c>
      <c r="P1245" s="7">
        <v>0</v>
      </c>
      <c r="Q1245" s="7">
        <v>0</v>
      </c>
      <c r="R1245" s="7">
        <v>0</v>
      </c>
      <c r="S1245" s="7">
        <v>1</v>
      </c>
      <c r="T1245" s="7">
        <v>1</v>
      </c>
      <c r="U1245" s="7">
        <v>83</v>
      </c>
      <c r="V1245" s="7">
        <v>0</v>
      </c>
      <c r="W1245" s="7">
        <v>1</v>
      </c>
      <c r="X1245" s="7">
        <v>0</v>
      </c>
      <c r="Y1245" s="7">
        <v>0</v>
      </c>
      <c r="Z1245" s="7">
        <v>0</v>
      </c>
      <c r="AA1245" s="7">
        <v>0</v>
      </c>
      <c r="AB1245" s="7">
        <v>1</v>
      </c>
      <c r="AC1245" s="7">
        <v>1</v>
      </c>
      <c r="AD1245" s="7" t="s">
        <v>5044</v>
      </c>
      <c r="AE1245" s="7" t="s">
        <v>5044</v>
      </c>
      <c r="AF1245" s="7" t="s">
        <v>5044</v>
      </c>
      <c r="AG1245" s="7">
        <v>2</v>
      </c>
      <c r="AH1245" s="7">
        <v>3</v>
      </c>
      <c r="AI1245" s="7">
        <v>0</v>
      </c>
      <c r="AJ1245" s="7" t="s">
        <v>5044</v>
      </c>
      <c r="AL1245" s="7">
        <v>0</v>
      </c>
      <c r="AM1245" s="7">
        <v>0</v>
      </c>
    </row>
    <row r="1246" spans="1:41" ht="63" customHeight="1" x14ac:dyDescent="0.2">
      <c r="A1246" s="7">
        <v>12383</v>
      </c>
      <c r="B1246" s="7" t="s">
        <v>4808</v>
      </c>
      <c r="C1246" s="7" t="s">
        <v>4809</v>
      </c>
      <c r="D1246" s="7" t="s">
        <v>101</v>
      </c>
      <c r="F1246" s="7" t="s">
        <v>568</v>
      </c>
      <c r="G1246" s="7" t="s">
        <v>18</v>
      </c>
      <c r="H1246" s="7" t="s">
        <v>217</v>
      </c>
      <c r="I1246" s="7" t="s">
        <v>13</v>
      </c>
      <c r="J1246" s="7" t="s">
        <v>4810</v>
      </c>
      <c r="K1246" s="7" t="s">
        <v>4811</v>
      </c>
      <c r="L1246" s="7" t="s">
        <v>5180</v>
      </c>
      <c r="M1246" s="7">
        <v>0</v>
      </c>
      <c r="N1246" s="9" t="s">
        <v>5044</v>
      </c>
      <c r="O1246" s="9" t="s">
        <v>5044</v>
      </c>
      <c r="P1246" s="7">
        <v>0</v>
      </c>
      <c r="Q1246" s="7">
        <v>0</v>
      </c>
      <c r="R1246" s="7">
        <v>0</v>
      </c>
      <c r="S1246" s="7">
        <v>1</v>
      </c>
      <c r="T1246" s="7">
        <v>1</v>
      </c>
      <c r="U1246" s="7">
        <v>72</v>
      </c>
      <c r="V1246" s="7">
        <v>0</v>
      </c>
      <c r="W1246" s="7">
        <v>1</v>
      </c>
      <c r="X1246" s="7">
        <v>0</v>
      </c>
      <c r="Y1246" s="7">
        <v>0</v>
      </c>
      <c r="Z1246" s="7">
        <v>0</v>
      </c>
      <c r="AA1246" s="7">
        <v>0</v>
      </c>
      <c r="AB1246" s="7">
        <v>1</v>
      </c>
      <c r="AC1246" s="7">
        <v>1</v>
      </c>
      <c r="AD1246" s="7" t="s">
        <v>5044</v>
      </c>
      <c r="AE1246" s="7" t="s">
        <v>5044</v>
      </c>
      <c r="AF1246" s="7" t="s">
        <v>5044</v>
      </c>
      <c r="AG1246" s="7">
        <v>1</v>
      </c>
      <c r="AH1246" s="7">
        <v>0</v>
      </c>
      <c r="AI1246" s="7">
        <v>0</v>
      </c>
      <c r="AJ1246" s="7" t="s">
        <v>5044</v>
      </c>
      <c r="AL1246" s="7">
        <v>0</v>
      </c>
      <c r="AM1246" s="7">
        <v>0</v>
      </c>
    </row>
    <row r="1247" spans="1:41" ht="63" customHeight="1" x14ac:dyDescent="0.2">
      <c r="A1247" s="7">
        <v>12386</v>
      </c>
      <c r="B1247" s="7" t="s">
        <v>4812</v>
      </c>
      <c r="C1247" s="7" t="s">
        <v>4813</v>
      </c>
      <c r="D1247" s="7" t="s">
        <v>41</v>
      </c>
      <c r="F1247" s="7" t="s">
        <v>3795</v>
      </c>
      <c r="G1247" s="7" t="s">
        <v>11</v>
      </c>
      <c r="H1247" s="7" t="s">
        <v>71</v>
      </c>
      <c r="I1247" s="7" t="s">
        <v>13</v>
      </c>
      <c r="J1247" s="7" t="s">
        <v>4814</v>
      </c>
      <c r="K1247" s="7" t="s">
        <v>4815</v>
      </c>
      <c r="L1247" s="7" t="s">
        <v>5181</v>
      </c>
      <c r="M1247" s="7">
        <v>0</v>
      </c>
      <c r="N1247" s="9" t="s">
        <v>5044</v>
      </c>
      <c r="O1247" s="9" t="s">
        <v>5044</v>
      </c>
      <c r="P1247" s="7">
        <v>0</v>
      </c>
      <c r="Q1247" s="7">
        <v>0</v>
      </c>
      <c r="R1247" s="7">
        <v>0</v>
      </c>
      <c r="S1247" s="7">
        <v>1</v>
      </c>
      <c r="T1247" s="7">
        <v>1</v>
      </c>
      <c r="U1247" s="7">
        <v>100</v>
      </c>
      <c r="V1247" s="7">
        <v>0</v>
      </c>
      <c r="W1247" s="7">
        <v>1</v>
      </c>
      <c r="X1247" s="7">
        <v>0</v>
      </c>
      <c r="Y1247" s="7">
        <v>0</v>
      </c>
      <c r="Z1247" s="7">
        <v>0</v>
      </c>
      <c r="AA1247" s="7">
        <v>0</v>
      </c>
      <c r="AB1247" s="7">
        <v>1</v>
      </c>
      <c r="AC1247" s="7">
        <v>1</v>
      </c>
      <c r="AD1247" s="7" t="s">
        <v>5044</v>
      </c>
      <c r="AE1247" s="7" t="s">
        <v>5044</v>
      </c>
      <c r="AF1247" s="7" t="s">
        <v>5044</v>
      </c>
      <c r="AG1247" s="7">
        <v>1</v>
      </c>
      <c r="AH1247" s="7">
        <v>0</v>
      </c>
      <c r="AI1247" s="7">
        <v>0</v>
      </c>
      <c r="AJ1247" s="7" t="s">
        <v>5044</v>
      </c>
      <c r="AL1247" s="7">
        <v>0</v>
      </c>
      <c r="AM1247" s="7">
        <v>0</v>
      </c>
    </row>
    <row r="1248" spans="1:41" ht="63" customHeight="1" x14ac:dyDescent="0.2">
      <c r="A1248" s="7">
        <v>12388</v>
      </c>
      <c r="B1248" s="7" t="s">
        <v>4816</v>
      </c>
      <c r="C1248" s="7" t="s">
        <v>4817</v>
      </c>
      <c r="D1248" s="7" t="s">
        <v>149</v>
      </c>
      <c r="F1248" s="7" t="s">
        <v>220</v>
      </c>
      <c r="G1248" s="7" t="s">
        <v>37</v>
      </c>
      <c r="H1248" s="7" t="s">
        <v>1077</v>
      </c>
      <c r="I1248" s="7" t="s">
        <v>13</v>
      </c>
      <c r="J1248" s="7" t="s">
        <v>4818</v>
      </c>
      <c r="K1248" s="7" t="s">
        <v>4819</v>
      </c>
      <c r="L1248" s="7" t="s">
        <v>5182</v>
      </c>
      <c r="M1248" s="7">
        <v>0</v>
      </c>
      <c r="N1248" s="9" t="s">
        <v>5044</v>
      </c>
      <c r="O1248" s="9" t="s">
        <v>5044</v>
      </c>
      <c r="P1248" s="7">
        <v>0</v>
      </c>
      <c r="Q1248" s="7">
        <v>0</v>
      </c>
      <c r="R1248" s="7">
        <v>0</v>
      </c>
      <c r="S1248" s="7">
        <v>1</v>
      </c>
      <c r="T1248" s="7">
        <v>1</v>
      </c>
      <c r="U1248" s="7">
        <v>290</v>
      </c>
      <c r="V1248" s="7">
        <v>0</v>
      </c>
      <c r="W1248" s="7">
        <v>1</v>
      </c>
      <c r="X1248" s="7">
        <v>0</v>
      </c>
      <c r="Y1248" s="7">
        <v>0</v>
      </c>
      <c r="Z1248" s="7">
        <v>0</v>
      </c>
      <c r="AA1248" s="7">
        <v>0</v>
      </c>
      <c r="AB1248" s="7">
        <v>0</v>
      </c>
      <c r="AC1248" s="7">
        <v>1</v>
      </c>
      <c r="AD1248" s="7" t="s">
        <v>5044</v>
      </c>
      <c r="AE1248" s="7" t="s">
        <v>5044</v>
      </c>
      <c r="AF1248" s="7" t="s">
        <v>5044</v>
      </c>
      <c r="AG1248" s="7">
        <v>2</v>
      </c>
      <c r="AH1248" s="7">
        <v>3</v>
      </c>
      <c r="AI1248" s="7">
        <v>0</v>
      </c>
      <c r="AJ1248" s="7" t="s">
        <v>5044</v>
      </c>
      <c r="AL1248" s="7">
        <v>0</v>
      </c>
      <c r="AM1248" s="7">
        <v>0</v>
      </c>
    </row>
    <row r="1249" spans="1:40" ht="63" customHeight="1" x14ac:dyDescent="0.2">
      <c r="A1249" s="7">
        <v>12406</v>
      </c>
      <c r="B1249" s="7" t="s">
        <v>4820</v>
      </c>
      <c r="C1249" s="7" t="s">
        <v>4821</v>
      </c>
      <c r="D1249" s="7" t="s">
        <v>74</v>
      </c>
      <c r="E1249" s="7" t="s">
        <v>4824</v>
      </c>
      <c r="F1249" s="7" t="s">
        <v>254</v>
      </c>
      <c r="G1249" s="7" t="s">
        <v>52</v>
      </c>
      <c r="H1249" s="7" t="s">
        <v>53</v>
      </c>
      <c r="I1249" s="7" t="s">
        <v>13</v>
      </c>
      <c r="J1249" s="7" t="s">
        <v>4822</v>
      </c>
      <c r="K1249" s="7" t="s">
        <v>4823</v>
      </c>
      <c r="L1249" s="8" t="s">
        <v>5183</v>
      </c>
      <c r="M1249" s="7">
        <v>1</v>
      </c>
      <c r="N1249" s="7">
        <v>0</v>
      </c>
      <c r="O1249" s="9" t="s">
        <v>5044</v>
      </c>
      <c r="P1249" s="7">
        <v>0</v>
      </c>
      <c r="Q1249" s="7">
        <v>0</v>
      </c>
      <c r="R1249" s="7">
        <v>0</v>
      </c>
      <c r="S1249" s="7" t="s">
        <v>5184</v>
      </c>
      <c r="T1249" s="7">
        <v>1</v>
      </c>
      <c r="U1249" s="7">
        <v>67</v>
      </c>
      <c r="V1249" s="7">
        <v>1</v>
      </c>
      <c r="W1249" s="7">
        <v>0</v>
      </c>
      <c r="X1249" s="7">
        <v>0</v>
      </c>
      <c r="Y1249" s="7">
        <v>0</v>
      </c>
      <c r="Z1249" s="7">
        <v>1</v>
      </c>
      <c r="AA1249" s="7">
        <v>0</v>
      </c>
      <c r="AB1249" s="7">
        <v>1</v>
      </c>
      <c r="AC1249" s="7" t="s">
        <v>5044</v>
      </c>
      <c r="AD1249" s="7" t="s">
        <v>5044</v>
      </c>
      <c r="AE1249" s="7" t="s">
        <v>5044</v>
      </c>
      <c r="AF1249" s="7" t="s">
        <v>5044</v>
      </c>
      <c r="AG1249" s="7" t="s">
        <v>5044</v>
      </c>
      <c r="AH1249" s="7" t="s">
        <v>5044</v>
      </c>
      <c r="AI1249" s="7" t="s">
        <v>5044</v>
      </c>
      <c r="AJ1249" s="7" t="s">
        <v>5044</v>
      </c>
      <c r="AL1249" s="7" t="s">
        <v>5044</v>
      </c>
      <c r="AM1249" s="7">
        <v>0</v>
      </c>
    </row>
    <row r="1250" spans="1:40" ht="63" customHeight="1" x14ac:dyDescent="0.2">
      <c r="A1250" s="7">
        <v>12420</v>
      </c>
      <c r="B1250" s="7" t="s">
        <v>4825</v>
      </c>
      <c r="C1250" s="7" t="s">
        <v>4826</v>
      </c>
      <c r="D1250" s="7" t="s">
        <v>16</v>
      </c>
      <c r="F1250" s="7" t="s">
        <v>37</v>
      </c>
      <c r="G1250" s="7" t="s">
        <v>144</v>
      </c>
      <c r="H1250" s="7" t="s">
        <v>396</v>
      </c>
      <c r="I1250" s="7" t="s">
        <v>13</v>
      </c>
      <c r="J1250" s="7" t="s">
        <v>4827</v>
      </c>
      <c r="K1250" s="7" t="s">
        <v>4828</v>
      </c>
      <c r="L1250" s="7" t="s">
        <v>5185</v>
      </c>
      <c r="M1250" s="7">
        <v>0</v>
      </c>
      <c r="N1250" s="9" t="s">
        <v>5044</v>
      </c>
      <c r="O1250" s="9" t="s">
        <v>5044</v>
      </c>
      <c r="P1250" s="7">
        <v>0</v>
      </c>
      <c r="Q1250" s="7">
        <v>0</v>
      </c>
      <c r="R1250" s="7">
        <v>0</v>
      </c>
      <c r="S1250" s="7">
        <v>1</v>
      </c>
      <c r="T1250" s="7">
        <v>1</v>
      </c>
      <c r="U1250" s="7">
        <v>70</v>
      </c>
      <c r="V1250" s="7">
        <v>0</v>
      </c>
      <c r="W1250" s="7">
        <v>1</v>
      </c>
      <c r="X1250" s="7">
        <v>0</v>
      </c>
      <c r="Y1250" s="7">
        <v>0</v>
      </c>
      <c r="Z1250" s="7">
        <v>0</v>
      </c>
      <c r="AA1250" s="7">
        <v>0</v>
      </c>
      <c r="AB1250" s="7">
        <v>1</v>
      </c>
      <c r="AC1250" s="7">
        <v>1</v>
      </c>
      <c r="AD1250" s="7" t="s">
        <v>5044</v>
      </c>
      <c r="AE1250" s="7" t="s">
        <v>5044</v>
      </c>
      <c r="AF1250" s="7" t="s">
        <v>5044</v>
      </c>
      <c r="AG1250" s="7">
        <v>1</v>
      </c>
      <c r="AH1250" s="7">
        <v>0</v>
      </c>
      <c r="AI1250" s="7">
        <v>0</v>
      </c>
      <c r="AJ1250" s="7" t="s">
        <v>5044</v>
      </c>
      <c r="AK1250" s="7" t="s">
        <v>5186</v>
      </c>
      <c r="AL1250" s="7">
        <v>1</v>
      </c>
      <c r="AM1250" s="7">
        <v>0</v>
      </c>
    </row>
    <row r="1251" spans="1:40" ht="63" customHeight="1" x14ac:dyDescent="0.2">
      <c r="A1251" s="7">
        <v>12423</v>
      </c>
      <c r="B1251" s="7" t="s">
        <v>4829</v>
      </c>
      <c r="C1251" s="7" t="s">
        <v>4830</v>
      </c>
      <c r="D1251" s="7" t="s">
        <v>101</v>
      </c>
      <c r="F1251" s="7" t="s">
        <v>932</v>
      </c>
      <c r="G1251" s="7" t="s">
        <v>92</v>
      </c>
      <c r="H1251" s="7" t="s">
        <v>38</v>
      </c>
      <c r="I1251" s="7" t="s">
        <v>13</v>
      </c>
      <c r="J1251" s="7" t="s">
        <v>4831</v>
      </c>
      <c r="K1251" s="7" t="s">
        <v>4832</v>
      </c>
      <c r="L1251" s="7" t="s">
        <v>5187</v>
      </c>
      <c r="M1251" s="7">
        <v>0</v>
      </c>
      <c r="N1251" s="9" t="s">
        <v>5044</v>
      </c>
      <c r="O1251" s="9" t="s">
        <v>5044</v>
      </c>
      <c r="P1251" s="7">
        <v>0</v>
      </c>
      <c r="Q1251" s="7">
        <v>0</v>
      </c>
      <c r="R1251" s="7">
        <v>0</v>
      </c>
      <c r="S1251" s="7">
        <v>1</v>
      </c>
      <c r="T1251" s="7">
        <v>4</v>
      </c>
      <c r="U1251" s="7">
        <v>580</v>
      </c>
      <c r="V1251" s="7">
        <v>0</v>
      </c>
      <c r="W1251" s="7">
        <v>1</v>
      </c>
      <c r="X1251" s="7">
        <v>0</v>
      </c>
      <c r="Y1251" s="7">
        <v>0</v>
      </c>
      <c r="Z1251" s="7">
        <v>0</v>
      </c>
      <c r="AA1251" s="7">
        <v>0</v>
      </c>
      <c r="AB1251" s="7">
        <v>1</v>
      </c>
      <c r="AC1251" s="7">
        <v>1</v>
      </c>
      <c r="AD1251" s="7" t="s">
        <v>5044</v>
      </c>
      <c r="AE1251" s="7" t="s">
        <v>5044</v>
      </c>
      <c r="AF1251" s="7" t="s">
        <v>5044</v>
      </c>
      <c r="AG1251" s="7">
        <v>1</v>
      </c>
      <c r="AH1251" s="7">
        <v>0</v>
      </c>
      <c r="AI1251" s="7">
        <v>0</v>
      </c>
      <c r="AJ1251" s="7" t="s">
        <v>5044</v>
      </c>
      <c r="AL1251" s="7" t="s">
        <v>5041</v>
      </c>
      <c r="AM1251" s="7">
        <v>0</v>
      </c>
      <c r="AN1251" s="7" t="s">
        <v>5105</v>
      </c>
    </row>
    <row r="1252" spans="1:40" ht="63" customHeight="1" x14ac:dyDescent="0.2">
      <c r="A1252" s="7">
        <v>12455</v>
      </c>
      <c r="B1252" s="7" t="s">
        <v>4833</v>
      </c>
      <c r="C1252" s="7" t="s">
        <v>4834</v>
      </c>
      <c r="D1252" s="7" t="s">
        <v>16</v>
      </c>
      <c r="E1252" s="7" t="s">
        <v>4837</v>
      </c>
      <c r="F1252" s="7" t="s">
        <v>299</v>
      </c>
      <c r="G1252" s="7" t="s">
        <v>107</v>
      </c>
      <c r="H1252" s="7" t="s">
        <v>172</v>
      </c>
      <c r="I1252" s="7" t="s">
        <v>386</v>
      </c>
      <c r="J1252" s="7" t="s">
        <v>4835</v>
      </c>
      <c r="K1252" s="7" t="s">
        <v>4836</v>
      </c>
      <c r="L1252" s="8" t="s">
        <v>5188</v>
      </c>
      <c r="M1252" s="7">
        <v>1</v>
      </c>
      <c r="N1252" s="7">
        <v>0</v>
      </c>
      <c r="O1252" s="9" t="s">
        <v>5044</v>
      </c>
      <c r="P1252" s="7">
        <v>0</v>
      </c>
      <c r="Q1252" s="7">
        <v>0</v>
      </c>
      <c r="R1252" s="7">
        <v>0</v>
      </c>
      <c r="S1252" s="7" t="s">
        <v>5149</v>
      </c>
      <c r="T1252" s="7">
        <v>1</v>
      </c>
      <c r="U1252" s="7">
        <v>90</v>
      </c>
      <c r="V1252" s="7">
        <v>0</v>
      </c>
      <c r="W1252" s="7">
        <v>0</v>
      </c>
      <c r="X1252" s="7">
        <v>0</v>
      </c>
      <c r="Y1252" s="7">
        <v>1</v>
      </c>
      <c r="Z1252" s="7">
        <v>0</v>
      </c>
      <c r="AA1252" s="7">
        <v>0</v>
      </c>
      <c r="AB1252" s="7">
        <v>1</v>
      </c>
      <c r="AC1252" s="7" t="s">
        <v>5044</v>
      </c>
      <c r="AD1252" s="7" t="s">
        <v>5044</v>
      </c>
      <c r="AE1252" s="7" t="s">
        <v>5044</v>
      </c>
      <c r="AF1252" s="7" t="s">
        <v>5044</v>
      </c>
      <c r="AG1252" s="7" t="s">
        <v>5044</v>
      </c>
      <c r="AH1252" s="7" t="s">
        <v>5044</v>
      </c>
      <c r="AI1252" s="7" t="s">
        <v>5044</v>
      </c>
      <c r="AJ1252" s="7" t="s">
        <v>5044</v>
      </c>
      <c r="AL1252" s="7" t="s">
        <v>5044</v>
      </c>
      <c r="AM1252" s="7">
        <v>0</v>
      </c>
    </row>
    <row r="1253" spans="1:40" ht="63" customHeight="1" x14ac:dyDescent="0.2">
      <c r="A1253" s="7">
        <v>12464</v>
      </c>
      <c r="B1253" s="7" t="s">
        <v>4838</v>
      </c>
      <c r="C1253" s="7" t="s">
        <v>4839</v>
      </c>
      <c r="D1253" s="7" t="s">
        <v>41</v>
      </c>
      <c r="F1253" s="7" t="s">
        <v>118</v>
      </c>
      <c r="G1253" s="7" t="s">
        <v>175</v>
      </c>
      <c r="H1253" s="7" t="s">
        <v>296</v>
      </c>
      <c r="I1253" s="7" t="s">
        <v>13</v>
      </c>
      <c r="J1253" s="7" t="s">
        <v>4840</v>
      </c>
      <c r="K1253" s="7" t="s">
        <v>4841</v>
      </c>
      <c r="L1253" s="6" t="s">
        <v>5194</v>
      </c>
      <c r="M1253" s="7">
        <v>0</v>
      </c>
      <c r="N1253" s="9" t="s">
        <v>5044</v>
      </c>
      <c r="O1253" s="9" t="s">
        <v>5044</v>
      </c>
      <c r="P1253" s="7">
        <v>0</v>
      </c>
      <c r="Q1253" s="7">
        <v>0</v>
      </c>
      <c r="R1253" s="7">
        <v>0</v>
      </c>
      <c r="S1253" s="7">
        <v>1</v>
      </c>
      <c r="T1253" s="7">
        <v>1</v>
      </c>
      <c r="U1253" s="7">
        <v>54</v>
      </c>
      <c r="V1253" s="7">
        <v>0</v>
      </c>
      <c r="W1253" s="7">
        <v>1</v>
      </c>
      <c r="X1253" s="7">
        <v>0</v>
      </c>
      <c r="Y1253" s="7">
        <v>0</v>
      </c>
      <c r="Z1253" s="7">
        <v>0</v>
      </c>
      <c r="AA1253" s="7">
        <v>0</v>
      </c>
      <c r="AB1253" s="7">
        <v>0</v>
      </c>
      <c r="AC1253" s="7">
        <v>1</v>
      </c>
      <c r="AD1253" s="7" t="s">
        <v>5044</v>
      </c>
      <c r="AE1253" s="7" t="s">
        <v>5044</v>
      </c>
      <c r="AF1253" s="7" t="s">
        <v>5044</v>
      </c>
      <c r="AG1253" s="7">
        <v>1</v>
      </c>
      <c r="AH1253" s="7">
        <v>0</v>
      </c>
      <c r="AI1253" s="7">
        <v>0</v>
      </c>
      <c r="AJ1253" s="7" t="s">
        <v>5044</v>
      </c>
      <c r="AL1253" s="7">
        <v>1</v>
      </c>
      <c r="AM1253" s="7">
        <v>0</v>
      </c>
    </row>
    <row r="1254" spans="1:40" ht="63" customHeight="1" x14ac:dyDescent="0.2">
      <c r="A1254" s="7">
        <v>12486</v>
      </c>
      <c r="B1254" s="7" t="s">
        <v>4842</v>
      </c>
      <c r="C1254" s="7" t="s">
        <v>4843</v>
      </c>
      <c r="D1254" s="7" t="s">
        <v>16</v>
      </c>
      <c r="E1254" s="7" t="s">
        <v>4846</v>
      </c>
      <c r="F1254" s="7" t="s">
        <v>865</v>
      </c>
      <c r="G1254" s="7" t="s">
        <v>144</v>
      </c>
      <c r="H1254" s="7" t="s">
        <v>157</v>
      </c>
      <c r="I1254" s="7" t="s">
        <v>13</v>
      </c>
      <c r="J1254" s="7" t="s">
        <v>4844</v>
      </c>
      <c r="K1254" s="7" t="s">
        <v>4845</v>
      </c>
      <c r="L1254" s="6" t="s">
        <v>5195</v>
      </c>
      <c r="M1254" s="7">
        <v>0</v>
      </c>
      <c r="N1254" s="9" t="s">
        <v>5044</v>
      </c>
      <c r="O1254" s="9" t="s">
        <v>5044</v>
      </c>
      <c r="P1254" s="7">
        <v>1</v>
      </c>
      <c r="Q1254" s="7">
        <v>0</v>
      </c>
      <c r="R1254" s="7">
        <v>0</v>
      </c>
      <c r="S1254" s="7">
        <v>1</v>
      </c>
      <c r="T1254" s="7">
        <v>1</v>
      </c>
      <c r="U1254" s="7">
        <v>54</v>
      </c>
      <c r="V1254" s="7">
        <v>0</v>
      </c>
      <c r="W1254" s="7">
        <v>1</v>
      </c>
      <c r="X1254" s="7">
        <v>0</v>
      </c>
      <c r="Y1254" s="7">
        <v>0</v>
      </c>
      <c r="Z1254" s="7">
        <v>0</v>
      </c>
      <c r="AA1254" s="7">
        <v>0</v>
      </c>
      <c r="AB1254" s="7">
        <v>1</v>
      </c>
      <c r="AC1254" s="7">
        <v>1</v>
      </c>
      <c r="AD1254" s="7" t="s">
        <v>5044</v>
      </c>
      <c r="AE1254" s="7" t="s">
        <v>5044</v>
      </c>
      <c r="AF1254" s="7" t="s">
        <v>5044</v>
      </c>
      <c r="AG1254" s="7">
        <v>2</v>
      </c>
      <c r="AH1254" s="7">
        <v>1</v>
      </c>
      <c r="AI1254" s="7">
        <v>2</v>
      </c>
      <c r="AJ1254" s="7" t="s">
        <v>5044</v>
      </c>
      <c r="AL1254" s="7">
        <v>1</v>
      </c>
      <c r="AM1254" s="7">
        <v>0</v>
      </c>
      <c r="AN1254" s="7" t="s">
        <v>2539</v>
      </c>
    </row>
    <row r="1255" spans="1:40" ht="63" customHeight="1" x14ac:dyDescent="0.2">
      <c r="A1255" s="7">
        <v>12498</v>
      </c>
      <c r="B1255" s="7" t="s">
        <v>4847</v>
      </c>
      <c r="C1255" s="7" t="s">
        <v>4848</v>
      </c>
      <c r="D1255" s="7" t="s">
        <v>46</v>
      </c>
      <c r="F1255" s="7" t="s">
        <v>900</v>
      </c>
      <c r="G1255" s="7" t="s">
        <v>11</v>
      </c>
      <c r="H1255" s="7" t="s">
        <v>43</v>
      </c>
      <c r="I1255" s="7" t="s">
        <v>13</v>
      </c>
      <c r="J1255" s="7" t="s">
        <v>4849</v>
      </c>
      <c r="K1255" s="7" t="s">
        <v>4850</v>
      </c>
      <c r="L1255" s="6" t="s">
        <v>5196</v>
      </c>
      <c r="M1255" s="7">
        <v>0</v>
      </c>
      <c r="N1255" s="9" t="s">
        <v>5044</v>
      </c>
      <c r="O1255" s="9" t="s">
        <v>5044</v>
      </c>
      <c r="P1255" s="7">
        <v>0</v>
      </c>
      <c r="Q1255" s="7">
        <v>0</v>
      </c>
      <c r="R1255" s="7">
        <v>0</v>
      </c>
      <c r="S1255" s="7">
        <v>1</v>
      </c>
      <c r="T1255" s="7">
        <v>1</v>
      </c>
      <c r="U1255" s="7">
        <v>140</v>
      </c>
      <c r="V1255" s="7">
        <v>0</v>
      </c>
      <c r="W1255" s="7">
        <v>1</v>
      </c>
      <c r="X1255" s="7">
        <v>0</v>
      </c>
      <c r="Y1255" s="7">
        <v>0</v>
      </c>
      <c r="Z1255" s="7">
        <v>0</v>
      </c>
      <c r="AA1255" s="7">
        <v>0</v>
      </c>
      <c r="AB1255" s="7">
        <v>1</v>
      </c>
      <c r="AC1255" s="7">
        <v>1</v>
      </c>
      <c r="AD1255" s="7" t="s">
        <v>5044</v>
      </c>
      <c r="AE1255" s="7" t="s">
        <v>5044</v>
      </c>
      <c r="AF1255" s="7" t="s">
        <v>5044</v>
      </c>
      <c r="AG1255" s="7">
        <v>1</v>
      </c>
      <c r="AH1255" s="7">
        <v>0</v>
      </c>
      <c r="AI1255" s="7">
        <v>0</v>
      </c>
      <c r="AJ1255" s="7" t="s">
        <v>5044</v>
      </c>
      <c r="AL1255" s="7">
        <v>0</v>
      </c>
      <c r="AM1255" s="7">
        <v>0</v>
      </c>
    </row>
    <row r="1256" spans="1:40" ht="63" customHeight="1" x14ac:dyDescent="0.2">
      <c r="A1256" s="7">
        <v>12507</v>
      </c>
      <c r="B1256" s="7" t="s">
        <v>4851</v>
      </c>
      <c r="C1256" s="7" t="s">
        <v>4852</v>
      </c>
      <c r="D1256" s="7" t="s">
        <v>56</v>
      </c>
      <c r="F1256" s="7" t="s">
        <v>17</v>
      </c>
      <c r="G1256" s="7" t="s">
        <v>144</v>
      </c>
      <c r="H1256" s="7" t="s">
        <v>4700</v>
      </c>
      <c r="I1256" s="7" t="s">
        <v>13</v>
      </c>
      <c r="J1256" s="7" t="s">
        <v>4853</v>
      </c>
      <c r="K1256" s="7" t="s">
        <v>4854</v>
      </c>
      <c r="L1256" s="11" t="s">
        <v>5044</v>
      </c>
      <c r="M1256" s="7">
        <v>0</v>
      </c>
      <c r="N1256" s="9" t="s">
        <v>5044</v>
      </c>
      <c r="O1256" s="9" t="s">
        <v>5044</v>
      </c>
      <c r="P1256" s="7">
        <v>0</v>
      </c>
      <c r="Q1256" s="7">
        <v>0</v>
      </c>
      <c r="R1256" s="7">
        <v>0</v>
      </c>
      <c r="S1256" s="7">
        <v>3</v>
      </c>
      <c r="T1256" s="7">
        <v>4</v>
      </c>
      <c r="U1256" s="7">
        <v>70</v>
      </c>
      <c r="V1256" s="7">
        <v>0</v>
      </c>
      <c r="W1256" s="7">
        <v>1</v>
      </c>
      <c r="X1256" s="7">
        <v>0</v>
      </c>
      <c r="Y1256" s="7">
        <v>0</v>
      </c>
      <c r="Z1256" s="7">
        <v>0</v>
      </c>
      <c r="AA1256" s="7">
        <v>0</v>
      </c>
      <c r="AB1256" s="7">
        <v>1</v>
      </c>
      <c r="AC1256" s="7">
        <v>1</v>
      </c>
      <c r="AD1256" s="7" t="s">
        <v>5044</v>
      </c>
      <c r="AE1256" s="7" t="s">
        <v>5044</v>
      </c>
      <c r="AF1256" s="7" t="s">
        <v>5044</v>
      </c>
      <c r="AG1256" s="7">
        <v>2</v>
      </c>
      <c r="AH1256" s="7">
        <v>3</v>
      </c>
      <c r="AI1256" s="7">
        <v>0</v>
      </c>
      <c r="AJ1256" s="7" t="s">
        <v>5044</v>
      </c>
      <c r="AL1256" s="7" t="s">
        <v>5041</v>
      </c>
      <c r="AM1256" s="7">
        <v>0</v>
      </c>
      <c r="AN1256" s="7" t="s">
        <v>5105</v>
      </c>
    </row>
    <row r="1257" spans="1:40" ht="63" customHeight="1" x14ac:dyDescent="0.2">
      <c r="A1257" s="7">
        <v>12508</v>
      </c>
      <c r="B1257" s="7" t="s">
        <v>4855</v>
      </c>
      <c r="C1257" s="7" t="s">
        <v>4856</v>
      </c>
      <c r="D1257" s="7" t="s">
        <v>16</v>
      </c>
      <c r="F1257" s="7" t="s">
        <v>147</v>
      </c>
      <c r="G1257" s="7" t="s">
        <v>52</v>
      </c>
      <c r="H1257" s="7" t="s">
        <v>4700</v>
      </c>
      <c r="I1257" s="7" t="s">
        <v>13</v>
      </c>
      <c r="J1257" s="7" t="s">
        <v>4857</v>
      </c>
      <c r="K1257" s="7" t="s">
        <v>4858</v>
      </c>
      <c r="L1257" s="11" t="s">
        <v>5044</v>
      </c>
      <c r="M1257" s="7">
        <v>0</v>
      </c>
      <c r="N1257" s="9" t="s">
        <v>5044</v>
      </c>
      <c r="O1257" s="9" t="s">
        <v>5044</v>
      </c>
      <c r="P1257" s="7">
        <v>0</v>
      </c>
      <c r="Q1257" s="7">
        <v>0</v>
      </c>
      <c r="R1257" s="7">
        <v>0</v>
      </c>
      <c r="S1257" s="7">
        <v>9</v>
      </c>
      <c r="T1257" s="7">
        <v>4</v>
      </c>
      <c r="U1257" s="7">
        <v>62</v>
      </c>
      <c r="V1257" s="7">
        <v>0</v>
      </c>
      <c r="W1257" s="7">
        <v>1</v>
      </c>
      <c r="X1257" s="7">
        <v>0</v>
      </c>
      <c r="Y1257" s="7">
        <v>0</v>
      </c>
      <c r="Z1257" s="7">
        <v>0</v>
      </c>
      <c r="AA1257" s="7">
        <v>0</v>
      </c>
      <c r="AB1257" s="7">
        <v>0</v>
      </c>
      <c r="AC1257" s="7">
        <v>1</v>
      </c>
      <c r="AD1257" s="7" t="s">
        <v>5044</v>
      </c>
      <c r="AE1257" s="7" t="s">
        <v>5044</v>
      </c>
      <c r="AF1257" s="7" t="s">
        <v>5044</v>
      </c>
      <c r="AG1257" s="7">
        <v>2</v>
      </c>
      <c r="AH1257" s="7">
        <v>3</v>
      </c>
      <c r="AI1257" s="7">
        <v>0</v>
      </c>
      <c r="AJ1257" s="7" t="s">
        <v>5044</v>
      </c>
      <c r="AL1257" s="7" t="s">
        <v>5041</v>
      </c>
      <c r="AM1257" s="7">
        <v>0</v>
      </c>
      <c r="AN1257" s="7" t="s">
        <v>5105</v>
      </c>
    </row>
    <row r="1258" spans="1:40" ht="63" customHeight="1" x14ac:dyDescent="0.2">
      <c r="A1258" s="7">
        <v>12529</v>
      </c>
      <c r="B1258" s="7" t="s">
        <v>4859</v>
      </c>
      <c r="C1258" s="7" t="s">
        <v>4860</v>
      </c>
      <c r="D1258" s="7" t="s">
        <v>101</v>
      </c>
      <c r="F1258" s="7" t="s">
        <v>65</v>
      </c>
      <c r="G1258" s="7" t="s">
        <v>47</v>
      </c>
      <c r="H1258" s="7" t="s">
        <v>296</v>
      </c>
      <c r="I1258" s="7" t="s">
        <v>13</v>
      </c>
      <c r="J1258" s="7" t="s">
        <v>4861</v>
      </c>
      <c r="K1258" s="7" t="s">
        <v>4862</v>
      </c>
      <c r="L1258" s="11" t="s">
        <v>5044</v>
      </c>
      <c r="M1258" s="7">
        <v>0</v>
      </c>
      <c r="N1258" s="9" t="s">
        <v>5044</v>
      </c>
      <c r="O1258" s="9" t="s">
        <v>5044</v>
      </c>
      <c r="P1258" s="7">
        <v>0</v>
      </c>
      <c r="Q1258" s="7">
        <v>0</v>
      </c>
      <c r="R1258" s="7">
        <v>0</v>
      </c>
      <c r="S1258" s="7">
        <v>1</v>
      </c>
      <c r="T1258" s="7">
        <v>4</v>
      </c>
      <c r="U1258" s="7">
        <v>380</v>
      </c>
      <c r="V1258" s="7">
        <v>0</v>
      </c>
      <c r="W1258" s="7">
        <v>1</v>
      </c>
      <c r="X1258" s="7">
        <v>0</v>
      </c>
      <c r="Y1258" s="7">
        <v>0</v>
      </c>
      <c r="Z1258" s="7">
        <v>0</v>
      </c>
      <c r="AA1258" s="7">
        <v>0</v>
      </c>
      <c r="AB1258" s="7">
        <v>1</v>
      </c>
      <c r="AC1258" s="7">
        <v>1</v>
      </c>
      <c r="AD1258" s="7" t="s">
        <v>5044</v>
      </c>
      <c r="AE1258" s="7" t="s">
        <v>5044</v>
      </c>
      <c r="AF1258" s="7" t="s">
        <v>5044</v>
      </c>
      <c r="AG1258" s="7">
        <v>2</v>
      </c>
      <c r="AH1258" s="7">
        <v>3</v>
      </c>
      <c r="AI1258" s="7">
        <v>0</v>
      </c>
      <c r="AJ1258" s="7" t="s">
        <v>5044</v>
      </c>
      <c r="AL1258" s="7">
        <v>1</v>
      </c>
      <c r="AM1258" s="7">
        <v>0</v>
      </c>
    </row>
    <row r="1259" spans="1:40" ht="63" customHeight="1" x14ac:dyDescent="0.2">
      <c r="A1259" s="7">
        <v>12530</v>
      </c>
      <c r="B1259" s="7" t="s">
        <v>4863</v>
      </c>
      <c r="C1259" s="7" t="s">
        <v>4864</v>
      </c>
      <c r="D1259" s="7" t="s">
        <v>41</v>
      </c>
      <c r="E1259" s="7" t="s">
        <v>4867</v>
      </c>
      <c r="F1259" s="7" t="s">
        <v>48</v>
      </c>
      <c r="G1259" s="7" t="s">
        <v>32</v>
      </c>
      <c r="H1259" s="7" t="s">
        <v>616</v>
      </c>
      <c r="I1259" s="7" t="s">
        <v>13</v>
      </c>
      <c r="J1259" s="7" t="s">
        <v>4865</v>
      </c>
      <c r="K1259" s="7" t="s">
        <v>4866</v>
      </c>
      <c r="L1259" s="6" t="s">
        <v>5197</v>
      </c>
      <c r="M1259" s="7">
        <v>1</v>
      </c>
      <c r="N1259" s="7">
        <v>0</v>
      </c>
      <c r="O1259" s="9" t="s">
        <v>5044</v>
      </c>
      <c r="P1259" s="7">
        <v>0</v>
      </c>
      <c r="Q1259" s="7">
        <v>0</v>
      </c>
      <c r="R1259" s="7">
        <v>0</v>
      </c>
      <c r="S1259" s="7">
        <v>1</v>
      </c>
      <c r="T1259" s="7">
        <v>1</v>
      </c>
      <c r="U1259" s="7">
        <v>74</v>
      </c>
      <c r="V1259" s="7">
        <v>0</v>
      </c>
      <c r="W1259" s="7">
        <v>1</v>
      </c>
      <c r="X1259" s="7">
        <v>0</v>
      </c>
      <c r="Y1259" s="7">
        <v>0</v>
      </c>
      <c r="Z1259" s="7">
        <v>0</v>
      </c>
      <c r="AA1259" s="7">
        <v>0</v>
      </c>
      <c r="AB1259" s="7">
        <v>1</v>
      </c>
      <c r="AC1259" s="7" t="s">
        <v>5044</v>
      </c>
      <c r="AD1259" s="7" t="s">
        <v>5044</v>
      </c>
      <c r="AE1259" s="7" t="s">
        <v>5044</v>
      </c>
      <c r="AF1259" s="7" t="s">
        <v>5044</v>
      </c>
      <c r="AG1259" s="7" t="s">
        <v>5044</v>
      </c>
      <c r="AH1259" s="7" t="s">
        <v>5044</v>
      </c>
      <c r="AI1259" s="7" t="s">
        <v>5044</v>
      </c>
      <c r="AJ1259" s="7" t="s">
        <v>5044</v>
      </c>
      <c r="AL1259" s="7" t="s">
        <v>5044</v>
      </c>
      <c r="AM1259" s="7">
        <v>0</v>
      </c>
    </row>
    <row r="1260" spans="1:40" ht="63" customHeight="1" x14ac:dyDescent="0.2">
      <c r="A1260" s="7">
        <v>12538</v>
      </c>
      <c r="B1260" s="7" t="s">
        <v>4868</v>
      </c>
      <c r="C1260" s="7" t="s">
        <v>4869</v>
      </c>
      <c r="D1260" s="7" t="s">
        <v>9</v>
      </c>
      <c r="F1260" s="7" t="s">
        <v>4870</v>
      </c>
      <c r="G1260" s="7" t="s">
        <v>107</v>
      </c>
      <c r="H1260" s="7" t="s">
        <v>972</v>
      </c>
      <c r="I1260" s="7" t="s">
        <v>13</v>
      </c>
      <c r="J1260" s="7" t="s">
        <v>4871</v>
      </c>
      <c r="K1260" s="7" t="s">
        <v>4872</v>
      </c>
      <c r="L1260" s="6" t="s">
        <v>5198</v>
      </c>
      <c r="M1260" s="7">
        <v>0</v>
      </c>
      <c r="N1260" s="9" t="s">
        <v>5044</v>
      </c>
      <c r="O1260" s="9" t="s">
        <v>5044</v>
      </c>
      <c r="P1260" s="7">
        <v>0</v>
      </c>
      <c r="Q1260" s="7">
        <v>0</v>
      </c>
      <c r="R1260" s="7">
        <v>0</v>
      </c>
      <c r="S1260" s="7">
        <v>3</v>
      </c>
      <c r="T1260" s="7">
        <v>2</v>
      </c>
      <c r="U1260" s="7">
        <v>655</v>
      </c>
      <c r="V1260" s="7">
        <v>0</v>
      </c>
      <c r="W1260" s="7">
        <v>1</v>
      </c>
      <c r="X1260" s="7">
        <v>0</v>
      </c>
      <c r="Y1260" s="7">
        <v>0</v>
      </c>
      <c r="Z1260" s="7">
        <v>0</v>
      </c>
      <c r="AA1260" s="7">
        <v>0</v>
      </c>
      <c r="AB1260" s="7">
        <v>1</v>
      </c>
      <c r="AC1260" s="7">
        <v>1</v>
      </c>
      <c r="AD1260" s="7" t="s">
        <v>5044</v>
      </c>
      <c r="AE1260" s="7" t="s">
        <v>5044</v>
      </c>
      <c r="AF1260" s="7" t="s">
        <v>5044</v>
      </c>
      <c r="AG1260" s="7">
        <v>2</v>
      </c>
      <c r="AH1260" s="7">
        <v>3</v>
      </c>
      <c r="AI1260" s="7">
        <v>0</v>
      </c>
      <c r="AJ1260" s="7" t="s">
        <v>5044</v>
      </c>
      <c r="AL1260" s="7">
        <v>1</v>
      </c>
      <c r="AM1260" s="7">
        <v>0</v>
      </c>
    </row>
    <row r="1261" spans="1:40" ht="63" customHeight="1" x14ac:dyDescent="0.2">
      <c r="A1261" s="7">
        <v>12539</v>
      </c>
      <c r="B1261" s="7" t="s">
        <v>4873</v>
      </c>
      <c r="C1261" s="7" t="s">
        <v>4874</v>
      </c>
      <c r="D1261" s="7" t="s">
        <v>35</v>
      </c>
      <c r="F1261" s="7" t="s">
        <v>4875</v>
      </c>
      <c r="G1261" s="7" t="s">
        <v>37</v>
      </c>
      <c r="H1261" s="7" t="s">
        <v>730</v>
      </c>
      <c r="I1261" s="7" t="s">
        <v>13</v>
      </c>
      <c r="J1261" s="7" t="s">
        <v>4876</v>
      </c>
      <c r="K1261" s="7" t="s">
        <v>4877</v>
      </c>
      <c r="L1261" s="11" t="s">
        <v>5044</v>
      </c>
      <c r="M1261" s="7">
        <v>0</v>
      </c>
      <c r="N1261" s="9" t="s">
        <v>5044</v>
      </c>
      <c r="O1261" s="9" t="s">
        <v>5044</v>
      </c>
      <c r="P1261" s="7">
        <v>0</v>
      </c>
      <c r="Q1261" s="7">
        <v>0</v>
      </c>
      <c r="R1261" s="7">
        <v>0</v>
      </c>
      <c r="S1261" s="7">
        <v>3</v>
      </c>
      <c r="T1261" s="7">
        <v>2</v>
      </c>
      <c r="U1261" s="7">
        <v>597</v>
      </c>
      <c r="V1261" s="7">
        <v>0</v>
      </c>
      <c r="W1261" s="7">
        <v>1</v>
      </c>
      <c r="X1261" s="7">
        <v>0</v>
      </c>
      <c r="Y1261" s="7">
        <v>0</v>
      </c>
      <c r="Z1261" s="7">
        <v>0</v>
      </c>
      <c r="AA1261" s="7">
        <v>0</v>
      </c>
      <c r="AB1261" s="7">
        <v>1</v>
      </c>
      <c r="AC1261" s="7">
        <v>1</v>
      </c>
      <c r="AD1261" s="7" t="s">
        <v>5044</v>
      </c>
      <c r="AE1261" s="7" t="s">
        <v>5044</v>
      </c>
      <c r="AF1261" s="7" t="s">
        <v>5044</v>
      </c>
      <c r="AG1261" s="7">
        <v>2</v>
      </c>
      <c r="AH1261" s="7">
        <v>3</v>
      </c>
      <c r="AI1261" s="7">
        <v>0</v>
      </c>
      <c r="AJ1261" s="7" t="s">
        <v>5044</v>
      </c>
      <c r="AL1261" s="7">
        <v>0</v>
      </c>
      <c r="AM1261" s="7">
        <v>0</v>
      </c>
    </row>
    <row r="1262" spans="1:40" ht="63" customHeight="1" x14ac:dyDescent="0.2">
      <c r="A1262" s="7">
        <v>12557</v>
      </c>
      <c r="B1262" s="7" t="s">
        <v>4878</v>
      </c>
      <c r="C1262" s="7" t="s">
        <v>4879</v>
      </c>
      <c r="D1262" s="7" t="s">
        <v>25</v>
      </c>
      <c r="F1262" s="7" t="s">
        <v>237</v>
      </c>
      <c r="G1262" s="7" t="s">
        <v>47</v>
      </c>
      <c r="H1262" s="7" t="s">
        <v>238</v>
      </c>
      <c r="I1262" s="7" t="s">
        <v>13</v>
      </c>
      <c r="J1262" s="7" t="s">
        <v>4880</v>
      </c>
      <c r="K1262" s="7" t="s">
        <v>4881</v>
      </c>
      <c r="L1262" s="11" t="s">
        <v>5044</v>
      </c>
      <c r="M1262" s="7">
        <v>0</v>
      </c>
      <c r="N1262" s="9" t="s">
        <v>5044</v>
      </c>
      <c r="O1262" s="9" t="s">
        <v>5044</v>
      </c>
      <c r="P1262" s="7">
        <v>0</v>
      </c>
      <c r="Q1262" s="7">
        <v>0</v>
      </c>
      <c r="R1262" s="7">
        <v>0</v>
      </c>
      <c r="S1262" s="7">
        <v>3</v>
      </c>
      <c r="T1262" s="7">
        <v>6</v>
      </c>
      <c r="U1262" s="7">
        <v>203</v>
      </c>
      <c r="V1262" s="7">
        <v>0</v>
      </c>
      <c r="W1262" s="7">
        <v>1</v>
      </c>
      <c r="X1262" s="7">
        <v>0</v>
      </c>
      <c r="Y1262" s="7">
        <v>0</v>
      </c>
      <c r="Z1262" s="7">
        <v>0</v>
      </c>
      <c r="AA1262" s="7">
        <v>0</v>
      </c>
      <c r="AB1262" s="7">
        <v>0</v>
      </c>
      <c r="AC1262" s="7">
        <v>1</v>
      </c>
      <c r="AD1262" s="7" t="s">
        <v>5044</v>
      </c>
      <c r="AE1262" s="7" t="s">
        <v>5044</v>
      </c>
      <c r="AF1262" s="7" t="s">
        <v>5044</v>
      </c>
      <c r="AG1262" s="7">
        <v>1</v>
      </c>
      <c r="AH1262" s="7">
        <v>0</v>
      </c>
      <c r="AI1262" s="7">
        <v>0</v>
      </c>
      <c r="AJ1262" s="7" t="s">
        <v>5044</v>
      </c>
      <c r="AL1262" s="7">
        <v>1</v>
      </c>
      <c r="AM1262" s="7">
        <v>0</v>
      </c>
    </row>
    <row r="1263" spans="1:40" ht="63" customHeight="1" x14ac:dyDescent="0.2">
      <c r="A1263" s="7">
        <v>12582</v>
      </c>
      <c r="B1263" s="7" t="s">
        <v>4882</v>
      </c>
      <c r="C1263" s="7" t="s">
        <v>4883</v>
      </c>
      <c r="D1263" s="7" t="s">
        <v>22</v>
      </c>
      <c r="F1263" s="7" t="s">
        <v>154</v>
      </c>
      <c r="G1263" s="7" t="s">
        <v>92</v>
      </c>
      <c r="H1263" s="7" t="s">
        <v>38</v>
      </c>
      <c r="I1263" s="7" t="s">
        <v>13</v>
      </c>
      <c r="J1263" s="7" t="s">
        <v>4884</v>
      </c>
      <c r="K1263" s="7" t="s">
        <v>4885</v>
      </c>
      <c r="L1263" s="8" t="s">
        <v>5199</v>
      </c>
      <c r="M1263" s="7">
        <v>0</v>
      </c>
      <c r="N1263" s="9" t="s">
        <v>5044</v>
      </c>
      <c r="O1263" s="9" t="s">
        <v>5044</v>
      </c>
      <c r="P1263" s="7">
        <v>0</v>
      </c>
      <c r="Q1263" s="7">
        <v>0</v>
      </c>
      <c r="R1263" s="7">
        <v>0</v>
      </c>
      <c r="S1263" s="7">
        <v>1</v>
      </c>
      <c r="T1263" s="7">
        <v>1</v>
      </c>
      <c r="U1263" s="7">
        <v>350</v>
      </c>
      <c r="V1263" s="7">
        <v>0</v>
      </c>
      <c r="W1263" s="7">
        <v>1</v>
      </c>
      <c r="X1263" s="7">
        <v>0</v>
      </c>
      <c r="Y1263" s="7">
        <v>0</v>
      </c>
      <c r="Z1263" s="7">
        <v>0</v>
      </c>
      <c r="AA1263" s="7">
        <v>0</v>
      </c>
      <c r="AB1263" s="7">
        <v>1</v>
      </c>
      <c r="AC1263" s="7">
        <v>1</v>
      </c>
      <c r="AD1263" s="7" t="s">
        <v>5044</v>
      </c>
      <c r="AE1263" s="7" t="s">
        <v>5044</v>
      </c>
      <c r="AF1263" s="7" t="s">
        <v>5044</v>
      </c>
      <c r="AG1263" s="7">
        <v>1</v>
      </c>
      <c r="AH1263" s="7">
        <v>0</v>
      </c>
      <c r="AI1263" s="7">
        <v>0</v>
      </c>
      <c r="AJ1263" s="7" t="s">
        <v>5044</v>
      </c>
      <c r="AL1263" s="7">
        <v>1</v>
      </c>
      <c r="AM1263" s="7">
        <v>0</v>
      </c>
    </row>
    <row r="1264" spans="1:40" ht="63" customHeight="1" x14ac:dyDescent="0.2">
      <c r="A1264" s="7">
        <v>12586</v>
      </c>
      <c r="B1264" s="7" t="s">
        <v>4886</v>
      </c>
      <c r="C1264" s="7" t="s">
        <v>4887</v>
      </c>
      <c r="D1264" s="7" t="s">
        <v>74</v>
      </c>
      <c r="E1264" s="7" t="s">
        <v>305</v>
      </c>
      <c r="F1264" s="7" t="s">
        <v>129</v>
      </c>
      <c r="G1264" s="7" t="s">
        <v>144</v>
      </c>
      <c r="H1264" s="7" t="s">
        <v>19</v>
      </c>
      <c r="I1264" s="7" t="s">
        <v>13</v>
      </c>
      <c r="J1264" s="7" t="s">
        <v>4888</v>
      </c>
      <c r="K1264" s="7" t="s">
        <v>4889</v>
      </c>
      <c r="L1264" s="6" t="s">
        <v>5200</v>
      </c>
      <c r="M1264" s="7">
        <v>1</v>
      </c>
      <c r="N1264" s="7">
        <v>0</v>
      </c>
      <c r="O1264" s="9" t="s">
        <v>5044</v>
      </c>
      <c r="P1264" s="7">
        <v>0</v>
      </c>
      <c r="Q1264" s="7">
        <v>0</v>
      </c>
      <c r="R1264" s="7">
        <v>0</v>
      </c>
      <c r="S1264" s="7" t="s">
        <v>6057</v>
      </c>
      <c r="T1264" s="7">
        <v>1</v>
      </c>
      <c r="U1264" s="7">
        <v>154</v>
      </c>
      <c r="V1264" s="7">
        <v>1</v>
      </c>
      <c r="W1264" s="7">
        <v>1</v>
      </c>
      <c r="X1264" s="7">
        <v>0</v>
      </c>
      <c r="Y1264" s="7">
        <v>0</v>
      </c>
      <c r="Z1264" s="7">
        <v>0</v>
      </c>
      <c r="AA1264" s="7">
        <v>0</v>
      </c>
      <c r="AB1264" s="7">
        <v>1</v>
      </c>
      <c r="AC1264" s="7" t="s">
        <v>5044</v>
      </c>
      <c r="AD1264" s="7" t="s">
        <v>5044</v>
      </c>
      <c r="AE1264" s="7" t="s">
        <v>5044</v>
      </c>
      <c r="AF1264" s="7" t="s">
        <v>5044</v>
      </c>
      <c r="AG1264" s="7" t="s">
        <v>5044</v>
      </c>
      <c r="AH1264" s="7" t="s">
        <v>5044</v>
      </c>
      <c r="AI1264" s="7" t="s">
        <v>5044</v>
      </c>
      <c r="AJ1264" s="7" t="s">
        <v>5044</v>
      </c>
      <c r="AL1264" s="7" t="s">
        <v>5044</v>
      </c>
      <c r="AM1264" s="7">
        <v>0</v>
      </c>
    </row>
    <row r="1265" spans="1:40" ht="63" customHeight="1" x14ac:dyDescent="0.2">
      <c r="A1265" s="7">
        <v>12592</v>
      </c>
      <c r="B1265" s="7" t="s">
        <v>4890</v>
      </c>
      <c r="C1265" s="7" t="s">
        <v>4891</v>
      </c>
      <c r="D1265" s="7" t="s">
        <v>149</v>
      </c>
      <c r="F1265" s="7" t="s">
        <v>65</v>
      </c>
      <c r="G1265" s="7" t="s">
        <v>48</v>
      </c>
      <c r="H1265" s="7" t="s">
        <v>2272</v>
      </c>
      <c r="I1265" s="7" t="s">
        <v>13</v>
      </c>
      <c r="J1265" s="7" t="s">
        <v>4892</v>
      </c>
      <c r="K1265" s="7" t="s">
        <v>4893</v>
      </c>
      <c r="L1265" s="11" t="s">
        <v>5044</v>
      </c>
      <c r="M1265" s="7">
        <v>0</v>
      </c>
      <c r="N1265" s="9" t="s">
        <v>5044</v>
      </c>
      <c r="O1265" s="9" t="s">
        <v>5044</v>
      </c>
      <c r="P1265" s="7">
        <v>0</v>
      </c>
      <c r="Q1265" s="7">
        <v>0</v>
      </c>
      <c r="R1265" s="7">
        <v>0</v>
      </c>
      <c r="S1265" s="7">
        <v>3</v>
      </c>
      <c r="T1265" s="7">
        <v>1</v>
      </c>
      <c r="U1265" s="7">
        <v>120</v>
      </c>
      <c r="V1265" s="7">
        <v>0</v>
      </c>
      <c r="W1265" s="7">
        <v>1</v>
      </c>
      <c r="X1265" s="7">
        <v>0</v>
      </c>
      <c r="Y1265" s="7">
        <v>0</v>
      </c>
      <c r="Z1265" s="7">
        <v>0</v>
      </c>
      <c r="AA1265" s="7">
        <v>0</v>
      </c>
      <c r="AB1265" s="7">
        <v>1</v>
      </c>
      <c r="AC1265" s="7">
        <v>1</v>
      </c>
      <c r="AD1265" s="7" t="s">
        <v>5044</v>
      </c>
      <c r="AE1265" s="7" t="s">
        <v>5044</v>
      </c>
      <c r="AF1265" s="7" t="s">
        <v>5044</v>
      </c>
      <c r="AG1265" s="7">
        <v>2</v>
      </c>
      <c r="AH1265" s="7">
        <v>2</v>
      </c>
      <c r="AI1265" s="7">
        <v>2</v>
      </c>
      <c r="AJ1265" s="7" t="s">
        <v>5044</v>
      </c>
      <c r="AL1265" s="7" t="s">
        <v>5041</v>
      </c>
      <c r="AM1265" s="7">
        <v>0</v>
      </c>
      <c r="AN1265" s="7" t="s">
        <v>5105</v>
      </c>
    </row>
    <row r="1266" spans="1:40" ht="63" customHeight="1" x14ac:dyDescent="0.2">
      <c r="A1266" s="7">
        <v>12596</v>
      </c>
      <c r="B1266" s="7" t="s">
        <v>4894</v>
      </c>
      <c r="C1266" s="7" t="s">
        <v>4895</v>
      </c>
      <c r="D1266" s="7" t="s">
        <v>74</v>
      </c>
      <c r="E1266" s="7" t="s">
        <v>305</v>
      </c>
      <c r="F1266" s="7" t="s">
        <v>129</v>
      </c>
      <c r="G1266" s="7" t="s">
        <v>175</v>
      </c>
      <c r="H1266" s="7" t="s">
        <v>19</v>
      </c>
      <c r="I1266" s="7" t="s">
        <v>13</v>
      </c>
      <c r="J1266" s="7" t="s">
        <v>4896</v>
      </c>
      <c r="K1266" s="7" t="s">
        <v>4897</v>
      </c>
      <c r="L1266" s="8" t="s">
        <v>5201</v>
      </c>
      <c r="M1266" s="7">
        <v>1</v>
      </c>
      <c r="N1266" s="7">
        <v>0</v>
      </c>
      <c r="O1266" s="9" t="s">
        <v>5044</v>
      </c>
      <c r="P1266" s="7">
        <v>0</v>
      </c>
      <c r="Q1266" s="7">
        <v>0</v>
      </c>
      <c r="R1266" s="7">
        <v>0</v>
      </c>
      <c r="S1266" s="7" t="s">
        <v>6057</v>
      </c>
      <c r="T1266" s="7">
        <v>5</v>
      </c>
      <c r="U1266" s="7">
        <v>128</v>
      </c>
      <c r="V1266" s="7">
        <v>0</v>
      </c>
      <c r="W1266" s="7">
        <v>1</v>
      </c>
      <c r="X1266" s="7">
        <v>0</v>
      </c>
      <c r="Y1266" s="7">
        <v>0</v>
      </c>
      <c r="Z1266" s="7">
        <v>0</v>
      </c>
      <c r="AA1266" s="7">
        <v>0</v>
      </c>
      <c r="AB1266" s="7">
        <v>1</v>
      </c>
      <c r="AC1266" s="7" t="s">
        <v>5044</v>
      </c>
      <c r="AD1266" s="7" t="s">
        <v>5044</v>
      </c>
      <c r="AE1266" s="7" t="s">
        <v>5044</v>
      </c>
      <c r="AF1266" s="7" t="s">
        <v>5044</v>
      </c>
      <c r="AG1266" s="7" t="s">
        <v>5044</v>
      </c>
      <c r="AH1266" s="7" t="s">
        <v>5044</v>
      </c>
      <c r="AI1266" s="7" t="s">
        <v>5044</v>
      </c>
      <c r="AJ1266" s="7" t="s">
        <v>5044</v>
      </c>
      <c r="AL1266" s="7" t="s">
        <v>5044</v>
      </c>
      <c r="AM1266" s="7">
        <v>0</v>
      </c>
    </row>
    <row r="1267" spans="1:40" ht="63" customHeight="1" x14ac:dyDescent="0.2">
      <c r="A1267" s="7">
        <v>12610</v>
      </c>
      <c r="B1267" s="7" t="s">
        <v>4898</v>
      </c>
      <c r="C1267" s="7" t="s">
        <v>4899</v>
      </c>
      <c r="D1267" s="7" t="s">
        <v>25</v>
      </c>
      <c r="F1267" s="7" t="s">
        <v>568</v>
      </c>
      <c r="G1267" s="7" t="s">
        <v>52</v>
      </c>
      <c r="H1267" s="7" t="s">
        <v>71</v>
      </c>
      <c r="I1267" s="7" t="s">
        <v>13</v>
      </c>
      <c r="J1267" s="7" t="s">
        <v>4900</v>
      </c>
      <c r="K1267" s="7" t="s">
        <v>4901</v>
      </c>
      <c r="L1267" s="6" t="s">
        <v>5202</v>
      </c>
      <c r="M1267" s="7">
        <v>0</v>
      </c>
      <c r="N1267" s="9" t="s">
        <v>5044</v>
      </c>
      <c r="O1267" s="9" t="s">
        <v>5044</v>
      </c>
      <c r="P1267" s="7">
        <v>0</v>
      </c>
      <c r="Q1267" s="7">
        <v>0</v>
      </c>
      <c r="R1267" s="7">
        <v>0</v>
      </c>
      <c r="S1267" s="7">
        <v>1</v>
      </c>
      <c r="T1267" s="7">
        <v>4</v>
      </c>
      <c r="U1267" s="7">
        <v>50</v>
      </c>
      <c r="V1267" s="7">
        <v>0</v>
      </c>
      <c r="W1267" s="7">
        <v>1</v>
      </c>
      <c r="X1267" s="7">
        <v>0</v>
      </c>
      <c r="Y1267" s="7">
        <v>0</v>
      </c>
      <c r="Z1267" s="7">
        <v>0</v>
      </c>
      <c r="AA1267" s="7">
        <v>0</v>
      </c>
      <c r="AB1267" s="7">
        <v>1</v>
      </c>
      <c r="AC1267" s="7">
        <v>1</v>
      </c>
      <c r="AD1267" s="7" t="s">
        <v>5044</v>
      </c>
      <c r="AE1267" s="7" t="s">
        <v>5044</v>
      </c>
      <c r="AF1267" s="7" t="s">
        <v>5044</v>
      </c>
      <c r="AG1267" s="7">
        <v>2</v>
      </c>
      <c r="AH1267" s="7">
        <v>3</v>
      </c>
      <c r="AI1267" s="7">
        <v>0</v>
      </c>
      <c r="AJ1267" s="7" t="s">
        <v>5044</v>
      </c>
      <c r="AL1267" s="7">
        <v>1</v>
      </c>
      <c r="AM1267" s="7">
        <v>0</v>
      </c>
    </row>
    <row r="1268" spans="1:40" ht="63" customHeight="1" x14ac:dyDescent="0.2">
      <c r="A1268" s="7">
        <v>12614</v>
      </c>
      <c r="B1268" s="7" t="s">
        <v>4902</v>
      </c>
      <c r="C1268" s="7" t="s">
        <v>4903</v>
      </c>
      <c r="D1268" s="7" t="s">
        <v>22</v>
      </c>
      <c r="F1268" s="7" t="s">
        <v>65</v>
      </c>
      <c r="G1268" s="7" t="s">
        <v>37</v>
      </c>
      <c r="H1268" s="7" t="s">
        <v>1077</v>
      </c>
      <c r="I1268" s="7" t="s">
        <v>13</v>
      </c>
      <c r="J1268" s="7" t="s">
        <v>4904</v>
      </c>
      <c r="K1268" s="7" t="s">
        <v>4905</v>
      </c>
      <c r="L1268" s="6" t="s">
        <v>5203</v>
      </c>
      <c r="M1268" s="7">
        <v>0</v>
      </c>
      <c r="N1268" s="9" t="s">
        <v>5044</v>
      </c>
      <c r="O1268" s="9" t="s">
        <v>5044</v>
      </c>
      <c r="P1268" s="7">
        <v>0</v>
      </c>
      <c r="Q1268" s="7">
        <v>0</v>
      </c>
      <c r="R1268" s="7">
        <v>0</v>
      </c>
      <c r="S1268" s="7">
        <v>1</v>
      </c>
      <c r="T1268" s="7">
        <v>1</v>
      </c>
      <c r="U1268" s="7">
        <v>193</v>
      </c>
      <c r="V1268" s="7">
        <v>0</v>
      </c>
      <c r="W1268" s="7">
        <v>1</v>
      </c>
      <c r="X1268" s="7">
        <v>0</v>
      </c>
      <c r="Y1268" s="7">
        <v>0</v>
      </c>
      <c r="Z1268" s="7">
        <v>0</v>
      </c>
      <c r="AA1268" s="7">
        <v>0</v>
      </c>
      <c r="AB1268" s="7">
        <v>1</v>
      </c>
      <c r="AC1268" s="7">
        <v>1</v>
      </c>
      <c r="AD1268" s="7" t="s">
        <v>5044</v>
      </c>
      <c r="AE1268" s="7" t="s">
        <v>5044</v>
      </c>
      <c r="AF1268" s="7" t="s">
        <v>5044</v>
      </c>
      <c r="AG1268" s="7">
        <v>2</v>
      </c>
      <c r="AH1268" s="7">
        <v>3</v>
      </c>
      <c r="AI1268" s="7">
        <v>0</v>
      </c>
      <c r="AJ1268" s="7" t="s">
        <v>5044</v>
      </c>
      <c r="AL1268" s="7">
        <v>1</v>
      </c>
      <c r="AM1268" s="7">
        <v>0</v>
      </c>
    </row>
    <row r="1269" spans="1:40" ht="63" customHeight="1" x14ac:dyDescent="0.2">
      <c r="A1269" s="7">
        <v>12625</v>
      </c>
      <c r="B1269" s="7" t="s">
        <v>4906</v>
      </c>
      <c r="C1269" s="7" t="s">
        <v>4907</v>
      </c>
      <c r="D1269" s="7" t="s">
        <v>95</v>
      </c>
      <c r="F1269" s="7" t="s">
        <v>834</v>
      </c>
      <c r="G1269" s="7" t="s">
        <v>18</v>
      </c>
      <c r="H1269" s="7" t="s">
        <v>307</v>
      </c>
      <c r="I1269" s="7" t="s">
        <v>13</v>
      </c>
      <c r="J1269" s="7" t="s">
        <v>4908</v>
      </c>
      <c r="K1269" s="7" t="s">
        <v>4909</v>
      </c>
      <c r="L1269" s="11" t="s">
        <v>5044</v>
      </c>
      <c r="M1269" s="7">
        <v>0</v>
      </c>
      <c r="N1269" s="9" t="s">
        <v>5044</v>
      </c>
      <c r="O1269" s="9" t="s">
        <v>5044</v>
      </c>
      <c r="P1269" s="7">
        <v>0</v>
      </c>
      <c r="Q1269" s="7">
        <v>0</v>
      </c>
      <c r="R1269" s="7">
        <v>0</v>
      </c>
      <c r="S1269" s="7">
        <v>3</v>
      </c>
      <c r="T1269" s="7">
        <v>6</v>
      </c>
      <c r="U1269" s="7">
        <v>183</v>
      </c>
      <c r="V1269" s="7">
        <v>0</v>
      </c>
      <c r="W1269" s="7">
        <v>1</v>
      </c>
      <c r="X1269" s="7">
        <v>0</v>
      </c>
      <c r="Y1269" s="7">
        <v>0</v>
      </c>
      <c r="Z1269" s="7">
        <v>0</v>
      </c>
      <c r="AA1269" s="7">
        <v>0</v>
      </c>
      <c r="AB1269" s="7">
        <v>1</v>
      </c>
      <c r="AC1269" s="7">
        <v>1</v>
      </c>
      <c r="AD1269" s="7" t="s">
        <v>5044</v>
      </c>
      <c r="AE1269" s="7" t="s">
        <v>5044</v>
      </c>
      <c r="AF1269" s="7" t="s">
        <v>5044</v>
      </c>
      <c r="AG1269" s="7">
        <v>1</v>
      </c>
      <c r="AH1269" s="7">
        <v>0</v>
      </c>
      <c r="AI1269" s="7">
        <v>0</v>
      </c>
      <c r="AJ1269" s="7" t="s">
        <v>5044</v>
      </c>
      <c r="AL1269" s="7">
        <v>1</v>
      </c>
      <c r="AM1269" s="7">
        <v>0</v>
      </c>
    </row>
    <row r="1270" spans="1:40" ht="63" customHeight="1" x14ac:dyDescent="0.2">
      <c r="A1270" s="7">
        <v>12626</v>
      </c>
      <c r="B1270" s="7" t="s">
        <v>4910</v>
      </c>
      <c r="C1270" s="7" t="s">
        <v>4911</v>
      </c>
      <c r="D1270" s="7" t="s">
        <v>41</v>
      </c>
      <c r="F1270" s="7" t="s">
        <v>384</v>
      </c>
      <c r="G1270" s="7" t="s">
        <v>18</v>
      </c>
      <c r="H1270" s="7" t="s">
        <v>102</v>
      </c>
      <c r="I1270" s="7" t="s">
        <v>13</v>
      </c>
      <c r="J1270" s="7" t="s">
        <v>4912</v>
      </c>
      <c r="K1270" s="7" t="s">
        <v>4913</v>
      </c>
      <c r="L1270" s="11" t="s">
        <v>5044</v>
      </c>
      <c r="M1270" s="7">
        <v>0</v>
      </c>
      <c r="N1270" s="9" t="s">
        <v>5044</v>
      </c>
      <c r="O1270" s="9" t="s">
        <v>5044</v>
      </c>
      <c r="P1270" s="7">
        <v>0</v>
      </c>
      <c r="Q1270" s="7">
        <v>0</v>
      </c>
      <c r="R1270" s="7">
        <v>0</v>
      </c>
      <c r="S1270" s="7">
        <v>3</v>
      </c>
      <c r="T1270" s="7">
        <v>6</v>
      </c>
      <c r="U1270" s="7">
        <v>130</v>
      </c>
      <c r="V1270" s="7">
        <v>0</v>
      </c>
      <c r="W1270" s="7">
        <v>1</v>
      </c>
      <c r="X1270" s="7">
        <v>0</v>
      </c>
      <c r="Y1270" s="7">
        <v>0</v>
      </c>
      <c r="Z1270" s="7">
        <v>0</v>
      </c>
      <c r="AA1270" s="7">
        <v>0</v>
      </c>
      <c r="AB1270" s="7">
        <v>1</v>
      </c>
      <c r="AC1270" s="7">
        <v>1</v>
      </c>
      <c r="AD1270" s="7" t="s">
        <v>5044</v>
      </c>
      <c r="AE1270" s="7" t="s">
        <v>5044</v>
      </c>
      <c r="AF1270" s="7" t="s">
        <v>5044</v>
      </c>
      <c r="AG1270" s="7">
        <v>1</v>
      </c>
      <c r="AH1270" s="7">
        <v>0</v>
      </c>
      <c r="AI1270" s="7">
        <v>0</v>
      </c>
      <c r="AJ1270" s="7" t="s">
        <v>5044</v>
      </c>
      <c r="AL1270" s="7">
        <v>0</v>
      </c>
      <c r="AM1270" s="7">
        <v>0</v>
      </c>
    </row>
    <row r="1271" spans="1:40" ht="63" customHeight="1" x14ac:dyDescent="0.2">
      <c r="A1271" s="7">
        <v>12627</v>
      </c>
      <c r="B1271" s="7" t="s">
        <v>4914</v>
      </c>
      <c r="C1271" s="7" t="s">
        <v>4915</v>
      </c>
      <c r="D1271" s="7" t="s">
        <v>41</v>
      </c>
      <c r="F1271" s="7" t="s">
        <v>505</v>
      </c>
      <c r="G1271" s="7" t="s">
        <v>37</v>
      </c>
      <c r="H1271" s="7" t="s">
        <v>679</v>
      </c>
      <c r="I1271" s="7" t="s">
        <v>13</v>
      </c>
      <c r="J1271" s="7" t="s">
        <v>4916</v>
      </c>
      <c r="K1271" s="7" t="s">
        <v>4917</v>
      </c>
      <c r="L1271" s="8" t="s">
        <v>5204</v>
      </c>
      <c r="M1271" s="7">
        <v>0</v>
      </c>
      <c r="N1271" s="9" t="s">
        <v>5044</v>
      </c>
      <c r="O1271" s="9" t="s">
        <v>5044</v>
      </c>
      <c r="P1271" s="7">
        <v>0</v>
      </c>
      <c r="Q1271" s="7">
        <v>0</v>
      </c>
      <c r="R1271" s="7">
        <v>0</v>
      </c>
      <c r="S1271" s="7">
        <v>3</v>
      </c>
      <c r="T1271" s="7">
        <v>6</v>
      </c>
      <c r="U1271" s="7">
        <v>72</v>
      </c>
      <c r="V1271" s="7">
        <v>0</v>
      </c>
      <c r="W1271" s="7">
        <v>1</v>
      </c>
      <c r="X1271" s="7">
        <v>0</v>
      </c>
      <c r="Y1271" s="7">
        <v>0</v>
      </c>
      <c r="Z1271" s="7">
        <v>0</v>
      </c>
      <c r="AA1271" s="7">
        <v>0</v>
      </c>
      <c r="AB1271" s="7">
        <v>1</v>
      </c>
      <c r="AC1271" s="7">
        <v>1</v>
      </c>
      <c r="AD1271" s="7" t="s">
        <v>5044</v>
      </c>
      <c r="AE1271" s="7" t="s">
        <v>5044</v>
      </c>
      <c r="AF1271" s="7" t="s">
        <v>5044</v>
      </c>
      <c r="AG1271" s="7">
        <v>1</v>
      </c>
      <c r="AH1271" s="7">
        <v>0</v>
      </c>
      <c r="AI1271" s="7">
        <v>0</v>
      </c>
      <c r="AJ1271" s="7" t="s">
        <v>5044</v>
      </c>
      <c r="AL1271" s="7">
        <v>1</v>
      </c>
      <c r="AM1271" s="7">
        <v>0</v>
      </c>
    </row>
    <row r="1272" spans="1:40" ht="63" customHeight="1" x14ac:dyDescent="0.2">
      <c r="A1272" s="7">
        <v>12629</v>
      </c>
      <c r="B1272" s="7" t="s">
        <v>4918</v>
      </c>
      <c r="C1272" s="7" t="s">
        <v>4919</v>
      </c>
      <c r="D1272" s="7" t="s">
        <v>74</v>
      </c>
      <c r="F1272" s="7" t="s">
        <v>4920</v>
      </c>
      <c r="G1272" s="7" t="s">
        <v>52</v>
      </c>
      <c r="H1272" s="7" t="s">
        <v>596</v>
      </c>
      <c r="I1272" s="7" t="s">
        <v>13</v>
      </c>
      <c r="J1272" s="7" t="s">
        <v>4921</v>
      </c>
      <c r="K1272" s="7" t="s">
        <v>4922</v>
      </c>
      <c r="L1272" s="8" t="s">
        <v>5220</v>
      </c>
      <c r="M1272" s="7">
        <v>0</v>
      </c>
      <c r="N1272" s="9" t="s">
        <v>5044</v>
      </c>
      <c r="O1272" s="9" t="s">
        <v>5044</v>
      </c>
      <c r="P1272" s="7">
        <v>0</v>
      </c>
      <c r="Q1272" s="7">
        <v>0</v>
      </c>
      <c r="R1272" s="7">
        <v>0</v>
      </c>
      <c r="S1272" s="7">
        <v>1</v>
      </c>
      <c r="T1272" s="7">
        <v>4</v>
      </c>
      <c r="U1272" s="7">
        <v>104</v>
      </c>
      <c r="V1272" s="7">
        <v>1</v>
      </c>
      <c r="W1272" s="7">
        <v>0</v>
      </c>
      <c r="X1272" s="7">
        <v>0</v>
      </c>
      <c r="Y1272" s="7">
        <v>0</v>
      </c>
      <c r="Z1272" s="7">
        <v>0</v>
      </c>
      <c r="AA1272" s="7">
        <v>0</v>
      </c>
      <c r="AB1272" s="7">
        <v>1</v>
      </c>
      <c r="AC1272" s="7">
        <v>1</v>
      </c>
      <c r="AD1272" s="7">
        <v>1</v>
      </c>
      <c r="AE1272" s="7">
        <v>0</v>
      </c>
      <c r="AF1272" s="7">
        <v>0</v>
      </c>
      <c r="AG1272" s="7" t="s">
        <v>5044</v>
      </c>
      <c r="AH1272" s="7" t="s">
        <v>5044</v>
      </c>
      <c r="AI1272" s="7" t="s">
        <v>5044</v>
      </c>
      <c r="AJ1272" s="7" t="s">
        <v>5044</v>
      </c>
      <c r="AL1272" s="7">
        <v>1</v>
      </c>
      <c r="AM1272" s="7">
        <v>0</v>
      </c>
    </row>
    <row r="1273" spans="1:40" ht="63" customHeight="1" x14ac:dyDescent="0.2">
      <c r="A1273" s="7">
        <v>12635</v>
      </c>
      <c r="B1273" s="7" t="s">
        <v>4923</v>
      </c>
      <c r="C1273" s="7" t="s">
        <v>4924</v>
      </c>
      <c r="D1273" s="7" t="s">
        <v>74</v>
      </c>
      <c r="F1273" s="7" t="s">
        <v>118</v>
      </c>
      <c r="G1273" s="7" t="s">
        <v>52</v>
      </c>
      <c r="H1273" s="7" t="s">
        <v>656</v>
      </c>
      <c r="I1273" s="7" t="s">
        <v>13</v>
      </c>
      <c r="J1273" s="7" t="s">
        <v>4925</v>
      </c>
      <c r="K1273" s="7" t="s">
        <v>4926</v>
      </c>
      <c r="L1273" s="8" t="s">
        <v>5221</v>
      </c>
      <c r="M1273" s="7">
        <v>0</v>
      </c>
      <c r="N1273" s="9" t="s">
        <v>5044</v>
      </c>
      <c r="O1273" s="9" t="s">
        <v>5044</v>
      </c>
      <c r="P1273" s="7">
        <v>0</v>
      </c>
      <c r="Q1273" s="7">
        <v>0</v>
      </c>
      <c r="R1273" s="7">
        <v>0</v>
      </c>
      <c r="S1273" s="7">
        <v>1</v>
      </c>
      <c r="T1273" s="7">
        <v>1</v>
      </c>
      <c r="U1273" s="7">
        <v>346</v>
      </c>
      <c r="V1273" s="7">
        <v>0</v>
      </c>
      <c r="W1273" s="7">
        <v>1</v>
      </c>
      <c r="X1273" s="7">
        <v>0</v>
      </c>
      <c r="Y1273" s="7">
        <v>0</v>
      </c>
      <c r="Z1273" s="7">
        <v>0</v>
      </c>
      <c r="AA1273" s="7">
        <v>0</v>
      </c>
      <c r="AB1273" s="7">
        <v>1</v>
      </c>
      <c r="AC1273" s="7">
        <v>1</v>
      </c>
      <c r="AD1273" s="7" t="s">
        <v>5044</v>
      </c>
      <c r="AE1273" s="7" t="s">
        <v>5044</v>
      </c>
      <c r="AF1273" s="7" t="s">
        <v>5044</v>
      </c>
      <c r="AG1273" s="7">
        <v>2</v>
      </c>
      <c r="AH1273" s="7">
        <v>1</v>
      </c>
      <c r="AI1273" s="7">
        <v>2</v>
      </c>
      <c r="AJ1273" s="7" t="s">
        <v>5044</v>
      </c>
      <c r="AL1273" s="7">
        <v>0</v>
      </c>
      <c r="AM1273" s="7">
        <v>0</v>
      </c>
    </row>
    <row r="1274" spans="1:40" ht="63" customHeight="1" x14ac:dyDescent="0.2">
      <c r="A1274" s="7">
        <v>12650</v>
      </c>
      <c r="B1274" s="7" t="s">
        <v>4927</v>
      </c>
      <c r="C1274" s="7" t="s">
        <v>4928</v>
      </c>
      <c r="D1274" s="7" t="s">
        <v>25</v>
      </c>
      <c r="F1274" s="7" t="s">
        <v>237</v>
      </c>
      <c r="G1274" s="7" t="s">
        <v>92</v>
      </c>
      <c r="H1274" s="7" t="s">
        <v>160</v>
      </c>
      <c r="I1274" s="7" t="s">
        <v>13</v>
      </c>
      <c r="J1274" s="7" t="s">
        <v>4929</v>
      </c>
      <c r="K1274" s="7" t="s">
        <v>4930</v>
      </c>
      <c r="L1274" s="11" t="s">
        <v>5044</v>
      </c>
      <c r="M1274" s="7">
        <v>0</v>
      </c>
      <c r="N1274" s="9" t="s">
        <v>5044</v>
      </c>
      <c r="O1274" s="9" t="s">
        <v>5044</v>
      </c>
      <c r="P1274" s="7">
        <v>0</v>
      </c>
      <c r="Q1274" s="7">
        <v>0</v>
      </c>
      <c r="R1274" s="7">
        <v>0</v>
      </c>
      <c r="S1274" s="7">
        <v>1</v>
      </c>
      <c r="T1274" s="7">
        <v>4</v>
      </c>
      <c r="U1274" s="7">
        <v>745</v>
      </c>
      <c r="V1274" s="7">
        <v>1</v>
      </c>
      <c r="W1274" s="7">
        <v>0</v>
      </c>
      <c r="X1274" s="7">
        <v>0</v>
      </c>
      <c r="Y1274" s="7">
        <v>0</v>
      </c>
      <c r="Z1274" s="7">
        <v>0</v>
      </c>
      <c r="AA1274" s="7">
        <v>0</v>
      </c>
      <c r="AB1274" s="7">
        <v>1</v>
      </c>
      <c r="AC1274" s="7">
        <v>1</v>
      </c>
      <c r="AD1274" s="7">
        <v>2</v>
      </c>
      <c r="AE1274" s="7">
        <v>3</v>
      </c>
      <c r="AF1274" s="7">
        <v>0</v>
      </c>
      <c r="AG1274" s="7" t="s">
        <v>5044</v>
      </c>
      <c r="AH1274" s="7" t="s">
        <v>5044</v>
      </c>
      <c r="AI1274" s="7" t="s">
        <v>5044</v>
      </c>
      <c r="AJ1274" s="7" t="s">
        <v>5044</v>
      </c>
      <c r="AL1274" s="7">
        <v>1</v>
      </c>
      <c r="AM1274" s="7">
        <v>0</v>
      </c>
    </row>
    <row r="1275" spans="1:40" ht="63" customHeight="1" x14ac:dyDescent="0.2">
      <c r="A1275" s="7">
        <v>12653</v>
      </c>
      <c r="B1275" s="7" t="s">
        <v>4931</v>
      </c>
      <c r="C1275" s="7" t="s">
        <v>4932</v>
      </c>
      <c r="D1275" s="7" t="s">
        <v>46</v>
      </c>
      <c r="F1275" s="7" t="s">
        <v>293</v>
      </c>
      <c r="G1275" s="7" t="s">
        <v>17</v>
      </c>
      <c r="H1275" s="7" t="s">
        <v>1125</v>
      </c>
      <c r="I1275" s="7" t="s">
        <v>13</v>
      </c>
      <c r="J1275" s="7" t="s">
        <v>4933</v>
      </c>
      <c r="K1275" s="7" t="s">
        <v>4934</v>
      </c>
      <c r="L1275" s="11" t="s">
        <v>5044</v>
      </c>
      <c r="M1275" s="7">
        <v>0</v>
      </c>
      <c r="N1275" s="9" t="s">
        <v>5044</v>
      </c>
      <c r="O1275" s="9" t="s">
        <v>5044</v>
      </c>
      <c r="P1275" s="7">
        <v>0</v>
      </c>
      <c r="Q1275" s="7">
        <v>0</v>
      </c>
      <c r="R1275" s="7">
        <v>0</v>
      </c>
      <c r="S1275" s="7">
        <v>1</v>
      </c>
      <c r="T1275" s="7">
        <v>1</v>
      </c>
      <c r="U1275" s="7">
        <v>93</v>
      </c>
      <c r="V1275" s="7">
        <v>0</v>
      </c>
      <c r="W1275" s="7">
        <v>1</v>
      </c>
      <c r="X1275" s="7">
        <v>0</v>
      </c>
      <c r="Y1275" s="7">
        <v>0</v>
      </c>
      <c r="Z1275" s="7">
        <v>0</v>
      </c>
      <c r="AA1275" s="7">
        <v>0</v>
      </c>
      <c r="AB1275" s="7">
        <v>1</v>
      </c>
      <c r="AC1275" s="7">
        <v>1</v>
      </c>
      <c r="AD1275" s="7" t="s">
        <v>5044</v>
      </c>
      <c r="AE1275" s="7" t="s">
        <v>5044</v>
      </c>
      <c r="AF1275" s="7" t="s">
        <v>5044</v>
      </c>
      <c r="AG1275" s="7">
        <v>2</v>
      </c>
      <c r="AH1275" s="7">
        <v>3</v>
      </c>
      <c r="AI1275" s="7">
        <v>0</v>
      </c>
      <c r="AJ1275" s="7" t="s">
        <v>5044</v>
      </c>
      <c r="AL1275" s="7">
        <v>0</v>
      </c>
      <c r="AM1275" s="7">
        <v>0</v>
      </c>
    </row>
    <row r="1276" spans="1:40" ht="63" customHeight="1" x14ac:dyDescent="0.2">
      <c r="A1276" s="7">
        <v>12658</v>
      </c>
      <c r="B1276" s="7" t="s">
        <v>4935</v>
      </c>
      <c r="C1276" s="7" t="s">
        <v>4936</v>
      </c>
      <c r="D1276" s="7" t="s">
        <v>149</v>
      </c>
      <c r="F1276" s="7" t="s">
        <v>865</v>
      </c>
      <c r="G1276" s="7" t="s">
        <v>52</v>
      </c>
      <c r="H1276" s="7" t="s">
        <v>160</v>
      </c>
      <c r="I1276" s="7" t="s">
        <v>13</v>
      </c>
      <c r="J1276" s="7" t="s">
        <v>4937</v>
      </c>
      <c r="K1276" s="7" t="s">
        <v>4938</v>
      </c>
      <c r="L1276" s="8">
        <v>1104011630</v>
      </c>
      <c r="M1276" s="7">
        <v>0</v>
      </c>
      <c r="N1276" s="9" t="s">
        <v>5044</v>
      </c>
      <c r="O1276" s="9" t="s">
        <v>5044</v>
      </c>
      <c r="P1276" s="7">
        <v>0</v>
      </c>
      <c r="Q1276" s="7">
        <v>0</v>
      </c>
      <c r="R1276" s="7">
        <v>0</v>
      </c>
      <c r="S1276" s="7">
        <v>1</v>
      </c>
      <c r="T1276" s="7">
        <v>2</v>
      </c>
      <c r="U1276" s="7">
        <v>60</v>
      </c>
      <c r="V1276" s="7">
        <v>0</v>
      </c>
      <c r="W1276" s="7">
        <v>1</v>
      </c>
      <c r="X1276" s="7">
        <v>0</v>
      </c>
      <c r="Y1276" s="7">
        <v>0</v>
      </c>
      <c r="Z1276" s="7">
        <v>0</v>
      </c>
      <c r="AA1276" s="7">
        <v>0</v>
      </c>
      <c r="AB1276" s="7">
        <v>1</v>
      </c>
      <c r="AC1276" s="7">
        <v>1</v>
      </c>
      <c r="AD1276" s="7" t="s">
        <v>5044</v>
      </c>
      <c r="AE1276" s="7" t="s">
        <v>5044</v>
      </c>
      <c r="AF1276" s="7" t="s">
        <v>5044</v>
      </c>
      <c r="AG1276" s="7">
        <v>2</v>
      </c>
      <c r="AH1276" s="7">
        <v>2</v>
      </c>
      <c r="AI1276" s="7">
        <v>2</v>
      </c>
      <c r="AJ1276" s="7" t="s">
        <v>5044</v>
      </c>
      <c r="AL1276" s="7">
        <v>0</v>
      </c>
      <c r="AM1276" s="7">
        <v>0</v>
      </c>
    </row>
    <row r="1277" spans="1:40" ht="63" customHeight="1" x14ac:dyDescent="0.2">
      <c r="A1277" s="7">
        <v>12662</v>
      </c>
      <c r="B1277" s="7" t="s">
        <v>4939</v>
      </c>
      <c r="C1277" s="7" t="s">
        <v>4940</v>
      </c>
      <c r="D1277" s="7" t="s">
        <v>149</v>
      </c>
      <c r="E1277" s="7" t="s">
        <v>305</v>
      </c>
      <c r="F1277" s="7" t="s">
        <v>746</v>
      </c>
      <c r="G1277" s="7" t="s">
        <v>52</v>
      </c>
      <c r="H1277" s="7" t="s">
        <v>53</v>
      </c>
      <c r="I1277" s="7" t="s">
        <v>13</v>
      </c>
      <c r="K1277" s="7" t="s">
        <v>4941</v>
      </c>
      <c r="L1277" s="8" t="s">
        <v>5222</v>
      </c>
      <c r="M1277" s="7">
        <v>1</v>
      </c>
      <c r="N1277" s="7">
        <v>0</v>
      </c>
      <c r="O1277" s="9" t="s">
        <v>5044</v>
      </c>
      <c r="P1277" s="7">
        <v>0</v>
      </c>
      <c r="Q1277" s="7">
        <v>0</v>
      </c>
      <c r="R1277" s="7">
        <v>0</v>
      </c>
      <c r="S1277" s="7">
        <v>6</v>
      </c>
      <c r="T1277" s="7">
        <v>1</v>
      </c>
      <c r="U1277" s="7">
        <v>742</v>
      </c>
      <c r="V1277" s="7">
        <v>0</v>
      </c>
      <c r="W1277" s="7">
        <v>1</v>
      </c>
      <c r="X1277" s="7">
        <v>0</v>
      </c>
      <c r="Y1277" s="7">
        <v>0</v>
      </c>
      <c r="Z1277" s="7">
        <v>0</v>
      </c>
      <c r="AA1277" s="7">
        <v>0</v>
      </c>
      <c r="AB1277" s="7">
        <v>1</v>
      </c>
      <c r="AC1277" s="7" t="s">
        <v>5044</v>
      </c>
      <c r="AD1277" s="7" t="s">
        <v>5044</v>
      </c>
      <c r="AE1277" s="7" t="s">
        <v>5044</v>
      </c>
      <c r="AF1277" s="7" t="s">
        <v>5044</v>
      </c>
      <c r="AG1277" s="7" t="s">
        <v>5044</v>
      </c>
      <c r="AH1277" s="7" t="s">
        <v>5044</v>
      </c>
      <c r="AI1277" s="7" t="s">
        <v>5044</v>
      </c>
      <c r="AJ1277" s="7" t="s">
        <v>5044</v>
      </c>
      <c r="AL1277" s="7" t="s">
        <v>5044</v>
      </c>
      <c r="AM1277" s="7">
        <v>0</v>
      </c>
    </row>
    <row r="1278" spans="1:40" ht="63" customHeight="1" x14ac:dyDescent="0.2">
      <c r="A1278" s="7">
        <v>12678</v>
      </c>
      <c r="B1278" s="7" t="s">
        <v>4942</v>
      </c>
      <c r="C1278" s="7" t="s">
        <v>4943</v>
      </c>
      <c r="D1278" s="7" t="s">
        <v>375</v>
      </c>
      <c r="F1278" s="7" t="s">
        <v>834</v>
      </c>
      <c r="G1278" s="7" t="s">
        <v>17</v>
      </c>
      <c r="H1278" s="7" t="s">
        <v>38</v>
      </c>
      <c r="I1278" s="7" t="s">
        <v>13</v>
      </c>
      <c r="J1278" s="7" t="s">
        <v>4944</v>
      </c>
      <c r="K1278" s="7" t="s">
        <v>4945</v>
      </c>
      <c r="L1278" s="6" t="s">
        <v>5223</v>
      </c>
      <c r="M1278" s="7">
        <v>0</v>
      </c>
      <c r="N1278" s="9" t="s">
        <v>5044</v>
      </c>
      <c r="O1278" s="9" t="s">
        <v>5044</v>
      </c>
      <c r="P1278" s="7">
        <v>0</v>
      </c>
      <c r="Q1278" s="7">
        <v>0</v>
      </c>
      <c r="R1278" s="7">
        <v>0</v>
      </c>
      <c r="S1278" s="7">
        <v>1</v>
      </c>
      <c r="T1278" s="7">
        <v>2</v>
      </c>
      <c r="U1278" s="7">
        <v>114</v>
      </c>
      <c r="V1278" s="7">
        <v>0</v>
      </c>
      <c r="W1278" s="7">
        <v>1</v>
      </c>
      <c r="X1278" s="7">
        <v>0</v>
      </c>
      <c r="Y1278" s="7">
        <v>0</v>
      </c>
      <c r="Z1278" s="7">
        <v>0</v>
      </c>
      <c r="AA1278" s="7">
        <v>0</v>
      </c>
      <c r="AB1278" s="7">
        <v>1</v>
      </c>
      <c r="AC1278" s="7">
        <v>1</v>
      </c>
      <c r="AD1278" s="7" t="s">
        <v>5044</v>
      </c>
      <c r="AE1278" s="7" t="s">
        <v>5044</v>
      </c>
      <c r="AF1278" s="7" t="s">
        <v>5044</v>
      </c>
      <c r="AG1278" s="7">
        <v>2</v>
      </c>
      <c r="AH1278" s="7">
        <v>3</v>
      </c>
      <c r="AI1278" s="7">
        <v>0</v>
      </c>
      <c r="AJ1278" s="7" t="s">
        <v>5044</v>
      </c>
      <c r="AL1278" s="7">
        <v>1</v>
      </c>
      <c r="AM1278" s="7">
        <v>0</v>
      </c>
    </row>
    <row r="1279" spans="1:40" ht="63" customHeight="1" x14ac:dyDescent="0.2">
      <c r="A1279" s="7">
        <v>12681</v>
      </c>
      <c r="B1279" s="7" t="s">
        <v>4946</v>
      </c>
      <c r="C1279" s="7" t="s">
        <v>4947</v>
      </c>
      <c r="D1279" s="7" t="s">
        <v>16</v>
      </c>
      <c r="F1279" s="7" t="s">
        <v>31</v>
      </c>
      <c r="G1279" s="7" t="s">
        <v>27</v>
      </c>
      <c r="H1279" s="7" t="s">
        <v>4948</v>
      </c>
      <c r="I1279" s="7" t="s">
        <v>13</v>
      </c>
      <c r="J1279" s="7" t="s">
        <v>4949</v>
      </c>
      <c r="K1279" s="7" t="s">
        <v>4950</v>
      </c>
      <c r="L1279" s="11" t="s">
        <v>5044</v>
      </c>
      <c r="M1279" s="7">
        <v>0</v>
      </c>
      <c r="N1279" s="9" t="s">
        <v>5044</v>
      </c>
      <c r="O1279" s="9" t="s">
        <v>5044</v>
      </c>
      <c r="P1279" s="7">
        <v>0</v>
      </c>
      <c r="Q1279" s="7">
        <v>0</v>
      </c>
      <c r="R1279" s="7">
        <v>0</v>
      </c>
      <c r="S1279" s="7">
        <v>4</v>
      </c>
      <c r="T1279" s="7">
        <v>2</v>
      </c>
      <c r="U1279" s="7">
        <v>89</v>
      </c>
      <c r="V1279" s="7">
        <v>0</v>
      </c>
      <c r="W1279" s="7">
        <v>1</v>
      </c>
      <c r="X1279" s="7">
        <v>0</v>
      </c>
      <c r="Y1279" s="7">
        <v>0</v>
      </c>
      <c r="Z1279" s="7">
        <v>0</v>
      </c>
      <c r="AA1279" s="7">
        <v>0</v>
      </c>
      <c r="AB1279" s="7">
        <v>0</v>
      </c>
      <c r="AC1279" s="7">
        <v>1</v>
      </c>
      <c r="AD1279" s="7" t="s">
        <v>5044</v>
      </c>
      <c r="AE1279" s="7" t="s">
        <v>5044</v>
      </c>
      <c r="AF1279" s="7" t="s">
        <v>5044</v>
      </c>
      <c r="AG1279" s="7">
        <v>1</v>
      </c>
      <c r="AH1279" s="7">
        <v>0</v>
      </c>
      <c r="AI1279" s="7">
        <v>0</v>
      </c>
      <c r="AJ1279" s="7" t="s">
        <v>5044</v>
      </c>
      <c r="AL1279" s="7" t="s">
        <v>5044</v>
      </c>
      <c r="AM1279" s="7">
        <v>0</v>
      </c>
      <c r="AN1279" s="7" t="s">
        <v>5105</v>
      </c>
    </row>
    <row r="1280" spans="1:40" ht="63" customHeight="1" x14ac:dyDescent="0.2">
      <c r="A1280" s="7">
        <v>12686</v>
      </c>
      <c r="B1280" s="7" t="s">
        <v>4951</v>
      </c>
      <c r="C1280" s="7" t="s">
        <v>4952</v>
      </c>
      <c r="D1280" s="7" t="s">
        <v>149</v>
      </c>
      <c r="F1280" s="7" t="s">
        <v>144</v>
      </c>
      <c r="G1280" s="7" t="s">
        <v>52</v>
      </c>
      <c r="H1280" s="7" t="s">
        <v>4953</v>
      </c>
      <c r="I1280" s="7" t="s">
        <v>13</v>
      </c>
      <c r="J1280" s="7" t="s">
        <v>4954</v>
      </c>
      <c r="K1280" s="7" t="s">
        <v>4955</v>
      </c>
      <c r="L1280" s="8" t="s">
        <v>5224</v>
      </c>
      <c r="M1280" s="7">
        <v>0</v>
      </c>
      <c r="N1280" s="9" t="s">
        <v>5044</v>
      </c>
      <c r="O1280" s="9" t="s">
        <v>5044</v>
      </c>
      <c r="P1280" s="7">
        <v>0</v>
      </c>
      <c r="Q1280" s="7">
        <v>0</v>
      </c>
      <c r="R1280" s="7">
        <v>0</v>
      </c>
      <c r="S1280" s="7" t="s">
        <v>7673</v>
      </c>
      <c r="T1280" s="7">
        <v>1</v>
      </c>
      <c r="U1280" s="7">
        <v>204</v>
      </c>
      <c r="V1280" s="7">
        <v>1</v>
      </c>
      <c r="W1280" s="7">
        <v>0</v>
      </c>
      <c r="X1280" s="7">
        <v>0</v>
      </c>
      <c r="Y1280" s="7">
        <v>0</v>
      </c>
      <c r="Z1280" s="7">
        <v>0</v>
      </c>
      <c r="AA1280" s="7">
        <v>0</v>
      </c>
      <c r="AB1280" s="7">
        <v>1</v>
      </c>
      <c r="AC1280" s="7">
        <v>1</v>
      </c>
      <c r="AD1280" s="7">
        <v>2</v>
      </c>
      <c r="AE1280" s="7">
        <v>1</v>
      </c>
      <c r="AF1280" s="7">
        <v>1</v>
      </c>
      <c r="AG1280" s="7" t="s">
        <v>5044</v>
      </c>
      <c r="AH1280" s="7" t="s">
        <v>5044</v>
      </c>
      <c r="AI1280" s="7" t="s">
        <v>5044</v>
      </c>
      <c r="AJ1280" s="7" t="s">
        <v>5044</v>
      </c>
      <c r="AL1280" s="7">
        <v>0</v>
      </c>
      <c r="AM1280" s="7">
        <v>0</v>
      </c>
    </row>
    <row r="1281" spans="1:40" ht="63" customHeight="1" x14ac:dyDescent="0.2">
      <c r="A1281" s="7">
        <v>12701</v>
      </c>
      <c r="B1281" s="7" t="s">
        <v>4956</v>
      </c>
      <c r="C1281" s="7" t="s">
        <v>4957</v>
      </c>
      <c r="D1281" s="7" t="s">
        <v>16</v>
      </c>
      <c r="F1281" s="7" t="s">
        <v>4958</v>
      </c>
      <c r="G1281" s="7" t="s">
        <v>4959</v>
      </c>
      <c r="H1281" s="7" t="s">
        <v>180</v>
      </c>
      <c r="I1281" s="7" t="s">
        <v>13</v>
      </c>
      <c r="J1281" s="7" t="s">
        <v>4960</v>
      </c>
      <c r="K1281" s="7" t="s">
        <v>4961</v>
      </c>
      <c r="L1281" s="6" t="s">
        <v>5225</v>
      </c>
      <c r="M1281" s="7">
        <v>0</v>
      </c>
      <c r="N1281" s="9" t="s">
        <v>5044</v>
      </c>
      <c r="O1281" s="9" t="s">
        <v>5044</v>
      </c>
      <c r="P1281" s="7">
        <v>0</v>
      </c>
      <c r="Q1281" s="7">
        <v>0</v>
      </c>
      <c r="R1281" s="7">
        <v>0</v>
      </c>
      <c r="S1281" s="7">
        <v>1</v>
      </c>
      <c r="T1281" s="7">
        <v>2</v>
      </c>
      <c r="U1281" s="7">
        <v>209</v>
      </c>
      <c r="V1281" s="7">
        <v>0</v>
      </c>
      <c r="W1281" s="7">
        <v>1</v>
      </c>
      <c r="X1281" s="7">
        <v>0</v>
      </c>
      <c r="Y1281" s="7">
        <v>0</v>
      </c>
      <c r="Z1281" s="7">
        <v>0</v>
      </c>
      <c r="AA1281" s="7">
        <v>0</v>
      </c>
      <c r="AB1281" s="7">
        <v>1</v>
      </c>
      <c r="AC1281" s="7">
        <v>1</v>
      </c>
      <c r="AD1281" s="7" t="s">
        <v>5044</v>
      </c>
      <c r="AE1281" s="7" t="s">
        <v>5044</v>
      </c>
      <c r="AF1281" s="7" t="s">
        <v>5044</v>
      </c>
      <c r="AG1281" s="7">
        <v>2</v>
      </c>
      <c r="AH1281" s="7">
        <v>1</v>
      </c>
      <c r="AI1281" s="7">
        <v>2</v>
      </c>
      <c r="AJ1281" s="7" t="s">
        <v>5044</v>
      </c>
      <c r="AL1281" s="7">
        <v>1</v>
      </c>
      <c r="AM1281" s="7">
        <v>0</v>
      </c>
    </row>
    <row r="1282" spans="1:40" ht="63" customHeight="1" x14ac:dyDescent="0.2">
      <c r="A1282" s="7">
        <v>12705</v>
      </c>
      <c r="B1282" s="7" t="s">
        <v>4962</v>
      </c>
      <c r="C1282" s="7" t="s">
        <v>4963</v>
      </c>
      <c r="D1282" s="7" t="s">
        <v>22</v>
      </c>
      <c r="F1282" s="7" t="s">
        <v>4964</v>
      </c>
      <c r="H1282" s="7" t="s">
        <v>4965</v>
      </c>
      <c r="I1282" s="7" t="s">
        <v>13</v>
      </c>
      <c r="J1282" s="7" t="s">
        <v>4966</v>
      </c>
      <c r="K1282" s="7" t="s">
        <v>4967</v>
      </c>
      <c r="L1282" s="6" t="s">
        <v>5226</v>
      </c>
      <c r="M1282" s="7">
        <v>0</v>
      </c>
      <c r="N1282" s="9" t="s">
        <v>5044</v>
      </c>
      <c r="O1282" s="9" t="s">
        <v>5044</v>
      </c>
      <c r="P1282" s="7">
        <v>0</v>
      </c>
      <c r="Q1282" s="7">
        <v>0</v>
      </c>
      <c r="R1282" s="7">
        <v>0</v>
      </c>
      <c r="S1282" s="7">
        <v>3</v>
      </c>
      <c r="T1282" s="7">
        <v>1</v>
      </c>
      <c r="U1282" s="7">
        <v>103</v>
      </c>
      <c r="V1282" s="7">
        <v>0</v>
      </c>
      <c r="W1282" s="7">
        <v>1</v>
      </c>
      <c r="X1282" s="7">
        <v>0</v>
      </c>
      <c r="Y1282" s="7">
        <v>0</v>
      </c>
      <c r="Z1282" s="7">
        <v>0</v>
      </c>
      <c r="AA1282" s="7">
        <v>0</v>
      </c>
      <c r="AB1282" s="7">
        <v>1</v>
      </c>
      <c r="AC1282" s="7">
        <v>1</v>
      </c>
      <c r="AD1282" s="7" t="s">
        <v>5044</v>
      </c>
      <c r="AE1282" s="7" t="s">
        <v>5044</v>
      </c>
      <c r="AF1282" s="7" t="s">
        <v>5044</v>
      </c>
      <c r="AG1282" s="7">
        <v>2</v>
      </c>
      <c r="AH1282" s="7">
        <v>3</v>
      </c>
      <c r="AI1282" s="7">
        <v>0</v>
      </c>
      <c r="AJ1282" s="7" t="s">
        <v>5044</v>
      </c>
      <c r="AL1282" s="7">
        <v>0</v>
      </c>
      <c r="AM1282" s="7">
        <v>0</v>
      </c>
    </row>
    <row r="1283" spans="1:40" ht="63" customHeight="1" x14ac:dyDescent="0.2">
      <c r="A1283" s="7">
        <v>12710</v>
      </c>
      <c r="B1283" s="7" t="s">
        <v>4968</v>
      </c>
      <c r="C1283" s="7" t="s">
        <v>4969</v>
      </c>
      <c r="D1283" s="7" t="s">
        <v>16</v>
      </c>
      <c r="F1283" s="7" t="s">
        <v>65</v>
      </c>
      <c r="G1283" s="7" t="s">
        <v>52</v>
      </c>
      <c r="H1283" s="7" t="s">
        <v>348</v>
      </c>
      <c r="I1283" s="7" t="s">
        <v>13</v>
      </c>
      <c r="J1283" s="7" t="s">
        <v>4970</v>
      </c>
      <c r="K1283" s="7" t="s">
        <v>4971</v>
      </c>
      <c r="L1283" s="11" t="s">
        <v>5044</v>
      </c>
      <c r="M1283" s="7">
        <v>0</v>
      </c>
      <c r="N1283" s="9" t="s">
        <v>5044</v>
      </c>
      <c r="O1283" s="9" t="s">
        <v>5044</v>
      </c>
      <c r="P1283" s="7">
        <v>0</v>
      </c>
      <c r="Q1283" s="7">
        <v>0</v>
      </c>
      <c r="R1283" s="7">
        <v>0</v>
      </c>
      <c r="S1283" s="7">
        <v>3</v>
      </c>
      <c r="T1283" s="7">
        <v>6</v>
      </c>
      <c r="U1283" s="7">
        <v>66</v>
      </c>
      <c r="V1283" s="7">
        <v>0</v>
      </c>
      <c r="W1283" s="7">
        <v>1</v>
      </c>
      <c r="X1283" s="7">
        <v>0</v>
      </c>
      <c r="Y1283" s="7">
        <v>0</v>
      </c>
      <c r="Z1283" s="7">
        <v>0</v>
      </c>
      <c r="AA1283" s="7">
        <v>0</v>
      </c>
      <c r="AB1283" s="7">
        <v>1</v>
      </c>
      <c r="AC1283" s="7">
        <v>1</v>
      </c>
      <c r="AD1283" s="7" t="s">
        <v>5044</v>
      </c>
      <c r="AE1283" s="7" t="s">
        <v>5044</v>
      </c>
      <c r="AF1283" s="7" t="s">
        <v>5044</v>
      </c>
      <c r="AG1283" s="7">
        <v>1</v>
      </c>
      <c r="AH1283" s="7">
        <v>0</v>
      </c>
      <c r="AI1283" s="7">
        <v>0</v>
      </c>
      <c r="AJ1283" s="7" t="s">
        <v>5044</v>
      </c>
      <c r="AL1283" s="7" t="s">
        <v>5044</v>
      </c>
      <c r="AM1283" s="7">
        <v>0</v>
      </c>
      <c r="AN1283" s="7" t="s">
        <v>5105</v>
      </c>
    </row>
    <row r="1284" spans="1:40" ht="63" customHeight="1" x14ac:dyDescent="0.2">
      <c r="A1284" s="7">
        <v>12714</v>
      </c>
      <c r="B1284" s="7" t="s">
        <v>4972</v>
      </c>
      <c r="C1284" s="7" t="s">
        <v>4973</v>
      </c>
      <c r="D1284" s="7" t="s">
        <v>41</v>
      </c>
      <c r="F1284" s="7" t="s">
        <v>58</v>
      </c>
      <c r="G1284" s="7" t="s">
        <v>52</v>
      </c>
      <c r="H1284" s="7" t="s">
        <v>2819</v>
      </c>
      <c r="I1284" s="7" t="s">
        <v>13</v>
      </c>
      <c r="J1284" s="7" t="s">
        <v>4974</v>
      </c>
      <c r="K1284" s="7" t="s">
        <v>4975</v>
      </c>
      <c r="L1284" s="11" t="s">
        <v>5044</v>
      </c>
      <c r="M1284" s="7">
        <v>0</v>
      </c>
      <c r="N1284" s="9" t="s">
        <v>5044</v>
      </c>
      <c r="O1284" s="9" t="s">
        <v>5044</v>
      </c>
      <c r="P1284" s="7">
        <v>0</v>
      </c>
      <c r="Q1284" s="7">
        <v>0</v>
      </c>
      <c r="R1284" s="7">
        <v>0</v>
      </c>
      <c r="S1284" s="7">
        <v>3</v>
      </c>
      <c r="T1284" s="7">
        <v>4</v>
      </c>
      <c r="U1284" s="7">
        <v>101</v>
      </c>
      <c r="V1284" s="7">
        <v>0</v>
      </c>
      <c r="W1284" s="7">
        <v>1</v>
      </c>
      <c r="X1284" s="7">
        <v>0</v>
      </c>
      <c r="Y1284" s="7">
        <v>0</v>
      </c>
      <c r="Z1284" s="7">
        <v>0</v>
      </c>
      <c r="AA1284" s="7">
        <v>0</v>
      </c>
      <c r="AB1284" s="7">
        <v>1</v>
      </c>
      <c r="AC1284" s="7">
        <v>1</v>
      </c>
      <c r="AD1284" s="7" t="s">
        <v>5044</v>
      </c>
      <c r="AE1284" s="7" t="s">
        <v>5044</v>
      </c>
      <c r="AF1284" s="7" t="s">
        <v>5044</v>
      </c>
      <c r="AG1284" s="7">
        <v>2</v>
      </c>
      <c r="AH1284" s="7">
        <v>3</v>
      </c>
      <c r="AI1284" s="7">
        <v>0</v>
      </c>
      <c r="AJ1284" s="7" t="s">
        <v>5044</v>
      </c>
      <c r="AL1284" s="7" t="s">
        <v>5044</v>
      </c>
      <c r="AM1284" s="7">
        <v>0</v>
      </c>
      <c r="AN1284" s="7" t="s">
        <v>5105</v>
      </c>
    </row>
    <row r="1285" spans="1:40" ht="63" customHeight="1" x14ac:dyDescent="0.2">
      <c r="A1285" s="7">
        <v>12716</v>
      </c>
      <c r="B1285" s="7" t="s">
        <v>4976</v>
      </c>
      <c r="C1285" s="7" t="s">
        <v>4977</v>
      </c>
      <c r="D1285" s="7" t="s">
        <v>95</v>
      </c>
      <c r="F1285" s="7" t="s">
        <v>194</v>
      </c>
      <c r="G1285" s="7" t="s">
        <v>144</v>
      </c>
      <c r="H1285" s="7" t="s">
        <v>290</v>
      </c>
      <c r="I1285" s="7" t="s">
        <v>13</v>
      </c>
      <c r="J1285" s="7" t="s">
        <v>4978</v>
      </c>
      <c r="K1285" s="7" t="s">
        <v>4979</v>
      </c>
      <c r="L1285" s="6" t="s">
        <v>5227</v>
      </c>
      <c r="M1285" s="7">
        <v>0</v>
      </c>
      <c r="N1285" s="9" t="s">
        <v>5044</v>
      </c>
      <c r="O1285" s="9" t="s">
        <v>5044</v>
      </c>
      <c r="P1285" s="7">
        <v>0</v>
      </c>
      <c r="Q1285" s="7">
        <v>0</v>
      </c>
      <c r="R1285" s="7">
        <v>0</v>
      </c>
      <c r="S1285" s="7">
        <v>1</v>
      </c>
      <c r="T1285" s="7">
        <v>1</v>
      </c>
      <c r="U1285" s="7">
        <v>102</v>
      </c>
      <c r="V1285" s="7">
        <v>0</v>
      </c>
      <c r="W1285" s="7">
        <v>1</v>
      </c>
      <c r="X1285" s="7">
        <v>0</v>
      </c>
      <c r="Y1285" s="7">
        <v>0</v>
      </c>
      <c r="Z1285" s="7">
        <v>0</v>
      </c>
      <c r="AA1285" s="7">
        <v>0</v>
      </c>
      <c r="AB1285" s="7">
        <v>0</v>
      </c>
      <c r="AC1285" s="7">
        <v>1</v>
      </c>
      <c r="AD1285" s="7" t="s">
        <v>5044</v>
      </c>
      <c r="AE1285" s="7" t="s">
        <v>5044</v>
      </c>
      <c r="AF1285" s="7" t="s">
        <v>5044</v>
      </c>
      <c r="AG1285" s="7">
        <v>2</v>
      </c>
      <c r="AH1285" s="7">
        <v>1</v>
      </c>
      <c r="AI1285" s="7">
        <v>2</v>
      </c>
      <c r="AJ1285" s="7" t="s">
        <v>5044</v>
      </c>
      <c r="AL1285" s="7" t="s">
        <v>5041</v>
      </c>
      <c r="AM1285" s="7">
        <v>0</v>
      </c>
      <c r="AN1285" s="7" t="s">
        <v>5105</v>
      </c>
    </row>
    <row r="1286" spans="1:40" ht="63" customHeight="1" x14ac:dyDescent="0.2">
      <c r="A1286" s="7">
        <v>12732</v>
      </c>
      <c r="B1286" s="7" t="s">
        <v>4980</v>
      </c>
      <c r="C1286" s="7" t="s">
        <v>4981</v>
      </c>
      <c r="D1286" s="7" t="s">
        <v>16</v>
      </c>
      <c r="F1286" s="7" t="s">
        <v>4074</v>
      </c>
      <c r="G1286" s="7" t="s">
        <v>52</v>
      </c>
      <c r="H1286" s="7" t="s">
        <v>4982</v>
      </c>
      <c r="I1286" s="7" t="s">
        <v>13</v>
      </c>
      <c r="J1286" s="7" t="s">
        <v>4983</v>
      </c>
      <c r="K1286" s="7" t="s">
        <v>4984</v>
      </c>
      <c r="L1286" s="11" t="s">
        <v>5044</v>
      </c>
      <c r="M1286" s="7">
        <v>0</v>
      </c>
      <c r="N1286" s="9" t="s">
        <v>5044</v>
      </c>
      <c r="O1286" s="9" t="s">
        <v>5044</v>
      </c>
      <c r="P1286" s="7">
        <v>0</v>
      </c>
      <c r="Q1286" s="7">
        <v>0</v>
      </c>
      <c r="R1286" s="7">
        <v>0</v>
      </c>
      <c r="S1286" s="7">
        <v>1</v>
      </c>
      <c r="T1286" s="7">
        <v>6</v>
      </c>
      <c r="U1286" s="7">
        <v>112</v>
      </c>
      <c r="V1286" s="7">
        <v>0</v>
      </c>
      <c r="W1286" s="7">
        <v>1</v>
      </c>
      <c r="X1286" s="7">
        <v>0</v>
      </c>
      <c r="Y1286" s="7">
        <v>0</v>
      </c>
      <c r="Z1286" s="7">
        <v>0</v>
      </c>
      <c r="AA1286" s="7">
        <v>0</v>
      </c>
      <c r="AB1286" s="7">
        <v>1</v>
      </c>
      <c r="AC1286" s="7">
        <v>0</v>
      </c>
      <c r="AD1286" s="7" t="s">
        <v>5044</v>
      </c>
      <c r="AE1286" s="7" t="s">
        <v>5044</v>
      </c>
      <c r="AF1286" s="7" t="s">
        <v>5044</v>
      </c>
      <c r="AG1286" s="7">
        <v>0</v>
      </c>
      <c r="AH1286" s="7" t="s">
        <v>5044</v>
      </c>
      <c r="AI1286" s="7" t="s">
        <v>5044</v>
      </c>
      <c r="AJ1286" s="7" t="s">
        <v>5044</v>
      </c>
      <c r="AL1286" s="7">
        <v>0</v>
      </c>
      <c r="AM1286" s="7">
        <v>0</v>
      </c>
    </row>
    <row r="1287" spans="1:40" ht="63" customHeight="1" x14ac:dyDescent="0.2">
      <c r="A1287" s="7">
        <v>12741</v>
      </c>
      <c r="B1287" s="7" t="s">
        <v>4985</v>
      </c>
      <c r="C1287" s="7" t="s">
        <v>4986</v>
      </c>
      <c r="D1287" s="7" t="s">
        <v>46</v>
      </c>
      <c r="F1287" s="7" t="s">
        <v>129</v>
      </c>
      <c r="G1287" s="7" t="s">
        <v>52</v>
      </c>
      <c r="H1287" s="7" t="s">
        <v>4987</v>
      </c>
      <c r="I1287" s="7" t="s">
        <v>13</v>
      </c>
      <c r="J1287" s="7" t="s">
        <v>4988</v>
      </c>
      <c r="K1287" s="7" t="s">
        <v>4989</v>
      </c>
      <c r="L1287" s="11" t="s">
        <v>5044</v>
      </c>
      <c r="M1287" s="7">
        <v>0</v>
      </c>
      <c r="N1287" s="9" t="s">
        <v>5044</v>
      </c>
      <c r="O1287" s="9" t="s">
        <v>5044</v>
      </c>
      <c r="P1287" s="7">
        <v>0</v>
      </c>
      <c r="Q1287" s="7">
        <v>0</v>
      </c>
      <c r="R1287" s="7">
        <v>0</v>
      </c>
      <c r="S1287" s="7">
        <v>3</v>
      </c>
      <c r="T1287" s="7">
        <v>6</v>
      </c>
      <c r="U1287" s="7">
        <v>110</v>
      </c>
      <c r="V1287" s="7">
        <v>0</v>
      </c>
      <c r="W1287" s="7">
        <v>1</v>
      </c>
      <c r="X1287" s="7">
        <v>0</v>
      </c>
      <c r="Y1287" s="7">
        <v>0</v>
      </c>
      <c r="Z1287" s="7">
        <v>0</v>
      </c>
      <c r="AA1287" s="7">
        <v>0</v>
      </c>
      <c r="AB1287" s="7">
        <v>0</v>
      </c>
      <c r="AC1287" s="7">
        <v>1</v>
      </c>
      <c r="AD1287" s="7" t="s">
        <v>5044</v>
      </c>
      <c r="AE1287" s="7" t="s">
        <v>5044</v>
      </c>
      <c r="AF1287" s="7" t="s">
        <v>5044</v>
      </c>
      <c r="AG1287" s="7">
        <v>2</v>
      </c>
      <c r="AH1287" s="7">
        <v>3</v>
      </c>
      <c r="AI1287" s="7">
        <v>0</v>
      </c>
      <c r="AJ1287" s="7" t="s">
        <v>5044</v>
      </c>
      <c r="AL1287" s="7">
        <v>1</v>
      </c>
      <c r="AM1287" s="7">
        <v>0</v>
      </c>
    </row>
    <row r="1288" spans="1:40" ht="63" customHeight="1" x14ac:dyDescent="0.2">
      <c r="A1288" s="7">
        <v>12742</v>
      </c>
      <c r="B1288" s="7" t="s">
        <v>4990</v>
      </c>
      <c r="C1288" s="7" t="s">
        <v>4991</v>
      </c>
      <c r="D1288" s="7" t="s">
        <v>95</v>
      </c>
      <c r="F1288" s="7" t="s">
        <v>356</v>
      </c>
      <c r="G1288" s="7" t="s">
        <v>17</v>
      </c>
      <c r="H1288" s="7" t="s">
        <v>238</v>
      </c>
      <c r="I1288" s="7" t="s">
        <v>13</v>
      </c>
      <c r="J1288" s="7" t="s">
        <v>4992</v>
      </c>
      <c r="K1288" s="7" t="s">
        <v>4993</v>
      </c>
      <c r="L1288" s="11" t="s">
        <v>5044</v>
      </c>
      <c r="M1288" s="7">
        <v>0</v>
      </c>
      <c r="N1288" s="9" t="s">
        <v>5044</v>
      </c>
      <c r="O1288" s="9" t="s">
        <v>5044</v>
      </c>
      <c r="P1288" s="7">
        <v>0</v>
      </c>
      <c r="Q1288" s="7">
        <v>0</v>
      </c>
      <c r="R1288" s="7">
        <v>0</v>
      </c>
      <c r="S1288" s="7">
        <v>3</v>
      </c>
      <c r="T1288" s="7">
        <v>6</v>
      </c>
      <c r="U1288" s="7">
        <v>60</v>
      </c>
      <c r="V1288" s="7">
        <v>0</v>
      </c>
      <c r="W1288" s="7">
        <v>1</v>
      </c>
      <c r="X1288" s="7">
        <v>0</v>
      </c>
      <c r="Y1288" s="7">
        <v>0</v>
      </c>
      <c r="Z1288" s="7">
        <v>0</v>
      </c>
      <c r="AA1288" s="7">
        <v>0</v>
      </c>
      <c r="AB1288" s="7">
        <v>0</v>
      </c>
      <c r="AC1288" s="7">
        <v>1</v>
      </c>
      <c r="AD1288" s="7" t="s">
        <v>5044</v>
      </c>
      <c r="AE1288" s="7" t="s">
        <v>5044</v>
      </c>
      <c r="AF1288" s="7" t="s">
        <v>5044</v>
      </c>
      <c r="AG1288" s="7">
        <v>1</v>
      </c>
      <c r="AH1288" s="7">
        <v>0</v>
      </c>
      <c r="AI1288" s="7">
        <v>0</v>
      </c>
      <c r="AJ1288" s="7" t="s">
        <v>5044</v>
      </c>
      <c r="AL1288" s="7" t="s">
        <v>5041</v>
      </c>
      <c r="AM1288" s="7">
        <v>0</v>
      </c>
      <c r="AN1288" s="7" t="s">
        <v>5105</v>
      </c>
    </row>
    <row r="1289" spans="1:40" ht="63" customHeight="1" x14ac:dyDescent="0.2">
      <c r="A1289" s="7">
        <v>12745</v>
      </c>
      <c r="B1289" s="7" t="s">
        <v>4994</v>
      </c>
      <c r="C1289" s="7" t="s">
        <v>4995</v>
      </c>
      <c r="D1289" s="7" t="s">
        <v>25</v>
      </c>
      <c r="F1289" s="7" t="s">
        <v>254</v>
      </c>
      <c r="G1289" s="7" t="s">
        <v>48</v>
      </c>
      <c r="H1289" s="7" t="s">
        <v>145</v>
      </c>
      <c r="I1289" s="7" t="s">
        <v>13</v>
      </c>
      <c r="J1289" s="7" t="s">
        <v>4996</v>
      </c>
      <c r="K1289" s="7" t="s">
        <v>4997</v>
      </c>
      <c r="L1289" s="6" t="s">
        <v>5228</v>
      </c>
      <c r="M1289" s="7">
        <v>0</v>
      </c>
      <c r="N1289" s="9" t="s">
        <v>5044</v>
      </c>
      <c r="O1289" s="9" t="s">
        <v>5044</v>
      </c>
      <c r="P1289" s="7">
        <v>0</v>
      </c>
      <c r="Q1289" s="7">
        <v>0</v>
      </c>
      <c r="R1289" s="7">
        <v>0</v>
      </c>
      <c r="S1289" s="7">
        <v>1</v>
      </c>
      <c r="T1289" s="7">
        <v>6</v>
      </c>
      <c r="U1289" s="7">
        <v>105</v>
      </c>
      <c r="V1289" s="7">
        <v>0</v>
      </c>
      <c r="W1289" s="7">
        <v>1</v>
      </c>
      <c r="X1289" s="7">
        <v>0</v>
      </c>
      <c r="Y1289" s="7">
        <v>0</v>
      </c>
      <c r="Z1289" s="7">
        <v>0</v>
      </c>
      <c r="AA1289" s="7">
        <v>0</v>
      </c>
      <c r="AB1289" s="7">
        <v>1</v>
      </c>
      <c r="AC1289" s="7">
        <v>1</v>
      </c>
      <c r="AD1289" s="7" t="s">
        <v>5044</v>
      </c>
      <c r="AE1289" s="7" t="s">
        <v>5044</v>
      </c>
      <c r="AF1289" s="7" t="s">
        <v>5044</v>
      </c>
      <c r="AG1289" s="7">
        <v>1</v>
      </c>
      <c r="AH1289" s="7">
        <v>0</v>
      </c>
      <c r="AI1289" s="7">
        <v>0</v>
      </c>
      <c r="AJ1289" s="7" t="s">
        <v>5044</v>
      </c>
      <c r="AL1289" s="7">
        <v>1</v>
      </c>
      <c r="AM1289" s="7">
        <v>0</v>
      </c>
    </row>
    <row r="1290" spans="1:40" ht="63" customHeight="1" x14ac:dyDescent="0.2">
      <c r="A1290" s="7">
        <v>12751</v>
      </c>
      <c r="B1290" s="7" t="s">
        <v>4998</v>
      </c>
      <c r="C1290" s="7" t="s">
        <v>4999</v>
      </c>
      <c r="D1290" s="7" t="s">
        <v>16</v>
      </c>
      <c r="F1290" s="7" t="s">
        <v>470</v>
      </c>
      <c r="G1290" s="7" t="s">
        <v>17</v>
      </c>
      <c r="H1290" s="7" t="s">
        <v>38</v>
      </c>
      <c r="I1290" s="7" t="s">
        <v>13</v>
      </c>
      <c r="J1290" s="7" t="s">
        <v>5000</v>
      </c>
      <c r="K1290" s="7" t="s">
        <v>5001</v>
      </c>
      <c r="L1290" s="8" t="s">
        <v>5229</v>
      </c>
      <c r="M1290" s="7">
        <v>0</v>
      </c>
      <c r="N1290" s="9" t="s">
        <v>5044</v>
      </c>
      <c r="O1290" s="9" t="s">
        <v>5044</v>
      </c>
      <c r="P1290" s="7">
        <v>0</v>
      </c>
      <c r="Q1290" s="7">
        <v>0</v>
      </c>
      <c r="R1290" s="7">
        <v>0</v>
      </c>
      <c r="S1290" s="7">
        <v>1</v>
      </c>
      <c r="T1290" s="7">
        <v>1</v>
      </c>
      <c r="U1290" s="7">
        <v>60</v>
      </c>
      <c r="V1290" s="7">
        <v>0</v>
      </c>
      <c r="W1290" s="7">
        <v>1</v>
      </c>
      <c r="X1290" s="7">
        <v>0</v>
      </c>
      <c r="Y1290" s="7">
        <v>0</v>
      </c>
      <c r="Z1290" s="7">
        <v>0</v>
      </c>
      <c r="AA1290" s="7">
        <v>0</v>
      </c>
      <c r="AB1290" s="7">
        <v>1</v>
      </c>
      <c r="AC1290" s="7">
        <v>1</v>
      </c>
      <c r="AD1290" s="7" t="s">
        <v>5044</v>
      </c>
      <c r="AE1290" s="7" t="s">
        <v>5044</v>
      </c>
      <c r="AF1290" s="7" t="s">
        <v>5044</v>
      </c>
      <c r="AG1290" s="7">
        <v>1</v>
      </c>
      <c r="AH1290" s="7">
        <v>0</v>
      </c>
      <c r="AI1290" s="7">
        <v>0</v>
      </c>
      <c r="AJ1290" s="7" t="s">
        <v>5044</v>
      </c>
      <c r="AL1290" s="7">
        <v>0</v>
      </c>
      <c r="AM1290" s="7">
        <v>0</v>
      </c>
    </row>
    <row r="1291" spans="1:40" ht="63" customHeight="1" x14ac:dyDescent="0.2">
      <c r="A1291" s="7">
        <v>12755</v>
      </c>
      <c r="B1291" s="7" t="s">
        <v>5002</v>
      </c>
      <c r="C1291" s="7" t="s">
        <v>5003</v>
      </c>
      <c r="D1291" s="7" t="s">
        <v>74</v>
      </c>
      <c r="H1291" s="7" t="s">
        <v>160</v>
      </c>
      <c r="I1291" s="7" t="s">
        <v>13</v>
      </c>
      <c r="J1291" s="7" t="s">
        <v>5004</v>
      </c>
      <c r="K1291" s="7" t="s">
        <v>5005</v>
      </c>
      <c r="L1291" s="8" t="s">
        <v>5230</v>
      </c>
      <c r="M1291" s="7">
        <v>0</v>
      </c>
      <c r="N1291" s="9" t="s">
        <v>5044</v>
      </c>
      <c r="O1291" s="9" t="s">
        <v>5044</v>
      </c>
      <c r="P1291" s="7">
        <v>0</v>
      </c>
      <c r="Q1291" s="7">
        <v>0</v>
      </c>
      <c r="R1291" s="7">
        <v>0</v>
      </c>
      <c r="S1291" s="7">
        <v>1</v>
      </c>
      <c r="T1291" s="7">
        <v>1</v>
      </c>
      <c r="U1291" s="7">
        <v>112</v>
      </c>
      <c r="V1291" s="7">
        <v>0</v>
      </c>
      <c r="W1291" s="7">
        <v>1</v>
      </c>
      <c r="X1291" s="7">
        <v>0</v>
      </c>
      <c r="Y1291" s="7">
        <v>0</v>
      </c>
      <c r="Z1291" s="7">
        <v>0</v>
      </c>
      <c r="AA1291" s="7">
        <v>0</v>
      </c>
      <c r="AB1291" s="7">
        <v>1</v>
      </c>
      <c r="AC1291" s="7">
        <v>1</v>
      </c>
      <c r="AD1291" s="7" t="s">
        <v>5044</v>
      </c>
      <c r="AE1291" s="7" t="s">
        <v>5044</v>
      </c>
      <c r="AF1291" s="7" t="s">
        <v>5044</v>
      </c>
      <c r="AG1291" s="7">
        <v>2</v>
      </c>
      <c r="AH1291" s="7">
        <v>3</v>
      </c>
      <c r="AI1291" s="7">
        <v>0</v>
      </c>
      <c r="AJ1291" s="7" t="s">
        <v>5044</v>
      </c>
      <c r="AL1291" s="7">
        <v>0</v>
      </c>
      <c r="AM1291" s="7">
        <v>0</v>
      </c>
    </row>
    <row r="1292" spans="1:40" ht="63" customHeight="1" x14ac:dyDescent="0.2">
      <c r="A1292" s="7" t="s">
        <v>6299</v>
      </c>
      <c r="B1292" s="7" t="s">
        <v>6300</v>
      </c>
      <c r="C1292" s="7" t="s">
        <v>6301</v>
      </c>
      <c r="D1292" s="7">
        <v>2022</v>
      </c>
      <c r="F1292" s="7">
        <v>136</v>
      </c>
      <c r="H1292" s="7" t="s">
        <v>6302</v>
      </c>
      <c r="J1292" s="7" t="s">
        <v>6303</v>
      </c>
      <c r="L1292" s="7" t="s">
        <v>6304</v>
      </c>
      <c r="M1292" s="7">
        <v>0</v>
      </c>
      <c r="N1292" s="9" t="s">
        <v>5044</v>
      </c>
      <c r="O1292" s="9" t="s">
        <v>5044</v>
      </c>
      <c r="P1292" s="7">
        <v>0</v>
      </c>
      <c r="Q1292" s="7">
        <v>0</v>
      </c>
      <c r="R1292" s="7">
        <v>0</v>
      </c>
      <c r="S1292" s="7">
        <v>9</v>
      </c>
      <c r="T1292" s="7">
        <v>4</v>
      </c>
      <c r="U1292" s="7">
        <v>864</v>
      </c>
      <c r="V1292" s="7">
        <v>1</v>
      </c>
      <c r="W1292" s="7">
        <v>1</v>
      </c>
      <c r="X1292" s="7">
        <v>0</v>
      </c>
      <c r="Y1292" s="7">
        <v>0</v>
      </c>
      <c r="Z1292" s="7">
        <v>0</v>
      </c>
      <c r="AA1292" s="7">
        <v>0</v>
      </c>
      <c r="AB1292" s="7">
        <v>1</v>
      </c>
      <c r="AC1292" s="7">
        <v>0</v>
      </c>
      <c r="AD1292" s="7">
        <v>2</v>
      </c>
      <c r="AE1292" s="7">
        <v>1</v>
      </c>
      <c r="AF1292" s="7">
        <v>1</v>
      </c>
      <c r="AG1292" s="7">
        <v>2</v>
      </c>
      <c r="AH1292" s="7">
        <v>1</v>
      </c>
      <c r="AI1292" s="7">
        <v>1</v>
      </c>
      <c r="AJ1292" s="7" t="s">
        <v>5044</v>
      </c>
      <c r="AL1292" s="7">
        <v>1</v>
      </c>
      <c r="AM1292" s="7">
        <v>0</v>
      </c>
    </row>
    <row r="1293" spans="1:40" ht="63" customHeight="1" x14ac:dyDescent="0.2">
      <c r="A1293" s="7" t="s">
        <v>6346</v>
      </c>
      <c r="B1293" s="7" t="s">
        <v>6347</v>
      </c>
      <c r="C1293" s="7" t="s">
        <v>6348</v>
      </c>
      <c r="D1293" s="7">
        <v>2023</v>
      </c>
      <c r="H1293" s="7" t="s">
        <v>6349</v>
      </c>
      <c r="J1293" s="5" t="s">
        <v>6350</v>
      </c>
      <c r="K1293" s="5" t="s">
        <v>6351</v>
      </c>
      <c r="L1293" s="7" t="s">
        <v>5422</v>
      </c>
      <c r="M1293" s="7">
        <v>0</v>
      </c>
      <c r="N1293" s="9" t="s">
        <v>5044</v>
      </c>
      <c r="O1293" s="9" t="s">
        <v>5044</v>
      </c>
      <c r="P1293" s="7">
        <v>0</v>
      </c>
      <c r="Q1293" s="7">
        <v>0</v>
      </c>
      <c r="R1293" s="7">
        <v>0</v>
      </c>
      <c r="S1293" s="7">
        <v>1</v>
      </c>
      <c r="T1293" s="7">
        <v>1</v>
      </c>
      <c r="U1293" s="7">
        <v>261</v>
      </c>
      <c r="V1293" s="7">
        <v>0</v>
      </c>
      <c r="W1293" s="7">
        <v>1</v>
      </c>
      <c r="X1293" s="7">
        <v>0</v>
      </c>
      <c r="Y1293" s="7">
        <v>0</v>
      </c>
      <c r="Z1293" s="7">
        <v>0</v>
      </c>
      <c r="AA1293" s="7">
        <v>0</v>
      </c>
      <c r="AB1293" s="7">
        <v>1</v>
      </c>
      <c r="AC1293" s="7">
        <v>1</v>
      </c>
      <c r="AD1293" s="7" t="s">
        <v>5044</v>
      </c>
      <c r="AE1293" s="7" t="s">
        <v>5044</v>
      </c>
      <c r="AF1293" s="7" t="s">
        <v>5044</v>
      </c>
      <c r="AG1293" s="7">
        <v>2</v>
      </c>
      <c r="AH1293" s="7">
        <v>1</v>
      </c>
      <c r="AI1293" s="7">
        <v>2</v>
      </c>
      <c r="AJ1293" s="7" t="s">
        <v>5044</v>
      </c>
      <c r="AL1293" s="7">
        <v>1</v>
      </c>
      <c r="AM1293" s="7">
        <v>0</v>
      </c>
    </row>
    <row r="1294" spans="1:40" ht="63" customHeight="1" x14ac:dyDescent="0.2">
      <c r="A1294" s="7" t="s">
        <v>6352</v>
      </c>
      <c r="B1294" s="7" t="s">
        <v>6353</v>
      </c>
      <c r="C1294" s="7" t="s">
        <v>6354</v>
      </c>
      <c r="D1294" s="7">
        <v>2019</v>
      </c>
      <c r="H1294" s="7" t="s">
        <v>6355</v>
      </c>
      <c r="J1294" s="5" t="s">
        <v>6356</v>
      </c>
      <c r="K1294" s="5" t="s">
        <v>6357</v>
      </c>
      <c r="L1294" s="5" t="s">
        <v>6358</v>
      </c>
      <c r="M1294" s="7">
        <v>0</v>
      </c>
      <c r="N1294" s="9" t="s">
        <v>5044</v>
      </c>
      <c r="O1294" s="9" t="s">
        <v>5044</v>
      </c>
      <c r="P1294" s="7">
        <v>0</v>
      </c>
      <c r="Q1294" s="7">
        <v>0</v>
      </c>
      <c r="R1294" s="7">
        <v>0</v>
      </c>
      <c r="S1294" s="7">
        <v>1</v>
      </c>
      <c r="T1294" s="7">
        <v>1</v>
      </c>
      <c r="U1294" s="7">
        <v>112</v>
      </c>
      <c r="V1294" s="7">
        <v>1</v>
      </c>
      <c r="W1294" s="7">
        <v>1</v>
      </c>
      <c r="X1294" s="7">
        <v>0</v>
      </c>
      <c r="Y1294" s="7">
        <v>0</v>
      </c>
      <c r="Z1294" s="7">
        <v>0</v>
      </c>
      <c r="AA1294" s="7">
        <v>0</v>
      </c>
      <c r="AB1294" s="7">
        <v>1</v>
      </c>
      <c r="AC1294" s="7">
        <v>1</v>
      </c>
      <c r="AD1294" s="7">
        <v>2</v>
      </c>
      <c r="AE1294" s="7">
        <v>1</v>
      </c>
      <c r="AF1294" s="7">
        <v>1</v>
      </c>
      <c r="AG1294" s="7">
        <v>2</v>
      </c>
      <c r="AH1294" s="7">
        <v>3</v>
      </c>
      <c r="AI1294" s="7">
        <v>0</v>
      </c>
      <c r="AJ1294" s="7" t="s">
        <v>5044</v>
      </c>
      <c r="AL1294" s="7">
        <v>1</v>
      </c>
      <c r="AM1294" s="7">
        <v>0</v>
      </c>
    </row>
    <row r="1295" spans="1:40" ht="63" customHeight="1" x14ac:dyDescent="0.2">
      <c r="A1295" s="7" t="s">
        <v>6359</v>
      </c>
      <c r="B1295" s="25" t="s">
        <v>6360</v>
      </c>
      <c r="C1295" s="7" t="s">
        <v>6361</v>
      </c>
      <c r="D1295" s="7">
        <v>2023</v>
      </c>
      <c r="H1295" s="7" t="s">
        <v>6362</v>
      </c>
      <c r="J1295" s="5" t="s">
        <v>6363</v>
      </c>
      <c r="K1295" s="5" t="s">
        <v>6364</v>
      </c>
      <c r="L1295" s="5" t="s">
        <v>5284</v>
      </c>
      <c r="M1295" s="7">
        <v>0</v>
      </c>
      <c r="N1295" s="9" t="s">
        <v>5044</v>
      </c>
      <c r="O1295" s="9" t="s">
        <v>5044</v>
      </c>
      <c r="P1295" s="7">
        <v>0</v>
      </c>
      <c r="Q1295" s="7">
        <v>0</v>
      </c>
      <c r="R1295" s="7">
        <v>0</v>
      </c>
      <c r="S1295" s="7">
        <v>1</v>
      </c>
      <c r="T1295" s="7">
        <v>1</v>
      </c>
      <c r="U1295" s="7">
        <v>220</v>
      </c>
      <c r="V1295" s="7">
        <v>0</v>
      </c>
      <c r="W1295" s="7">
        <v>1</v>
      </c>
      <c r="X1295" s="7">
        <v>0</v>
      </c>
      <c r="Y1295" s="7">
        <v>0</v>
      </c>
      <c r="Z1295" s="7">
        <v>1</v>
      </c>
      <c r="AA1295" s="7">
        <v>0</v>
      </c>
      <c r="AB1295" s="7">
        <v>1</v>
      </c>
      <c r="AC1295" s="7">
        <v>1</v>
      </c>
      <c r="AD1295" s="7" t="s">
        <v>5044</v>
      </c>
      <c r="AE1295" s="7" t="s">
        <v>5044</v>
      </c>
      <c r="AF1295" s="7" t="s">
        <v>5044</v>
      </c>
      <c r="AG1295" s="7">
        <v>1</v>
      </c>
      <c r="AH1295" s="7">
        <v>0</v>
      </c>
      <c r="AI1295" s="7">
        <v>0</v>
      </c>
      <c r="AJ1295" s="7">
        <v>0</v>
      </c>
      <c r="AL1295" s="7">
        <v>1</v>
      </c>
      <c r="AM1295" s="7">
        <v>0</v>
      </c>
    </row>
    <row r="1296" spans="1:40" ht="63" customHeight="1" x14ac:dyDescent="0.2">
      <c r="A1296" s="7" t="s">
        <v>6365</v>
      </c>
      <c r="B1296" s="7" t="s">
        <v>6366</v>
      </c>
      <c r="C1296" s="7" t="s">
        <v>6367</v>
      </c>
      <c r="D1296" s="7">
        <v>2019</v>
      </c>
      <c r="H1296" s="7" t="s">
        <v>6368</v>
      </c>
      <c r="J1296" s="7" t="s">
        <v>6369</v>
      </c>
      <c r="L1296" s="7" t="s">
        <v>5233</v>
      </c>
      <c r="M1296" s="7">
        <v>0</v>
      </c>
      <c r="N1296" s="9" t="s">
        <v>5044</v>
      </c>
      <c r="O1296" s="9" t="s">
        <v>5044</v>
      </c>
      <c r="P1296" s="7">
        <v>0</v>
      </c>
      <c r="Q1296" s="7">
        <v>0</v>
      </c>
      <c r="R1296" s="7">
        <v>0</v>
      </c>
      <c r="S1296" s="7">
        <v>1</v>
      </c>
      <c r="T1296" s="7">
        <v>1</v>
      </c>
      <c r="U1296" s="7">
        <v>105</v>
      </c>
      <c r="V1296" s="7">
        <v>0</v>
      </c>
      <c r="W1296" s="7">
        <v>1</v>
      </c>
      <c r="X1296" s="7">
        <v>0</v>
      </c>
      <c r="Y1296" s="7">
        <v>0</v>
      </c>
      <c r="Z1296" s="7">
        <v>0</v>
      </c>
      <c r="AA1296" s="7">
        <v>0</v>
      </c>
      <c r="AB1296" s="7">
        <v>1</v>
      </c>
      <c r="AC1296" s="7">
        <v>1</v>
      </c>
      <c r="AD1296" s="7" t="s">
        <v>5044</v>
      </c>
      <c r="AE1296" s="7" t="s">
        <v>5044</v>
      </c>
      <c r="AF1296" s="7" t="s">
        <v>5044</v>
      </c>
      <c r="AG1296" s="7">
        <v>2</v>
      </c>
      <c r="AH1296" s="7">
        <v>1</v>
      </c>
      <c r="AI1296" s="7">
        <v>2</v>
      </c>
      <c r="AJ1296" s="7" t="s">
        <v>5044</v>
      </c>
      <c r="AL1296" s="7" t="s">
        <v>5044</v>
      </c>
      <c r="AM1296" s="7">
        <v>0</v>
      </c>
      <c r="AN1296" s="7" t="s">
        <v>6509</v>
      </c>
    </row>
    <row r="1297" spans="1:40" ht="63" customHeight="1" x14ac:dyDescent="0.2">
      <c r="A1297" s="7" t="s">
        <v>6370</v>
      </c>
      <c r="B1297" s="7" t="s">
        <v>6371</v>
      </c>
      <c r="C1297" s="7" t="s">
        <v>6372</v>
      </c>
      <c r="D1297" s="7">
        <v>2022</v>
      </c>
      <c r="J1297" s="7" t="s">
        <v>6373</v>
      </c>
      <c r="L1297" s="7" t="s">
        <v>5274</v>
      </c>
      <c r="M1297" s="7">
        <v>0</v>
      </c>
      <c r="N1297" s="9" t="s">
        <v>5044</v>
      </c>
      <c r="O1297" s="9" t="s">
        <v>5044</v>
      </c>
      <c r="P1297" s="7">
        <v>0</v>
      </c>
      <c r="Q1297" s="7">
        <v>0</v>
      </c>
      <c r="R1297" s="7">
        <v>0</v>
      </c>
      <c r="S1297" s="7">
        <v>3</v>
      </c>
      <c r="T1297" s="7">
        <v>1</v>
      </c>
      <c r="U1297" s="7">
        <v>300</v>
      </c>
      <c r="V1297" s="7">
        <v>0</v>
      </c>
      <c r="W1297" s="7">
        <v>1</v>
      </c>
      <c r="X1297" s="7">
        <v>0</v>
      </c>
      <c r="Y1297" s="7">
        <v>0</v>
      </c>
      <c r="Z1297" s="7">
        <v>0</v>
      </c>
      <c r="AA1297" s="7">
        <v>0</v>
      </c>
      <c r="AB1297" s="7">
        <v>1</v>
      </c>
      <c r="AC1297" s="7">
        <v>1</v>
      </c>
      <c r="AD1297" s="7" t="s">
        <v>5044</v>
      </c>
      <c r="AE1297" s="7" t="s">
        <v>5044</v>
      </c>
      <c r="AF1297" s="7" t="s">
        <v>5044</v>
      </c>
      <c r="AG1297" s="7">
        <v>2</v>
      </c>
      <c r="AH1297" s="7">
        <v>3</v>
      </c>
      <c r="AI1297" s="7">
        <v>0</v>
      </c>
      <c r="AJ1297" s="7" t="s">
        <v>5044</v>
      </c>
      <c r="AK1297" s="7">
        <v>1</v>
      </c>
      <c r="AL1297" s="7">
        <v>1</v>
      </c>
      <c r="AM1297" s="7">
        <v>0</v>
      </c>
    </row>
    <row r="1298" spans="1:40" ht="63" customHeight="1" x14ac:dyDescent="0.2">
      <c r="A1298" s="7" t="s">
        <v>6374</v>
      </c>
      <c r="B1298" s="7" t="s">
        <v>6375</v>
      </c>
      <c r="C1298" s="7" t="s">
        <v>6376</v>
      </c>
      <c r="D1298" s="7">
        <v>2016</v>
      </c>
      <c r="H1298" s="7" t="s">
        <v>6377</v>
      </c>
      <c r="J1298" s="5" t="s">
        <v>6378</v>
      </c>
      <c r="K1298" s="5" t="s">
        <v>741</v>
      </c>
      <c r="L1298" s="5" t="s">
        <v>5552</v>
      </c>
      <c r="M1298" s="7">
        <v>0</v>
      </c>
      <c r="N1298" s="9" t="s">
        <v>5044</v>
      </c>
      <c r="O1298" s="9" t="s">
        <v>5044</v>
      </c>
      <c r="P1298" s="7">
        <v>0</v>
      </c>
      <c r="Q1298" s="7">
        <v>0</v>
      </c>
      <c r="R1298" s="7">
        <v>0</v>
      </c>
      <c r="S1298" s="7">
        <v>1</v>
      </c>
      <c r="T1298" s="7">
        <v>5</v>
      </c>
      <c r="U1298" s="7">
        <v>144</v>
      </c>
      <c r="V1298" s="7">
        <v>1</v>
      </c>
      <c r="W1298" s="7">
        <v>0</v>
      </c>
      <c r="X1298" s="7">
        <v>0</v>
      </c>
      <c r="Y1298" s="7">
        <v>1</v>
      </c>
      <c r="Z1298" s="7">
        <v>0</v>
      </c>
      <c r="AA1298" s="7">
        <v>0</v>
      </c>
      <c r="AB1298" s="7">
        <v>1</v>
      </c>
      <c r="AC1298" s="7">
        <v>1</v>
      </c>
      <c r="AD1298" s="7">
        <v>2</v>
      </c>
      <c r="AE1298" s="7">
        <v>3</v>
      </c>
      <c r="AF1298" s="7">
        <v>0</v>
      </c>
      <c r="AG1298" s="7" t="s">
        <v>5044</v>
      </c>
      <c r="AH1298" s="7" t="s">
        <v>5044</v>
      </c>
      <c r="AI1298" s="7" t="s">
        <v>5044</v>
      </c>
      <c r="AJ1298" s="7">
        <v>0</v>
      </c>
      <c r="AK1298" s="7">
        <v>1</v>
      </c>
      <c r="AL1298" s="7">
        <v>0</v>
      </c>
      <c r="AM1298" s="7">
        <v>0</v>
      </c>
    </row>
    <row r="1299" spans="1:40" ht="63" customHeight="1" x14ac:dyDescent="0.2">
      <c r="A1299" s="7" t="s">
        <v>6379</v>
      </c>
      <c r="B1299" s="7" t="s">
        <v>6380</v>
      </c>
      <c r="C1299" s="7" t="s">
        <v>6381</v>
      </c>
      <c r="D1299" s="7">
        <v>2023</v>
      </c>
      <c r="H1299" s="7" t="s">
        <v>6368</v>
      </c>
      <c r="J1299" s="5" t="s">
        <v>6382</v>
      </c>
      <c r="K1299" s="5" t="s">
        <v>6383</v>
      </c>
      <c r="L1299" s="5" t="s">
        <v>5635</v>
      </c>
      <c r="M1299" s="7">
        <v>0</v>
      </c>
      <c r="N1299" s="9" t="s">
        <v>5044</v>
      </c>
      <c r="O1299" s="9" t="s">
        <v>5044</v>
      </c>
      <c r="P1299" s="7">
        <v>0</v>
      </c>
      <c r="Q1299" s="7">
        <v>0</v>
      </c>
      <c r="R1299" s="7">
        <v>0</v>
      </c>
      <c r="S1299" s="7" t="s">
        <v>5377</v>
      </c>
      <c r="T1299" s="7">
        <v>1</v>
      </c>
      <c r="U1299" s="7">
        <v>377</v>
      </c>
      <c r="V1299" s="7">
        <v>0</v>
      </c>
      <c r="W1299" s="7">
        <v>1</v>
      </c>
      <c r="X1299" s="7">
        <v>0</v>
      </c>
      <c r="Y1299" s="7">
        <v>0</v>
      </c>
      <c r="Z1299" s="7">
        <v>0</v>
      </c>
      <c r="AA1299" s="7">
        <v>0</v>
      </c>
      <c r="AB1299" s="7">
        <v>1</v>
      </c>
      <c r="AC1299" s="7">
        <v>1</v>
      </c>
      <c r="AD1299" s="7" t="s">
        <v>5044</v>
      </c>
      <c r="AE1299" s="7" t="s">
        <v>5044</v>
      </c>
      <c r="AF1299" s="7" t="s">
        <v>5044</v>
      </c>
      <c r="AG1299" s="7">
        <v>1</v>
      </c>
      <c r="AH1299" s="7">
        <v>0</v>
      </c>
      <c r="AI1299" s="7">
        <v>0</v>
      </c>
      <c r="AJ1299" s="7" t="s">
        <v>5044</v>
      </c>
      <c r="AL1299" s="7">
        <v>0</v>
      </c>
      <c r="AM1299" s="7">
        <v>0</v>
      </c>
    </row>
    <row r="1300" spans="1:40" ht="63" customHeight="1" x14ac:dyDescent="0.2">
      <c r="A1300" s="7" t="s">
        <v>6384</v>
      </c>
      <c r="B1300" s="7" t="s">
        <v>6385</v>
      </c>
      <c r="C1300" s="7" t="s">
        <v>6386</v>
      </c>
      <c r="D1300" s="7">
        <v>2018</v>
      </c>
      <c r="H1300" s="7" t="s">
        <v>6387</v>
      </c>
      <c r="J1300" s="7" t="s">
        <v>6388</v>
      </c>
      <c r="K1300" s="5" t="s">
        <v>6389</v>
      </c>
      <c r="L1300" s="7" t="s">
        <v>5992</v>
      </c>
      <c r="M1300" s="7">
        <v>0</v>
      </c>
      <c r="N1300" s="9" t="s">
        <v>5044</v>
      </c>
      <c r="O1300" s="9" t="s">
        <v>5044</v>
      </c>
      <c r="P1300" s="7">
        <v>0</v>
      </c>
      <c r="Q1300" s="7">
        <v>0</v>
      </c>
      <c r="R1300" s="7">
        <v>0</v>
      </c>
      <c r="S1300" s="7">
        <v>1</v>
      </c>
      <c r="T1300" s="7">
        <v>1</v>
      </c>
      <c r="U1300" s="7">
        <v>331</v>
      </c>
      <c r="V1300" s="7">
        <v>1</v>
      </c>
      <c r="W1300" s="7">
        <v>0</v>
      </c>
      <c r="X1300" s="7">
        <v>0</v>
      </c>
      <c r="Y1300" s="7">
        <v>0</v>
      </c>
      <c r="Z1300" s="7">
        <v>0</v>
      </c>
      <c r="AA1300" s="7">
        <v>0</v>
      </c>
      <c r="AB1300" s="7">
        <v>1</v>
      </c>
      <c r="AC1300" s="7">
        <v>1</v>
      </c>
      <c r="AD1300" s="7">
        <v>2</v>
      </c>
      <c r="AE1300" s="7">
        <v>3</v>
      </c>
      <c r="AF1300" s="7">
        <v>0</v>
      </c>
      <c r="AG1300" s="7" t="s">
        <v>5044</v>
      </c>
      <c r="AH1300" s="7" t="s">
        <v>5044</v>
      </c>
      <c r="AI1300" s="7" t="s">
        <v>5044</v>
      </c>
      <c r="AJ1300" s="7" t="s">
        <v>5044</v>
      </c>
      <c r="AK1300" s="7">
        <v>1</v>
      </c>
      <c r="AL1300" s="7">
        <v>0</v>
      </c>
      <c r="AM1300" s="7">
        <v>0</v>
      </c>
    </row>
    <row r="1301" spans="1:40" ht="63" customHeight="1" x14ac:dyDescent="0.2">
      <c r="A1301" s="7" t="s">
        <v>6305</v>
      </c>
      <c r="B1301" s="7" t="s">
        <v>6306</v>
      </c>
      <c r="C1301" s="7" t="s">
        <v>6307</v>
      </c>
      <c r="D1301" s="7">
        <v>2022</v>
      </c>
      <c r="H1301" s="7" t="s">
        <v>6308</v>
      </c>
      <c r="J1301" s="7" t="s">
        <v>6309</v>
      </c>
      <c r="K1301" s="5" t="s">
        <v>6310</v>
      </c>
      <c r="L1301" s="8" t="s">
        <v>5126</v>
      </c>
      <c r="M1301" s="7">
        <v>0</v>
      </c>
      <c r="N1301" s="9" t="s">
        <v>5044</v>
      </c>
      <c r="O1301" s="9" t="s">
        <v>5044</v>
      </c>
      <c r="P1301" s="7">
        <v>0</v>
      </c>
      <c r="Q1301" s="7">
        <v>0</v>
      </c>
      <c r="R1301" s="7">
        <v>0</v>
      </c>
      <c r="S1301" s="7" t="s">
        <v>5096</v>
      </c>
      <c r="T1301" s="7">
        <v>4</v>
      </c>
      <c r="U1301" s="7">
        <v>91</v>
      </c>
      <c r="V1301" s="7">
        <v>0</v>
      </c>
      <c r="W1301" s="7">
        <v>1</v>
      </c>
      <c r="X1301" s="7">
        <v>0</v>
      </c>
      <c r="Y1301" s="7">
        <v>0</v>
      </c>
      <c r="Z1301" s="7">
        <v>0</v>
      </c>
      <c r="AA1301" s="7">
        <v>0</v>
      </c>
      <c r="AB1301" s="7">
        <v>1</v>
      </c>
      <c r="AC1301" s="7">
        <v>0</v>
      </c>
      <c r="AD1301" s="7" t="s">
        <v>5044</v>
      </c>
      <c r="AE1301" s="7" t="s">
        <v>5044</v>
      </c>
      <c r="AF1301" s="7" t="s">
        <v>5044</v>
      </c>
      <c r="AG1301" s="7">
        <v>0</v>
      </c>
      <c r="AH1301" s="7" t="s">
        <v>5044</v>
      </c>
      <c r="AI1301" s="7" t="s">
        <v>5044</v>
      </c>
      <c r="AJ1301" s="7" t="s">
        <v>5044</v>
      </c>
      <c r="AL1301" s="7">
        <v>0</v>
      </c>
      <c r="AM1301" s="7">
        <v>0</v>
      </c>
    </row>
    <row r="1302" spans="1:40" ht="63" customHeight="1" x14ac:dyDescent="0.2">
      <c r="A1302" s="7" t="s">
        <v>6394</v>
      </c>
      <c r="B1302" s="7" t="s">
        <v>6395</v>
      </c>
      <c r="C1302" s="7" t="s">
        <v>6396</v>
      </c>
      <c r="D1302" s="7">
        <v>2017</v>
      </c>
      <c r="E1302" s="7" t="s">
        <v>5318</v>
      </c>
      <c r="F1302" s="7" t="s">
        <v>5318</v>
      </c>
      <c r="G1302" s="7" t="s">
        <v>5318</v>
      </c>
      <c r="H1302" s="7" t="s">
        <v>6397</v>
      </c>
      <c r="I1302" s="7" t="s">
        <v>5318</v>
      </c>
      <c r="J1302" s="7" t="s">
        <v>5318</v>
      </c>
      <c r="K1302" s="7" t="s">
        <v>6398</v>
      </c>
      <c r="L1302" s="7" t="s">
        <v>5375</v>
      </c>
      <c r="M1302" s="7">
        <v>0</v>
      </c>
      <c r="N1302" s="7" t="s">
        <v>5044</v>
      </c>
      <c r="O1302" s="7" t="s">
        <v>5044</v>
      </c>
      <c r="P1302" s="7">
        <v>0</v>
      </c>
      <c r="Q1302" s="7">
        <v>0</v>
      </c>
      <c r="R1302" s="7">
        <v>0</v>
      </c>
      <c r="S1302" s="7">
        <v>1</v>
      </c>
      <c r="T1302" s="7">
        <v>4</v>
      </c>
      <c r="U1302" s="7">
        <v>86</v>
      </c>
      <c r="V1302" s="7">
        <v>0</v>
      </c>
      <c r="W1302" s="7">
        <v>1</v>
      </c>
      <c r="X1302" s="7">
        <v>0</v>
      </c>
      <c r="Y1302" s="7">
        <v>0</v>
      </c>
      <c r="Z1302" s="7">
        <v>0</v>
      </c>
      <c r="AA1302" s="7">
        <v>0</v>
      </c>
      <c r="AB1302" s="7">
        <v>1</v>
      </c>
      <c r="AC1302" s="7">
        <v>0</v>
      </c>
      <c r="AD1302" s="7" t="s">
        <v>5044</v>
      </c>
      <c r="AE1302" s="7" t="s">
        <v>5044</v>
      </c>
      <c r="AF1302" s="7" t="s">
        <v>5044</v>
      </c>
      <c r="AG1302" s="7">
        <v>0</v>
      </c>
      <c r="AH1302" s="7" t="s">
        <v>5044</v>
      </c>
      <c r="AI1302" s="7" t="s">
        <v>5044</v>
      </c>
      <c r="AJ1302" s="7" t="s">
        <v>5044</v>
      </c>
      <c r="AK1302" s="7" t="s">
        <v>5318</v>
      </c>
      <c r="AL1302" s="7">
        <v>0</v>
      </c>
      <c r="AM1302" s="7">
        <v>0</v>
      </c>
      <c r="AN1302" s="7" t="s">
        <v>5318</v>
      </c>
    </row>
    <row r="1303" spans="1:40" ht="63" customHeight="1" x14ac:dyDescent="0.2">
      <c r="A1303" s="7" t="s">
        <v>6399</v>
      </c>
      <c r="B1303" s="7" t="s">
        <v>6400</v>
      </c>
      <c r="C1303" s="7" t="s">
        <v>6401</v>
      </c>
      <c r="D1303" s="7">
        <v>2020</v>
      </c>
      <c r="E1303" s="7" t="s">
        <v>5318</v>
      </c>
      <c r="F1303" s="7" t="s">
        <v>5318</v>
      </c>
      <c r="G1303" s="7" t="s">
        <v>5318</v>
      </c>
      <c r="H1303" s="7" t="s">
        <v>5318</v>
      </c>
      <c r="I1303" s="7" t="s">
        <v>5318</v>
      </c>
      <c r="J1303" s="7" t="s">
        <v>5318</v>
      </c>
      <c r="K1303" s="7" t="s">
        <v>6402</v>
      </c>
      <c r="L1303" s="7" t="s">
        <v>5919</v>
      </c>
      <c r="M1303" s="7">
        <v>0</v>
      </c>
      <c r="N1303" s="7" t="s">
        <v>5044</v>
      </c>
      <c r="O1303" s="7" t="s">
        <v>5044</v>
      </c>
      <c r="P1303" s="7">
        <v>1</v>
      </c>
      <c r="Q1303" s="7">
        <v>0</v>
      </c>
      <c r="R1303" s="7">
        <v>0</v>
      </c>
      <c r="S1303" s="7">
        <v>1</v>
      </c>
      <c r="T1303" s="7">
        <v>1</v>
      </c>
      <c r="U1303" s="7">
        <v>9</v>
      </c>
      <c r="V1303" s="7">
        <v>0</v>
      </c>
      <c r="W1303" s="7">
        <v>1</v>
      </c>
      <c r="X1303" s="7">
        <v>0</v>
      </c>
      <c r="Y1303" s="7">
        <v>0</v>
      </c>
      <c r="Z1303" s="7">
        <v>0</v>
      </c>
      <c r="AA1303" s="7">
        <v>0</v>
      </c>
      <c r="AB1303" s="7">
        <v>1</v>
      </c>
      <c r="AC1303" s="7">
        <v>0</v>
      </c>
      <c r="AD1303" s="7" t="s">
        <v>5044</v>
      </c>
      <c r="AE1303" s="7" t="s">
        <v>5044</v>
      </c>
      <c r="AF1303" s="7" t="s">
        <v>5044</v>
      </c>
      <c r="AG1303" s="7">
        <v>0</v>
      </c>
      <c r="AH1303" s="7" t="s">
        <v>5044</v>
      </c>
      <c r="AI1303" s="7" t="s">
        <v>5044</v>
      </c>
      <c r="AJ1303" s="7" t="s">
        <v>5044</v>
      </c>
      <c r="AK1303" s="7" t="s">
        <v>5318</v>
      </c>
      <c r="AL1303" s="7" t="s">
        <v>5044</v>
      </c>
      <c r="AM1303" s="7">
        <v>0</v>
      </c>
    </row>
    <row r="1304" spans="1:40" ht="63" customHeight="1" x14ac:dyDescent="0.2">
      <c r="A1304" s="7" t="s">
        <v>6403</v>
      </c>
      <c r="B1304" s="7" t="s">
        <v>6404</v>
      </c>
      <c r="C1304" s="7" t="s">
        <v>6405</v>
      </c>
      <c r="D1304" s="7">
        <v>2018</v>
      </c>
      <c r="E1304" s="7" t="s">
        <v>6406</v>
      </c>
      <c r="F1304" s="7" t="s">
        <v>5318</v>
      </c>
      <c r="G1304" s="7" t="s">
        <v>5318</v>
      </c>
      <c r="H1304" s="7" t="s">
        <v>5318</v>
      </c>
      <c r="I1304" s="7" t="s">
        <v>5318</v>
      </c>
      <c r="J1304" s="7" t="s">
        <v>5318</v>
      </c>
      <c r="K1304" s="7" t="s">
        <v>6407</v>
      </c>
      <c r="L1304" s="7" t="s">
        <v>6408</v>
      </c>
      <c r="M1304" s="7">
        <v>0</v>
      </c>
      <c r="N1304" s="7" t="s">
        <v>5044</v>
      </c>
      <c r="O1304" s="7" t="s">
        <v>5044</v>
      </c>
      <c r="P1304" s="7">
        <v>0</v>
      </c>
      <c r="Q1304" s="7">
        <v>0</v>
      </c>
      <c r="R1304" s="7">
        <v>0</v>
      </c>
      <c r="S1304" s="7">
        <v>9</v>
      </c>
      <c r="T1304" s="7">
        <v>1</v>
      </c>
      <c r="U1304" s="7">
        <v>125</v>
      </c>
      <c r="V1304" s="7">
        <v>0</v>
      </c>
      <c r="W1304" s="7">
        <v>1</v>
      </c>
      <c r="X1304" s="7">
        <v>0</v>
      </c>
      <c r="Y1304" s="7">
        <v>0</v>
      </c>
      <c r="Z1304" s="7">
        <v>0</v>
      </c>
      <c r="AA1304" s="7">
        <v>0</v>
      </c>
      <c r="AB1304" s="7">
        <v>1</v>
      </c>
      <c r="AC1304" s="7">
        <v>0</v>
      </c>
      <c r="AD1304" s="7" t="s">
        <v>5044</v>
      </c>
      <c r="AE1304" s="7" t="s">
        <v>5044</v>
      </c>
      <c r="AF1304" s="7" t="s">
        <v>5044</v>
      </c>
      <c r="AG1304" s="7">
        <v>0</v>
      </c>
      <c r="AH1304" s="7" t="s">
        <v>5044</v>
      </c>
      <c r="AI1304" s="7" t="s">
        <v>5044</v>
      </c>
      <c r="AJ1304" s="7" t="s">
        <v>5044</v>
      </c>
      <c r="AK1304" s="7" t="s">
        <v>5318</v>
      </c>
      <c r="AL1304" s="7">
        <v>0</v>
      </c>
      <c r="AM1304" s="7">
        <v>0</v>
      </c>
      <c r="AN1304" s="7" t="s">
        <v>5318</v>
      </c>
    </row>
    <row r="1305" spans="1:40" ht="63" customHeight="1" x14ac:dyDescent="0.2">
      <c r="A1305" s="7" t="s">
        <v>6409</v>
      </c>
      <c r="B1305" s="7" t="s">
        <v>6410</v>
      </c>
      <c r="C1305" s="7" t="s">
        <v>6411</v>
      </c>
      <c r="D1305" s="7">
        <v>2020</v>
      </c>
      <c r="E1305" s="7" t="s">
        <v>5318</v>
      </c>
      <c r="F1305" s="7" t="s">
        <v>5318</v>
      </c>
      <c r="G1305" s="7" t="s">
        <v>5318</v>
      </c>
      <c r="H1305" s="7" t="s">
        <v>5318</v>
      </c>
      <c r="I1305" s="7" t="s">
        <v>5318</v>
      </c>
      <c r="J1305" s="7" t="s">
        <v>5318</v>
      </c>
      <c r="K1305" s="7" t="s">
        <v>6412</v>
      </c>
      <c r="L1305" s="8" t="s">
        <v>6062</v>
      </c>
      <c r="M1305" s="7">
        <v>0</v>
      </c>
      <c r="N1305" s="7" t="s">
        <v>5044</v>
      </c>
      <c r="O1305" s="7" t="s">
        <v>5044</v>
      </c>
      <c r="P1305" s="7">
        <v>0</v>
      </c>
      <c r="Q1305" s="7">
        <v>0</v>
      </c>
      <c r="R1305" s="7">
        <v>0</v>
      </c>
      <c r="S1305" s="7">
        <v>1</v>
      </c>
      <c r="T1305" s="7">
        <v>1</v>
      </c>
      <c r="U1305" s="7">
        <v>166</v>
      </c>
      <c r="V1305" s="7">
        <v>0</v>
      </c>
      <c r="W1305" s="7">
        <v>0</v>
      </c>
      <c r="X1305" s="7">
        <v>0</v>
      </c>
      <c r="Y1305" s="7">
        <v>0</v>
      </c>
      <c r="Z1305" s="7">
        <v>0</v>
      </c>
      <c r="AA1305" s="7">
        <v>0</v>
      </c>
      <c r="AB1305" s="7">
        <v>1</v>
      </c>
      <c r="AC1305" s="7">
        <v>1</v>
      </c>
      <c r="AD1305" s="7" t="s">
        <v>5044</v>
      </c>
      <c r="AE1305" s="7" t="s">
        <v>5044</v>
      </c>
      <c r="AF1305" s="7" t="s">
        <v>5044</v>
      </c>
      <c r="AG1305" s="7">
        <v>1</v>
      </c>
      <c r="AH1305" s="7">
        <v>0</v>
      </c>
      <c r="AI1305" s="7">
        <v>0</v>
      </c>
      <c r="AJ1305" s="7" t="s">
        <v>5044</v>
      </c>
      <c r="AK1305" s="7" t="s">
        <v>5318</v>
      </c>
      <c r="AL1305" s="7">
        <v>1</v>
      </c>
      <c r="AM1305" s="7">
        <v>0</v>
      </c>
      <c r="AN1305" s="7" t="s">
        <v>5318</v>
      </c>
    </row>
    <row r="1306" spans="1:40" ht="63" customHeight="1" x14ac:dyDescent="0.2">
      <c r="A1306" s="7" t="s">
        <v>6413</v>
      </c>
      <c r="B1306" s="7" t="s">
        <v>6414</v>
      </c>
      <c r="C1306" s="7" t="s">
        <v>6415</v>
      </c>
      <c r="D1306" s="7">
        <v>2021</v>
      </c>
      <c r="E1306" s="7" t="s">
        <v>5318</v>
      </c>
      <c r="F1306" s="7" t="s">
        <v>5318</v>
      </c>
      <c r="G1306" s="7" t="s">
        <v>5318</v>
      </c>
      <c r="H1306" s="7" t="s">
        <v>5318</v>
      </c>
      <c r="I1306" s="7" t="s">
        <v>5318</v>
      </c>
      <c r="J1306" s="7" t="s">
        <v>5318</v>
      </c>
      <c r="K1306" s="7" t="s">
        <v>6416</v>
      </c>
      <c r="L1306" s="7" t="s">
        <v>6055</v>
      </c>
      <c r="M1306" s="7">
        <v>0</v>
      </c>
      <c r="N1306" s="7" t="s">
        <v>5044</v>
      </c>
      <c r="O1306" s="7" t="s">
        <v>5044</v>
      </c>
      <c r="P1306" s="7">
        <v>1</v>
      </c>
      <c r="Q1306" s="7">
        <v>0</v>
      </c>
      <c r="R1306" s="7">
        <v>0</v>
      </c>
      <c r="S1306" s="7">
        <v>3</v>
      </c>
      <c r="T1306" s="7">
        <v>1</v>
      </c>
      <c r="U1306" s="7">
        <v>49</v>
      </c>
      <c r="V1306" s="7">
        <v>0</v>
      </c>
      <c r="W1306" s="7">
        <v>1</v>
      </c>
      <c r="X1306" s="7">
        <v>0</v>
      </c>
      <c r="Y1306" s="7">
        <v>0</v>
      </c>
      <c r="Z1306" s="7">
        <v>0</v>
      </c>
      <c r="AA1306" s="7">
        <v>0</v>
      </c>
      <c r="AB1306" s="7">
        <v>1</v>
      </c>
      <c r="AC1306" s="7">
        <v>1</v>
      </c>
      <c r="AD1306" s="7" t="s">
        <v>5044</v>
      </c>
      <c r="AE1306" s="7" t="s">
        <v>5044</v>
      </c>
      <c r="AF1306" s="7" t="s">
        <v>5044</v>
      </c>
      <c r="AG1306" s="7">
        <v>2</v>
      </c>
      <c r="AH1306" s="7">
        <v>3</v>
      </c>
      <c r="AI1306" s="7">
        <v>0</v>
      </c>
      <c r="AJ1306" s="7" t="s">
        <v>5044</v>
      </c>
      <c r="AK1306" s="7" t="s">
        <v>5318</v>
      </c>
      <c r="AL1306" s="7">
        <v>1</v>
      </c>
      <c r="AM1306" s="7">
        <v>0</v>
      </c>
      <c r="AN1306" s="7" t="s">
        <v>6417</v>
      </c>
    </row>
    <row r="1307" spans="1:40" ht="63" customHeight="1" x14ac:dyDescent="0.2">
      <c r="A1307" s="7" t="s">
        <v>6418</v>
      </c>
      <c r="B1307" s="7" t="s">
        <v>6419</v>
      </c>
      <c r="C1307" s="7" t="s">
        <v>6420</v>
      </c>
      <c r="D1307" s="7">
        <v>2022</v>
      </c>
      <c r="E1307" s="7" t="s">
        <v>5318</v>
      </c>
      <c r="F1307" s="7" t="s">
        <v>5318</v>
      </c>
      <c r="G1307" s="7" t="s">
        <v>5318</v>
      </c>
      <c r="H1307" s="7" t="s">
        <v>5318</v>
      </c>
      <c r="I1307" s="7" t="s">
        <v>5318</v>
      </c>
      <c r="J1307" s="7" t="s">
        <v>5318</v>
      </c>
      <c r="K1307" s="7" t="s">
        <v>6421</v>
      </c>
      <c r="L1307" s="7" t="s">
        <v>6051</v>
      </c>
      <c r="M1307" s="7">
        <v>0</v>
      </c>
      <c r="N1307" s="7" t="s">
        <v>5044</v>
      </c>
      <c r="O1307" s="7" t="s">
        <v>5044</v>
      </c>
      <c r="P1307" s="7">
        <v>0</v>
      </c>
      <c r="Q1307" s="7">
        <v>0</v>
      </c>
      <c r="R1307" s="7">
        <v>0</v>
      </c>
      <c r="S1307" s="7" t="s">
        <v>5357</v>
      </c>
      <c r="T1307" s="7">
        <v>1</v>
      </c>
      <c r="U1307" s="7">
        <v>64</v>
      </c>
      <c r="V1307" s="7">
        <v>0</v>
      </c>
      <c r="W1307" s="7">
        <v>1</v>
      </c>
      <c r="X1307" s="7">
        <v>0</v>
      </c>
      <c r="Y1307" s="7">
        <v>0</v>
      </c>
      <c r="Z1307" s="7">
        <v>0</v>
      </c>
      <c r="AA1307" s="7">
        <v>0</v>
      </c>
      <c r="AB1307" s="7">
        <v>1</v>
      </c>
      <c r="AC1307" s="7">
        <v>0</v>
      </c>
      <c r="AD1307" s="7" t="s">
        <v>5044</v>
      </c>
      <c r="AE1307" s="7" t="s">
        <v>5044</v>
      </c>
      <c r="AF1307" s="7" t="s">
        <v>5044</v>
      </c>
      <c r="AG1307" s="7">
        <v>0</v>
      </c>
      <c r="AH1307" s="7" t="s">
        <v>5044</v>
      </c>
      <c r="AI1307" s="7" t="s">
        <v>5044</v>
      </c>
      <c r="AJ1307" s="7" t="s">
        <v>5044</v>
      </c>
      <c r="AK1307" s="7" t="s">
        <v>5318</v>
      </c>
      <c r="AL1307" s="7" t="s">
        <v>5044</v>
      </c>
      <c r="AM1307" s="7">
        <v>0</v>
      </c>
      <c r="AN1307" s="7" t="s">
        <v>6422</v>
      </c>
    </row>
    <row r="1308" spans="1:40" ht="63" customHeight="1" x14ac:dyDescent="0.2">
      <c r="A1308" s="7" t="s">
        <v>6423</v>
      </c>
      <c r="B1308" s="7" t="s">
        <v>6424</v>
      </c>
      <c r="C1308" s="7" t="s">
        <v>6425</v>
      </c>
      <c r="D1308" s="7">
        <v>2020</v>
      </c>
      <c r="E1308" s="7" t="s">
        <v>5318</v>
      </c>
      <c r="F1308" s="7" t="s">
        <v>5318</v>
      </c>
      <c r="G1308" s="7" t="s">
        <v>5318</v>
      </c>
      <c r="H1308" s="7" t="s">
        <v>5318</v>
      </c>
      <c r="I1308" s="7" t="s">
        <v>5318</v>
      </c>
      <c r="J1308" s="7" t="s">
        <v>5318</v>
      </c>
      <c r="K1308" s="7" t="s">
        <v>6426</v>
      </c>
      <c r="L1308" s="7" t="s">
        <v>6427</v>
      </c>
      <c r="M1308" s="7">
        <v>0</v>
      </c>
      <c r="N1308" s="7" t="s">
        <v>5044</v>
      </c>
      <c r="O1308" s="7" t="s">
        <v>5044</v>
      </c>
      <c r="P1308" s="7">
        <v>0</v>
      </c>
      <c r="Q1308" s="7">
        <v>0</v>
      </c>
      <c r="R1308" s="7">
        <v>0</v>
      </c>
      <c r="S1308" s="7">
        <v>1</v>
      </c>
      <c r="T1308" s="7">
        <v>4</v>
      </c>
      <c r="U1308" s="7">
        <v>444</v>
      </c>
      <c r="V1308" s="7">
        <v>0</v>
      </c>
      <c r="W1308" s="7">
        <v>1</v>
      </c>
      <c r="X1308" s="7">
        <v>0</v>
      </c>
      <c r="Y1308" s="7">
        <v>0</v>
      </c>
      <c r="Z1308" s="7">
        <v>0</v>
      </c>
      <c r="AA1308" s="7">
        <v>0</v>
      </c>
      <c r="AB1308" s="7">
        <v>1</v>
      </c>
      <c r="AC1308" s="7">
        <v>1</v>
      </c>
      <c r="AD1308" s="7" t="s">
        <v>5044</v>
      </c>
      <c r="AE1308" s="7" t="s">
        <v>5044</v>
      </c>
      <c r="AF1308" s="7" t="s">
        <v>5044</v>
      </c>
      <c r="AG1308" s="7">
        <v>1</v>
      </c>
      <c r="AH1308" s="7">
        <v>0</v>
      </c>
      <c r="AI1308" s="7">
        <v>0</v>
      </c>
      <c r="AJ1308" s="7" t="s">
        <v>5044</v>
      </c>
      <c r="AK1308" s="7" t="s">
        <v>5318</v>
      </c>
      <c r="AL1308" s="7">
        <v>0</v>
      </c>
      <c r="AM1308" s="7">
        <v>0</v>
      </c>
      <c r="AN1308" s="7" t="s">
        <v>5318</v>
      </c>
    </row>
    <row r="1309" spans="1:40" ht="63" customHeight="1" x14ac:dyDescent="0.2">
      <c r="A1309" s="7" t="s">
        <v>6428</v>
      </c>
      <c r="B1309" s="7" t="s">
        <v>6429</v>
      </c>
      <c r="C1309" s="7" t="s">
        <v>6430</v>
      </c>
      <c r="D1309" s="7">
        <v>2018</v>
      </c>
      <c r="E1309" s="7" t="s">
        <v>5318</v>
      </c>
      <c r="F1309" s="7" t="s">
        <v>5318</v>
      </c>
      <c r="G1309" s="7" t="s">
        <v>5318</v>
      </c>
      <c r="H1309" s="7" t="s">
        <v>5318</v>
      </c>
      <c r="I1309" s="7" t="s">
        <v>5318</v>
      </c>
      <c r="J1309" s="7" t="s">
        <v>5318</v>
      </c>
      <c r="K1309" s="7" t="s">
        <v>2409</v>
      </c>
      <c r="L1309" s="7" t="s">
        <v>6011</v>
      </c>
      <c r="M1309" s="7">
        <v>0</v>
      </c>
      <c r="N1309" s="7" t="s">
        <v>5044</v>
      </c>
      <c r="O1309" s="7" t="s">
        <v>5044</v>
      </c>
      <c r="P1309" s="7">
        <v>0</v>
      </c>
      <c r="Q1309" s="7">
        <v>0</v>
      </c>
      <c r="R1309" s="7">
        <v>0</v>
      </c>
      <c r="S1309" s="7">
        <v>1</v>
      </c>
      <c r="T1309" s="7">
        <v>1</v>
      </c>
      <c r="U1309" s="7">
        <v>248</v>
      </c>
      <c r="V1309" s="7">
        <v>0</v>
      </c>
      <c r="W1309" s="7">
        <v>1</v>
      </c>
      <c r="X1309" s="7">
        <v>0</v>
      </c>
      <c r="Y1309" s="7">
        <v>0</v>
      </c>
      <c r="Z1309" s="7">
        <v>0</v>
      </c>
      <c r="AA1309" s="7">
        <v>0</v>
      </c>
      <c r="AB1309" s="7">
        <v>1</v>
      </c>
      <c r="AC1309" s="7">
        <v>0</v>
      </c>
      <c r="AD1309" s="7" t="s">
        <v>5044</v>
      </c>
      <c r="AE1309" s="7" t="s">
        <v>5044</v>
      </c>
      <c r="AF1309" s="7" t="s">
        <v>5044</v>
      </c>
      <c r="AG1309" s="7">
        <v>0</v>
      </c>
      <c r="AH1309" s="7" t="s">
        <v>5044</v>
      </c>
      <c r="AI1309" s="7" t="s">
        <v>5044</v>
      </c>
      <c r="AJ1309" s="7" t="s">
        <v>5044</v>
      </c>
      <c r="AK1309" s="7" t="s">
        <v>5318</v>
      </c>
      <c r="AL1309" s="7">
        <v>0</v>
      </c>
      <c r="AM1309" s="7">
        <v>0</v>
      </c>
      <c r="AN1309" s="7" t="s">
        <v>5318</v>
      </c>
    </row>
    <row r="1310" spans="1:40" ht="63" customHeight="1" x14ac:dyDescent="0.2">
      <c r="A1310" s="7" t="s">
        <v>6431</v>
      </c>
      <c r="B1310" s="7" t="s">
        <v>6432</v>
      </c>
      <c r="C1310" s="7" t="s">
        <v>6433</v>
      </c>
      <c r="D1310" s="7">
        <v>2018</v>
      </c>
      <c r="E1310" s="7" t="s">
        <v>5318</v>
      </c>
      <c r="F1310" s="7" t="s">
        <v>5318</v>
      </c>
      <c r="G1310" s="7" t="s">
        <v>5318</v>
      </c>
      <c r="H1310" s="7" t="s">
        <v>5318</v>
      </c>
      <c r="I1310" s="7" t="s">
        <v>5318</v>
      </c>
      <c r="J1310" s="7" t="s">
        <v>5318</v>
      </c>
      <c r="K1310" s="7" t="s">
        <v>6434</v>
      </c>
      <c r="L1310" s="11" t="s">
        <v>5044</v>
      </c>
      <c r="M1310" s="7">
        <v>0</v>
      </c>
      <c r="N1310" s="7" t="s">
        <v>5044</v>
      </c>
      <c r="O1310" s="7" t="s">
        <v>5044</v>
      </c>
      <c r="P1310" s="7">
        <v>0</v>
      </c>
      <c r="Q1310" s="7">
        <v>0</v>
      </c>
      <c r="R1310" s="7">
        <v>0</v>
      </c>
      <c r="S1310" s="7">
        <v>3</v>
      </c>
      <c r="T1310" s="7">
        <v>1</v>
      </c>
      <c r="U1310" s="7">
        <v>163</v>
      </c>
      <c r="V1310" s="7">
        <v>0</v>
      </c>
      <c r="W1310" s="7">
        <v>1</v>
      </c>
      <c r="X1310" s="7">
        <v>0</v>
      </c>
      <c r="Y1310" s="7">
        <v>0</v>
      </c>
      <c r="Z1310" s="7">
        <v>0</v>
      </c>
      <c r="AA1310" s="7">
        <v>0</v>
      </c>
      <c r="AB1310" s="7">
        <v>1</v>
      </c>
      <c r="AC1310" s="7">
        <v>1</v>
      </c>
      <c r="AD1310" s="7" t="s">
        <v>5044</v>
      </c>
      <c r="AE1310" s="7" t="s">
        <v>5044</v>
      </c>
      <c r="AF1310" s="7" t="s">
        <v>5044</v>
      </c>
      <c r="AG1310" s="7">
        <v>2</v>
      </c>
      <c r="AH1310" s="7">
        <v>3</v>
      </c>
      <c r="AI1310" s="7">
        <v>0</v>
      </c>
      <c r="AJ1310" s="7" t="s">
        <v>5044</v>
      </c>
      <c r="AK1310" s="7" t="s">
        <v>6435</v>
      </c>
      <c r="AL1310" s="7">
        <v>1</v>
      </c>
      <c r="AM1310" s="7">
        <v>0</v>
      </c>
      <c r="AN1310" s="7" t="s">
        <v>6436</v>
      </c>
    </row>
    <row r="1311" spans="1:40" ht="63" customHeight="1" x14ac:dyDescent="0.2">
      <c r="A1311" s="7" t="s">
        <v>6311</v>
      </c>
      <c r="B1311" s="7" t="s">
        <v>6312</v>
      </c>
      <c r="C1311" s="7" t="s">
        <v>6313</v>
      </c>
      <c r="D1311" s="7">
        <v>2023</v>
      </c>
      <c r="H1311" s="7" t="s">
        <v>6314</v>
      </c>
      <c r="K1311" s="7" t="s">
        <v>6315</v>
      </c>
      <c r="L1311" s="7" t="s">
        <v>5131</v>
      </c>
      <c r="M1311" s="7">
        <v>0</v>
      </c>
      <c r="N1311" s="9" t="s">
        <v>5044</v>
      </c>
      <c r="O1311" s="9" t="s">
        <v>5044</v>
      </c>
      <c r="P1311" s="7">
        <v>1</v>
      </c>
      <c r="Q1311" s="7">
        <v>0</v>
      </c>
      <c r="R1311" s="7">
        <v>0</v>
      </c>
      <c r="S1311" s="7">
        <v>1</v>
      </c>
      <c r="T1311" s="7">
        <v>1</v>
      </c>
      <c r="U1311" s="7">
        <v>62</v>
      </c>
      <c r="V1311" s="7">
        <v>0</v>
      </c>
      <c r="W1311" s="7">
        <v>1</v>
      </c>
      <c r="X1311" s="7">
        <v>0</v>
      </c>
      <c r="Y1311" s="7">
        <v>0</v>
      </c>
      <c r="Z1311" s="7">
        <v>1</v>
      </c>
      <c r="AA1311" s="7">
        <v>0</v>
      </c>
      <c r="AB1311" s="7">
        <v>0</v>
      </c>
      <c r="AC1311" s="7">
        <v>1</v>
      </c>
      <c r="AD1311" s="7" t="s">
        <v>5044</v>
      </c>
      <c r="AE1311" s="7" t="s">
        <v>5044</v>
      </c>
      <c r="AF1311" s="7" t="s">
        <v>5044</v>
      </c>
      <c r="AG1311" s="7">
        <v>2</v>
      </c>
      <c r="AH1311" s="7">
        <v>1</v>
      </c>
      <c r="AI1311" s="7">
        <v>2</v>
      </c>
      <c r="AJ1311" s="7">
        <v>0</v>
      </c>
      <c r="AL1311" s="7">
        <v>0</v>
      </c>
      <c r="AM1311" s="7">
        <v>0</v>
      </c>
    </row>
    <row r="1312" spans="1:40" ht="63" customHeight="1" x14ac:dyDescent="0.2">
      <c r="A1312" s="7" t="s">
        <v>6442</v>
      </c>
      <c r="B1312" s="7" t="s">
        <v>6443</v>
      </c>
      <c r="C1312" s="7" t="s">
        <v>6444</v>
      </c>
      <c r="D1312" s="7">
        <v>2019</v>
      </c>
      <c r="E1312" s="7" t="s">
        <v>5318</v>
      </c>
      <c r="F1312" s="7" t="s">
        <v>5318</v>
      </c>
      <c r="G1312" s="7" t="s">
        <v>5318</v>
      </c>
      <c r="H1312" s="7" t="s">
        <v>5318</v>
      </c>
      <c r="I1312" s="7" t="s">
        <v>5318</v>
      </c>
      <c r="J1312" s="7" t="s">
        <v>5318</v>
      </c>
      <c r="K1312" s="7" t="s">
        <v>6357</v>
      </c>
      <c r="L1312" s="7" t="s">
        <v>6445</v>
      </c>
      <c r="M1312" s="7">
        <v>0</v>
      </c>
      <c r="N1312" s="7" t="s">
        <v>5044</v>
      </c>
      <c r="O1312" s="7" t="s">
        <v>5044</v>
      </c>
      <c r="P1312" s="7">
        <v>0</v>
      </c>
      <c r="Q1312" s="7">
        <v>0</v>
      </c>
      <c r="R1312" s="7">
        <v>0</v>
      </c>
      <c r="S1312" s="7">
        <v>1</v>
      </c>
      <c r="T1312" s="7">
        <v>1</v>
      </c>
      <c r="U1312" s="7">
        <v>112</v>
      </c>
      <c r="V1312" s="7">
        <v>1</v>
      </c>
      <c r="W1312" s="7">
        <v>0</v>
      </c>
      <c r="X1312" s="7">
        <v>0</v>
      </c>
      <c r="Y1312" s="7">
        <v>0</v>
      </c>
      <c r="Z1312" s="7">
        <v>0</v>
      </c>
      <c r="AA1312" s="7">
        <v>0</v>
      </c>
      <c r="AB1312" s="7">
        <v>1</v>
      </c>
      <c r="AC1312" s="7">
        <v>1</v>
      </c>
      <c r="AD1312" s="7">
        <v>2</v>
      </c>
      <c r="AE1312" s="7">
        <v>1</v>
      </c>
      <c r="AF1312" s="7">
        <v>1</v>
      </c>
      <c r="AG1312" s="7" t="s">
        <v>5044</v>
      </c>
      <c r="AH1312" s="7" t="s">
        <v>5044</v>
      </c>
      <c r="AI1312" s="7" t="s">
        <v>5044</v>
      </c>
      <c r="AJ1312" s="7" t="s">
        <v>5044</v>
      </c>
      <c r="AK1312" s="7" t="s">
        <v>5318</v>
      </c>
      <c r="AL1312" s="7">
        <v>1</v>
      </c>
      <c r="AM1312" s="7">
        <v>0</v>
      </c>
      <c r="AN1312" s="7" t="s">
        <v>5318</v>
      </c>
    </row>
    <row r="1313" spans="1:40" ht="63" customHeight="1" x14ac:dyDescent="0.2">
      <c r="A1313" s="7" t="s">
        <v>6446</v>
      </c>
      <c r="B1313" s="7" t="s">
        <v>6447</v>
      </c>
      <c r="C1313" s="7" t="s">
        <v>6448</v>
      </c>
      <c r="D1313" s="7">
        <v>2020</v>
      </c>
      <c r="H1313" s="7" t="s">
        <v>6449</v>
      </c>
      <c r="K1313" s="7" t="s">
        <v>6450</v>
      </c>
      <c r="L1313" s="7" t="s">
        <v>5694</v>
      </c>
      <c r="M1313" s="7">
        <v>0</v>
      </c>
      <c r="N1313" s="9" t="s">
        <v>5044</v>
      </c>
      <c r="O1313" s="9" t="s">
        <v>5044</v>
      </c>
      <c r="P1313" s="7">
        <v>1</v>
      </c>
      <c r="Q1313" s="7">
        <v>0</v>
      </c>
      <c r="R1313" s="7">
        <v>0</v>
      </c>
      <c r="S1313" s="7">
        <v>3</v>
      </c>
      <c r="T1313" s="7">
        <v>1</v>
      </c>
      <c r="U1313" s="7">
        <v>50</v>
      </c>
      <c r="V1313" s="7">
        <v>0</v>
      </c>
      <c r="W1313" s="7">
        <v>1</v>
      </c>
      <c r="X1313" s="7">
        <v>0</v>
      </c>
      <c r="Y1313" s="7">
        <v>0</v>
      </c>
      <c r="Z1313" s="7">
        <v>0</v>
      </c>
      <c r="AA1313" s="7">
        <v>0</v>
      </c>
      <c r="AB1313" s="7">
        <v>0</v>
      </c>
      <c r="AC1313" s="7">
        <v>1</v>
      </c>
      <c r="AD1313" s="7" t="s">
        <v>5044</v>
      </c>
      <c r="AE1313" s="7" t="s">
        <v>5044</v>
      </c>
      <c r="AF1313" s="7" t="s">
        <v>5044</v>
      </c>
      <c r="AG1313" s="7">
        <v>2</v>
      </c>
      <c r="AH1313" s="7">
        <v>3</v>
      </c>
      <c r="AI1313" s="7">
        <v>0</v>
      </c>
      <c r="AJ1313" s="7" t="s">
        <v>5044</v>
      </c>
      <c r="AL1313" s="7" t="s">
        <v>5044</v>
      </c>
      <c r="AM1313" s="7">
        <v>0</v>
      </c>
      <c r="AN1313" s="7" t="s">
        <v>6417</v>
      </c>
    </row>
    <row r="1314" spans="1:40" ht="63" customHeight="1" x14ac:dyDescent="0.2">
      <c r="A1314" s="7" t="s">
        <v>6451</v>
      </c>
      <c r="B1314" s="7" t="s">
        <v>6452</v>
      </c>
      <c r="C1314" s="7" t="s">
        <v>6453</v>
      </c>
      <c r="D1314" s="7">
        <v>2023</v>
      </c>
      <c r="H1314" s="7" t="s">
        <v>6454</v>
      </c>
      <c r="K1314" s="7" t="s">
        <v>6455</v>
      </c>
      <c r="L1314" s="7" t="s">
        <v>5710</v>
      </c>
      <c r="M1314" s="7">
        <v>0</v>
      </c>
      <c r="N1314" s="9" t="s">
        <v>5044</v>
      </c>
      <c r="O1314" s="9" t="s">
        <v>5044</v>
      </c>
      <c r="P1314" s="7">
        <v>0</v>
      </c>
      <c r="Q1314" s="7">
        <v>0</v>
      </c>
      <c r="R1314" s="7">
        <v>0</v>
      </c>
      <c r="S1314" s="7">
        <v>9</v>
      </c>
      <c r="T1314" s="7">
        <v>1</v>
      </c>
      <c r="U1314" s="7">
        <v>80</v>
      </c>
      <c r="V1314" s="7">
        <v>0</v>
      </c>
      <c r="W1314" s="7">
        <v>1</v>
      </c>
      <c r="X1314" s="7">
        <v>0</v>
      </c>
      <c r="Y1314" s="7">
        <v>0</v>
      </c>
      <c r="Z1314" s="7">
        <v>1</v>
      </c>
      <c r="AA1314" s="7">
        <v>0</v>
      </c>
      <c r="AB1314" s="7">
        <v>1</v>
      </c>
      <c r="AC1314" s="7">
        <v>1</v>
      </c>
      <c r="AD1314" s="7" t="s">
        <v>5044</v>
      </c>
      <c r="AE1314" s="7" t="s">
        <v>5044</v>
      </c>
      <c r="AF1314" s="7" t="s">
        <v>5044</v>
      </c>
      <c r="AG1314" s="7">
        <v>0</v>
      </c>
      <c r="AH1314" s="7" t="s">
        <v>5044</v>
      </c>
      <c r="AI1314" s="7" t="s">
        <v>5044</v>
      </c>
      <c r="AJ1314" s="7">
        <v>0</v>
      </c>
      <c r="AL1314" s="7">
        <v>1</v>
      </c>
      <c r="AM1314" s="7">
        <v>0</v>
      </c>
    </row>
    <row r="1315" spans="1:40" ht="63" customHeight="1" x14ac:dyDescent="0.2">
      <c r="A1315" s="7" t="s">
        <v>6456</v>
      </c>
      <c r="B1315" s="7" t="s">
        <v>6457</v>
      </c>
      <c r="C1315" s="7" t="s">
        <v>6487</v>
      </c>
      <c r="D1315" s="7">
        <v>2020</v>
      </c>
      <c r="H1315" s="7" t="s">
        <v>6458</v>
      </c>
      <c r="J1315" s="5" t="s">
        <v>6459</v>
      </c>
      <c r="K1315" s="6" t="s">
        <v>6460</v>
      </c>
      <c r="L1315" s="6" t="s">
        <v>6086</v>
      </c>
      <c r="M1315" s="7">
        <v>0</v>
      </c>
      <c r="N1315" s="9" t="s">
        <v>5044</v>
      </c>
      <c r="O1315" s="9" t="s">
        <v>5044</v>
      </c>
      <c r="P1315" s="7">
        <v>0</v>
      </c>
      <c r="Q1315" s="7">
        <v>0</v>
      </c>
      <c r="R1315" s="7">
        <v>0</v>
      </c>
      <c r="S1315" s="7">
        <v>1</v>
      </c>
      <c r="T1315" s="7">
        <v>1</v>
      </c>
      <c r="U1315" s="7">
        <v>53</v>
      </c>
      <c r="V1315" s="7">
        <v>0</v>
      </c>
      <c r="W1315" s="7">
        <v>1</v>
      </c>
      <c r="X1315" s="7">
        <v>0</v>
      </c>
      <c r="Y1315" s="7">
        <v>0</v>
      </c>
      <c r="Z1315" s="7">
        <v>0</v>
      </c>
      <c r="AA1315" s="7">
        <v>0</v>
      </c>
      <c r="AB1315" s="7">
        <v>1</v>
      </c>
      <c r="AC1315" s="7">
        <v>1</v>
      </c>
      <c r="AD1315" s="7" t="s">
        <v>5044</v>
      </c>
      <c r="AE1315" s="7" t="s">
        <v>5044</v>
      </c>
      <c r="AF1315" s="7" t="s">
        <v>5044</v>
      </c>
      <c r="AG1315" s="7">
        <v>2</v>
      </c>
      <c r="AH1315" s="7">
        <v>1</v>
      </c>
      <c r="AI1315" s="7">
        <v>2</v>
      </c>
      <c r="AJ1315" s="7" t="s">
        <v>5044</v>
      </c>
      <c r="AL1315" s="7">
        <v>1</v>
      </c>
      <c r="AM1315" s="7">
        <v>0</v>
      </c>
    </row>
    <row r="1316" spans="1:40" ht="63" customHeight="1" x14ac:dyDescent="0.2">
      <c r="A1316" s="7" t="s">
        <v>6461</v>
      </c>
      <c r="B1316" s="7" t="s">
        <v>6462</v>
      </c>
      <c r="C1316" s="7" t="s">
        <v>6463</v>
      </c>
      <c r="D1316" s="7">
        <v>2018</v>
      </c>
      <c r="H1316" s="7" t="s">
        <v>6464</v>
      </c>
      <c r="J1316" s="7" t="s">
        <v>6465</v>
      </c>
      <c r="K1316" s="8" t="s">
        <v>6466</v>
      </c>
      <c r="L1316" s="8" t="s">
        <v>5754</v>
      </c>
      <c r="M1316" s="7">
        <v>0</v>
      </c>
      <c r="N1316" s="9" t="s">
        <v>5044</v>
      </c>
      <c r="O1316" s="9" t="s">
        <v>5044</v>
      </c>
      <c r="P1316" s="7">
        <v>0</v>
      </c>
      <c r="Q1316" s="7">
        <v>0</v>
      </c>
      <c r="R1316" s="7">
        <v>0</v>
      </c>
      <c r="S1316" s="7">
        <v>1</v>
      </c>
      <c r="T1316" s="7">
        <v>5</v>
      </c>
      <c r="U1316" s="7">
        <v>114</v>
      </c>
      <c r="V1316" s="7">
        <v>0</v>
      </c>
      <c r="W1316" s="7">
        <v>1</v>
      </c>
      <c r="X1316" s="7">
        <v>0</v>
      </c>
      <c r="Y1316" s="7">
        <v>0</v>
      </c>
      <c r="Z1316" s="7">
        <v>0</v>
      </c>
      <c r="AA1316" s="7">
        <v>0</v>
      </c>
      <c r="AB1316" s="7">
        <v>1</v>
      </c>
      <c r="AC1316" s="7">
        <v>0</v>
      </c>
      <c r="AD1316" s="7" t="s">
        <v>5044</v>
      </c>
      <c r="AE1316" s="7" t="s">
        <v>5044</v>
      </c>
      <c r="AF1316" s="7" t="s">
        <v>5044</v>
      </c>
      <c r="AG1316" s="7">
        <v>0</v>
      </c>
      <c r="AH1316" s="7" t="s">
        <v>5044</v>
      </c>
      <c r="AI1316" s="7" t="s">
        <v>5044</v>
      </c>
      <c r="AJ1316" s="7" t="s">
        <v>5044</v>
      </c>
      <c r="AL1316" s="7">
        <v>0</v>
      </c>
      <c r="AM1316" s="7">
        <v>0</v>
      </c>
    </row>
    <row r="1317" spans="1:40" ht="63" customHeight="1" x14ac:dyDescent="0.2">
      <c r="A1317" s="7" t="s">
        <v>6467</v>
      </c>
      <c r="B1317" s="7" t="s">
        <v>6468</v>
      </c>
      <c r="C1317" s="7" t="s">
        <v>6469</v>
      </c>
      <c r="D1317" s="7">
        <v>2014</v>
      </c>
      <c r="H1317" s="7" t="s">
        <v>6470</v>
      </c>
      <c r="K1317" s="7" t="s">
        <v>6471</v>
      </c>
      <c r="L1317" s="7" t="s">
        <v>5767</v>
      </c>
      <c r="M1317" s="7">
        <v>0</v>
      </c>
      <c r="N1317" s="9" t="s">
        <v>5044</v>
      </c>
      <c r="O1317" s="9" t="s">
        <v>5044</v>
      </c>
      <c r="P1317" s="7">
        <v>0</v>
      </c>
      <c r="Q1317" s="7">
        <v>0</v>
      </c>
      <c r="R1317" s="7">
        <v>0</v>
      </c>
      <c r="S1317" s="7">
        <v>6</v>
      </c>
      <c r="T1317" s="7">
        <v>1</v>
      </c>
      <c r="U1317" s="7">
        <v>84</v>
      </c>
      <c r="V1317" s="7">
        <v>0</v>
      </c>
      <c r="W1317" s="7">
        <v>1</v>
      </c>
      <c r="X1317" s="7">
        <v>0</v>
      </c>
      <c r="Y1317" s="7">
        <v>0</v>
      </c>
      <c r="Z1317" s="7">
        <v>0</v>
      </c>
      <c r="AA1317" s="7">
        <v>0</v>
      </c>
      <c r="AB1317" s="7">
        <v>1</v>
      </c>
      <c r="AC1317" s="7">
        <v>1</v>
      </c>
      <c r="AD1317" s="7" t="s">
        <v>5044</v>
      </c>
      <c r="AE1317" s="7" t="s">
        <v>5044</v>
      </c>
      <c r="AF1317" s="7" t="s">
        <v>5044</v>
      </c>
      <c r="AG1317" s="7">
        <v>2</v>
      </c>
      <c r="AH1317" s="7">
        <v>3</v>
      </c>
      <c r="AI1317" s="7">
        <v>0</v>
      </c>
      <c r="AJ1317" s="7" t="s">
        <v>5044</v>
      </c>
      <c r="AL1317" s="7" t="s">
        <v>5044</v>
      </c>
      <c r="AM1317" s="7">
        <v>0</v>
      </c>
      <c r="AN1317" s="7" t="s">
        <v>5105</v>
      </c>
    </row>
    <row r="1318" spans="1:40" ht="63" customHeight="1" x14ac:dyDescent="0.2">
      <c r="A1318" s="7" t="s">
        <v>6472</v>
      </c>
      <c r="B1318" s="7" t="s">
        <v>6473</v>
      </c>
      <c r="C1318" s="7" t="s">
        <v>6474</v>
      </c>
      <c r="D1318" s="7">
        <v>2022</v>
      </c>
      <c r="H1318" s="7" t="s">
        <v>6475</v>
      </c>
      <c r="J1318" s="5" t="s">
        <v>6476</v>
      </c>
      <c r="K1318" s="6" t="s">
        <v>6477</v>
      </c>
      <c r="L1318" s="8" t="s">
        <v>5811</v>
      </c>
      <c r="M1318" s="7">
        <v>0</v>
      </c>
      <c r="N1318" s="9" t="s">
        <v>5044</v>
      </c>
      <c r="O1318" s="9" t="s">
        <v>5044</v>
      </c>
      <c r="P1318" s="7">
        <v>1</v>
      </c>
      <c r="Q1318" s="7">
        <v>0</v>
      </c>
      <c r="R1318" s="7">
        <v>0</v>
      </c>
      <c r="S1318" s="7">
        <v>3</v>
      </c>
      <c r="T1318" s="7">
        <v>1</v>
      </c>
      <c r="U1318" s="7">
        <v>50</v>
      </c>
      <c r="V1318" s="7">
        <v>0</v>
      </c>
      <c r="W1318" s="7">
        <v>1</v>
      </c>
      <c r="X1318" s="7">
        <v>0</v>
      </c>
      <c r="Y1318" s="7">
        <v>0</v>
      </c>
      <c r="Z1318" s="7">
        <v>0</v>
      </c>
      <c r="AA1318" s="7">
        <v>0</v>
      </c>
      <c r="AB1318" s="7">
        <v>1</v>
      </c>
      <c r="AC1318" s="7">
        <v>1</v>
      </c>
      <c r="AD1318" s="7" t="s">
        <v>5044</v>
      </c>
      <c r="AE1318" s="7" t="s">
        <v>5044</v>
      </c>
      <c r="AF1318" s="7" t="s">
        <v>5044</v>
      </c>
      <c r="AG1318" s="7">
        <v>1</v>
      </c>
      <c r="AH1318" s="7">
        <v>0</v>
      </c>
      <c r="AI1318" s="7">
        <v>0</v>
      </c>
      <c r="AJ1318" s="7" t="s">
        <v>5044</v>
      </c>
      <c r="AL1318" s="7" t="s">
        <v>5044</v>
      </c>
      <c r="AM1318" s="7">
        <v>0</v>
      </c>
      <c r="AN1318" s="7" t="s">
        <v>6417</v>
      </c>
    </row>
    <row r="1319" spans="1:40" ht="63" customHeight="1" x14ac:dyDescent="0.2">
      <c r="A1319" s="7" t="s">
        <v>6268</v>
      </c>
      <c r="B1319" s="7" t="s">
        <v>5006</v>
      </c>
      <c r="C1319" s="7" t="s">
        <v>5007</v>
      </c>
      <c r="D1319" s="7">
        <v>2012</v>
      </c>
      <c r="L1319" s="8" t="s">
        <v>5231</v>
      </c>
      <c r="M1319" s="7">
        <v>0</v>
      </c>
      <c r="N1319" s="9" t="s">
        <v>5044</v>
      </c>
      <c r="O1319" s="9" t="s">
        <v>5044</v>
      </c>
      <c r="P1319" s="7">
        <v>0</v>
      </c>
      <c r="Q1319" s="7">
        <v>0</v>
      </c>
      <c r="R1319" s="7">
        <v>0</v>
      </c>
      <c r="S1319" s="7">
        <v>1</v>
      </c>
      <c r="T1319" s="7">
        <v>1</v>
      </c>
      <c r="U1319" s="7">
        <v>119</v>
      </c>
      <c r="V1319" s="7">
        <v>0</v>
      </c>
      <c r="W1319" s="7">
        <v>1</v>
      </c>
      <c r="X1319" s="7">
        <v>0</v>
      </c>
      <c r="Y1319" s="7">
        <v>0</v>
      </c>
      <c r="Z1319" s="7">
        <v>0</v>
      </c>
      <c r="AA1319" s="7">
        <v>0</v>
      </c>
      <c r="AB1319" s="7">
        <v>1</v>
      </c>
      <c r="AC1319" s="7">
        <v>1</v>
      </c>
      <c r="AD1319" s="7" t="s">
        <v>5044</v>
      </c>
      <c r="AE1319" s="7" t="s">
        <v>5044</v>
      </c>
      <c r="AF1319" s="7" t="s">
        <v>5044</v>
      </c>
      <c r="AG1319" s="7">
        <v>2</v>
      </c>
      <c r="AH1319" s="7">
        <v>3</v>
      </c>
      <c r="AI1319" s="7">
        <v>2</v>
      </c>
      <c r="AJ1319" s="7" t="s">
        <v>5044</v>
      </c>
      <c r="AL1319" s="7">
        <v>1</v>
      </c>
      <c r="AM1319" s="7">
        <v>0</v>
      </c>
    </row>
    <row r="1320" spans="1:40" ht="63" customHeight="1" x14ac:dyDescent="0.2">
      <c r="A1320" s="7" t="s">
        <v>6316</v>
      </c>
      <c r="B1320" s="7" t="s">
        <v>6317</v>
      </c>
      <c r="C1320" s="7" t="s">
        <v>6318</v>
      </c>
      <c r="D1320" s="7">
        <v>2021</v>
      </c>
      <c r="H1320" s="7" t="s">
        <v>6319</v>
      </c>
      <c r="J1320" s="5" t="s">
        <v>6320</v>
      </c>
      <c r="K1320" s="5" t="s">
        <v>6320</v>
      </c>
      <c r="L1320" s="7" t="s">
        <v>5142</v>
      </c>
      <c r="M1320" s="7">
        <v>0</v>
      </c>
      <c r="N1320" s="9" t="s">
        <v>5044</v>
      </c>
      <c r="O1320" s="9" t="s">
        <v>5044</v>
      </c>
      <c r="P1320" s="7">
        <v>0</v>
      </c>
      <c r="Q1320" s="7">
        <v>0</v>
      </c>
      <c r="R1320" s="7">
        <v>0</v>
      </c>
      <c r="S1320" s="7">
        <v>3</v>
      </c>
      <c r="T1320" s="7">
        <v>1</v>
      </c>
      <c r="U1320" s="7">
        <v>345</v>
      </c>
      <c r="V1320" s="7">
        <v>0</v>
      </c>
      <c r="W1320" s="7">
        <v>1</v>
      </c>
      <c r="X1320" s="7">
        <v>0</v>
      </c>
      <c r="Y1320" s="7">
        <v>0</v>
      </c>
      <c r="Z1320" s="7">
        <v>0</v>
      </c>
      <c r="AA1320" s="7">
        <v>0</v>
      </c>
      <c r="AB1320" s="7">
        <v>1</v>
      </c>
      <c r="AC1320" s="7">
        <v>0</v>
      </c>
      <c r="AD1320" s="7" t="s">
        <v>5044</v>
      </c>
      <c r="AE1320" s="7" t="s">
        <v>5044</v>
      </c>
      <c r="AF1320" s="7" t="s">
        <v>5044</v>
      </c>
      <c r="AG1320" s="7">
        <v>0</v>
      </c>
      <c r="AH1320" s="7" t="s">
        <v>5044</v>
      </c>
      <c r="AI1320" s="7" t="s">
        <v>5044</v>
      </c>
      <c r="AJ1320" s="7" t="s">
        <v>5044</v>
      </c>
      <c r="AL1320" s="7" t="s">
        <v>5044</v>
      </c>
      <c r="AM1320" s="7">
        <v>0</v>
      </c>
      <c r="AN1320" s="7" t="s">
        <v>6513</v>
      </c>
    </row>
    <row r="1321" spans="1:40" ht="63" customHeight="1" x14ac:dyDescent="0.2">
      <c r="A1321" s="7" t="s">
        <v>6478</v>
      </c>
      <c r="B1321" s="7" t="s">
        <v>5008</v>
      </c>
      <c r="C1321" s="7" t="s">
        <v>5009</v>
      </c>
      <c r="D1321" s="7">
        <v>2019</v>
      </c>
      <c r="L1321" s="8" t="s">
        <v>5233</v>
      </c>
      <c r="M1321" s="7">
        <v>0</v>
      </c>
      <c r="N1321" s="9" t="s">
        <v>5044</v>
      </c>
      <c r="O1321" s="9" t="s">
        <v>5044</v>
      </c>
      <c r="P1321" s="7">
        <v>0</v>
      </c>
      <c r="Q1321" s="7">
        <v>0</v>
      </c>
      <c r="R1321" s="7">
        <v>0</v>
      </c>
      <c r="S1321" s="7">
        <v>1</v>
      </c>
      <c r="T1321" s="7">
        <v>1</v>
      </c>
      <c r="U1321" s="7">
        <v>111</v>
      </c>
      <c r="V1321" s="7">
        <v>0</v>
      </c>
      <c r="W1321" s="7">
        <v>1</v>
      </c>
      <c r="X1321" s="7">
        <v>0</v>
      </c>
      <c r="Y1321" s="7">
        <v>0</v>
      </c>
      <c r="Z1321" s="7">
        <v>0</v>
      </c>
      <c r="AA1321" s="7">
        <v>0</v>
      </c>
      <c r="AB1321" s="7">
        <v>1</v>
      </c>
      <c r="AC1321" s="7">
        <v>1</v>
      </c>
      <c r="AD1321" s="7" t="s">
        <v>5044</v>
      </c>
      <c r="AE1321" s="7" t="s">
        <v>5044</v>
      </c>
      <c r="AF1321" s="7" t="s">
        <v>5044</v>
      </c>
      <c r="AG1321" s="7">
        <v>2</v>
      </c>
      <c r="AH1321" s="7">
        <v>1</v>
      </c>
      <c r="AI1321" s="7">
        <v>2</v>
      </c>
      <c r="AJ1321" s="7" t="s">
        <v>5044</v>
      </c>
      <c r="AL1321" s="7">
        <v>1</v>
      </c>
      <c r="AM1321" s="7">
        <v>0</v>
      </c>
    </row>
    <row r="1322" spans="1:40" ht="63" customHeight="1" x14ac:dyDescent="0.2">
      <c r="A1322" s="7" t="s">
        <v>6479</v>
      </c>
      <c r="B1322" s="7" t="s">
        <v>6480</v>
      </c>
      <c r="C1322" s="7" t="s">
        <v>6481</v>
      </c>
      <c r="D1322" s="7">
        <v>2020</v>
      </c>
      <c r="H1322" s="7" t="s">
        <v>6482</v>
      </c>
      <c r="L1322" s="8" t="s">
        <v>5294</v>
      </c>
      <c r="M1322" s="7">
        <v>0</v>
      </c>
      <c r="N1322" s="9" t="s">
        <v>5044</v>
      </c>
      <c r="O1322" s="9" t="s">
        <v>5044</v>
      </c>
      <c r="P1322" s="7">
        <v>0</v>
      </c>
      <c r="Q1322" s="7">
        <v>0</v>
      </c>
      <c r="R1322" s="7">
        <v>0</v>
      </c>
      <c r="S1322" s="7">
        <v>1</v>
      </c>
      <c r="T1322" s="7">
        <v>1</v>
      </c>
      <c r="U1322" s="7">
        <v>620</v>
      </c>
      <c r="V1322" s="7">
        <v>0</v>
      </c>
      <c r="W1322" s="7">
        <v>1</v>
      </c>
      <c r="X1322" s="7">
        <v>0</v>
      </c>
      <c r="Y1322" s="7">
        <v>0</v>
      </c>
      <c r="Z1322" s="7">
        <v>0</v>
      </c>
      <c r="AA1322" s="7">
        <v>0</v>
      </c>
      <c r="AB1322" s="7">
        <v>1</v>
      </c>
      <c r="AC1322" s="7">
        <v>0</v>
      </c>
      <c r="AD1322" s="7" t="s">
        <v>5044</v>
      </c>
      <c r="AE1322" s="7" t="s">
        <v>5044</v>
      </c>
      <c r="AF1322" s="7" t="s">
        <v>5044</v>
      </c>
      <c r="AG1322" s="7">
        <v>0</v>
      </c>
      <c r="AH1322" s="7" t="s">
        <v>5044</v>
      </c>
      <c r="AI1322" s="7" t="s">
        <v>5044</v>
      </c>
      <c r="AJ1322" s="7" t="s">
        <v>5044</v>
      </c>
      <c r="AL1322" s="7">
        <v>1</v>
      </c>
      <c r="AM1322" s="7">
        <v>0</v>
      </c>
      <c r="AN1322" s="7" t="s">
        <v>6483</v>
      </c>
    </row>
    <row r="1323" spans="1:40" ht="63" customHeight="1" x14ac:dyDescent="0.2">
      <c r="A1323" s="7" t="s">
        <v>6321</v>
      </c>
      <c r="B1323" s="7" t="s">
        <v>6322</v>
      </c>
      <c r="C1323" s="7" t="s">
        <v>6323</v>
      </c>
      <c r="D1323" s="7">
        <v>2019</v>
      </c>
      <c r="H1323" s="7" t="s">
        <v>6324</v>
      </c>
      <c r="L1323" s="7" t="s">
        <v>5143</v>
      </c>
      <c r="M1323" s="7">
        <v>0</v>
      </c>
      <c r="N1323" s="9" t="s">
        <v>5044</v>
      </c>
      <c r="O1323" s="9" t="s">
        <v>5044</v>
      </c>
      <c r="P1323" s="7">
        <v>0</v>
      </c>
      <c r="Q1323" s="7">
        <v>0</v>
      </c>
      <c r="R1323" s="7">
        <v>0</v>
      </c>
      <c r="S1323" s="7">
        <v>1</v>
      </c>
      <c r="T1323" s="7">
        <v>1</v>
      </c>
      <c r="U1323" s="7">
        <v>1326</v>
      </c>
      <c r="V1323" s="7">
        <v>0</v>
      </c>
      <c r="W1323" s="7">
        <v>1</v>
      </c>
      <c r="X1323" s="7">
        <v>0</v>
      </c>
      <c r="Y1323" s="7">
        <v>0</v>
      </c>
      <c r="Z1323" s="7">
        <v>0</v>
      </c>
      <c r="AA1323" s="7">
        <v>0</v>
      </c>
      <c r="AB1323" s="7">
        <v>1</v>
      </c>
      <c r="AC1323" s="7">
        <v>1</v>
      </c>
      <c r="AD1323" s="7" t="s">
        <v>5044</v>
      </c>
      <c r="AE1323" s="7" t="s">
        <v>5044</v>
      </c>
      <c r="AF1323" s="7" t="s">
        <v>5044</v>
      </c>
      <c r="AG1323" s="7">
        <v>1</v>
      </c>
      <c r="AH1323" s="7">
        <v>0</v>
      </c>
      <c r="AI1323" s="7">
        <v>0</v>
      </c>
      <c r="AJ1323" s="7" t="s">
        <v>5044</v>
      </c>
      <c r="AL1323" s="7">
        <v>1</v>
      </c>
      <c r="AM1323" s="7">
        <v>0</v>
      </c>
    </row>
    <row r="1324" spans="1:40" ht="63" customHeight="1" x14ac:dyDescent="0.2">
      <c r="A1324" s="7" t="s">
        <v>6484</v>
      </c>
      <c r="B1324" s="7" t="s">
        <v>6485</v>
      </c>
      <c r="C1324" s="7" t="s">
        <v>6486</v>
      </c>
      <c r="D1324" s="7">
        <v>2021</v>
      </c>
      <c r="L1324" s="7" t="s">
        <v>6240</v>
      </c>
      <c r="M1324" s="7">
        <v>0</v>
      </c>
      <c r="N1324" s="9" t="s">
        <v>5044</v>
      </c>
      <c r="O1324" s="9" t="s">
        <v>5044</v>
      </c>
      <c r="P1324" s="7">
        <v>0</v>
      </c>
      <c r="Q1324" s="7">
        <v>0</v>
      </c>
      <c r="R1324" s="7">
        <v>0</v>
      </c>
      <c r="S1324" s="7">
        <v>1</v>
      </c>
      <c r="T1324" s="7">
        <v>4</v>
      </c>
      <c r="U1324" s="7">
        <v>40</v>
      </c>
      <c r="V1324" s="7">
        <v>0</v>
      </c>
      <c r="W1324" s="7">
        <v>1</v>
      </c>
      <c r="X1324" s="7">
        <v>0</v>
      </c>
      <c r="Y1324" s="7">
        <v>0</v>
      </c>
      <c r="Z1324" s="7">
        <v>0</v>
      </c>
      <c r="AA1324" s="7">
        <v>0</v>
      </c>
      <c r="AB1324" s="7">
        <v>1</v>
      </c>
      <c r="AC1324" s="7">
        <v>0</v>
      </c>
      <c r="AD1324" s="7" t="s">
        <v>5044</v>
      </c>
      <c r="AE1324" s="7" t="s">
        <v>5044</v>
      </c>
      <c r="AF1324" s="7" t="s">
        <v>5044</v>
      </c>
      <c r="AG1324" s="7">
        <v>0</v>
      </c>
      <c r="AH1324" s="7" t="s">
        <v>5044</v>
      </c>
      <c r="AI1324" s="7" t="s">
        <v>5044</v>
      </c>
      <c r="AJ1324" s="7" t="s">
        <v>5044</v>
      </c>
      <c r="AL1324" s="7">
        <v>0</v>
      </c>
      <c r="AM1324" s="7">
        <v>0</v>
      </c>
    </row>
    <row r="1325" spans="1:40" ht="63" customHeight="1" x14ac:dyDescent="0.2">
      <c r="A1325" s="7" t="s">
        <v>6325</v>
      </c>
      <c r="B1325" s="7" t="s">
        <v>6326</v>
      </c>
      <c r="C1325" s="7" t="s">
        <v>6327</v>
      </c>
      <c r="D1325" s="7">
        <v>2023</v>
      </c>
      <c r="H1325" s="7" t="s">
        <v>6328</v>
      </c>
      <c r="J1325" s="7" t="s">
        <v>6329</v>
      </c>
      <c r="L1325" s="7" t="s">
        <v>6330</v>
      </c>
      <c r="M1325" s="7">
        <v>0</v>
      </c>
      <c r="N1325" s="9" t="s">
        <v>5044</v>
      </c>
      <c r="O1325" s="9" t="s">
        <v>5044</v>
      </c>
      <c r="P1325" s="7">
        <v>1</v>
      </c>
      <c r="Q1325" s="7">
        <v>0</v>
      </c>
      <c r="R1325" s="7">
        <v>0</v>
      </c>
      <c r="S1325" s="7" t="s">
        <v>5772</v>
      </c>
      <c r="T1325" s="7">
        <v>1</v>
      </c>
      <c r="U1325" s="7">
        <v>48</v>
      </c>
      <c r="V1325" s="7">
        <v>0</v>
      </c>
      <c r="W1325" s="7">
        <v>1</v>
      </c>
      <c r="X1325" s="7">
        <v>0</v>
      </c>
      <c r="Y1325" s="7">
        <v>0</v>
      </c>
      <c r="Z1325" s="7">
        <v>1</v>
      </c>
      <c r="AA1325" s="7">
        <v>0</v>
      </c>
      <c r="AB1325" s="7">
        <v>1</v>
      </c>
      <c r="AC1325" s="7">
        <v>1</v>
      </c>
      <c r="AD1325" s="7" t="s">
        <v>5044</v>
      </c>
      <c r="AE1325" s="7" t="s">
        <v>5044</v>
      </c>
      <c r="AF1325" s="7" t="s">
        <v>5044</v>
      </c>
      <c r="AG1325" s="7">
        <v>1</v>
      </c>
      <c r="AH1325" s="7">
        <v>0</v>
      </c>
      <c r="AI1325" s="7">
        <v>0</v>
      </c>
      <c r="AJ1325" s="7">
        <v>0</v>
      </c>
      <c r="AL1325" s="7">
        <v>0</v>
      </c>
      <c r="AM1325" s="7">
        <v>0</v>
      </c>
      <c r="AN1325" s="7" t="s">
        <v>5277</v>
      </c>
    </row>
    <row r="1326" spans="1:40" ht="63" customHeight="1" x14ac:dyDescent="0.2">
      <c r="A1326" s="7" t="s">
        <v>6332</v>
      </c>
      <c r="B1326" s="7" t="s">
        <v>6333</v>
      </c>
      <c r="C1326" s="7" t="s">
        <v>5318</v>
      </c>
      <c r="D1326" s="7">
        <v>2022</v>
      </c>
      <c r="E1326" s="7" t="s">
        <v>5318</v>
      </c>
      <c r="F1326" s="7" t="s">
        <v>5318</v>
      </c>
      <c r="G1326" s="7" t="s">
        <v>5318</v>
      </c>
      <c r="H1326" s="7" t="s">
        <v>5318</v>
      </c>
      <c r="I1326" s="7" t="s">
        <v>5318</v>
      </c>
      <c r="J1326" s="7" t="s">
        <v>5318</v>
      </c>
      <c r="K1326" s="8" t="s">
        <v>6334</v>
      </c>
      <c r="L1326" s="7" t="s">
        <v>5187</v>
      </c>
      <c r="M1326" s="7">
        <v>0</v>
      </c>
      <c r="N1326" s="7" t="s">
        <v>5044</v>
      </c>
      <c r="O1326" s="7" t="s">
        <v>5044</v>
      </c>
      <c r="P1326" s="7">
        <v>0</v>
      </c>
      <c r="Q1326" s="7">
        <v>0</v>
      </c>
      <c r="R1326" s="7">
        <v>0</v>
      </c>
      <c r="S1326" s="7">
        <v>1</v>
      </c>
      <c r="T1326" s="7">
        <v>4</v>
      </c>
      <c r="U1326" s="7">
        <v>580</v>
      </c>
      <c r="V1326" s="7">
        <v>0</v>
      </c>
      <c r="W1326" s="7">
        <v>1</v>
      </c>
      <c r="X1326" s="7">
        <v>0</v>
      </c>
      <c r="Y1326" s="7">
        <v>0</v>
      </c>
      <c r="Z1326" s="7">
        <v>0</v>
      </c>
      <c r="AA1326" s="7">
        <v>0</v>
      </c>
      <c r="AB1326" s="7">
        <v>1</v>
      </c>
      <c r="AC1326" s="7">
        <v>1</v>
      </c>
      <c r="AD1326" s="7" t="s">
        <v>5044</v>
      </c>
      <c r="AE1326" s="7" t="s">
        <v>5044</v>
      </c>
      <c r="AF1326" s="7" t="s">
        <v>5044</v>
      </c>
      <c r="AG1326" s="7">
        <v>2</v>
      </c>
      <c r="AH1326" s="7">
        <v>2</v>
      </c>
      <c r="AI1326" s="7">
        <v>2</v>
      </c>
      <c r="AJ1326" s="7" t="s">
        <v>5044</v>
      </c>
      <c r="AK1326" s="7" t="s">
        <v>5318</v>
      </c>
      <c r="AL1326" s="7">
        <v>0</v>
      </c>
      <c r="AM1326" s="7">
        <v>0</v>
      </c>
      <c r="AN1326" s="7" t="s">
        <v>5318</v>
      </c>
    </row>
    <row r="1327" spans="1:40" ht="63" customHeight="1" x14ac:dyDescent="0.2">
      <c r="A1327" s="7" t="s">
        <v>6335</v>
      </c>
      <c r="B1327" s="7" t="s">
        <v>6336</v>
      </c>
      <c r="C1327" s="7" t="s">
        <v>6337</v>
      </c>
      <c r="D1327" s="7">
        <v>2022</v>
      </c>
      <c r="H1327" s="7" t="s">
        <v>6338</v>
      </c>
      <c r="J1327" s="5" t="s">
        <v>6339</v>
      </c>
      <c r="K1327" s="5" t="s">
        <v>3424</v>
      </c>
      <c r="L1327" s="5" t="s">
        <v>5409</v>
      </c>
      <c r="M1327" s="7">
        <v>0</v>
      </c>
      <c r="N1327" s="9" t="s">
        <v>5044</v>
      </c>
      <c r="O1327" s="9" t="s">
        <v>5044</v>
      </c>
      <c r="P1327" s="7">
        <v>0</v>
      </c>
      <c r="Q1327" s="7">
        <v>0</v>
      </c>
      <c r="R1327" s="7">
        <v>0</v>
      </c>
      <c r="S1327" s="7">
        <v>9</v>
      </c>
      <c r="T1327" s="7">
        <v>1</v>
      </c>
      <c r="U1327" s="7">
        <v>960</v>
      </c>
      <c r="V1327" s="7">
        <v>0</v>
      </c>
      <c r="W1327" s="7">
        <v>1</v>
      </c>
      <c r="X1327" s="7">
        <v>0</v>
      </c>
      <c r="Y1327" s="7">
        <v>0</v>
      </c>
      <c r="Z1327" s="7">
        <v>0</v>
      </c>
      <c r="AA1327" s="7">
        <v>0</v>
      </c>
      <c r="AB1327" s="7">
        <v>1</v>
      </c>
      <c r="AC1327" s="7">
        <v>1</v>
      </c>
      <c r="AD1327" s="7" t="s">
        <v>5044</v>
      </c>
      <c r="AE1327" s="7" t="s">
        <v>5044</v>
      </c>
      <c r="AF1327" s="7" t="s">
        <v>5044</v>
      </c>
      <c r="AG1327" s="7">
        <v>2</v>
      </c>
      <c r="AH1327" s="7">
        <v>2</v>
      </c>
      <c r="AI1327" s="7">
        <v>2</v>
      </c>
      <c r="AJ1327" s="7" t="s">
        <v>5044</v>
      </c>
      <c r="AL1327" s="7">
        <v>1</v>
      </c>
      <c r="AM1327" s="7">
        <v>0</v>
      </c>
    </row>
    <row r="1328" spans="1:40" ht="63" customHeight="1" x14ac:dyDescent="0.2">
      <c r="A1328" s="7" t="s">
        <v>6340</v>
      </c>
      <c r="B1328" s="7" t="s">
        <v>6341</v>
      </c>
      <c r="C1328" s="7" t="s">
        <v>6342</v>
      </c>
      <c r="D1328" s="7">
        <v>2021</v>
      </c>
      <c r="H1328" s="7" t="s">
        <v>6343</v>
      </c>
      <c r="J1328" s="5" t="s">
        <v>6344</v>
      </c>
      <c r="K1328" s="5" t="s">
        <v>6345</v>
      </c>
      <c r="L1328" s="7" t="s">
        <v>5417</v>
      </c>
      <c r="M1328" s="7">
        <v>0</v>
      </c>
      <c r="N1328" s="9" t="s">
        <v>5044</v>
      </c>
      <c r="O1328" s="9" t="s">
        <v>5044</v>
      </c>
      <c r="P1328" s="7">
        <v>0</v>
      </c>
      <c r="Q1328" s="7">
        <v>0</v>
      </c>
      <c r="R1328" s="7">
        <v>0</v>
      </c>
      <c r="S1328" s="7">
        <v>1</v>
      </c>
      <c r="T1328" s="7">
        <v>1</v>
      </c>
      <c r="U1328" s="7">
        <v>262</v>
      </c>
      <c r="V1328" s="7">
        <v>0</v>
      </c>
      <c r="W1328" s="7">
        <v>1</v>
      </c>
      <c r="X1328" s="7">
        <v>0</v>
      </c>
      <c r="Y1328" s="7">
        <v>0</v>
      </c>
      <c r="Z1328" s="7">
        <v>1</v>
      </c>
      <c r="AA1328" s="7">
        <v>0</v>
      </c>
      <c r="AB1328" s="7">
        <v>1</v>
      </c>
      <c r="AC1328" s="7">
        <v>1</v>
      </c>
      <c r="AD1328" s="7" t="s">
        <v>5044</v>
      </c>
      <c r="AE1328" s="7" t="s">
        <v>5044</v>
      </c>
      <c r="AF1328" s="7" t="s">
        <v>5044</v>
      </c>
      <c r="AG1328" s="7">
        <v>2</v>
      </c>
      <c r="AH1328" s="7">
        <v>1</v>
      </c>
      <c r="AI1328" s="7">
        <v>2</v>
      </c>
      <c r="AJ1328" s="7">
        <v>0</v>
      </c>
      <c r="AL1328" s="7">
        <v>1</v>
      </c>
      <c r="AM1328" s="7">
        <v>0</v>
      </c>
    </row>
    <row r="1329" spans="1:43" ht="63" customHeight="1" x14ac:dyDescent="0.2">
      <c r="A1329" s="8" t="s">
        <v>7654</v>
      </c>
      <c r="B1329" s="8" t="s">
        <v>7675</v>
      </c>
      <c r="C1329" s="7" t="s">
        <v>7655</v>
      </c>
      <c r="D1329" s="8">
        <v>2021</v>
      </c>
      <c r="E1329" s="8" t="s">
        <v>5318</v>
      </c>
      <c r="F1329" s="8" t="s">
        <v>5318</v>
      </c>
      <c r="G1329" s="8" t="s">
        <v>5318</v>
      </c>
      <c r="H1329" s="8" t="s">
        <v>7656</v>
      </c>
      <c r="I1329" s="8" t="s">
        <v>5318</v>
      </c>
      <c r="J1329" s="8" t="s">
        <v>5318</v>
      </c>
      <c r="K1329" s="8" t="s">
        <v>7657</v>
      </c>
      <c r="L1329" s="8" t="s">
        <v>5694</v>
      </c>
      <c r="M1329" s="7">
        <v>0</v>
      </c>
      <c r="N1329" s="9" t="s">
        <v>5044</v>
      </c>
      <c r="O1329" s="7" t="s">
        <v>5044</v>
      </c>
      <c r="P1329" s="7">
        <v>1</v>
      </c>
      <c r="Q1329" s="7">
        <v>0</v>
      </c>
      <c r="R1329" s="7">
        <v>0</v>
      </c>
      <c r="S1329" s="7">
        <v>3</v>
      </c>
      <c r="T1329" s="7">
        <v>1</v>
      </c>
      <c r="U1329" s="7">
        <v>50</v>
      </c>
      <c r="V1329" s="8">
        <v>0</v>
      </c>
      <c r="W1329" s="7">
        <v>1</v>
      </c>
      <c r="X1329" s="7">
        <v>0</v>
      </c>
      <c r="Y1329" s="8">
        <v>0</v>
      </c>
      <c r="Z1329" s="8">
        <v>0</v>
      </c>
      <c r="AA1329" s="7">
        <v>0</v>
      </c>
      <c r="AB1329" s="7">
        <v>1</v>
      </c>
      <c r="AC1329" s="7">
        <v>1</v>
      </c>
      <c r="AD1329" s="7" t="s">
        <v>5044</v>
      </c>
      <c r="AE1329" s="7" t="s">
        <v>5044</v>
      </c>
      <c r="AF1329" s="7" t="s">
        <v>5044</v>
      </c>
      <c r="AG1329" s="7">
        <v>2</v>
      </c>
      <c r="AH1329" s="7">
        <v>3</v>
      </c>
      <c r="AI1329" s="7">
        <v>0</v>
      </c>
      <c r="AJ1329" s="7" t="s">
        <v>5044</v>
      </c>
      <c r="AK1329" s="8" t="s">
        <v>5318</v>
      </c>
      <c r="AL1329" s="7" t="s">
        <v>5044</v>
      </c>
      <c r="AM1329" s="7">
        <v>0</v>
      </c>
      <c r="AN1329" s="8" t="s">
        <v>5318</v>
      </c>
      <c r="AO1329" s="8" t="s">
        <v>5318</v>
      </c>
      <c r="AP1329" s="8" t="s">
        <v>5318</v>
      </c>
      <c r="AQ1329" s="8" t="s">
        <v>5318</v>
      </c>
    </row>
    <row r="1330" spans="1:43" s="29" customFormat="1" ht="119" x14ac:dyDescent="0.2">
      <c r="A1330" s="29">
        <v>8</v>
      </c>
      <c r="B1330" s="29" t="s">
        <v>7685</v>
      </c>
      <c r="C1330" s="29" t="s">
        <v>7686</v>
      </c>
      <c r="D1330" s="29">
        <v>2024</v>
      </c>
      <c r="E1330" s="29" t="s">
        <v>305</v>
      </c>
      <c r="F1330" s="29">
        <v>25</v>
      </c>
      <c r="G1330" s="29">
        <v>1</v>
      </c>
      <c r="I1330" s="29" t="s">
        <v>13</v>
      </c>
      <c r="J1330" s="29" t="s">
        <v>7687</v>
      </c>
      <c r="K1330" s="29" t="s">
        <v>7688</v>
      </c>
    </row>
    <row r="1331" spans="1:43" s="29" customFormat="1" ht="102" x14ac:dyDescent="0.2">
      <c r="A1331" s="29">
        <v>10</v>
      </c>
      <c r="B1331" s="29" t="s">
        <v>7689</v>
      </c>
      <c r="C1331" s="29" t="s">
        <v>7690</v>
      </c>
      <c r="D1331" s="29">
        <v>2025</v>
      </c>
      <c r="F1331" s="29">
        <v>67</v>
      </c>
      <c r="G1331" s="29">
        <v>6</v>
      </c>
      <c r="I1331" s="29" t="s">
        <v>13</v>
      </c>
      <c r="J1331" s="29" t="s">
        <v>7691</v>
      </c>
      <c r="K1331" s="29" t="s">
        <v>7692</v>
      </c>
    </row>
    <row r="1332" spans="1:43" s="29" customFormat="1" ht="102" x14ac:dyDescent="0.2">
      <c r="A1332" s="29">
        <v>28</v>
      </c>
      <c r="B1332" s="29" t="s">
        <v>7693</v>
      </c>
      <c r="C1332" s="29" t="s">
        <v>7694</v>
      </c>
      <c r="D1332" s="29">
        <v>2024</v>
      </c>
      <c r="F1332" s="29">
        <v>99</v>
      </c>
      <c r="I1332" s="29" t="s">
        <v>13</v>
      </c>
      <c r="J1332" s="29" t="s">
        <v>7695</v>
      </c>
      <c r="K1332" s="29" t="s">
        <v>7696</v>
      </c>
    </row>
    <row r="1333" spans="1:43" s="29" customFormat="1" ht="102" x14ac:dyDescent="0.2">
      <c r="A1333" s="29">
        <v>34</v>
      </c>
      <c r="B1333" s="29" t="s">
        <v>7697</v>
      </c>
      <c r="C1333" s="29" t="s">
        <v>7698</v>
      </c>
      <c r="D1333" s="29">
        <v>2025</v>
      </c>
      <c r="I1333" s="29" t="s">
        <v>13</v>
      </c>
      <c r="J1333" s="29" t="s">
        <v>7699</v>
      </c>
      <c r="K1333" s="29" t="s">
        <v>7700</v>
      </c>
    </row>
    <row r="1334" spans="1:43" s="29" customFormat="1" ht="85" x14ac:dyDescent="0.2">
      <c r="A1334" s="29">
        <v>39</v>
      </c>
      <c r="B1334" s="29" t="s">
        <v>7701</v>
      </c>
      <c r="C1334" s="29" t="s">
        <v>7702</v>
      </c>
      <c r="D1334" s="29">
        <v>2024</v>
      </c>
      <c r="E1334" s="29" t="s">
        <v>305</v>
      </c>
      <c r="F1334" s="29">
        <v>25</v>
      </c>
      <c r="G1334" s="29">
        <v>1</v>
      </c>
      <c r="I1334" s="29" t="s">
        <v>13</v>
      </c>
      <c r="J1334" s="29" t="s">
        <v>7703</v>
      </c>
      <c r="K1334" s="29" t="s">
        <v>7704</v>
      </c>
    </row>
    <row r="1335" spans="1:43" s="29" customFormat="1" ht="136" x14ac:dyDescent="0.2">
      <c r="A1335" s="29">
        <v>40</v>
      </c>
      <c r="B1335" s="29" t="s">
        <v>7705</v>
      </c>
      <c r="C1335" s="29" t="s">
        <v>7706</v>
      </c>
      <c r="D1335" s="29">
        <v>2024</v>
      </c>
      <c r="E1335" s="29" t="s">
        <v>305</v>
      </c>
      <c r="F1335" s="29">
        <v>14</v>
      </c>
      <c r="G1335" s="29">
        <v>12</v>
      </c>
      <c r="I1335" s="29" t="s">
        <v>13</v>
      </c>
      <c r="J1335" s="29" t="s">
        <v>7707</v>
      </c>
      <c r="K1335" s="29" t="s">
        <v>7708</v>
      </c>
    </row>
    <row r="1336" spans="1:43" s="29" customFormat="1" ht="136" x14ac:dyDescent="0.2">
      <c r="A1336" s="29">
        <v>42</v>
      </c>
      <c r="B1336" s="29" t="s">
        <v>7709</v>
      </c>
      <c r="C1336" s="29" t="s">
        <v>7710</v>
      </c>
      <c r="D1336" s="29">
        <v>2025</v>
      </c>
      <c r="E1336" s="29" t="s">
        <v>7711</v>
      </c>
      <c r="I1336" s="29" t="s">
        <v>13</v>
      </c>
      <c r="J1336" s="29" t="s">
        <v>7712</v>
      </c>
      <c r="K1336" s="29" t="s">
        <v>7713</v>
      </c>
    </row>
    <row r="1337" spans="1:43" s="29" customFormat="1" ht="119" x14ac:dyDescent="0.2">
      <c r="A1337" s="29">
        <v>43</v>
      </c>
      <c r="B1337" s="29" t="s">
        <v>7714</v>
      </c>
      <c r="C1337" s="29" t="s">
        <v>7715</v>
      </c>
      <c r="D1337" s="29">
        <v>2025</v>
      </c>
      <c r="F1337" s="29">
        <v>16</v>
      </c>
      <c r="G1337" s="29">
        <v>6</v>
      </c>
      <c r="I1337" s="29" t="s">
        <v>13</v>
      </c>
      <c r="J1337" s="29" t="s">
        <v>7716</v>
      </c>
      <c r="K1337" s="29" t="s">
        <v>7717</v>
      </c>
    </row>
    <row r="1338" spans="1:43" s="29" customFormat="1" ht="85" x14ac:dyDescent="0.2">
      <c r="A1338" s="29">
        <v>44</v>
      </c>
      <c r="B1338" s="29" t="s">
        <v>7718</v>
      </c>
      <c r="C1338" s="29" t="s">
        <v>7719</v>
      </c>
      <c r="D1338" s="29">
        <v>2025</v>
      </c>
      <c r="I1338" s="29" t="s">
        <v>13</v>
      </c>
      <c r="J1338" s="29" t="s">
        <v>7720</v>
      </c>
      <c r="K1338" s="29" t="s">
        <v>7721</v>
      </c>
    </row>
    <row r="1339" spans="1:43" s="29" customFormat="1" ht="102" x14ac:dyDescent="0.2">
      <c r="A1339" s="29">
        <v>52</v>
      </c>
      <c r="B1339" s="29" t="s">
        <v>7722</v>
      </c>
      <c r="C1339" s="29" t="s">
        <v>7723</v>
      </c>
      <c r="D1339" s="29">
        <v>2025</v>
      </c>
      <c r="E1339" s="29" t="s">
        <v>305</v>
      </c>
      <c r="F1339" s="29">
        <v>16</v>
      </c>
      <c r="G1339" s="29">
        <v>7</v>
      </c>
      <c r="I1339" s="29" t="s">
        <v>13</v>
      </c>
      <c r="J1339" s="29" t="s">
        <v>7724</v>
      </c>
      <c r="K1339" s="29" t="s">
        <v>7725</v>
      </c>
    </row>
    <row r="1340" spans="1:43" s="29" customFormat="1" ht="119" x14ac:dyDescent="0.2">
      <c r="A1340" s="29">
        <v>53</v>
      </c>
      <c r="B1340" s="29" t="s">
        <v>7726</v>
      </c>
      <c r="C1340" s="29" t="s">
        <v>7727</v>
      </c>
      <c r="D1340" s="29">
        <v>2025</v>
      </c>
      <c r="E1340" s="29" t="s">
        <v>305</v>
      </c>
      <c r="F1340" s="29">
        <v>20</v>
      </c>
      <c r="G1340" s="29" t="s">
        <v>7728</v>
      </c>
      <c r="I1340" s="29" t="s">
        <v>13</v>
      </c>
      <c r="J1340" s="29" t="s">
        <v>7729</v>
      </c>
      <c r="K1340" s="29" t="s">
        <v>7730</v>
      </c>
    </row>
    <row r="1341" spans="1:43" s="29" customFormat="1" ht="255" x14ac:dyDescent="0.2">
      <c r="A1341" s="29">
        <v>55</v>
      </c>
      <c r="B1341" s="29" t="s">
        <v>7731</v>
      </c>
      <c r="C1341" s="29" t="s">
        <v>7732</v>
      </c>
      <c r="D1341" s="29">
        <v>2025</v>
      </c>
      <c r="F1341" s="29">
        <v>10</v>
      </c>
      <c r="G1341" s="29">
        <v>2</v>
      </c>
      <c r="I1341" s="29" t="s">
        <v>13</v>
      </c>
      <c r="J1341" s="29" t="s">
        <v>7733</v>
      </c>
      <c r="K1341" s="29" t="s">
        <v>7734</v>
      </c>
    </row>
    <row r="1342" spans="1:43" s="29" customFormat="1" ht="102" x14ac:dyDescent="0.2">
      <c r="A1342" s="29">
        <v>56</v>
      </c>
      <c r="B1342" s="29" t="s">
        <v>7735</v>
      </c>
      <c r="C1342" s="29" t="s">
        <v>7736</v>
      </c>
      <c r="D1342" s="29">
        <v>2024</v>
      </c>
      <c r="E1342" s="29" t="s">
        <v>7737</v>
      </c>
      <c r="F1342" s="29">
        <v>10</v>
      </c>
      <c r="G1342" s="29">
        <v>1</v>
      </c>
      <c r="I1342" s="29" t="s">
        <v>13</v>
      </c>
      <c r="J1342" s="29" t="s">
        <v>7738</v>
      </c>
      <c r="K1342" s="29" t="s">
        <v>7739</v>
      </c>
    </row>
    <row r="1343" spans="1:43" s="29" customFormat="1" ht="119" x14ac:dyDescent="0.2">
      <c r="A1343" s="29">
        <v>59</v>
      </c>
      <c r="B1343" s="29" t="s">
        <v>7740</v>
      </c>
      <c r="C1343" s="29" t="s">
        <v>7741</v>
      </c>
      <c r="D1343" s="29">
        <v>2025</v>
      </c>
      <c r="F1343" s="29">
        <v>281</v>
      </c>
      <c r="G1343" s="29">
        <v>5</v>
      </c>
      <c r="I1343" s="29" t="s">
        <v>13</v>
      </c>
      <c r="J1343" s="29" t="s">
        <v>7742</v>
      </c>
      <c r="K1343" s="29" t="s">
        <v>7743</v>
      </c>
    </row>
    <row r="1344" spans="1:43" s="29" customFormat="1" ht="102" x14ac:dyDescent="0.2">
      <c r="A1344" s="29">
        <v>64</v>
      </c>
      <c r="B1344" s="29" t="s">
        <v>7744</v>
      </c>
      <c r="C1344" s="29" t="s">
        <v>7745</v>
      </c>
      <c r="D1344" s="29">
        <v>2025</v>
      </c>
      <c r="F1344" s="29">
        <v>40</v>
      </c>
      <c r="G1344" s="29">
        <v>1</v>
      </c>
      <c r="I1344" s="29" t="s">
        <v>13</v>
      </c>
      <c r="J1344" s="29" t="s">
        <v>7746</v>
      </c>
      <c r="K1344" s="29" t="s">
        <v>7747</v>
      </c>
    </row>
    <row r="1345" spans="1:11" s="29" customFormat="1" ht="102" x14ac:dyDescent="0.2">
      <c r="A1345" s="29">
        <v>66</v>
      </c>
      <c r="B1345" s="29" t="s">
        <v>7748</v>
      </c>
      <c r="C1345" s="29" t="s">
        <v>7749</v>
      </c>
      <c r="D1345" s="29">
        <v>2024</v>
      </c>
      <c r="F1345" s="29">
        <v>409</v>
      </c>
      <c r="G1345" s="29">
        <v>1</v>
      </c>
      <c r="I1345" s="29" t="s">
        <v>13</v>
      </c>
      <c r="J1345" s="29" t="s">
        <v>7750</v>
      </c>
      <c r="K1345" s="29" t="s">
        <v>7751</v>
      </c>
    </row>
    <row r="1346" spans="1:11" s="29" customFormat="1" ht="102" x14ac:dyDescent="0.2">
      <c r="A1346" s="29">
        <v>67</v>
      </c>
      <c r="B1346" s="29" t="s">
        <v>7752</v>
      </c>
      <c r="C1346" s="29" t="s">
        <v>7753</v>
      </c>
      <c r="D1346" s="29">
        <v>2024</v>
      </c>
      <c r="F1346" s="29">
        <v>24</v>
      </c>
      <c r="G1346" s="29">
        <v>1</v>
      </c>
      <c r="I1346" s="29" t="s">
        <v>13</v>
      </c>
      <c r="J1346" s="29" t="s">
        <v>7754</v>
      </c>
      <c r="K1346" s="29" t="s">
        <v>7755</v>
      </c>
    </row>
    <row r="1347" spans="1:11" s="29" customFormat="1" ht="102" x14ac:dyDescent="0.2">
      <c r="A1347" s="29">
        <v>71</v>
      </c>
      <c r="B1347" s="29" t="s">
        <v>7756</v>
      </c>
      <c r="C1347" s="29" t="s">
        <v>7757</v>
      </c>
      <c r="D1347" s="29">
        <v>2025</v>
      </c>
      <c r="E1347" s="29" t="s">
        <v>305</v>
      </c>
      <c r="F1347" s="29">
        <v>15</v>
      </c>
      <c r="G1347" s="29">
        <v>5</v>
      </c>
      <c r="I1347" s="29" t="s">
        <v>13</v>
      </c>
      <c r="J1347" s="29" t="s">
        <v>7758</v>
      </c>
      <c r="K1347" s="29" t="s">
        <v>7759</v>
      </c>
    </row>
    <row r="1348" spans="1:11" s="29" customFormat="1" ht="136" x14ac:dyDescent="0.2">
      <c r="A1348" s="29">
        <v>77</v>
      </c>
      <c r="B1348" s="29" t="s">
        <v>7760</v>
      </c>
      <c r="C1348" s="29" t="s">
        <v>7761</v>
      </c>
      <c r="D1348" s="29">
        <v>2025</v>
      </c>
      <c r="E1348" s="29" t="s">
        <v>7762</v>
      </c>
      <c r="F1348" s="29">
        <v>12</v>
      </c>
      <c r="G1348" s="29">
        <v>1</v>
      </c>
      <c r="I1348" s="29" t="s">
        <v>13</v>
      </c>
      <c r="J1348" s="29" t="s">
        <v>7763</v>
      </c>
      <c r="K1348" s="29" t="s">
        <v>7764</v>
      </c>
    </row>
    <row r="1349" spans="1:11" s="29" customFormat="1" ht="136" x14ac:dyDescent="0.2">
      <c r="A1349" s="29">
        <v>82</v>
      </c>
      <c r="B1349" s="29" t="s">
        <v>7765</v>
      </c>
      <c r="C1349" s="29" t="s">
        <v>7766</v>
      </c>
      <c r="D1349" s="29">
        <v>2025</v>
      </c>
      <c r="E1349" s="29" t="s">
        <v>305</v>
      </c>
      <c r="F1349" s="29">
        <v>71</v>
      </c>
      <c r="I1349" s="29" t="s">
        <v>13</v>
      </c>
      <c r="J1349" s="29" t="s">
        <v>7767</v>
      </c>
      <c r="K1349" s="29" t="s">
        <v>7768</v>
      </c>
    </row>
    <row r="1350" spans="1:11" s="29" customFormat="1" ht="85" x14ac:dyDescent="0.2">
      <c r="A1350" s="29">
        <v>83</v>
      </c>
      <c r="B1350" s="29" t="s">
        <v>7769</v>
      </c>
      <c r="C1350" s="29" t="s">
        <v>7770</v>
      </c>
      <c r="D1350" s="29">
        <v>2025</v>
      </c>
      <c r="I1350" s="29" t="s">
        <v>13</v>
      </c>
      <c r="J1350" s="29" t="s">
        <v>7771</v>
      </c>
      <c r="K1350" s="29" t="s">
        <v>7772</v>
      </c>
    </row>
    <row r="1351" spans="1:11" s="29" customFormat="1" ht="102" x14ac:dyDescent="0.2">
      <c r="A1351" s="29">
        <v>85</v>
      </c>
      <c r="B1351" s="29" t="s">
        <v>7773</v>
      </c>
      <c r="C1351" s="29" t="s">
        <v>7774</v>
      </c>
      <c r="D1351" s="29">
        <v>2025</v>
      </c>
      <c r="E1351" s="29" t="s">
        <v>7775</v>
      </c>
      <c r="I1351" s="29" t="s">
        <v>13</v>
      </c>
      <c r="J1351" s="29" t="s">
        <v>7776</v>
      </c>
      <c r="K1351" s="29" t="s">
        <v>7777</v>
      </c>
    </row>
    <row r="1352" spans="1:11" s="29" customFormat="1" ht="102" x14ac:dyDescent="0.2">
      <c r="A1352" s="29">
        <v>88</v>
      </c>
      <c r="B1352" s="29" t="s">
        <v>7778</v>
      </c>
      <c r="C1352" s="29" t="s">
        <v>7779</v>
      </c>
      <c r="D1352" s="29">
        <v>2025</v>
      </c>
      <c r="F1352" s="29">
        <v>160</v>
      </c>
      <c r="G1352" s="29">
        <v>4</v>
      </c>
      <c r="I1352" s="29" t="s">
        <v>13</v>
      </c>
      <c r="J1352" s="29" t="s">
        <v>7780</v>
      </c>
      <c r="K1352" s="29" t="s">
        <v>7781</v>
      </c>
    </row>
    <row r="1353" spans="1:11" s="29" customFormat="1" ht="119" x14ac:dyDescent="0.2">
      <c r="A1353" s="29">
        <v>96</v>
      </c>
      <c r="B1353" s="29" t="s">
        <v>7782</v>
      </c>
      <c r="C1353" s="29" t="s">
        <v>7783</v>
      </c>
      <c r="D1353" s="29">
        <v>2025</v>
      </c>
      <c r="F1353" s="29">
        <v>281</v>
      </c>
      <c r="G1353" s="29">
        <v>6</v>
      </c>
      <c r="I1353" s="29" t="s">
        <v>13</v>
      </c>
      <c r="J1353" s="29" t="s">
        <v>7784</v>
      </c>
      <c r="K1353" s="29" t="s">
        <v>7785</v>
      </c>
    </row>
    <row r="1354" spans="1:11" s="29" customFormat="1" ht="170" x14ac:dyDescent="0.2">
      <c r="A1354" s="29">
        <v>97</v>
      </c>
      <c r="B1354" s="29" t="s">
        <v>7786</v>
      </c>
      <c r="C1354" s="29" t="s">
        <v>7787</v>
      </c>
      <c r="D1354" s="29">
        <v>2025</v>
      </c>
      <c r="F1354" s="29">
        <v>14</v>
      </c>
      <c r="G1354" s="29">
        <v>2</v>
      </c>
      <c r="I1354" s="29" t="s">
        <v>13</v>
      </c>
      <c r="J1354" s="29" t="s">
        <v>7788</v>
      </c>
      <c r="K1354" s="29" t="s">
        <v>7789</v>
      </c>
    </row>
    <row r="1355" spans="1:11" s="29" customFormat="1" ht="221" x14ac:dyDescent="0.2">
      <c r="A1355" s="29">
        <v>99</v>
      </c>
      <c r="B1355" s="29" t="s">
        <v>7790</v>
      </c>
      <c r="C1355" s="29" t="s">
        <v>7791</v>
      </c>
      <c r="D1355" s="29">
        <v>2024</v>
      </c>
      <c r="E1355" s="29" t="s">
        <v>305</v>
      </c>
      <c r="F1355" s="29">
        <v>25</v>
      </c>
      <c r="G1355" s="29">
        <v>1</v>
      </c>
      <c r="I1355" s="29" t="s">
        <v>13</v>
      </c>
      <c r="J1355" s="29" t="s">
        <v>7792</v>
      </c>
      <c r="K1355" s="29" t="s">
        <v>7793</v>
      </c>
    </row>
    <row r="1356" spans="1:11" s="29" customFormat="1" ht="85" x14ac:dyDescent="0.2">
      <c r="A1356" s="29">
        <v>101</v>
      </c>
      <c r="B1356" s="29" t="s">
        <v>3545</v>
      </c>
      <c r="C1356" s="29" t="s">
        <v>3546</v>
      </c>
      <c r="D1356" s="29">
        <v>2023</v>
      </c>
      <c r="F1356" s="29">
        <v>21</v>
      </c>
      <c r="G1356" s="29">
        <v>1</v>
      </c>
      <c r="I1356" s="29" t="s">
        <v>13</v>
      </c>
      <c r="J1356" s="29" t="s">
        <v>3548</v>
      </c>
      <c r="K1356" s="29" t="s">
        <v>3549</v>
      </c>
    </row>
    <row r="1357" spans="1:11" s="29" customFormat="1" ht="187" x14ac:dyDescent="0.2">
      <c r="A1357" s="29">
        <v>102</v>
      </c>
      <c r="B1357" s="29" t="s">
        <v>1746</v>
      </c>
      <c r="C1357" s="29" t="s">
        <v>7794</v>
      </c>
      <c r="D1357" s="29">
        <v>2023</v>
      </c>
      <c r="E1357" s="29" t="s">
        <v>305</v>
      </c>
      <c r="F1357" s="29">
        <v>24</v>
      </c>
      <c r="G1357" s="29">
        <v>1</v>
      </c>
      <c r="I1357" s="29" t="s">
        <v>13</v>
      </c>
      <c r="J1357" s="29" t="s">
        <v>1748</v>
      </c>
      <c r="K1357" s="29" t="s">
        <v>1749</v>
      </c>
    </row>
    <row r="1358" spans="1:11" s="29" customFormat="1" ht="170" x14ac:dyDescent="0.2">
      <c r="A1358" s="29">
        <v>108</v>
      </c>
      <c r="B1358" s="29" t="s">
        <v>7795</v>
      </c>
      <c r="C1358" s="29" t="s">
        <v>7796</v>
      </c>
      <c r="D1358" s="29">
        <v>2023</v>
      </c>
      <c r="E1358" s="29" t="s">
        <v>305</v>
      </c>
      <c r="F1358" s="29">
        <v>23</v>
      </c>
      <c r="G1358" s="29">
        <v>1</v>
      </c>
      <c r="I1358" s="29" t="s">
        <v>13</v>
      </c>
      <c r="J1358" s="29" t="s">
        <v>7797</v>
      </c>
      <c r="K1358" s="29" t="s">
        <v>7798</v>
      </c>
    </row>
    <row r="1359" spans="1:11" s="29" customFormat="1" ht="289" x14ac:dyDescent="0.2">
      <c r="A1359" s="29">
        <v>117</v>
      </c>
      <c r="B1359" s="29" t="s">
        <v>7799</v>
      </c>
      <c r="C1359" s="29" t="s">
        <v>7800</v>
      </c>
      <c r="D1359" s="29">
        <v>2023</v>
      </c>
      <c r="F1359" s="29">
        <v>49</v>
      </c>
      <c r="G1359" s="29">
        <v>12</v>
      </c>
      <c r="I1359" s="29" t="s">
        <v>13</v>
      </c>
      <c r="J1359" s="29" t="s">
        <v>7801</v>
      </c>
      <c r="K1359" s="29" t="s">
        <v>7802</v>
      </c>
    </row>
    <row r="1360" spans="1:11" s="29" customFormat="1" ht="153" x14ac:dyDescent="0.2">
      <c r="A1360" s="29">
        <v>126</v>
      </c>
      <c r="B1360" s="29" t="s">
        <v>4820</v>
      </c>
      <c r="C1360" s="29" t="s">
        <v>4821</v>
      </c>
      <c r="D1360" s="29">
        <v>2023</v>
      </c>
      <c r="E1360" s="29" t="s">
        <v>305</v>
      </c>
      <c r="F1360" s="29">
        <v>24</v>
      </c>
      <c r="G1360" s="29">
        <v>1</v>
      </c>
      <c r="I1360" s="29" t="s">
        <v>13</v>
      </c>
      <c r="J1360" s="29" t="s">
        <v>4822</v>
      </c>
      <c r="K1360" s="29" t="s">
        <v>4823</v>
      </c>
    </row>
    <row r="1361" spans="1:11" s="29" customFormat="1" ht="119" x14ac:dyDescent="0.2">
      <c r="A1361" s="29">
        <v>129</v>
      </c>
      <c r="B1361" s="29" t="s">
        <v>7803</v>
      </c>
      <c r="C1361" s="29" t="s">
        <v>7804</v>
      </c>
      <c r="D1361" s="29">
        <v>2024</v>
      </c>
      <c r="F1361" s="29">
        <v>280</v>
      </c>
      <c r="G1361" s="29">
        <v>2</v>
      </c>
      <c r="I1361" s="29" t="s">
        <v>13</v>
      </c>
      <c r="J1361" s="29" t="s">
        <v>7805</v>
      </c>
      <c r="K1361" s="29" t="s">
        <v>7806</v>
      </c>
    </row>
    <row r="1362" spans="1:11" s="29" customFormat="1" ht="85" x14ac:dyDescent="0.2">
      <c r="A1362" s="29">
        <v>131</v>
      </c>
      <c r="B1362" s="29" t="s">
        <v>7807</v>
      </c>
      <c r="C1362" s="29" t="s">
        <v>7808</v>
      </c>
      <c r="D1362" s="29">
        <v>2024</v>
      </c>
      <c r="F1362" s="29">
        <v>159</v>
      </c>
      <c r="G1362" s="29">
        <v>6</v>
      </c>
      <c r="I1362" s="29" t="s">
        <v>13</v>
      </c>
      <c r="J1362" s="29" t="s">
        <v>7809</v>
      </c>
      <c r="K1362" s="29" t="s">
        <v>7810</v>
      </c>
    </row>
    <row r="1363" spans="1:11" s="29" customFormat="1" ht="85" x14ac:dyDescent="0.2">
      <c r="A1363" s="29">
        <v>132</v>
      </c>
      <c r="B1363" s="29" t="s">
        <v>7811</v>
      </c>
      <c r="C1363" s="29" t="s">
        <v>7812</v>
      </c>
      <c r="D1363" s="29">
        <v>2024</v>
      </c>
      <c r="E1363" s="29" t="s">
        <v>7813</v>
      </c>
      <c r="F1363" s="29">
        <v>279</v>
      </c>
      <c r="G1363" s="29">
        <v>2</v>
      </c>
      <c r="I1363" s="29" t="s">
        <v>13</v>
      </c>
      <c r="J1363" s="29" t="s">
        <v>7814</v>
      </c>
      <c r="K1363" s="29" t="s">
        <v>7815</v>
      </c>
    </row>
    <row r="1364" spans="1:11" s="29" customFormat="1" ht="102" x14ac:dyDescent="0.2">
      <c r="A1364" s="29">
        <v>142</v>
      </c>
      <c r="B1364" s="29" t="s">
        <v>2374</v>
      </c>
      <c r="C1364" s="29" t="s">
        <v>7816</v>
      </c>
      <c r="D1364" s="29">
        <v>2023</v>
      </c>
      <c r="E1364" s="29" t="s">
        <v>305</v>
      </c>
      <c r="F1364" s="29">
        <v>24</v>
      </c>
      <c r="G1364" s="29">
        <v>1</v>
      </c>
      <c r="I1364" s="29" t="s">
        <v>13</v>
      </c>
      <c r="J1364" s="29" t="s">
        <v>2376</v>
      </c>
      <c r="K1364" s="29" t="s">
        <v>2377</v>
      </c>
    </row>
    <row r="1365" spans="1:11" s="29" customFormat="1" ht="289" x14ac:dyDescent="0.2">
      <c r="A1365" s="29">
        <v>146</v>
      </c>
      <c r="B1365" s="29" t="s">
        <v>7817</v>
      </c>
      <c r="C1365" s="29" t="s">
        <v>7818</v>
      </c>
      <c r="D1365" s="29">
        <v>2024</v>
      </c>
      <c r="F1365" s="29">
        <v>42</v>
      </c>
      <c r="G1365" s="29">
        <v>15</v>
      </c>
      <c r="I1365" s="29" t="s">
        <v>13</v>
      </c>
      <c r="J1365" s="29" t="s">
        <v>7819</v>
      </c>
      <c r="K1365" s="29" t="s">
        <v>7820</v>
      </c>
    </row>
    <row r="1366" spans="1:11" s="29" customFormat="1" ht="102" x14ac:dyDescent="0.2">
      <c r="A1366" s="29">
        <v>148</v>
      </c>
      <c r="B1366" s="29" t="s">
        <v>7821</v>
      </c>
      <c r="C1366" s="29" t="s">
        <v>7822</v>
      </c>
      <c r="D1366" s="29">
        <v>2024</v>
      </c>
      <c r="F1366" s="29">
        <v>43</v>
      </c>
      <c r="I1366" s="29" t="s">
        <v>13</v>
      </c>
      <c r="J1366" s="29" t="s">
        <v>7823</v>
      </c>
      <c r="K1366" s="29" t="s">
        <v>7824</v>
      </c>
    </row>
    <row r="1367" spans="1:11" s="29" customFormat="1" ht="68" x14ac:dyDescent="0.2">
      <c r="A1367" s="29">
        <v>149</v>
      </c>
      <c r="B1367" s="29" t="s">
        <v>7825</v>
      </c>
      <c r="C1367" s="29" t="s">
        <v>7826</v>
      </c>
      <c r="D1367" s="29">
        <v>2024</v>
      </c>
      <c r="F1367" s="29">
        <v>176</v>
      </c>
      <c r="G1367" s="29">
        <v>4</v>
      </c>
      <c r="I1367" s="29" t="s">
        <v>13</v>
      </c>
      <c r="J1367" s="29" t="s">
        <v>7827</v>
      </c>
      <c r="K1367" s="29" t="s">
        <v>7828</v>
      </c>
    </row>
    <row r="1368" spans="1:11" s="29" customFormat="1" ht="153" x14ac:dyDescent="0.2">
      <c r="A1368" s="29">
        <v>150</v>
      </c>
      <c r="B1368" s="29" t="s">
        <v>7829</v>
      </c>
      <c r="C1368" s="29" t="s">
        <v>7830</v>
      </c>
      <c r="D1368" s="29">
        <v>2023</v>
      </c>
      <c r="E1368" s="29" t="s">
        <v>305</v>
      </c>
      <c r="F1368" s="29">
        <v>24</v>
      </c>
      <c r="G1368" s="29">
        <v>1</v>
      </c>
      <c r="I1368" s="29" t="s">
        <v>13</v>
      </c>
      <c r="J1368" s="29" t="s">
        <v>7831</v>
      </c>
      <c r="K1368" s="29" t="s">
        <v>7832</v>
      </c>
    </row>
    <row r="1369" spans="1:11" s="29" customFormat="1" ht="85" x14ac:dyDescent="0.2">
      <c r="A1369" s="29">
        <v>158</v>
      </c>
      <c r="B1369" s="29" t="s">
        <v>7833</v>
      </c>
      <c r="C1369" s="29" t="s">
        <v>7834</v>
      </c>
      <c r="D1369" s="29">
        <v>2024</v>
      </c>
      <c r="F1369" s="29">
        <v>65</v>
      </c>
      <c r="G1369" s="29">
        <v>1</v>
      </c>
      <c r="I1369" s="29" t="s">
        <v>13</v>
      </c>
      <c r="J1369" s="29" t="s">
        <v>7835</v>
      </c>
      <c r="K1369" s="29" t="s">
        <v>7836</v>
      </c>
    </row>
    <row r="1370" spans="1:11" s="29" customFormat="1" ht="119" x14ac:dyDescent="0.2">
      <c r="A1370" s="29">
        <v>163</v>
      </c>
      <c r="B1370" s="29" t="s">
        <v>7837</v>
      </c>
      <c r="C1370" s="29" t="s">
        <v>7838</v>
      </c>
      <c r="D1370" s="29">
        <v>2024</v>
      </c>
      <c r="F1370" s="29">
        <v>119</v>
      </c>
      <c r="G1370" s="29">
        <v>4</v>
      </c>
      <c r="I1370" s="29" t="s">
        <v>13</v>
      </c>
      <c r="J1370" s="29" t="s">
        <v>7839</v>
      </c>
      <c r="K1370" s="29" t="s">
        <v>7840</v>
      </c>
    </row>
    <row r="1371" spans="1:11" s="29" customFormat="1" ht="238" x14ac:dyDescent="0.2">
      <c r="A1371" s="29">
        <v>171</v>
      </c>
      <c r="B1371" s="29" t="s">
        <v>7841</v>
      </c>
      <c r="C1371" s="29" t="s">
        <v>7842</v>
      </c>
      <c r="D1371" s="29">
        <v>2023</v>
      </c>
      <c r="E1371" s="29" t="s">
        <v>305</v>
      </c>
      <c r="F1371" s="29">
        <v>24</v>
      </c>
      <c r="G1371" s="29">
        <v>1</v>
      </c>
      <c r="I1371" s="29" t="s">
        <v>13</v>
      </c>
      <c r="J1371" s="29" t="s">
        <v>7843</v>
      </c>
      <c r="K1371" s="29" t="s">
        <v>7844</v>
      </c>
    </row>
    <row r="1372" spans="1:11" s="29" customFormat="1" ht="85" x14ac:dyDescent="0.2">
      <c r="A1372" s="29">
        <v>174</v>
      </c>
      <c r="B1372" s="29" t="s">
        <v>7845</v>
      </c>
      <c r="C1372" s="29" t="s">
        <v>7846</v>
      </c>
      <c r="D1372" s="29">
        <v>2024</v>
      </c>
      <c r="F1372" s="29">
        <v>111</v>
      </c>
      <c r="G1372" s="29">
        <v>5</v>
      </c>
      <c r="I1372" s="29" t="s">
        <v>13</v>
      </c>
      <c r="J1372" s="29" t="s">
        <v>7847</v>
      </c>
      <c r="K1372" s="29" t="s">
        <v>7848</v>
      </c>
    </row>
    <row r="1373" spans="1:11" s="29" customFormat="1" ht="170" x14ac:dyDescent="0.2">
      <c r="A1373" s="29">
        <v>175</v>
      </c>
      <c r="B1373" s="29" t="s">
        <v>7849</v>
      </c>
      <c r="C1373" s="29" t="s">
        <v>7850</v>
      </c>
      <c r="D1373" s="29">
        <v>2024</v>
      </c>
      <c r="F1373" s="29">
        <v>8</v>
      </c>
      <c r="G1373" s="29">
        <v>2</v>
      </c>
      <c r="I1373" s="29" t="s">
        <v>13</v>
      </c>
      <c r="J1373" s="29" t="s">
        <v>7851</v>
      </c>
      <c r="K1373" s="29" t="s">
        <v>7852</v>
      </c>
    </row>
    <row r="1374" spans="1:11" s="29" customFormat="1" ht="136" x14ac:dyDescent="0.2">
      <c r="A1374" s="29">
        <v>176</v>
      </c>
      <c r="B1374" s="29" t="s">
        <v>7853</v>
      </c>
      <c r="C1374" s="29" t="s">
        <v>7854</v>
      </c>
      <c r="D1374" s="29">
        <v>2023</v>
      </c>
      <c r="E1374" s="29" t="s">
        <v>305</v>
      </c>
      <c r="F1374" s="29">
        <v>24</v>
      </c>
      <c r="G1374" s="29">
        <v>1</v>
      </c>
      <c r="I1374" s="29" t="s">
        <v>13</v>
      </c>
      <c r="J1374" s="29" t="s">
        <v>7855</v>
      </c>
      <c r="K1374" s="29" t="s">
        <v>1046</v>
      </c>
    </row>
    <row r="1375" spans="1:11" s="29" customFormat="1" ht="204" x14ac:dyDescent="0.2">
      <c r="A1375" s="29">
        <v>179</v>
      </c>
      <c r="B1375" s="29" t="s">
        <v>7856</v>
      </c>
      <c r="C1375" s="29" t="s">
        <v>7857</v>
      </c>
      <c r="D1375" s="29">
        <v>2023</v>
      </c>
      <c r="F1375" s="29">
        <v>110</v>
      </c>
      <c r="G1375" s="29">
        <v>12</v>
      </c>
      <c r="I1375" s="29" t="s">
        <v>13</v>
      </c>
      <c r="J1375" s="29" t="s">
        <v>7858</v>
      </c>
      <c r="K1375" s="29" t="s">
        <v>7859</v>
      </c>
    </row>
    <row r="1376" spans="1:11" s="29" customFormat="1" ht="119" x14ac:dyDescent="0.2">
      <c r="A1376" s="29">
        <v>180</v>
      </c>
      <c r="B1376" s="29" t="s">
        <v>7860</v>
      </c>
      <c r="C1376" s="29" t="s">
        <v>7861</v>
      </c>
      <c r="D1376" s="29">
        <v>2023</v>
      </c>
      <c r="E1376" s="29" t="s">
        <v>5015</v>
      </c>
      <c r="F1376" s="29">
        <v>24</v>
      </c>
      <c r="G1376" s="29">
        <v>1</v>
      </c>
      <c r="I1376" s="29" t="s">
        <v>13</v>
      </c>
      <c r="J1376" s="29" t="s">
        <v>7862</v>
      </c>
      <c r="K1376" s="29" t="s">
        <v>7863</v>
      </c>
    </row>
    <row r="1377" spans="1:11" s="29" customFormat="1" ht="153" x14ac:dyDescent="0.2">
      <c r="A1377" s="29">
        <v>184</v>
      </c>
      <c r="B1377" s="29" t="s">
        <v>7864</v>
      </c>
      <c r="C1377" s="29" t="s">
        <v>7865</v>
      </c>
      <c r="D1377" s="29">
        <v>2023</v>
      </c>
      <c r="F1377" s="29">
        <v>158</v>
      </c>
      <c r="G1377" s="29">
        <v>12</v>
      </c>
      <c r="I1377" s="29" t="s">
        <v>13</v>
      </c>
      <c r="J1377" s="29" t="s">
        <v>7866</v>
      </c>
      <c r="K1377" s="29" t="s">
        <v>7867</v>
      </c>
    </row>
    <row r="1378" spans="1:11" s="29" customFormat="1" ht="409.6" x14ac:dyDescent="0.2">
      <c r="A1378" s="29">
        <v>187</v>
      </c>
      <c r="B1378" s="29" t="s">
        <v>7868</v>
      </c>
      <c r="C1378" s="29" t="s">
        <v>7869</v>
      </c>
      <c r="D1378" s="29">
        <v>2024</v>
      </c>
      <c r="F1378" s="29">
        <v>280</v>
      </c>
      <c r="G1378" s="29">
        <v>2</v>
      </c>
      <c r="I1378" s="29" t="s">
        <v>13</v>
      </c>
      <c r="J1378" s="29" t="s">
        <v>7870</v>
      </c>
      <c r="K1378" s="29" t="s">
        <v>7871</v>
      </c>
    </row>
    <row r="1379" spans="1:11" s="29" customFormat="1" ht="102" x14ac:dyDescent="0.2">
      <c r="A1379" s="29">
        <v>194</v>
      </c>
      <c r="B1379" s="29" t="s">
        <v>7872</v>
      </c>
      <c r="C1379" s="29" t="s">
        <v>7873</v>
      </c>
      <c r="D1379" s="29">
        <v>2024</v>
      </c>
      <c r="F1379" s="29">
        <v>33</v>
      </c>
      <c r="G1379" s="29">
        <v>1</v>
      </c>
      <c r="I1379" s="29" t="s">
        <v>13</v>
      </c>
      <c r="J1379" s="29" t="s">
        <v>7874</v>
      </c>
      <c r="K1379" s="29" t="s">
        <v>7875</v>
      </c>
    </row>
    <row r="1380" spans="1:11" s="29" customFormat="1" ht="85" x14ac:dyDescent="0.2">
      <c r="A1380" s="29">
        <v>202</v>
      </c>
      <c r="B1380" s="29" t="s">
        <v>7876</v>
      </c>
      <c r="C1380" s="29" t="s">
        <v>7877</v>
      </c>
      <c r="D1380" s="29">
        <v>2023</v>
      </c>
      <c r="F1380" s="29">
        <v>6</v>
      </c>
      <c r="G1380" s="29">
        <v>6</v>
      </c>
      <c r="I1380" s="29" t="s">
        <v>386</v>
      </c>
      <c r="J1380" s="29" t="s">
        <v>7878</v>
      </c>
      <c r="K1380" s="29" t="s">
        <v>7879</v>
      </c>
    </row>
    <row r="1381" spans="1:11" s="29" customFormat="1" ht="85" x14ac:dyDescent="0.2">
      <c r="A1381" s="29">
        <v>205</v>
      </c>
      <c r="B1381" s="29" t="s">
        <v>7880</v>
      </c>
      <c r="C1381" s="29" t="s">
        <v>288</v>
      </c>
      <c r="D1381" s="29">
        <v>2023</v>
      </c>
      <c r="F1381" s="29">
        <v>47</v>
      </c>
      <c r="G1381" s="29">
        <v>2</v>
      </c>
      <c r="I1381" s="29" t="s">
        <v>13</v>
      </c>
      <c r="J1381" s="29" t="s">
        <v>7881</v>
      </c>
      <c r="K1381" s="29" t="s">
        <v>291</v>
      </c>
    </row>
    <row r="1382" spans="1:11" s="29" customFormat="1" ht="170" x14ac:dyDescent="0.2">
      <c r="A1382" s="29">
        <v>208</v>
      </c>
      <c r="B1382" s="29" t="s">
        <v>1530</v>
      </c>
      <c r="C1382" s="29" t="s">
        <v>7882</v>
      </c>
      <c r="D1382" s="29">
        <v>2023</v>
      </c>
      <c r="F1382" s="29">
        <v>158</v>
      </c>
      <c r="G1382" s="29">
        <v>6</v>
      </c>
      <c r="I1382" s="29" t="s">
        <v>13</v>
      </c>
      <c r="J1382" s="29" t="s">
        <v>1532</v>
      </c>
      <c r="K1382" s="29" t="s">
        <v>1533</v>
      </c>
    </row>
    <row r="1383" spans="1:11" s="29" customFormat="1" ht="153" x14ac:dyDescent="0.2">
      <c r="A1383" s="29">
        <v>216</v>
      </c>
      <c r="B1383" s="29" t="s">
        <v>7883</v>
      </c>
      <c r="C1383" s="29" t="s">
        <v>7884</v>
      </c>
      <c r="D1383" s="29">
        <v>2023</v>
      </c>
      <c r="F1383" s="29">
        <v>278</v>
      </c>
      <c r="G1383" s="29">
        <v>5</v>
      </c>
      <c r="I1383" s="29" t="s">
        <v>13</v>
      </c>
      <c r="J1383" s="29" t="s">
        <v>7885</v>
      </c>
      <c r="K1383" s="29" t="s">
        <v>7886</v>
      </c>
    </row>
    <row r="1384" spans="1:11" s="29" customFormat="1" ht="170" x14ac:dyDescent="0.2">
      <c r="A1384" s="29">
        <v>221</v>
      </c>
      <c r="B1384" s="29" t="s">
        <v>7887</v>
      </c>
      <c r="C1384" s="29" t="s">
        <v>7888</v>
      </c>
      <c r="D1384" s="29">
        <v>2023</v>
      </c>
      <c r="F1384" s="29">
        <v>34</v>
      </c>
      <c r="G1384" s="29">
        <v>1</v>
      </c>
      <c r="I1384" s="29" t="s">
        <v>13</v>
      </c>
      <c r="J1384" s="29" t="s">
        <v>7889</v>
      </c>
      <c r="K1384" s="29" t="s">
        <v>796</v>
      </c>
    </row>
    <row r="1385" spans="1:11" s="29" customFormat="1" ht="102" x14ac:dyDescent="0.2">
      <c r="A1385" s="29">
        <v>229</v>
      </c>
      <c r="B1385" s="29" t="s">
        <v>7890</v>
      </c>
      <c r="C1385" s="29" t="s">
        <v>7891</v>
      </c>
      <c r="D1385" s="29">
        <v>2023</v>
      </c>
      <c r="E1385" s="29" t="s">
        <v>4391</v>
      </c>
      <c r="F1385" s="29">
        <v>15</v>
      </c>
      <c r="G1385" s="29">
        <v>20</v>
      </c>
      <c r="I1385" s="29" t="s">
        <v>13</v>
      </c>
      <c r="J1385" s="29" t="s">
        <v>7892</v>
      </c>
      <c r="K1385" s="29" t="s">
        <v>6393</v>
      </c>
    </row>
    <row r="1386" spans="1:11" s="29" customFormat="1" ht="204" x14ac:dyDescent="0.2">
      <c r="A1386" s="29">
        <v>253</v>
      </c>
      <c r="B1386" s="29" t="s">
        <v>7893</v>
      </c>
      <c r="C1386" s="29" t="s">
        <v>7894</v>
      </c>
      <c r="D1386" s="29">
        <v>2023</v>
      </c>
      <c r="E1386" s="29" t="s">
        <v>5015</v>
      </c>
      <c r="F1386" s="29">
        <v>25</v>
      </c>
      <c r="G1386" s="29">
        <v>7</v>
      </c>
      <c r="I1386" s="29" t="s">
        <v>13</v>
      </c>
      <c r="J1386" s="29" t="s">
        <v>7895</v>
      </c>
      <c r="K1386" s="29" t="s">
        <v>7896</v>
      </c>
    </row>
    <row r="1387" spans="1:11" s="29" customFormat="1" ht="102" x14ac:dyDescent="0.2">
      <c r="A1387" s="29">
        <v>255</v>
      </c>
      <c r="B1387" s="29" t="s">
        <v>4555</v>
      </c>
      <c r="C1387" s="29" t="s">
        <v>7897</v>
      </c>
      <c r="D1387" s="29">
        <v>2023</v>
      </c>
      <c r="E1387" s="29" t="s">
        <v>5015</v>
      </c>
      <c r="F1387" s="29">
        <v>13</v>
      </c>
      <c r="G1387" s="29">
        <v>1</v>
      </c>
      <c r="I1387" s="29" t="s">
        <v>13</v>
      </c>
      <c r="J1387" s="29" t="s">
        <v>4557</v>
      </c>
      <c r="K1387" s="29" t="s">
        <v>4558</v>
      </c>
    </row>
    <row r="1388" spans="1:11" s="29" customFormat="1" ht="153" x14ac:dyDescent="0.2">
      <c r="A1388" s="29">
        <v>259</v>
      </c>
      <c r="B1388" s="29" t="s">
        <v>7898</v>
      </c>
      <c r="C1388" s="29" t="s">
        <v>7899</v>
      </c>
      <c r="D1388" s="29">
        <v>2023</v>
      </c>
      <c r="E1388" s="29" t="s">
        <v>5015</v>
      </c>
      <c r="F1388" s="29">
        <v>14</v>
      </c>
      <c r="I1388" s="29" t="s">
        <v>13</v>
      </c>
      <c r="J1388" s="29" t="s">
        <v>7900</v>
      </c>
      <c r="K1388" s="29" t="s">
        <v>7901</v>
      </c>
    </row>
    <row r="1389" spans="1:11" s="29" customFormat="1" ht="119" x14ac:dyDescent="0.2">
      <c r="A1389" s="29">
        <v>262</v>
      </c>
      <c r="B1389" s="29" t="s">
        <v>2915</v>
      </c>
      <c r="C1389" s="29" t="s">
        <v>7902</v>
      </c>
      <c r="D1389" s="29">
        <v>2023</v>
      </c>
      <c r="E1389" s="29" t="s">
        <v>5015</v>
      </c>
      <c r="F1389" s="29">
        <v>70</v>
      </c>
      <c r="G1389" s="29">
        <v>5</v>
      </c>
      <c r="I1389" s="29" t="s">
        <v>13</v>
      </c>
      <c r="J1389" s="29" t="s">
        <v>2917</v>
      </c>
    </row>
    <row r="1390" spans="1:11" s="29" customFormat="1" ht="102" x14ac:dyDescent="0.2">
      <c r="A1390" s="29">
        <v>282</v>
      </c>
      <c r="B1390" s="29" t="s">
        <v>7903</v>
      </c>
      <c r="C1390" s="29" t="s">
        <v>790</v>
      </c>
      <c r="D1390" s="29">
        <v>2023</v>
      </c>
      <c r="F1390" s="29">
        <v>110</v>
      </c>
      <c r="G1390" s="29">
        <v>2</v>
      </c>
      <c r="I1390" s="29" t="s">
        <v>13</v>
      </c>
      <c r="J1390" s="29" t="s">
        <v>7904</v>
      </c>
      <c r="K1390" s="29" t="s">
        <v>792</v>
      </c>
    </row>
    <row r="1391" spans="1:11" s="29" customFormat="1" ht="102" x14ac:dyDescent="0.2">
      <c r="A1391" s="29">
        <v>297</v>
      </c>
      <c r="B1391" s="29" t="s">
        <v>7905</v>
      </c>
      <c r="C1391" s="29" t="s">
        <v>7906</v>
      </c>
      <c r="D1391" s="29">
        <v>2023</v>
      </c>
      <c r="F1391" s="29">
        <v>66</v>
      </c>
      <c r="G1391" s="29">
        <v>2</v>
      </c>
      <c r="I1391" s="29" t="s">
        <v>13</v>
      </c>
      <c r="J1391" s="29" t="s">
        <v>7907</v>
      </c>
      <c r="K1391" s="29" t="s">
        <v>400</v>
      </c>
    </row>
    <row r="1392" spans="1:11" s="29" customFormat="1" ht="323" x14ac:dyDescent="0.2">
      <c r="A1392" s="29">
        <v>299</v>
      </c>
      <c r="B1392" s="29" t="s">
        <v>3160</v>
      </c>
      <c r="C1392" s="29" t="s">
        <v>7908</v>
      </c>
      <c r="D1392" s="29">
        <v>2023</v>
      </c>
      <c r="F1392" s="29">
        <v>79</v>
      </c>
      <c r="G1392" s="29">
        <v>2</v>
      </c>
      <c r="I1392" s="29" t="s">
        <v>13</v>
      </c>
      <c r="J1392" s="29" t="s">
        <v>3162</v>
      </c>
      <c r="K1392" s="29" t="s">
        <v>3163</v>
      </c>
    </row>
    <row r="1393" spans="1:11" s="29" customFormat="1" ht="102" x14ac:dyDescent="0.2">
      <c r="A1393" s="29">
        <v>300</v>
      </c>
      <c r="B1393" s="29" t="s">
        <v>3341</v>
      </c>
      <c r="C1393" s="29" t="s">
        <v>7909</v>
      </c>
      <c r="D1393" s="29">
        <v>2023</v>
      </c>
      <c r="E1393" s="29" t="s">
        <v>5015</v>
      </c>
      <c r="F1393" s="29">
        <v>10</v>
      </c>
      <c r="I1393" s="29" t="s">
        <v>13</v>
      </c>
      <c r="J1393" s="29" t="s">
        <v>3344</v>
      </c>
      <c r="K1393" s="29" t="s">
        <v>3345</v>
      </c>
    </row>
    <row r="1394" spans="1:11" s="29" customFormat="1" ht="85" x14ac:dyDescent="0.2">
      <c r="A1394" s="29">
        <v>310</v>
      </c>
      <c r="B1394" s="29" t="s">
        <v>3645</v>
      </c>
      <c r="C1394" s="29" t="s">
        <v>3646</v>
      </c>
      <c r="D1394" s="29">
        <v>2023</v>
      </c>
      <c r="F1394" s="29">
        <v>20</v>
      </c>
      <c r="G1394" s="29">
        <v>6</v>
      </c>
      <c r="I1394" s="29" t="s">
        <v>13</v>
      </c>
      <c r="J1394" s="29" t="s">
        <v>3648</v>
      </c>
      <c r="K1394" s="29" t="s">
        <v>3649</v>
      </c>
    </row>
    <row r="1395" spans="1:11" s="29" customFormat="1" ht="102" x14ac:dyDescent="0.2">
      <c r="A1395" s="29">
        <v>322</v>
      </c>
      <c r="B1395" s="29" t="s">
        <v>3731</v>
      </c>
      <c r="C1395" s="29" t="s">
        <v>7910</v>
      </c>
      <c r="D1395" s="29">
        <v>2021</v>
      </c>
      <c r="F1395" s="29">
        <v>108</v>
      </c>
      <c r="G1395" s="29">
        <v>7</v>
      </c>
      <c r="I1395" s="29" t="s">
        <v>13</v>
      </c>
      <c r="J1395" s="29" t="s">
        <v>3733</v>
      </c>
      <c r="K1395" s="29" t="s">
        <v>3734</v>
      </c>
    </row>
    <row r="1396" spans="1:11" s="29" customFormat="1" ht="136" x14ac:dyDescent="0.2">
      <c r="A1396" s="29">
        <v>326</v>
      </c>
      <c r="B1396" s="29" t="s">
        <v>7911</v>
      </c>
      <c r="C1396" s="29" t="s">
        <v>7912</v>
      </c>
      <c r="D1396" s="29">
        <v>2021</v>
      </c>
      <c r="E1396" s="29" t="s">
        <v>5015</v>
      </c>
      <c r="F1396" s="29">
        <v>25</v>
      </c>
      <c r="G1396" s="29">
        <v>1</v>
      </c>
      <c r="I1396" s="29" t="s">
        <v>13</v>
      </c>
      <c r="J1396" s="29" t="s">
        <v>7913</v>
      </c>
      <c r="K1396" s="29" t="s">
        <v>7914</v>
      </c>
    </row>
    <row r="1397" spans="1:11" s="29" customFormat="1" ht="102" x14ac:dyDescent="0.2">
      <c r="A1397" s="29">
        <v>334</v>
      </c>
      <c r="B1397" s="29" t="s">
        <v>7915</v>
      </c>
      <c r="C1397" s="29" t="s">
        <v>7916</v>
      </c>
      <c r="D1397" s="29">
        <v>2025</v>
      </c>
      <c r="I1397" s="29" t="s">
        <v>13</v>
      </c>
      <c r="J1397" s="29" t="s">
        <v>7917</v>
      </c>
      <c r="K1397" s="29" t="s">
        <v>7918</v>
      </c>
    </row>
    <row r="1398" spans="1:11" s="29" customFormat="1" ht="221" x14ac:dyDescent="0.2">
      <c r="A1398" s="29">
        <v>338</v>
      </c>
      <c r="B1398" s="29" t="s">
        <v>7919</v>
      </c>
      <c r="C1398" s="29" t="s">
        <v>7920</v>
      </c>
      <c r="D1398" s="29">
        <v>2020</v>
      </c>
      <c r="F1398" s="29">
        <v>136</v>
      </c>
      <c r="I1398" s="29" t="s">
        <v>13</v>
      </c>
      <c r="J1398" s="29" t="s">
        <v>7921</v>
      </c>
      <c r="K1398" s="29" t="s">
        <v>860</v>
      </c>
    </row>
    <row r="1399" spans="1:11" s="29" customFormat="1" ht="85" x14ac:dyDescent="0.2">
      <c r="A1399" s="29">
        <v>343</v>
      </c>
      <c r="B1399" s="29" t="s">
        <v>3641</v>
      </c>
      <c r="C1399" s="29" t="s">
        <v>3642</v>
      </c>
      <c r="D1399" s="29">
        <v>2022</v>
      </c>
      <c r="F1399" s="29">
        <v>17</v>
      </c>
      <c r="G1399" s="29">
        <v>1</v>
      </c>
      <c r="I1399" s="29" t="s">
        <v>13</v>
      </c>
      <c r="J1399" s="29" t="s">
        <v>3643</v>
      </c>
      <c r="K1399" s="29" t="s">
        <v>3644</v>
      </c>
    </row>
    <row r="1400" spans="1:11" s="29" customFormat="1" ht="102" x14ac:dyDescent="0.2">
      <c r="A1400" s="29">
        <v>351</v>
      </c>
      <c r="B1400" s="29" t="s">
        <v>4344</v>
      </c>
      <c r="C1400" s="29" t="s">
        <v>4345</v>
      </c>
      <c r="D1400" s="29">
        <v>2020</v>
      </c>
      <c r="F1400" s="29">
        <v>46</v>
      </c>
      <c r="G1400" s="29">
        <v>12</v>
      </c>
      <c r="I1400" s="29" t="s">
        <v>13</v>
      </c>
      <c r="J1400" s="29" t="s">
        <v>4346</v>
      </c>
      <c r="K1400" s="29" t="s">
        <v>4347</v>
      </c>
    </row>
    <row r="1401" spans="1:11" s="29" customFormat="1" ht="136" x14ac:dyDescent="0.2">
      <c r="A1401" s="29">
        <v>352</v>
      </c>
      <c r="B1401" s="29" t="s">
        <v>2934</v>
      </c>
      <c r="C1401" s="29" t="s">
        <v>7922</v>
      </c>
      <c r="D1401" s="29">
        <v>2021</v>
      </c>
      <c r="E1401" s="29" t="s">
        <v>5015</v>
      </c>
      <c r="F1401" s="29">
        <v>22</v>
      </c>
      <c r="G1401" s="29">
        <v>1</v>
      </c>
      <c r="I1401" s="29" t="s">
        <v>13</v>
      </c>
      <c r="J1401" s="29" t="s">
        <v>2936</v>
      </c>
      <c r="K1401" s="29" t="s">
        <v>2937</v>
      </c>
    </row>
    <row r="1402" spans="1:11" s="29" customFormat="1" ht="102" x14ac:dyDescent="0.2">
      <c r="A1402" s="29">
        <v>367</v>
      </c>
      <c r="B1402" s="29" t="s">
        <v>1598</v>
      </c>
      <c r="C1402" s="29" t="s">
        <v>1599</v>
      </c>
      <c r="D1402" s="29">
        <v>2022</v>
      </c>
      <c r="E1402" s="29" t="s">
        <v>4391</v>
      </c>
      <c r="F1402" s="29">
        <v>106</v>
      </c>
      <c r="I1402" s="29" t="s">
        <v>13</v>
      </c>
      <c r="J1402" s="29" t="s">
        <v>1600</v>
      </c>
      <c r="K1402" s="29" t="s">
        <v>1601</v>
      </c>
    </row>
    <row r="1403" spans="1:11" s="29" customFormat="1" ht="136" x14ac:dyDescent="0.2">
      <c r="A1403" s="29">
        <v>368</v>
      </c>
      <c r="B1403" s="29" t="s">
        <v>7923</v>
      </c>
      <c r="C1403" s="29" t="s">
        <v>7924</v>
      </c>
      <c r="D1403" s="29">
        <v>2024</v>
      </c>
      <c r="F1403" s="29">
        <v>108</v>
      </c>
      <c r="G1403" s="29">
        <v>6</v>
      </c>
      <c r="I1403" s="29" t="s">
        <v>13</v>
      </c>
      <c r="J1403" s="29" t="s">
        <v>7925</v>
      </c>
      <c r="K1403" s="29" t="s">
        <v>7926</v>
      </c>
    </row>
    <row r="1404" spans="1:11" s="29" customFormat="1" ht="119" x14ac:dyDescent="0.2">
      <c r="A1404" s="29">
        <v>374</v>
      </c>
      <c r="B1404" s="29" t="s">
        <v>7927</v>
      </c>
      <c r="C1404" s="29" t="s">
        <v>7928</v>
      </c>
      <c r="D1404" s="29">
        <v>2021</v>
      </c>
      <c r="E1404" s="29" t="s">
        <v>7929</v>
      </c>
      <c r="F1404" s="29">
        <v>28</v>
      </c>
      <c r="G1404" s="29">
        <v>13</v>
      </c>
      <c r="I1404" s="29" t="s">
        <v>13</v>
      </c>
      <c r="J1404" s="29" t="s">
        <v>7930</v>
      </c>
      <c r="K1404" s="29" t="s">
        <v>857</v>
      </c>
    </row>
    <row r="1405" spans="1:11" s="29" customFormat="1" ht="102" x14ac:dyDescent="0.2">
      <c r="A1405" s="29">
        <v>391</v>
      </c>
      <c r="B1405" s="29" t="s">
        <v>7931</v>
      </c>
      <c r="C1405" s="29" t="s">
        <v>7932</v>
      </c>
      <c r="D1405" s="29">
        <v>2022</v>
      </c>
      <c r="F1405" s="29">
        <v>275</v>
      </c>
      <c r="G1405" s="29">
        <v>3</v>
      </c>
      <c r="I1405" s="29" t="s">
        <v>13</v>
      </c>
      <c r="J1405" s="29" t="s">
        <v>7933</v>
      </c>
      <c r="K1405" s="29" t="s">
        <v>1211</v>
      </c>
    </row>
    <row r="1406" spans="1:11" s="29" customFormat="1" ht="102" x14ac:dyDescent="0.2">
      <c r="A1406" s="29">
        <v>393</v>
      </c>
      <c r="B1406" s="29" t="s">
        <v>7934</v>
      </c>
      <c r="C1406" s="29" t="s">
        <v>7935</v>
      </c>
      <c r="D1406" s="29">
        <v>2025</v>
      </c>
      <c r="E1406" s="29" t="s">
        <v>7936</v>
      </c>
      <c r="F1406" s="29">
        <v>32</v>
      </c>
      <c r="G1406" s="29">
        <v>2</v>
      </c>
      <c r="I1406" s="29" t="s">
        <v>386</v>
      </c>
      <c r="J1406" s="29" t="s">
        <v>7937</v>
      </c>
      <c r="K1406" s="29" t="s">
        <v>7938</v>
      </c>
    </row>
    <row r="1407" spans="1:11" s="29" customFormat="1" ht="102" x14ac:dyDescent="0.2">
      <c r="A1407" s="29">
        <v>397</v>
      </c>
      <c r="B1407" s="29" t="s">
        <v>2991</v>
      </c>
      <c r="C1407" s="29" t="s">
        <v>2992</v>
      </c>
      <c r="D1407" s="29">
        <v>2021</v>
      </c>
      <c r="F1407" s="29">
        <v>108</v>
      </c>
      <c r="G1407" s="29">
        <v>1</v>
      </c>
      <c r="I1407" s="29" t="s">
        <v>13</v>
      </c>
      <c r="J1407" s="29" t="s">
        <v>2993</v>
      </c>
      <c r="K1407" s="29" t="s">
        <v>2994</v>
      </c>
    </row>
    <row r="1408" spans="1:11" s="29" customFormat="1" ht="85" x14ac:dyDescent="0.2">
      <c r="A1408" s="29">
        <v>410</v>
      </c>
      <c r="B1408" s="29" t="s">
        <v>3057</v>
      </c>
      <c r="C1408" s="29" t="s">
        <v>3058</v>
      </c>
      <c r="D1408" s="29">
        <v>2020</v>
      </c>
      <c r="F1408" s="29">
        <v>4</v>
      </c>
      <c r="G1408" s="29">
        <v>1</v>
      </c>
      <c r="I1408" s="29" t="s">
        <v>13</v>
      </c>
      <c r="J1408" s="29" t="s">
        <v>3059</v>
      </c>
      <c r="K1408" s="29" t="s">
        <v>3060</v>
      </c>
    </row>
    <row r="1409" spans="1:11" s="29" customFormat="1" ht="85" x14ac:dyDescent="0.2">
      <c r="A1409" s="29">
        <v>426</v>
      </c>
      <c r="B1409" s="29" t="s">
        <v>4448</v>
      </c>
      <c r="C1409" s="29" t="s">
        <v>7939</v>
      </c>
      <c r="D1409" s="29">
        <v>2020</v>
      </c>
      <c r="F1409" s="29">
        <v>107</v>
      </c>
      <c r="G1409" s="29">
        <v>4</v>
      </c>
      <c r="I1409" s="29" t="s">
        <v>13</v>
      </c>
      <c r="J1409" s="29" t="s">
        <v>4450</v>
      </c>
      <c r="K1409" s="29" t="s">
        <v>4451</v>
      </c>
    </row>
  </sheetData>
  <sheetProtection formatCells="0" formatColumns="0" formatRows="0" insertColumns="0" insertRows="0" insertHyperlinks="0" deleteColumns="0" deleteRows="0" sort="0" autoFilter="0" pivotTables="0"/>
  <autoFilter ref="A1:AN1329" xr:uid="{00000000-0001-0000-0000-000000000000}"/>
  <hyperlinks>
    <hyperlink ref="L649" r:id="rId1" tooltip="See in ClinicalTrials.gov" display="http://clinicaltrials.gov/show/NCT01759901" xr:uid="{7876116E-5F97-0744-8256-F7D986454169}"/>
    <hyperlink ref="L650" r:id="rId2" tooltip="See in ClinicalTrials.gov" display="http://clinicaltrials.gov/show/NCT00730743" xr:uid="{63912E02-BDFA-3242-A01A-3EF043D8E98F}"/>
    <hyperlink ref="L654" r:id="rId3" tooltip="See in ClinicalTrials.gov" display="http://clinicaltrials.gov/show/NCT02727322" xr:uid="{A2669286-A2BA-FA4A-AF8E-2178633914D3}"/>
    <hyperlink ref="L658" r:id="rId4" tooltip="See in ClinicalTrials.gov" display="http://clinicaltrials.gov/show/NCT01986699" xr:uid="{FEB707F1-8CD2-C941-B63C-CBDA50709C6C}"/>
    <hyperlink ref="L659" r:id="rId5" tooltip="See in ClinicalTrials.gov" display="http://clinicaltrials.gov/show/NCT05513443" xr:uid="{2DC13EC0-94ED-5442-991A-5CEE493F8034}"/>
    <hyperlink ref="L662" r:id="rId6" tooltip="See in ClinicalTrials.gov" display="http://clinicaltrials.gov/show/NCT01317485" xr:uid="{BB0FAA4B-076D-E94A-AC19-946B5AFC61E5}"/>
    <hyperlink ref="L665" r:id="rId7" display="https://clinicaltrials.gov/ct2/show/NCT03875989?cond=Prolapse%3B+Female&amp;cntry=FR&amp;draw=3&amp;rank=12" xr:uid="{E96399E3-40CD-C047-86BA-585126113683}"/>
    <hyperlink ref="L666" r:id="rId8" tooltip="See in ClinicalTrials.gov" display="http://clinicaltrials.gov/show/NCT02919787" xr:uid="{876D2B2C-A51A-5741-9DEF-40B54B888A5E}"/>
    <hyperlink ref="L667" r:id="rId9" tooltip="See in ClinicalTrials.gov" display="http://clinicaltrials.gov/show/NCT01460615" xr:uid="{955EBD6F-9378-C145-8D88-79A8D7C65BA2}"/>
    <hyperlink ref="L668" r:id="rId10" tooltip="See in ClinicalTrials.gov" display="http://clinicaltrials.gov/show/NCT04575233" xr:uid="{B5F11117-9635-4D44-A58B-D9094777B6F5}"/>
    <hyperlink ref="L669" r:id="rId11" tooltip="See in ClinicalTrials.gov" display="http://clinicaltrials.gov/show/NCT03957109" xr:uid="{F7D13D5C-32B7-474E-938C-FAC9EB719388}"/>
    <hyperlink ref="L670" r:id="rId12" tooltip="See in ClinicalTrials.gov" display="http://clinicaltrials.gov/show/NCT03269955" xr:uid="{2F34636A-4494-9349-B055-6CC1F1E27265}"/>
    <hyperlink ref="L675" r:id="rId13" tooltip="See in ClinicalTrials.gov" display="http://clinicaltrials.gov/show/NCT03317184" xr:uid="{2FB7F088-3196-E041-AE4F-377DBF43D770}"/>
    <hyperlink ref="L679" r:id="rId14" tooltip="See in ClinicalTrials.gov" display="http://clinicaltrials.gov/show/NCT03522259" xr:uid="{2BD912B1-FCCF-9640-B5A9-6FE965AB2EB6}"/>
    <hyperlink ref="L680" r:id="rId15" tooltip="See in ClinicalTrials.gov" display="http://clinicaltrials.gov/show/NCT01595230" xr:uid="{6B04B559-A1CA-2D4D-9544-B17FC5B1B58C}"/>
    <hyperlink ref="L685" r:id="rId16" tooltip="See in ClinicalTrials.gov" display="http://clinicaltrials.gov/show/NCT04219787" xr:uid="{080DDE46-C3FE-E748-98DB-0838E602109A}"/>
    <hyperlink ref="L686" r:id="rId17" tooltip="See in ClinicalTrials.gov" display="http://clinicaltrials.gov/show/NCT02601092" xr:uid="{55B993A9-4CFD-454E-B398-0B9CF731DB43}"/>
    <hyperlink ref="L688" r:id="rId18" display="https://bmjopen.bmj.com/lookup/external-ref?link_type=CLINTRIALGOV&amp;access_num=NCT04534998&amp;atom=%2Fbmjopen%2F11%2F11%2Fe052087.atom" xr:uid="{D06E40BC-C918-1C44-AC49-990B835C8E64}"/>
    <hyperlink ref="L692" r:id="rId19" tooltip="See in ClinicalTrials.gov" display="http://clinicaltrials.gov/show/NCT03772028" xr:uid="{CC5BC1A0-7288-F243-A13D-81B5DCEE1840}"/>
    <hyperlink ref="L697" r:id="rId20" tooltip="See in ClinicalTrials.gov" display="http://clinicaltrials.gov/show/NCT01921985" xr:uid="{D5C59BAA-8ABD-2C40-8C2C-63B79020B45E}"/>
    <hyperlink ref="L700" r:id="rId21" tooltip="See in ClinicalTrials.gov" display="http://clinicaltrials.gov/show/NCT02481427" xr:uid="{8F1A4875-52B1-B045-A7BD-ADD367AF95D7}"/>
    <hyperlink ref="L703" r:id="rId22" tooltip="See in ClinicalTrials.gov" display="http://clinicaltrials.gov/show/NCT02848820" xr:uid="{50711082-9BF2-B747-B177-3C50276776C1}"/>
    <hyperlink ref="L709" r:id="rId23" tooltip="See in ClinicalTrials.gov" display="http://clinicaltrials.gov/show/NCT01362127" xr:uid="{27C2C94D-B3ED-6347-B915-F2A25EBA5021}"/>
    <hyperlink ref="L713" r:id="rId24" tooltip="See in ClinicalTrials.gov" display="http://clinicaltrials.gov/show/NCT02415335" xr:uid="{86A9DD3A-BF6F-EE46-AF2B-9F37BE5D78BE}"/>
    <hyperlink ref="L714" r:id="rId25" tooltip="See in ClinicalTrials.gov" display="http://clinicaltrials.gov/show/NCT02711449" xr:uid="{387751A2-4AD7-1443-A54E-71042522F71C}"/>
    <hyperlink ref="L715" r:id="rId26" tooltip="See in ClinicalTrials.gov" display="http://clinicaltrials.gov/show/NCT01084070" xr:uid="{3E0BDBE2-495E-E14F-90B1-F7E9036363FD}"/>
    <hyperlink ref="L717" r:id="rId27" tooltip="See in ClinicalTrials.gov" display="http://clinicaltrials.gov/show/NCT02026687" xr:uid="{85B77B74-EA46-2948-8D67-92F7A0FCD3AD}"/>
    <hyperlink ref="L720" r:id="rId28" tooltip="See in ClinicalTrials.gov" display="http://clinicaltrials.gov/show/NCT04801238" xr:uid="{45834A24-BD37-4C48-A47A-97B37E4E3FA4}"/>
    <hyperlink ref="L729" r:id="rId29" tooltip="See in ClinicalTrials.gov" display="http://clinicaltrials.gov/show/NCT02843191" xr:uid="{9032A16C-7CA4-C64F-9312-657B54D9719A}"/>
    <hyperlink ref="L737" r:id="rId30" tooltip="See in ClinicalTrials.gov" display="http://clinicaltrials.gov/show/NCT05356962" xr:uid="{DCB3706C-8CD4-C542-9D29-3B2077806052}"/>
    <hyperlink ref="L740" r:id="rId31" tooltip="See in ClinicalTrials.gov" display="http://clinicaltrials.gov/show/NCT01384617" xr:uid="{6E546B71-5653-024F-9D76-4717F04A7F09}"/>
    <hyperlink ref="L742" r:id="rId32" tooltip="See in ClinicalTrials.gov" display="http://clinicaltrials.gov/show/NCT01526668" xr:uid="{AE8C1BC8-00D8-604F-A888-2A79783776A4}"/>
    <hyperlink ref="L745" r:id="rId33" tooltip="See in ClinicalTrials.gov" display="http://clinicaltrials.gov/show/NCT01675999" xr:uid="{A3C5F43D-9CA6-2645-BCEE-5BB22A45C8DB}"/>
    <hyperlink ref="L746" r:id="rId34" tooltip="See in ClinicalTrials.gov" display="http://clinicaltrials.gov/show/NCT01675999" xr:uid="{32709622-4901-9B46-8A9A-D9CF575334A3}"/>
    <hyperlink ref="L749" r:id="rId35" display="https://bmjopen.bmj.com/lookup/external-ref?link_type=CLINTRIALGOV&amp;access_num=NCT02261415&amp;atom=%2Fbmjopen%2F12%2F2%2Fe058850.atom" xr:uid="{402C2E92-AF14-1543-A690-7260F0BB1318}"/>
    <hyperlink ref="L750" r:id="rId36" tooltip="See in ClinicalTrials.gov" display="http://clinicaltrials.gov/show/NCT01960049" xr:uid="{36AA5D6B-7D34-D046-A10A-E2DDBF7452D4}"/>
    <hyperlink ref="L753" r:id="rId37" tooltip="See in ClinicalTrials.gov" display="http://clinicaltrials.gov/show/NCT03009227" xr:uid="{50276866-F519-414D-8704-1F9AACF2B3E6}"/>
    <hyperlink ref="L754" r:id="rId38" tooltip="See in ClinicalTrials.gov" display="http://clinicaltrials.gov/show/NCT04293146" xr:uid="{3F6A74F6-FC35-B34A-9DC1-093EA2412A77}"/>
    <hyperlink ref="L757" r:id="rId39" tooltip="See in ClinicalTrials.gov" display="http://clinicaltrials.gov/show/NCT01480128" xr:uid="{D156C3BD-1C4C-AC4B-93DA-0D84F1C7ACD8}"/>
    <hyperlink ref="L762" r:id="rId40" tooltip="See in ClinicalTrials.gov" display="http://clinicaltrials.gov/show/NCT05080114" xr:uid="{2B9D9C98-7123-A847-B7DC-0DCE51DBDCD8}"/>
    <hyperlink ref="L768" r:id="rId41" tooltip="See in ClinicalTrials.gov" display="http://clinicaltrials.gov/show/NCT00722709" xr:uid="{D71F8F91-5C73-B848-8C3E-BD39AE78B1DD}"/>
    <hyperlink ref="L772" r:id="rId42" tooltip="See in ClinicalTrials.gov" display="http://clinicaltrials.gov/show/NCT00915265" xr:uid="{65691BEF-CDAE-CB45-A233-49020447C69D}"/>
    <hyperlink ref="L776" r:id="rId43" tooltip="See in ClinicalTrials.gov" display="http://clinicaltrials.gov/show/NCT05042882" xr:uid="{C204DCE4-CB63-C246-B5BB-2D6B655668E4}"/>
    <hyperlink ref="L779" r:id="rId44" tooltip="See in ClinicalTrials.gov" display="http://clinicaltrials.gov/show/NCT03134534" xr:uid="{7651CE49-4A7D-0244-9B1F-41E83850401A}"/>
    <hyperlink ref="L780" r:id="rId45" tooltip="See in ClinicalTrials.gov" display="http://clinicaltrials.gov/show/NCT02533271" xr:uid="{A6F110D6-53BB-3F40-AF6D-A63C39A3EA64}"/>
    <hyperlink ref="L781" r:id="rId46" tooltip="See in ClinicalTrials.gov" display="http://clinicaltrials.gov/show/NCT04400357" xr:uid="{B380491B-A68C-2D4B-81B8-F03E28117F5B}"/>
    <hyperlink ref="L783" r:id="rId47" tooltip="See in ClinicalTrials.gov" display="http://clinicaltrials.gov/show/NCT01899547" xr:uid="{E7FEDDA8-87B8-6E49-A659-50E99038A0D8}"/>
    <hyperlink ref="L1253" r:id="rId48" tooltip="See in ClinicalTrials.gov" display="http://clinicaltrials.gov/show/NCT02279771" xr:uid="{62B5179F-075B-A142-9C80-A37D996274B9}"/>
    <hyperlink ref="L1254" r:id="rId49" tooltip="See in ClinicalTrials.gov" display="http://clinicaltrials.gov/show/NCT02950324" xr:uid="{971CF23B-5673-424D-81A5-B0D935BA1CBD}"/>
    <hyperlink ref="L1255" r:id="rId50" tooltip="See in ClinicalTrials.gov" display="http://clinicaltrials.gov/show/NCT03045107" xr:uid="{7EA7775A-3EFE-EC49-A66A-2BABFE20209B}"/>
    <hyperlink ref="L1259" r:id="rId51" tooltip="See in ClinicalTrials.gov" display="http://clinicaltrials.gov/show/NCT03658863" xr:uid="{4EE25058-55F8-E042-9784-F62DCCAC5B6A}"/>
    <hyperlink ref="L1260" r:id="rId52" tooltip="See in ClinicalTrials.gov" display="http://clinicaltrials.gov/show/NCT00064662" xr:uid="{551E2B4D-33FB-D54A-8A2E-D31E56A4299C}"/>
    <hyperlink ref="L1264" r:id="rId53" tooltip="See in ClinicalTrials.gov" display="http://clinicaltrials.gov/show/NCT05480735" xr:uid="{E4EED8FE-48C2-5347-9280-65338D0E3A28}"/>
    <hyperlink ref="L1267" r:id="rId54" tooltip="See in ClinicalTrials.gov" display="http://clinicaltrials.gov/show/NCT01256034" xr:uid="{90540797-351F-FA43-8726-79836D4DDA60}"/>
    <hyperlink ref="L1268" r:id="rId55" tooltip="See in ClinicalTrials.gov" display="http://clinicaltrials.gov/show/NCT02542085" xr:uid="{A47ACA3A-3EAD-D645-AA2B-7E2A4938C2F5}"/>
    <hyperlink ref="L1278" r:id="rId56" tooltip="See in ClinicalTrials.gov" display="http://clinicaltrials.gov/show/NCT00487409" xr:uid="{F55E5B33-DD4B-FE4A-A67A-BBA424E0D533}"/>
    <hyperlink ref="L1281" r:id="rId57" tooltip="See in ClinicalTrials.gov" display="http://clinicaltrials.gov/show/NCT03406975" xr:uid="{EF331DA7-766F-B746-945E-567834055AD5}"/>
    <hyperlink ref="L1282" r:id="rId58" tooltip="See in ClinicalTrials.gov" display="http://clinicaltrials.gov/show/NCT02054013" xr:uid="{51F34D67-E304-894C-89BB-B04FE4650D4A}"/>
    <hyperlink ref="L1285" r:id="rId59" tooltip="See in ClinicalTrials.gov" display="http://clinicaltrials.gov/show/NCT02085902" xr:uid="{060C95ED-B025-1244-8EDB-1B515F083CD9}"/>
    <hyperlink ref="L1289" r:id="rId60" tooltip="See in ClinicalTrials.gov" display="http://clinicaltrials.gov/show/NCT01974388" xr:uid="{7070FE83-BAEE-AC4E-AB71-0378C9041184}"/>
    <hyperlink ref="L1118" r:id="rId61" tooltip="See in ClinicalTrials.gov" display="http://clinicaltrials.gov/show/NCT04243967" xr:uid="{22EC6B8D-629F-D84B-9899-631DF1D98E54}"/>
    <hyperlink ref="L1121" r:id="rId62" tooltip="See in ClinicalTrials.gov" display="http://clinicaltrials.gov/show/NCT04053595" xr:uid="{7C778A77-BE4C-444A-AF3D-0F1BABA9AE92}"/>
    <hyperlink ref="L1122" r:id="rId63" tooltip="See in ClinicalTrials.gov" display="http://clinicaltrials.gov/show/NCT037812016" xr:uid="{E50B4037-A5F5-3744-8906-F0E6BC8177CE}"/>
    <hyperlink ref="L1124" r:id="rId64" tooltip="See in ClinicalTrials.gov" display="http://clinicaltrials.gov/show/NCT00227526" xr:uid="{65A8BF2D-FD9C-3E41-8D40-D80DAA618E62}"/>
    <hyperlink ref="L1125" r:id="rId65" display="https://clinicaltrials.gov/ct2/show/NCT02502760" xr:uid="{EB7B06B3-04F1-1C47-960D-F8108C8AF86D}"/>
    <hyperlink ref="L1127" r:id="rId66" tooltip="See in ClinicalTrials.gov" display="http://clinicaltrials.gov/show/NCT02662257" xr:uid="{A76534B6-F1A0-5842-A30D-8AF82D399C48}"/>
    <hyperlink ref="L1129" r:id="rId67" tooltip="See in ClinicalTrials.gov" display="http://clinicaltrials.gov/show/NCT02479685" xr:uid="{6A6EA498-1E79-F649-9494-BDCBC2CE0128}"/>
    <hyperlink ref="L1130" r:id="rId68" tooltip="See in ClinicalTrials.gov" display="http://clinicaltrials.gov/show/NCT02430168" xr:uid="{7122F3E2-C6BF-A647-898A-F269456C8081}"/>
    <hyperlink ref="L1132" r:id="rId69" tooltip="See in ClinicalTrials.gov" display="http://clinicaltrials.gov/show/NCT01728116" xr:uid="{77138EB4-2389-7B48-AC25-DD09B821F44A}"/>
    <hyperlink ref="L1135" r:id="rId70" tooltip="See in ClinicalTrials.gov" display="http://clinicaltrials.gov/show/NCT03984734" xr:uid="{DAB1472F-2E06-E548-97B1-D6A2371E0DB8}"/>
    <hyperlink ref="L1136" r:id="rId71" tooltip="See in ClinicalTrials.gov" display="http://clinicaltrials.gov/show/NCT00915863" xr:uid="{78B118C5-FDB8-9343-9A9A-DC4C0E8FA2F0}"/>
    <hyperlink ref="L1137" r:id="rId72" tooltip="See in ClinicalTrials.gov" display="http://clinicaltrials.gov/show/NCT02841293" xr:uid="{8085E12B-87E4-D740-B8B8-5C2703CB5939}"/>
    <hyperlink ref="L1140" r:id="rId73" display="https://www.drks.de/drks_web/navigate.do?navigationId=trial.HTML&amp;TRIAL_ID=DRKS00024395" xr:uid="{D507A55B-1A12-684B-8672-2A653F131233}"/>
    <hyperlink ref="L1142" r:id="rId74" tooltip="See in ClinicalTrials.gov" display="http://clinicaltrials.gov/show/NCT02838134" xr:uid="{D159CDC0-18A2-9F49-806B-4B0E88774B49}"/>
    <hyperlink ref="L1143" r:id="rId75" tooltip="See in ClinicalTrials.gov" display="http://clinicaltrials.gov/show/NCT03963427" xr:uid="{D9E120C0-0E82-0B4C-878A-B63B25282F2B}"/>
    <hyperlink ref="L1145" r:id="rId76" tooltip="See in ClinicalTrials.gov" display="http://clinicaltrials.gov/show/NCT 00692393" xr:uid="{DDC4DA17-EBD3-D749-9F12-04DE6B90B146}"/>
    <hyperlink ref="L1146" r:id="rId77" tooltip="See in ClinicalTrials.gov" display="http://clinicaltrials.gov/show/NCT00554892" xr:uid="{FA4EC408-E59A-A748-8355-C4804285690D}"/>
    <hyperlink ref="L1153" r:id="rId78" tooltip="See in ClinicalTrials.gov" display="http://clinicaltrials.gov/show/NCT01870817" xr:uid="{955F4865-5FA7-8A4C-9334-D6528E1D6F36}"/>
    <hyperlink ref="L1158" r:id="rId79" tooltip="See in ClinicalTrials.gov" display="http://clinicaltrials.gov/show/NCT02371304" xr:uid="{D17B83CF-5510-F24D-819D-D3C335993E12}"/>
    <hyperlink ref="L1163" r:id="rId80" tooltip="See in ClinicalTrials.gov" display="http://clinicaltrials.gov/show/NCT01344018" xr:uid="{5AD401B6-DF83-0541-B8C6-589AA091AB20}"/>
    <hyperlink ref="L1165" r:id="rId81" tooltip="See in ClinicalTrials.gov" display="http://clinicaltrials.gov/show/NCT02162563" xr:uid="{2765E6CC-14C4-BD48-9850-5C0CCE8E21DB}"/>
    <hyperlink ref="L1166" r:id="rId82" tooltip="See in ClinicalTrials.gov" display="http://clinicaltrials.gov/show/NCT02667860" xr:uid="{738DFD81-233D-564C-94C6-DFA7B9760001}"/>
    <hyperlink ref="L1168" r:id="rId83" tooltip="See in ClinicalTrials.gov" display="http://clinicaltrials.gov/show/NCT04007952" xr:uid="{739FBD77-8483-2B46-9C97-CB1A30563270}"/>
    <hyperlink ref="L1172" r:id="rId84" tooltip="See in ClinicalTrials.gov" display="http://clinicaltrials.gov/show/NCT04558151" xr:uid="{CC75F8F7-337C-0B4F-9A6D-4A0D45696446}"/>
    <hyperlink ref="L1174" r:id="rId85" tooltip="See in ClinicalTrials.gov" display="http://clinicaltrials.gov/show/NCT01766661" xr:uid="{112A05D9-85AA-E14C-AFCD-3E2639D2827B}"/>
    <hyperlink ref="L1176" r:id="rId86" tooltip="See in ClinicalTrials.gov" display="http://clinicaltrials.gov/show/NCT03872271" xr:uid="{C2F7F94B-8A96-1D48-90CF-46CB071C6925}"/>
    <hyperlink ref="L1177" r:id="rId87" tooltip="See in ClinicalTrials.gov" display="http://clinicaltrials.gov/show/NCT04781049" xr:uid="{62F9A918-0166-A349-B112-6AF0344DBCDA}"/>
    <hyperlink ref="L1178" r:id="rId88" tooltip="See in ClinicalTrials.gov" display="http://clinicaltrials.gov/show/NCT05130918" xr:uid="{09AB8F90-E3BA-724E-BA61-60FFDDD72022}"/>
    <hyperlink ref="L1183" r:id="rId89" display="https://clinicaltrials.gov/show/NCT00359320" xr:uid="{82E67104-85BD-9E4A-B70A-6DAED2B6D3D6}"/>
    <hyperlink ref="L1184" r:id="rId90" display="https://clinicaltrials.gov/ct2/show/NCT03281460" xr:uid="{44D31109-3F4B-B044-9AEE-9EB8888B824D}"/>
    <hyperlink ref="L1190" r:id="rId91" tooltip="See in ClinicalTrials.gov" display="http://clinicaltrials.gov/show/NCT04461301" xr:uid="{F5C09F94-431E-3840-9979-FEDD47B53D78}"/>
    <hyperlink ref="L1192" r:id="rId92" tooltip="See in ClinicalTrials.gov" display="http://clinicaltrials.gov/show/NCT02613728" xr:uid="{FD076D5B-939B-A242-87B0-BC8CB5C31B4C}"/>
    <hyperlink ref="L1193" r:id="rId93" tooltip="See in ClinicalTrials.gov" display="http://clinicaltrials.gov/show/NCT02555293" xr:uid="{A9A72FEF-227A-1546-956E-EB0DF36F04D9}"/>
    <hyperlink ref="L1194" r:id="rId94" tooltip="See in ClinicalTrials.gov" display="http://clinicaltrials.gov/show/NCT00516711" xr:uid="{EA9C075D-EA68-474C-99FD-2A37F98F44A1}"/>
    <hyperlink ref="L1195" r:id="rId95" tooltip="See in ClinicalTrials.gov" display="http://clinicaltrials.gov/show/NCT00913276" xr:uid="{79ABA71A-5FEF-B64B-9EF6-807D71F805A1}"/>
    <hyperlink ref="K1301" r:id="rId96" xr:uid="{134AD6F5-0CAD-8D48-A7A7-7A84BC7C1FFD}"/>
    <hyperlink ref="J1320" r:id="rId97" xr:uid="{41143863-5C02-AB44-B560-C1B916B054D4}"/>
    <hyperlink ref="K1320" r:id="rId98" xr:uid="{7921019F-BA93-0346-99EA-A72A1CC2F960}"/>
    <hyperlink ref="K1327" r:id="rId99" xr:uid="{62A095E6-904E-9E4E-B641-72827A9C6DB4}"/>
    <hyperlink ref="J1327" r:id="rId100" xr:uid="{3D582E23-06C2-F74C-9112-EA87F1395270}"/>
    <hyperlink ref="L1327" r:id="rId101" xr:uid="{C50976F5-881B-654E-9C1B-DA24B9E4C3BF}"/>
    <hyperlink ref="K1328" r:id="rId102" xr:uid="{68C49975-1CAB-0C44-A4DC-3149D710DF6E}"/>
    <hyperlink ref="J1328" r:id="rId103" xr:uid="{9FC883BA-0608-304E-853F-69762E70EBD0}"/>
    <hyperlink ref="J1293" r:id="rId104" location="bib17" xr:uid="{EAA51D4C-9B8E-114C-9E5D-72EE62C02CE9}"/>
    <hyperlink ref="K1293" r:id="rId105" xr:uid="{1C222BB3-106E-DC4F-9EE3-A1F33CFB5CA2}"/>
    <hyperlink ref="K1294" r:id="rId106" xr:uid="{B31E779B-FAC5-994A-AA23-8B057C57258D}"/>
    <hyperlink ref="J1294" r:id="rId107" xr:uid="{EA0F7B19-0CC1-E74E-82F5-95EDD1CE5595}"/>
    <hyperlink ref="L1294" r:id="rId108" xr:uid="{0697BACA-264C-0D48-8422-C1D174B9433E}"/>
    <hyperlink ref="K1295" r:id="rId109" xr:uid="{5119C2E8-413D-584E-94D8-0D6979517E35}"/>
    <hyperlink ref="J1295" r:id="rId110" xr:uid="{941B6A76-853E-6C40-8D9F-76A25B4C931B}"/>
    <hyperlink ref="L1295" r:id="rId111" xr:uid="{82F8BC56-9A8B-2D42-9459-D23124A43E1A}"/>
    <hyperlink ref="J1298" r:id="rId112" xr:uid="{CA6480DB-6852-9248-936A-AE5106597E18}"/>
    <hyperlink ref="K1298" r:id="rId113" xr:uid="{0931D6FC-19DF-EC4D-9E60-2A96D5A0BEE7}"/>
    <hyperlink ref="L1298" r:id="rId114" xr:uid="{9825B1D2-9573-7D4D-8AEB-C84B557E6921}"/>
    <hyperlink ref="J1299" r:id="rId115" xr:uid="{0959D579-A979-B744-AE8D-CAAB3B53F643}"/>
    <hyperlink ref="K1299" r:id="rId116" xr:uid="{43693DE5-F61F-B444-BBB9-93FDEC849BCA}"/>
    <hyperlink ref="L1299" r:id="rId117" xr:uid="{FC751F74-1805-404E-9474-B62F708FFDB5}"/>
    <hyperlink ref="K1300" r:id="rId118" display="https://doi.org/10.1002/bjs5.71" xr:uid="{C936DD0B-9EDD-C54F-A5E7-BC65D660D65D}"/>
    <hyperlink ref="J1315" r:id="rId119" xr:uid="{905282D4-2188-BC4E-A620-E870EE4A744A}"/>
    <hyperlink ref="K1315" r:id="rId120" xr:uid="{7CF7CC33-698C-7B4A-9ECD-8D70391ACDE8}"/>
    <hyperlink ref="L1315" r:id="rId121" xr:uid="{449C21EF-6F51-B248-B081-4ACA659825F7}"/>
    <hyperlink ref="J1318" r:id="rId122" xr:uid="{3500E8A5-9ACF-314E-9EAE-0B77876EB3B7}"/>
    <hyperlink ref="K1318" r:id="rId123" display="https://doi.org/10.1111/bju.15619" xr:uid="{58F71568-F758-C14B-A4E2-C3110D35B41F}"/>
    <hyperlink ref="L77" r:id="rId124" xr:uid="{421B0F22-C33E-394F-94A1-A50DE82BAA1D}"/>
    <hyperlink ref="L83" r:id="rId125" xr:uid="{C90E4FEC-EDE2-2B4F-942A-4D3F76D7BB54}"/>
    <hyperlink ref="L94" r:id="rId126" xr:uid="{B050C01F-3F3E-C84B-93A3-1D2E987BE588}"/>
    <hyperlink ref="L95" r:id="rId127" xr:uid="{2C3B0C41-B238-2146-80D7-C42657341359}"/>
    <hyperlink ref="L97" r:id="rId128" xr:uid="{E2DA4D61-538F-0C4E-AF53-BB310E0115DA}"/>
    <hyperlink ref="L98" r:id="rId129" xr:uid="{B214A86A-AAC1-9F49-96DB-5C926DFC7AEC}"/>
    <hyperlink ref="L105" r:id="rId130" xr:uid="{43E37000-4D67-5F47-A495-6418D375BFD0}"/>
    <hyperlink ref="L106" r:id="rId131" xr:uid="{AAE44039-5678-5442-B173-BD9261F61BFC}"/>
    <hyperlink ref="L109" r:id="rId132" xr:uid="{EDA8FE73-6FF5-A64B-8844-DED006F985DE}"/>
    <hyperlink ref="L114" r:id="rId133" xr:uid="{1583E378-9EA7-D84D-B09A-A935EB971FC3}"/>
    <hyperlink ref="L115" r:id="rId134" xr:uid="{E0FD7590-DBB1-234E-A533-5F61934CA89B}"/>
    <hyperlink ref="L122" r:id="rId135" xr:uid="{4CD53837-C8E6-C947-9264-517861B7D65D}"/>
    <hyperlink ref="L123" r:id="rId136" xr:uid="{F2C7873F-24F7-6744-B875-17BCB167CD00}"/>
    <hyperlink ref="L124" r:id="rId137" xr:uid="{65B43FDA-BACD-BA49-8F74-A99BDBA8BB3C}"/>
    <hyperlink ref="L128" r:id="rId138" xr:uid="{3394EFC4-CE58-EF4B-AA6C-590AFF9AE89A}"/>
    <hyperlink ref="L131" r:id="rId139" xr:uid="{D30AA2A4-92C9-9D4A-9D17-F695F7EB412A}"/>
    <hyperlink ref="L134" r:id="rId140" xr:uid="{267162D5-F955-364C-9770-6D474921F076}"/>
    <hyperlink ref="L146" r:id="rId141" xr:uid="{7F5CA21E-8F81-FA42-AE76-19CBD1A81F37}"/>
    <hyperlink ref="L150" r:id="rId142" xr:uid="{354717AE-ECAA-FF47-8EA9-A74FFE4D2EC7}"/>
    <hyperlink ref="L152" r:id="rId143" xr:uid="{1738DDAD-BCA2-7D4F-AF23-472094D58A93}"/>
    <hyperlink ref="L155" r:id="rId144" xr:uid="{5409184B-080A-B148-A8B2-7A20E437687A}"/>
    <hyperlink ref="L157" r:id="rId145" xr:uid="{6706D048-B795-E047-AF6B-1305E1BAAD30}"/>
    <hyperlink ref="L160" r:id="rId146" xr:uid="{F0B9D460-F118-F249-A302-8EA177D4E1F5}"/>
    <hyperlink ref="L161" r:id="rId147" xr:uid="{D874DACB-E724-4A43-B91E-59E1254D02B0}"/>
    <hyperlink ref="L164" r:id="rId148" xr:uid="{D60DDACB-50FB-A342-9DC9-9ACBA5D26785}"/>
    <hyperlink ref="L169" r:id="rId149" xr:uid="{121264CA-576F-114B-9741-871E7B530F06}"/>
    <hyperlink ref="L170" r:id="rId150" xr:uid="{BB21DFC5-4155-654D-9A1A-E0C567BE0A71}"/>
    <hyperlink ref="L172" r:id="rId151" xr:uid="{563F18AA-2599-E443-BCC7-5AC82985E75A}"/>
    <hyperlink ref="L173" r:id="rId152" xr:uid="{6A78C8AA-426A-8247-8A24-B0162F62DA64}"/>
    <hyperlink ref="L174" r:id="rId153" xr:uid="{952B5A9E-3298-934F-8DAE-80F5150ED2C2}"/>
    <hyperlink ref="L179" r:id="rId154" xr:uid="{DB77B8DD-C0E4-F643-A278-A18F53F110CC}"/>
    <hyperlink ref="L181" r:id="rId155" xr:uid="{038C93D6-2756-8647-BD6F-2092AFC61291}"/>
    <hyperlink ref="L182" r:id="rId156" xr:uid="{574CDB1E-BD43-C044-9E2E-0B949F0B932F}"/>
    <hyperlink ref="L183" r:id="rId157" xr:uid="{AEC797A6-1BA8-874B-BF34-AE241504D1B1}"/>
    <hyperlink ref="L194" r:id="rId158" xr:uid="{2E3AC54C-7BCA-8542-95FB-904E6985D035}"/>
    <hyperlink ref="L195" r:id="rId159" xr:uid="{6C19A844-883F-B14D-9BEB-988B7637A8C6}"/>
    <hyperlink ref="L201" r:id="rId160" xr:uid="{F45C1DD9-B214-FC4B-A1DB-26E9F2754B6A}"/>
    <hyperlink ref="L202" r:id="rId161" xr:uid="{5F597ECB-DD75-8945-B3E5-4D568000CEDE}"/>
    <hyperlink ref="L204" r:id="rId162" xr:uid="{0FD1C97C-6AB2-5246-8409-A6DE4165515F}"/>
    <hyperlink ref="L208" r:id="rId163" xr:uid="{6485BA3E-2915-8842-A4F3-FFAE1039F8C2}"/>
    <hyperlink ref="L211" r:id="rId164" xr:uid="{59B1424F-3719-8E4D-AA88-D049A6A2D4A8}"/>
    <hyperlink ref="L215" r:id="rId165" xr:uid="{ED11AA31-A106-774D-99B0-073B4C6C64D6}"/>
    <hyperlink ref="L220" r:id="rId166" xr:uid="{B47CB388-0912-5740-A789-C2A78C938192}"/>
    <hyperlink ref="L223" r:id="rId167" xr:uid="{00E44346-6E99-AC49-AAD8-59860B7116C2}"/>
    <hyperlink ref="L225" r:id="rId168" xr:uid="{FBC22415-6DF9-7342-A803-AA81A21B501A}"/>
    <hyperlink ref="L229" r:id="rId169" xr:uid="{645C71E8-BD6F-5941-8DCB-CFE631303F54}"/>
    <hyperlink ref="L236" r:id="rId170" xr:uid="{0E35723E-FCCC-2A40-A63E-084324CFD9C2}"/>
    <hyperlink ref="L238" r:id="rId171" xr:uid="{BF3ACF81-A91A-6241-8889-2229004B94C4}"/>
    <hyperlink ref="L240" r:id="rId172" xr:uid="{0E221487-3F73-A042-9CE6-8E2B03A8BB33}"/>
    <hyperlink ref="L242" r:id="rId173" xr:uid="{BC92DC8E-ACF7-D54F-85A0-F8A75FCCBCC3}"/>
    <hyperlink ref="L243" r:id="rId174" xr:uid="{82201BF7-DAB5-BF4E-8C25-A45367C0070A}"/>
    <hyperlink ref="L245" r:id="rId175" xr:uid="{287FC8D3-CC19-3945-A287-D777ECCE616B}"/>
    <hyperlink ref="L248" r:id="rId176" xr:uid="{329C540A-9F5E-4C48-A8A6-7FEAEA8F7750}"/>
    <hyperlink ref="L250" r:id="rId177" xr:uid="{EF86EB43-7D73-E14B-AD8D-B60C9B9673C1}"/>
    <hyperlink ref="L252" r:id="rId178" xr:uid="{C93FB9FC-55D9-1441-8D1F-4FFD5A3DDA81}"/>
    <hyperlink ref="L261" r:id="rId179" xr:uid="{23832CF8-9C4F-8843-A36C-0FA9ADEF9DEC}"/>
    <hyperlink ref="L262" r:id="rId180" xr:uid="{E7CCDE34-5716-0D42-9A80-B9B30038AC32}"/>
    <hyperlink ref="L263" r:id="rId181" xr:uid="{113B9BF0-30F7-3F40-9E86-5777006ED2F9}"/>
    <hyperlink ref="L267" r:id="rId182" xr:uid="{A0A16786-A817-964F-8548-20C9BEE0BC33}"/>
    <hyperlink ref="L268" r:id="rId183" xr:uid="{6DEB4714-B53C-8E4D-87CE-9705DD377D4E}"/>
    <hyperlink ref="L269" r:id="rId184" xr:uid="{3D98B464-7A4B-2D41-B81C-8B0E2500373B}"/>
    <hyperlink ref="L270" r:id="rId185" xr:uid="{B7769CEE-1B88-244D-A7E2-9CF93F86A497}"/>
    <hyperlink ref="L275" r:id="rId186" xr:uid="{DB420F3B-C758-A644-8656-95CE10DE88E7}"/>
    <hyperlink ref="L277" r:id="rId187" xr:uid="{207F97A9-4460-4347-8606-CC5AF174751A}"/>
    <hyperlink ref="L280" r:id="rId188" xr:uid="{26ECC9B2-F9F7-FE40-B461-1B406AE8BB35}"/>
    <hyperlink ref="L281" r:id="rId189" xr:uid="{BFD08EAB-4EE4-D949-A834-3D4DDE073160}"/>
    <hyperlink ref="L283" r:id="rId190" xr:uid="{43C18CD3-5B2C-AF45-8ADD-A48FE44A35B4}"/>
    <hyperlink ref="L285" r:id="rId191" xr:uid="{4B462A8A-E6A7-B948-BDA1-FDF919A8D2E5}"/>
    <hyperlink ref="L287" r:id="rId192" xr:uid="{EDB0AFFB-BFE7-2940-93B8-038EF414C60C}"/>
    <hyperlink ref="L288" r:id="rId193" xr:uid="{76FEC94C-2661-B842-BE6F-6E842328FD6A}"/>
    <hyperlink ref="L289" r:id="rId194" xr:uid="{85FEE4C1-DE4D-9B45-9476-8439756EB140}"/>
    <hyperlink ref="L296" r:id="rId195" xr:uid="{ACDCD08D-C1FA-3643-98BC-FF3AFFE44A98}"/>
    <hyperlink ref="L298" r:id="rId196" xr:uid="{4650ECD4-9425-EF48-B35F-994A427D3BEC}"/>
    <hyperlink ref="L301" r:id="rId197" xr:uid="{5B81E510-9E42-5A40-B639-CA161536327F}"/>
    <hyperlink ref="L303" r:id="rId198" xr:uid="{ADB400E3-4A93-FE4B-872C-4A0472968A50}"/>
    <hyperlink ref="L304" r:id="rId199" xr:uid="{2D9ECD38-0B57-BD40-82DB-666F31FD7E5A}"/>
    <hyperlink ref="L305" r:id="rId200" xr:uid="{C280FC38-C57C-4D4E-A5D4-4BBF650A9B07}"/>
    <hyperlink ref="L306" r:id="rId201" xr:uid="{1AF6E72B-A924-934D-9921-64BF401FEB63}"/>
    <hyperlink ref="L312" r:id="rId202" xr:uid="{EE540790-89D0-D847-9110-8D4E0072980B}"/>
    <hyperlink ref="L313" r:id="rId203" xr:uid="{649FD0C2-C693-DD4F-90C0-5E45CD8AB60C}"/>
    <hyperlink ref="L314" r:id="rId204" xr:uid="{20BACE72-5BAA-FB43-AAC2-FFEAE8FEAB42}"/>
    <hyperlink ref="L319" r:id="rId205" xr:uid="{994A7BC7-6567-1B43-944A-474B50FCB508}"/>
    <hyperlink ref="L321" r:id="rId206" xr:uid="{D9791E42-DD4E-5447-B463-D3BC87E097D2}"/>
    <hyperlink ref="L323" r:id="rId207" xr:uid="{04D10A91-5767-7F4E-A818-DD1068C834C5}"/>
    <hyperlink ref="L324" r:id="rId208" xr:uid="{D5DD30D7-D574-4247-9554-AE3087A1BC4D}"/>
    <hyperlink ref="L325" r:id="rId209" xr:uid="{DFD9F6AB-499F-B54B-9AA6-CBD82FE8C80D}"/>
    <hyperlink ref="L326" r:id="rId210" xr:uid="{B0C0C70D-7256-5948-9DFB-8A39B13CBAD1}"/>
    <hyperlink ref="L327" r:id="rId211" xr:uid="{FB2B894E-7E7E-174F-8AE6-DCEE501BDC90}"/>
    <hyperlink ref="L330" r:id="rId212" xr:uid="{64F04D52-DF74-F042-8390-4460C5F45E60}"/>
    <hyperlink ref="L331" r:id="rId213" xr:uid="{F6469F84-B60C-7A46-9BE4-D96E73B60816}"/>
    <hyperlink ref="L332" r:id="rId214" xr:uid="{34B99131-D325-C742-80E6-5C33F7DE6F95}"/>
    <hyperlink ref="L334" r:id="rId215" xr:uid="{3495DF32-F1D1-604E-AAAE-9CEF1A29FDDC}"/>
    <hyperlink ref="L336" r:id="rId216" xr:uid="{81E2D2E3-8E5F-8446-BAB9-3A4A93F5EEA8}"/>
    <hyperlink ref="L337" r:id="rId217" xr:uid="{8368167F-9141-CF4E-9AC1-2078BE5630DD}"/>
    <hyperlink ref="L340" r:id="rId218" xr:uid="{4BCA9E2D-CB22-3B43-9D52-2E6DF39C0401}"/>
    <hyperlink ref="L341" r:id="rId219" xr:uid="{8A11DF42-1407-4A40-B94C-2420656EBDBC}"/>
    <hyperlink ref="L342" r:id="rId220" xr:uid="{F6F5AC25-3BA4-E349-9565-53B993E05648}"/>
    <hyperlink ref="L345" r:id="rId221" xr:uid="{99409D2D-E747-FF4E-B769-A397AEBEF106}"/>
    <hyperlink ref="L346" r:id="rId222" xr:uid="{52C3B548-AB40-D04D-9EBE-6E324079D7A6}"/>
    <hyperlink ref="L347" r:id="rId223" xr:uid="{625E93A9-A3AF-2A4A-91B4-68E7DC31D77B}"/>
    <hyperlink ref="L349" r:id="rId224" xr:uid="{A9336ABF-3A87-7840-951A-46027478A4A8}"/>
    <hyperlink ref="L351" r:id="rId225" xr:uid="{1C54DB9B-D060-C540-8E81-A30E178C5808}"/>
    <hyperlink ref="L352" r:id="rId226" xr:uid="{12B2E620-ACA6-BE4D-981F-B88CF016915A}"/>
    <hyperlink ref="L353" r:id="rId227" xr:uid="{2C643C78-BEB6-4847-871D-63A9DE6E9055}"/>
    <hyperlink ref="L354" r:id="rId228" xr:uid="{038E46B8-579C-8F48-BEC5-5BEE10597F60}"/>
    <hyperlink ref="L358" r:id="rId229" xr:uid="{D7DF3903-87F5-8B46-9C8A-98FCBB365853}"/>
    <hyperlink ref="L359" r:id="rId230" xr:uid="{DE08AD1C-2124-DB44-AA46-F617CC49E438}"/>
    <hyperlink ref="L360" r:id="rId231" xr:uid="{3E9E9E5A-75E8-DF4D-9E36-CED48E954EA1}"/>
    <hyperlink ref="L361" r:id="rId232" xr:uid="{7C8D2417-EC8C-B94A-9F3E-512CD3A54901}"/>
    <hyperlink ref="L362" r:id="rId233" xr:uid="{4115A197-7997-D242-9796-289C093F7611}"/>
    <hyperlink ref="L363" r:id="rId234" xr:uid="{CE1CBE6F-A5C1-B341-AEB1-4A4072A93CA5}"/>
    <hyperlink ref="L366" r:id="rId235" xr:uid="{7444A243-86AE-5748-AEB8-D2A25F0425E0}"/>
  </hyperlinks>
  <pageMargins left="0.7" right="0.7" top="0.75" bottom="0.75" header="0.3" footer="0.3"/>
  <pageSetup orientation="portrait"/>
  <legacyDrawing r:id="rId23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A64F3-36B5-7C4E-BB12-BFB3471DCCDF}">
  <dimension ref="A1:C21"/>
  <sheetViews>
    <sheetView workbookViewId="0">
      <selection activeCell="B1" sqref="B1"/>
    </sheetView>
  </sheetViews>
  <sheetFormatPr baseColWidth="10" defaultRowHeight="15" x14ac:dyDescent="0.2"/>
  <sheetData>
    <row r="1" spans="1:3" x14ac:dyDescent="0.2">
      <c r="A1" s="1" t="s">
        <v>5013</v>
      </c>
      <c r="B1" s="1" t="s">
        <v>5011</v>
      </c>
      <c r="C1" s="1" t="s">
        <v>5012</v>
      </c>
    </row>
    <row r="2" spans="1:3" x14ac:dyDescent="0.2">
      <c r="A2" s="1">
        <v>2004</v>
      </c>
      <c r="B2">
        <v>1</v>
      </c>
      <c r="C2">
        <v>1</v>
      </c>
    </row>
    <row r="3" spans="1:3" x14ac:dyDescent="0.2">
      <c r="A3" s="1">
        <v>2005</v>
      </c>
      <c r="B3">
        <v>3</v>
      </c>
      <c r="C3">
        <v>4</v>
      </c>
    </row>
    <row r="4" spans="1:3" x14ac:dyDescent="0.2">
      <c r="A4" s="1">
        <v>2006</v>
      </c>
      <c r="B4">
        <v>4</v>
      </c>
      <c r="C4">
        <v>8</v>
      </c>
    </row>
    <row r="5" spans="1:3" x14ac:dyDescent="0.2">
      <c r="A5" s="1">
        <v>2007</v>
      </c>
      <c r="B5">
        <v>5</v>
      </c>
      <c r="C5">
        <v>13</v>
      </c>
    </row>
    <row r="6" spans="1:3" x14ac:dyDescent="0.2">
      <c r="A6" s="1">
        <v>2008</v>
      </c>
      <c r="B6">
        <v>5</v>
      </c>
      <c r="C6">
        <v>18</v>
      </c>
    </row>
    <row r="7" spans="1:3" x14ac:dyDescent="0.2">
      <c r="A7" s="1">
        <v>2009</v>
      </c>
      <c r="B7">
        <v>7</v>
      </c>
      <c r="C7">
        <v>25</v>
      </c>
    </row>
    <row r="8" spans="1:3" x14ac:dyDescent="0.2">
      <c r="A8" s="1">
        <v>2010</v>
      </c>
      <c r="B8">
        <v>16</v>
      </c>
      <c r="C8">
        <v>41</v>
      </c>
    </row>
    <row r="9" spans="1:3" x14ac:dyDescent="0.2">
      <c r="A9" s="1">
        <v>2011</v>
      </c>
      <c r="B9">
        <v>22</v>
      </c>
      <c r="C9">
        <v>63</v>
      </c>
    </row>
    <row r="10" spans="1:3" x14ac:dyDescent="0.2">
      <c r="A10" s="1">
        <v>2012</v>
      </c>
      <c r="B10">
        <v>35</v>
      </c>
      <c r="C10">
        <v>98</v>
      </c>
    </row>
    <row r="11" spans="1:3" x14ac:dyDescent="0.2">
      <c r="A11" s="1">
        <v>2013</v>
      </c>
      <c r="B11">
        <v>46</v>
      </c>
      <c r="C11">
        <v>144</v>
      </c>
    </row>
    <row r="12" spans="1:3" x14ac:dyDescent="0.2">
      <c r="A12" s="1">
        <v>2014</v>
      </c>
      <c r="B12">
        <v>56</v>
      </c>
      <c r="C12">
        <v>200</v>
      </c>
    </row>
    <row r="13" spans="1:3" x14ac:dyDescent="0.2">
      <c r="A13" s="1">
        <v>2015</v>
      </c>
      <c r="B13">
        <v>87</v>
      </c>
      <c r="C13">
        <v>287</v>
      </c>
    </row>
    <row r="14" spans="1:3" x14ac:dyDescent="0.2">
      <c r="A14" s="1">
        <v>2016</v>
      </c>
      <c r="B14">
        <v>91</v>
      </c>
      <c r="C14">
        <v>378</v>
      </c>
    </row>
    <row r="15" spans="1:3" x14ac:dyDescent="0.2">
      <c r="A15" s="1">
        <v>2017</v>
      </c>
      <c r="B15">
        <v>104</v>
      </c>
      <c r="C15">
        <v>482</v>
      </c>
    </row>
    <row r="16" spans="1:3" x14ac:dyDescent="0.2">
      <c r="A16" s="1">
        <v>2018</v>
      </c>
      <c r="B16">
        <v>131</v>
      </c>
      <c r="C16">
        <v>613</v>
      </c>
    </row>
    <row r="17" spans="1:3" x14ac:dyDescent="0.2">
      <c r="A17" s="1">
        <v>2019</v>
      </c>
      <c r="B17">
        <v>128</v>
      </c>
      <c r="C17">
        <v>741</v>
      </c>
    </row>
    <row r="18" spans="1:3" x14ac:dyDescent="0.2">
      <c r="A18" s="1">
        <v>2020</v>
      </c>
      <c r="B18">
        <v>168</v>
      </c>
      <c r="C18">
        <v>909</v>
      </c>
    </row>
    <row r="19" spans="1:3" x14ac:dyDescent="0.2">
      <c r="A19" s="1">
        <v>2021</v>
      </c>
      <c r="B19">
        <v>198</v>
      </c>
      <c r="C19">
        <v>1107</v>
      </c>
    </row>
    <row r="20" spans="1:3" x14ac:dyDescent="0.2">
      <c r="A20" s="1">
        <v>2022</v>
      </c>
      <c r="B20">
        <v>202</v>
      </c>
      <c r="C20">
        <v>1309</v>
      </c>
    </row>
    <row r="21" spans="1:3" x14ac:dyDescent="0.2">
      <c r="A21" s="3">
        <v>45108</v>
      </c>
      <c r="B21">
        <v>115</v>
      </c>
      <c r="C21">
        <v>1424</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E037A-ADD3-3244-91EF-C3052FDA1EA0}">
  <dimension ref="A1:B94"/>
  <sheetViews>
    <sheetView topLeftCell="A49" workbookViewId="0">
      <selection activeCell="A79" sqref="A79"/>
    </sheetView>
  </sheetViews>
  <sheetFormatPr baseColWidth="10" defaultRowHeight="15" x14ac:dyDescent="0.2"/>
  <sheetData>
    <row r="1" spans="1:1" x14ac:dyDescent="0.2">
      <c r="A1">
        <v>10147.6</v>
      </c>
    </row>
    <row r="2" spans="1:1" x14ac:dyDescent="0.2">
      <c r="A2">
        <v>1755.03</v>
      </c>
    </row>
    <row r="3" spans="1:1" x14ac:dyDescent="0.2">
      <c r="A3">
        <v>3216.34</v>
      </c>
    </row>
    <row r="4" spans="1:1" ht="18" x14ac:dyDescent="0.2">
      <c r="A4" s="2">
        <v>1789.86</v>
      </c>
    </row>
    <row r="5" spans="1:1" x14ac:dyDescent="0.2">
      <c r="A5">
        <v>2455.81</v>
      </c>
    </row>
    <row r="6" spans="1:1" x14ac:dyDescent="0.2">
      <c r="A6">
        <v>2969.87</v>
      </c>
    </row>
    <row r="7" spans="1:1" x14ac:dyDescent="0.2">
      <c r="A7">
        <v>4976.75</v>
      </c>
    </row>
    <row r="8" spans="1:1" x14ac:dyDescent="0.2">
      <c r="A8">
        <v>2981.62</v>
      </c>
    </row>
    <row r="9" spans="1:1" x14ac:dyDescent="0.2">
      <c r="A9">
        <v>4864.8100000000004</v>
      </c>
    </row>
    <row r="10" spans="1:1" ht="18" x14ac:dyDescent="0.2">
      <c r="A10" s="2">
        <v>1231.33</v>
      </c>
    </row>
    <row r="11" spans="1:1" x14ac:dyDescent="0.2">
      <c r="A11">
        <v>3892.29</v>
      </c>
    </row>
    <row r="12" spans="1:1" x14ac:dyDescent="0.2">
      <c r="A12">
        <v>1867.61</v>
      </c>
    </row>
    <row r="13" spans="1:1" x14ac:dyDescent="0.2">
      <c r="A13">
        <v>1822.34</v>
      </c>
    </row>
    <row r="14" spans="1:1" x14ac:dyDescent="0.2">
      <c r="A14">
        <v>1350.32</v>
      </c>
    </row>
    <row r="15" spans="1:1" x14ac:dyDescent="0.2">
      <c r="A15">
        <v>1874.62</v>
      </c>
    </row>
    <row r="16" spans="1:1" x14ac:dyDescent="0.2">
      <c r="A16">
        <v>976.16</v>
      </c>
    </row>
    <row r="17" spans="1:1" x14ac:dyDescent="0.2">
      <c r="A17">
        <v>1463.78</v>
      </c>
    </row>
    <row r="18" spans="1:1" ht="18" x14ac:dyDescent="0.2">
      <c r="A18" s="2">
        <v>1145.77</v>
      </c>
    </row>
    <row r="19" spans="1:1" x14ac:dyDescent="0.2">
      <c r="A19">
        <v>1399.29</v>
      </c>
    </row>
    <row r="20" spans="1:1" x14ac:dyDescent="0.2">
      <c r="A20">
        <v>1200.76</v>
      </c>
    </row>
    <row r="21" spans="1:1" x14ac:dyDescent="0.2">
      <c r="A21">
        <v>1667.95</v>
      </c>
    </row>
    <row r="22" spans="1:1" x14ac:dyDescent="0.2">
      <c r="A22">
        <v>4068.97</v>
      </c>
    </row>
    <row r="23" spans="1:1" ht="18" x14ac:dyDescent="0.2">
      <c r="A23" s="2">
        <v>1926.16</v>
      </c>
    </row>
    <row r="24" spans="1:1" ht="18" x14ac:dyDescent="0.2">
      <c r="A24" s="2">
        <v>5560.29</v>
      </c>
    </row>
    <row r="25" spans="1:1" ht="18" x14ac:dyDescent="0.2">
      <c r="A25" s="2">
        <v>1317.67</v>
      </c>
    </row>
    <row r="26" spans="1:1" ht="18" x14ac:dyDescent="0.2">
      <c r="A26" s="2">
        <v>733.72</v>
      </c>
    </row>
    <row r="27" spans="1:1" ht="18" x14ac:dyDescent="0.2">
      <c r="A27" s="2">
        <v>3497.35</v>
      </c>
    </row>
    <row r="28" spans="1:1" ht="18" x14ac:dyDescent="0.2">
      <c r="A28" s="2">
        <v>1813.36</v>
      </c>
    </row>
    <row r="29" spans="1:1" ht="18" x14ac:dyDescent="0.2">
      <c r="A29" s="2">
        <v>2255.2199999999998</v>
      </c>
    </row>
    <row r="30" spans="1:1" ht="18" x14ac:dyDescent="0.2">
      <c r="A30" s="2">
        <v>3016.83</v>
      </c>
    </row>
    <row r="31" spans="1:1" ht="18" x14ac:dyDescent="0.2">
      <c r="A31" s="2">
        <v>9457.51</v>
      </c>
    </row>
    <row r="32" spans="1:1" ht="18" x14ac:dyDescent="0.2">
      <c r="A32" s="2">
        <v>758.54</v>
      </c>
    </row>
    <row r="33" spans="1:1" ht="18" x14ac:dyDescent="0.2">
      <c r="A33" s="2">
        <v>3030.98</v>
      </c>
    </row>
    <row r="34" spans="1:1" ht="18" x14ac:dyDescent="0.2">
      <c r="A34" s="2">
        <v>6664.52</v>
      </c>
    </row>
    <row r="35" spans="1:1" ht="18" x14ac:dyDescent="0.2">
      <c r="A35" s="2">
        <v>2062.25</v>
      </c>
    </row>
    <row r="36" spans="1:1" ht="18" x14ac:dyDescent="0.2">
      <c r="A36" s="2">
        <v>7785.31</v>
      </c>
    </row>
    <row r="37" spans="1:1" ht="18" x14ac:dyDescent="0.2">
      <c r="A37" s="2">
        <v>1110.75</v>
      </c>
    </row>
    <row r="38" spans="1:1" ht="18" x14ac:dyDescent="0.2">
      <c r="A38" s="2">
        <v>1920.26</v>
      </c>
    </row>
    <row r="39" spans="1:1" ht="18" x14ac:dyDescent="0.2">
      <c r="A39" s="2">
        <v>4654.8</v>
      </c>
    </row>
    <row r="40" spans="1:1" ht="18" x14ac:dyDescent="0.2">
      <c r="A40" s="2">
        <v>2060.48</v>
      </c>
    </row>
    <row r="41" spans="1:1" ht="18" x14ac:dyDescent="0.2">
      <c r="A41" s="2">
        <v>1283.1400000000001</v>
      </c>
    </row>
    <row r="42" spans="1:1" ht="18" x14ac:dyDescent="0.2">
      <c r="A42" s="2">
        <v>1558.29</v>
      </c>
    </row>
    <row r="43" spans="1:1" ht="18" x14ac:dyDescent="0.2">
      <c r="A43" s="2">
        <v>1266.07</v>
      </c>
    </row>
    <row r="44" spans="1:1" ht="18" x14ac:dyDescent="0.2">
      <c r="A44" s="2">
        <v>4116.96</v>
      </c>
    </row>
    <row r="45" spans="1:1" ht="18" x14ac:dyDescent="0.2">
      <c r="A45" s="2">
        <v>2567.1</v>
      </c>
    </row>
    <row r="46" spans="1:1" ht="18" x14ac:dyDescent="0.2">
      <c r="A46" s="2">
        <v>6831.29</v>
      </c>
    </row>
    <row r="47" spans="1:1" ht="18" x14ac:dyDescent="0.2">
      <c r="A47" s="2">
        <v>2841.17</v>
      </c>
    </row>
    <row r="48" spans="1:1" ht="18" x14ac:dyDescent="0.2">
      <c r="A48" s="2">
        <v>2194.29</v>
      </c>
    </row>
    <row r="49" spans="1:1" ht="18" x14ac:dyDescent="0.2">
      <c r="A49" s="2">
        <v>1308.03</v>
      </c>
    </row>
    <row r="50" spans="1:1" ht="18" x14ac:dyDescent="0.2">
      <c r="A50" s="2">
        <v>1105.29</v>
      </c>
    </row>
    <row r="51" spans="1:1" ht="18" x14ac:dyDescent="0.2">
      <c r="A51" s="2">
        <v>1437.62</v>
      </c>
    </row>
    <row r="52" spans="1:1" ht="18" x14ac:dyDescent="0.2">
      <c r="A52" s="2">
        <v>1508.03</v>
      </c>
    </row>
    <row r="53" spans="1:1" ht="18" x14ac:dyDescent="0.2">
      <c r="A53" s="2">
        <v>5165.87</v>
      </c>
    </row>
    <row r="54" spans="1:1" ht="18" x14ac:dyDescent="0.2">
      <c r="A54" s="2">
        <v>3063.72</v>
      </c>
    </row>
    <row r="55" spans="1:1" ht="18" x14ac:dyDescent="0.2">
      <c r="A55" s="2">
        <v>1897.26</v>
      </c>
    </row>
    <row r="56" spans="1:1" ht="18" x14ac:dyDescent="0.2">
      <c r="A56" s="2">
        <v>2505.25</v>
      </c>
    </row>
    <row r="57" spans="1:1" x14ac:dyDescent="0.2">
      <c r="A57" s="1" t="s">
        <v>5010</v>
      </c>
    </row>
    <row r="58" spans="1:1" ht="18" x14ac:dyDescent="0.2">
      <c r="A58" s="2">
        <v>1905.94</v>
      </c>
    </row>
    <row r="59" spans="1:1" ht="18" x14ac:dyDescent="0.2">
      <c r="A59" s="2">
        <v>3869.87</v>
      </c>
    </row>
    <row r="60" spans="1:1" ht="18" x14ac:dyDescent="0.2">
      <c r="A60" s="2">
        <v>995.89</v>
      </c>
    </row>
    <row r="61" spans="1:1" ht="18" x14ac:dyDescent="0.2">
      <c r="A61" s="2">
        <v>1088.8399999999999</v>
      </c>
    </row>
    <row r="62" spans="1:1" ht="18" x14ac:dyDescent="0.2">
      <c r="A62" s="2">
        <v>4058.9</v>
      </c>
    </row>
    <row r="63" spans="1:1" ht="18" x14ac:dyDescent="0.2">
      <c r="A63" s="2">
        <v>3532.24</v>
      </c>
    </row>
    <row r="64" spans="1:1" ht="18" x14ac:dyDescent="0.2">
      <c r="A64" s="2">
        <v>1674.43</v>
      </c>
    </row>
    <row r="65" spans="1:1" ht="18" x14ac:dyDescent="0.2">
      <c r="A65" s="2">
        <v>1559.48</v>
      </c>
    </row>
    <row r="66" spans="1:1" ht="18" x14ac:dyDescent="0.2">
      <c r="A66" s="2">
        <v>1860.12</v>
      </c>
    </row>
    <row r="67" spans="1:1" ht="18" x14ac:dyDescent="0.2">
      <c r="A67" s="2">
        <v>4378.1899999999996</v>
      </c>
    </row>
    <row r="68" spans="1:1" ht="18" x14ac:dyDescent="0.2">
      <c r="A68" s="2">
        <v>1821.31</v>
      </c>
    </row>
    <row r="69" spans="1:1" ht="18" x14ac:dyDescent="0.2">
      <c r="A69" s="2">
        <v>4513.8999999999996</v>
      </c>
    </row>
    <row r="70" spans="1:1" ht="18" x14ac:dyDescent="0.2">
      <c r="A70" s="2">
        <v>1206.33</v>
      </c>
    </row>
    <row r="71" spans="1:1" ht="18" x14ac:dyDescent="0.2">
      <c r="A71" s="2">
        <v>2167.87</v>
      </c>
    </row>
    <row r="72" spans="1:1" ht="18" x14ac:dyDescent="0.2">
      <c r="A72" s="2">
        <v>1868.43</v>
      </c>
    </row>
    <row r="73" spans="1:1" ht="18" x14ac:dyDescent="0.2">
      <c r="A73" s="2">
        <v>1325.76</v>
      </c>
    </row>
    <row r="74" spans="1:1" ht="18" x14ac:dyDescent="0.2">
      <c r="A74" s="2">
        <v>1443.46</v>
      </c>
    </row>
    <row r="75" spans="1:1" ht="18" x14ac:dyDescent="0.2">
      <c r="A75" s="2">
        <v>1771.64</v>
      </c>
    </row>
    <row r="76" spans="1:1" ht="18" x14ac:dyDescent="0.2">
      <c r="A76" s="2">
        <v>3787.57</v>
      </c>
    </row>
    <row r="77" spans="1:1" ht="18" x14ac:dyDescent="0.2">
      <c r="A77" s="2">
        <v>1735.69</v>
      </c>
    </row>
    <row r="78" spans="1:1" ht="18" x14ac:dyDescent="0.2">
      <c r="A78" s="2">
        <v>945.97</v>
      </c>
    </row>
    <row r="79" spans="1:1" ht="18" x14ac:dyDescent="0.2">
      <c r="A79" s="2">
        <v>3188.13</v>
      </c>
    </row>
    <row r="80" spans="1:1" ht="18" x14ac:dyDescent="0.2">
      <c r="A80" s="2">
        <v>3192.08</v>
      </c>
    </row>
    <row r="81" spans="1:2" ht="18" x14ac:dyDescent="0.2">
      <c r="A81" s="2">
        <v>1179.82</v>
      </c>
    </row>
    <row r="82" spans="1:2" ht="18" x14ac:dyDescent="0.2">
      <c r="A82" s="2">
        <v>1608.87</v>
      </c>
    </row>
    <row r="83" spans="1:2" ht="18" x14ac:dyDescent="0.2">
      <c r="A83" s="2">
        <v>5714.28</v>
      </c>
    </row>
    <row r="84" spans="1:2" ht="18" x14ac:dyDescent="0.2">
      <c r="A84" s="2">
        <v>1903.23</v>
      </c>
    </row>
    <row r="85" spans="1:2" ht="18" x14ac:dyDescent="0.2">
      <c r="A85" s="2">
        <v>4392.3500000000004</v>
      </c>
    </row>
    <row r="86" spans="1:2" ht="18" x14ac:dyDescent="0.2">
      <c r="A86" s="2">
        <v>1868.96</v>
      </c>
    </row>
    <row r="87" spans="1:2" ht="18" x14ac:dyDescent="0.2">
      <c r="A87" s="2">
        <v>3066.95</v>
      </c>
    </row>
    <row r="88" spans="1:2" ht="18" x14ac:dyDescent="0.2">
      <c r="A88" s="2">
        <v>851.25</v>
      </c>
    </row>
    <row r="89" spans="1:2" ht="18" x14ac:dyDescent="0.2">
      <c r="A89" s="2">
        <v>558.48</v>
      </c>
    </row>
    <row r="92" spans="1:2" x14ac:dyDescent="0.2">
      <c r="A92">
        <f>MEDIAN(A1:A89)</f>
        <v>1900.2449999999999</v>
      </c>
      <c r="B92" s="1">
        <f>A92/60</f>
        <v>31.670749999999998</v>
      </c>
    </row>
    <row r="93" spans="1:2" x14ac:dyDescent="0.2">
      <c r="A93">
        <f>QUARTILE(A1:A89,1)</f>
        <v>1428.0374999999999</v>
      </c>
      <c r="B93">
        <f>A93/60</f>
        <v>23.800625</v>
      </c>
    </row>
    <row r="94" spans="1:2" x14ac:dyDescent="0.2">
      <c r="A94">
        <f>QUARTILE(A1:A89,3)</f>
        <v>3286.5925000000002</v>
      </c>
      <c r="B94">
        <f>A94/60</f>
        <v>54.776541666666667</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500E-636A-AA45-A924-B3E976D62945}">
  <dimension ref="A1:D29"/>
  <sheetViews>
    <sheetView workbookViewId="0">
      <selection activeCell="D1" sqref="D1"/>
    </sheetView>
  </sheetViews>
  <sheetFormatPr baseColWidth="10" defaultRowHeight="15" x14ac:dyDescent="0.2"/>
  <sheetData>
    <row r="1" spans="1:4" x14ac:dyDescent="0.2">
      <c r="A1" s="1" t="s">
        <v>5013</v>
      </c>
      <c r="B1" s="1" t="s">
        <v>7682</v>
      </c>
      <c r="C1" s="1" t="s">
        <v>7683</v>
      </c>
      <c r="D1" s="1" t="s">
        <v>7684</v>
      </c>
    </row>
    <row r="2" spans="1:4" x14ac:dyDescent="0.2">
      <c r="A2" s="1">
        <v>2004</v>
      </c>
      <c r="B2">
        <v>0</v>
      </c>
      <c r="C2">
        <v>0</v>
      </c>
      <c r="D2">
        <v>0</v>
      </c>
    </row>
    <row r="3" spans="1:4" x14ac:dyDescent="0.2">
      <c r="A3" s="1">
        <v>2005</v>
      </c>
      <c r="B3">
        <v>1</v>
      </c>
      <c r="C3">
        <v>0</v>
      </c>
      <c r="D3">
        <v>1</v>
      </c>
    </row>
    <row r="4" spans="1:4" x14ac:dyDescent="0.2">
      <c r="A4" s="1">
        <v>2006</v>
      </c>
      <c r="B4">
        <v>3</v>
      </c>
      <c r="C4">
        <v>0</v>
      </c>
      <c r="D4">
        <v>4</v>
      </c>
    </row>
    <row r="5" spans="1:4" x14ac:dyDescent="0.2">
      <c r="A5" s="1">
        <v>2007</v>
      </c>
      <c r="B5">
        <v>5</v>
      </c>
      <c r="C5">
        <v>0</v>
      </c>
      <c r="D5">
        <v>9</v>
      </c>
    </row>
    <row r="6" spans="1:4" x14ac:dyDescent="0.2">
      <c r="A6" s="1">
        <v>2008</v>
      </c>
      <c r="B6">
        <v>4</v>
      </c>
      <c r="C6">
        <v>0</v>
      </c>
      <c r="D6">
        <v>13</v>
      </c>
    </row>
    <row r="7" spans="1:4" x14ac:dyDescent="0.2">
      <c r="A7" s="1">
        <v>2009</v>
      </c>
      <c r="B7">
        <v>6</v>
      </c>
      <c r="C7">
        <v>0</v>
      </c>
      <c r="D7">
        <v>19</v>
      </c>
    </row>
    <row r="8" spans="1:4" x14ac:dyDescent="0.2">
      <c r="A8" s="1">
        <v>2010</v>
      </c>
      <c r="B8">
        <v>15</v>
      </c>
      <c r="C8">
        <v>0</v>
      </c>
      <c r="D8">
        <v>34</v>
      </c>
    </row>
    <row r="9" spans="1:4" x14ac:dyDescent="0.2">
      <c r="A9" s="1">
        <v>2011</v>
      </c>
      <c r="B9">
        <v>21</v>
      </c>
      <c r="C9">
        <v>0</v>
      </c>
      <c r="D9">
        <v>55</v>
      </c>
    </row>
    <row r="10" spans="1:4" x14ac:dyDescent="0.2">
      <c r="A10" s="1">
        <v>2012</v>
      </c>
      <c r="B10">
        <v>28</v>
      </c>
      <c r="C10">
        <v>0</v>
      </c>
      <c r="D10">
        <v>83</v>
      </c>
    </row>
    <row r="11" spans="1:4" x14ac:dyDescent="0.2">
      <c r="A11" s="1">
        <v>2013</v>
      </c>
      <c r="B11">
        <v>42</v>
      </c>
      <c r="C11">
        <v>0</v>
      </c>
      <c r="D11">
        <v>125</v>
      </c>
    </row>
    <row r="12" spans="1:4" x14ac:dyDescent="0.2">
      <c r="A12" s="1">
        <v>2014</v>
      </c>
      <c r="B12">
        <v>52</v>
      </c>
      <c r="C12">
        <v>0</v>
      </c>
      <c r="D12">
        <v>177</v>
      </c>
    </row>
    <row r="13" spans="1:4" x14ac:dyDescent="0.2">
      <c r="A13" s="1">
        <v>2015</v>
      </c>
      <c r="B13">
        <v>68</v>
      </c>
      <c r="C13">
        <v>3</v>
      </c>
      <c r="D13">
        <v>248</v>
      </c>
    </row>
    <row r="14" spans="1:4" x14ac:dyDescent="0.2">
      <c r="A14" s="1">
        <v>2016</v>
      </c>
      <c r="B14">
        <v>75</v>
      </c>
      <c r="C14">
        <v>8</v>
      </c>
      <c r="D14">
        <v>331</v>
      </c>
    </row>
    <row r="15" spans="1:4" x14ac:dyDescent="0.2">
      <c r="A15" s="1">
        <v>2017</v>
      </c>
      <c r="B15">
        <v>82</v>
      </c>
      <c r="C15">
        <v>8</v>
      </c>
      <c r="D15">
        <v>421</v>
      </c>
    </row>
    <row r="16" spans="1:4" x14ac:dyDescent="0.2">
      <c r="A16" s="1">
        <v>2018</v>
      </c>
      <c r="B16">
        <v>110</v>
      </c>
      <c r="C16">
        <v>5</v>
      </c>
      <c r="D16">
        <v>536</v>
      </c>
    </row>
    <row r="17" spans="1:4" x14ac:dyDescent="0.2">
      <c r="A17" s="1">
        <v>2019</v>
      </c>
      <c r="B17">
        <v>114</v>
      </c>
      <c r="C17">
        <v>9</v>
      </c>
      <c r="D17">
        <v>659</v>
      </c>
    </row>
    <row r="18" spans="1:4" x14ac:dyDescent="0.2">
      <c r="A18" s="1">
        <v>2020</v>
      </c>
      <c r="B18">
        <v>151</v>
      </c>
      <c r="C18">
        <v>16</v>
      </c>
      <c r="D18">
        <v>826</v>
      </c>
    </row>
    <row r="19" spans="1:4" x14ac:dyDescent="0.2">
      <c r="A19" s="1">
        <v>2021</v>
      </c>
      <c r="B19">
        <v>163</v>
      </c>
      <c r="C19">
        <v>27</v>
      </c>
      <c r="D19">
        <v>1016</v>
      </c>
    </row>
    <row r="20" spans="1:4" x14ac:dyDescent="0.2">
      <c r="A20" s="1">
        <v>2022</v>
      </c>
      <c r="B20">
        <v>176</v>
      </c>
      <c r="C20">
        <v>25</v>
      </c>
      <c r="D20">
        <v>1217</v>
      </c>
    </row>
    <row r="21" spans="1:4" x14ac:dyDescent="0.2">
      <c r="A21" s="1" t="s">
        <v>5036</v>
      </c>
      <c r="B21">
        <v>110</v>
      </c>
      <c r="D21">
        <v>1327</v>
      </c>
    </row>
    <row r="22" spans="1:4" x14ac:dyDescent="0.2">
      <c r="A22" s="1"/>
    </row>
    <row r="23" spans="1:4" x14ac:dyDescent="0.2">
      <c r="B23">
        <f>SUM(B2:B21)</f>
        <v>1226</v>
      </c>
    </row>
    <row r="25" spans="1:4" x14ac:dyDescent="0.2">
      <c r="B25">
        <f>SUM(B2:B4)</f>
        <v>4</v>
      </c>
    </row>
    <row r="29" spans="1:4" ht="21" x14ac:dyDescent="0.2">
      <c r="B29" s="4"/>
      <c r="C29" s="4"/>
    </row>
  </sheetData>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2A909-B36E-7646-BF8E-BD195077BE8D}">
  <dimension ref="A1:C29"/>
  <sheetViews>
    <sheetView workbookViewId="0">
      <selection activeCell="T16" sqref="T16"/>
    </sheetView>
  </sheetViews>
  <sheetFormatPr baseColWidth="10" defaultRowHeight="15" x14ac:dyDescent="0.2"/>
  <sheetData>
    <row r="1" spans="1:3" x14ac:dyDescent="0.2">
      <c r="A1" s="1" t="s">
        <v>5013</v>
      </c>
      <c r="B1" s="1" t="s">
        <v>5035</v>
      </c>
      <c r="C1" s="1" t="s">
        <v>5034</v>
      </c>
    </row>
    <row r="2" spans="1:3" x14ac:dyDescent="0.2">
      <c r="A2" s="1">
        <v>2004</v>
      </c>
      <c r="B2">
        <v>0</v>
      </c>
      <c r="C2">
        <v>0</v>
      </c>
    </row>
    <row r="3" spans="1:3" x14ac:dyDescent="0.2">
      <c r="A3" s="1">
        <v>2005</v>
      </c>
      <c r="B3">
        <v>1</v>
      </c>
      <c r="C3">
        <v>1</v>
      </c>
    </row>
    <row r="4" spans="1:3" x14ac:dyDescent="0.2">
      <c r="A4" s="1">
        <v>2006</v>
      </c>
      <c r="B4">
        <v>3</v>
      </c>
      <c r="C4">
        <v>4</v>
      </c>
    </row>
    <row r="5" spans="1:3" x14ac:dyDescent="0.2">
      <c r="A5" s="1">
        <v>2007</v>
      </c>
      <c r="B5">
        <v>5</v>
      </c>
      <c r="C5">
        <v>9</v>
      </c>
    </row>
    <row r="6" spans="1:3" x14ac:dyDescent="0.2">
      <c r="A6" s="1">
        <v>2008</v>
      </c>
      <c r="B6">
        <v>4</v>
      </c>
      <c r="C6">
        <v>13</v>
      </c>
    </row>
    <row r="7" spans="1:3" x14ac:dyDescent="0.2">
      <c r="A7" s="1">
        <v>2009</v>
      </c>
      <c r="B7">
        <v>6</v>
      </c>
      <c r="C7">
        <v>19</v>
      </c>
    </row>
    <row r="8" spans="1:3" x14ac:dyDescent="0.2">
      <c r="A8" s="1">
        <v>2010</v>
      </c>
      <c r="B8">
        <v>15</v>
      </c>
      <c r="C8">
        <v>34</v>
      </c>
    </row>
    <row r="9" spans="1:3" x14ac:dyDescent="0.2">
      <c r="A9" s="1">
        <v>2011</v>
      </c>
      <c r="B9">
        <v>21</v>
      </c>
      <c r="C9">
        <v>55</v>
      </c>
    </row>
    <row r="10" spans="1:3" x14ac:dyDescent="0.2">
      <c r="A10" s="1">
        <v>2012</v>
      </c>
      <c r="B10">
        <v>28</v>
      </c>
      <c r="C10">
        <v>83</v>
      </c>
    </row>
    <row r="11" spans="1:3" x14ac:dyDescent="0.2">
      <c r="A11" s="1">
        <v>2013</v>
      </c>
      <c r="B11">
        <v>42</v>
      </c>
      <c r="C11">
        <v>125</v>
      </c>
    </row>
    <row r="12" spans="1:3" x14ac:dyDescent="0.2">
      <c r="A12" s="1">
        <v>2014</v>
      </c>
      <c r="B12">
        <v>52</v>
      </c>
      <c r="C12">
        <v>177</v>
      </c>
    </row>
    <row r="13" spans="1:3" x14ac:dyDescent="0.2">
      <c r="A13" s="1">
        <v>2015</v>
      </c>
      <c r="B13">
        <v>71</v>
      </c>
      <c r="C13">
        <v>248</v>
      </c>
    </row>
    <row r="14" spans="1:3" x14ac:dyDescent="0.2">
      <c r="A14" s="1">
        <v>2016</v>
      </c>
      <c r="B14">
        <v>83</v>
      </c>
      <c r="C14">
        <v>331</v>
      </c>
    </row>
    <row r="15" spans="1:3" x14ac:dyDescent="0.2">
      <c r="A15" s="1">
        <v>2017</v>
      </c>
      <c r="B15">
        <v>90</v>
      </c>
      <c r="C15">
        <v>421</v>
      </c>
    </row>
    <row r="16" spans="1:3" x14ac:dyDescent="0.2">
      <c r="A16" s="1">
        <v>2018</v>
      </c>
      <c r="B16">
        <v>115</v>
      </c>
      <c r="C16">
        <v>536</v>
      </c>
    </row>
    <row r="17" spans="1:3" x14ac:dyDescent="0.2">
      <c r="A17" s="1">
        <v>2019</v>
      </c>
      <c r="B17">
        <v>123</v>
      </c>
      <c r="C17">
        <v>659</v>
      </c>
    </row>
    <row r="18" spans="1:3" x14ac:dyDescent="0.2">
      <c r="A18" s="1">
        <v>2020</v>
      </c>
      <c r="B18">
        <v>167</v>
      </c>
      <c r="C18">
        <v>826</v>
      </c>
    </row>
    <row r="19" spans="1:3" x14ac:dyDescent="0.2">
      <c r="A19" s="1">
        <v>2021</v>
      </c>
      <c r="B19">
        <v>190</v>
      </c>
      <c r="C19">
        <v>1016</v>
      </c>
    </row>
    <row r="20" spans="1:3" x14ac:dyDescent="0.2">
      <c r="A20" s="1">
        <v>2022</v>
      </c>
      <c r="B20">
        <v>201</v>
      </c>
      <c r="C20">
        <v>1217</v>
      </c>
    </row>
    <row r="21" spans="1:3" x14ac:dyDescent="0.2">
      <c r="A21" s="1" t="s">
        <v>5036</v>
      </c>
      <c r="B21">
        <v>110</v>
      </c>
      <c r="C21">
        <v>1327</v>
      </c>
    </row>
    <row r="22" spans="1:3" x14ac:dyDescent="0.2">
      <c r="A22" s="1"/>
    </row>
    <row r="23" spans="1:3" x14ac:dyDescent="0.2">
      <c r="B23">
        <f>SUM(B2:B21)</f>
        <v>1327</v>
      </c>
    </row>
    <row r="25" spans="1:3" x14ac:dyDescent="0.2">
      <c r="B25">
        <f>SUM(B2:B4)</f>
        <v>4</v>
      </c>
    </row>
    <row r="29" spans="1:3" ht="21" x14ac:dyDescent="0.2">
      <c r="B29" s="4"/>
    </row>
  </sheetData>
  <sortState xmlns:xlrd2="http://schemas.microsoft.com/office/spreadsheetml/2017/richdata2" ref="A2:C21">
    <sortCondition ref="A2:A21"/>
  </sortState>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All fulltexts original</vt:lpstr>
      <vt:lpstr>CCI 1st EP</vt:lpstr>
      <vt:lpstr>Only RCT new</vt:lpstr>
      <vt:lpstr>All included bearbeitet (3)</vt:lpstr>
      <vt:lpstr>3 (2)</vt:lpstr>
      <vt:lpstr>Tabelle1</vt:lpstr>
      <vt:lpstr>3 (3)</vt:lpstr>
      <vt:lpstr>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Joana Rodrigues Ribeiro</cp:lastModifiedBy>
  <cp:revision/>
  <dcterms:created xsi:type="dcterms:W3CDTF">2023-10-30T09:07:02Z</dcterms:created>
  <dcterms:modified xsi:type="dcterms:W3CDTF">2025-09-17T14:50:25Z</dcterms:modified>
  <cp:category/>
  <cp:contentStatus/>
</cp:coreProperties>
</file>